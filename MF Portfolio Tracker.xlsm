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ehul/Downloads/"/>
    </mc:Choice>
  </mc:AlternateContent>
  <xr:revisionPtr revIDLastSave="0" documentId="13_ncr:1_{C46588E4-2404-FF4F-94B3-2088711CAB8A}" xr6:coauthVersionLast="47" xr6:coauthVersionMax="47" xr10:uidLastSave="{00000000-0000-0000-0000-000000000000}"/>
  <bookViews>
    <workbookView xWindow="0" yWindow="600" windowWidth="51200" windowHeight="26700" activeTab="5" xr2:uid="{76AE0CB5-2202-A04C-92A5-518B64F22231}"/>
  </bookViews>
  <sheets>
    <sheet name="CAS" sheetId="1" r:id="rId1"/>
    <sheet name="Current NAVs" sheetId="18" r:id="rId2"/>
    <sheet name="PAN Mapper" sheetId="19" r:id="rId3"/>
    <sheet name="MF Summary" sheetId="9" r:id="rId4"/>
    <sheet name="Goals" sheetId="21" r:id="rId5"/>
    <sheet name="Goals_Tagger" sheetId="22" r:id="rId6"/>
    <sheet name="Capital Gains" sheetId="16" r:id="rId7"/>
    <sheet name="Sell_Ledger" sheetId="20" r:id="rId8"/>
    <sheet name="Folio List" sheetId="17" r:id="rId9"/>
    <sheet name="CAS_PAN_Filter" sheetId="4" r:id="rId10"/>
    <sheet name="Info" sheetId="15" r:id="rId11"/>
  </sheets>
  <functionGroups builtInGroupCount="19"/>
  <externalReferences>
    <externalReference r:id="rId12"/>
  </externalReferences>
  <definedNames>
    <definedName name="_xlnm._FilterDatabase" localSheetId="0" hidden="1">CAS!$N$1:$N$7320</definedName>
    <definedName name="_xlnm._FilterDatabase" localSheetId="7" hidden="1">Sell_Ledger!$A$1:$N$1988</definedName>
    <definedName name="_xlpm.a" hidden="1" xlm="1">#NAME?</definedName>
    <definedName name="_xlpm.a_v" hidden="1" xlm="1">#NAME?</definedName>
    <definedName name="_xlpm.acc" hidden="1" xlm="1">#NAME?</definedName>
    <definedName name="_xlpm.active_codes" hidden="1" xlm="1">#NAME?</definedName>
    <definedName name="_xlpm.active_folios" hidden="1" xlm="1">#NAME?</definedName>
    <definedName name="_xlpm.active_keys" hidden="1" xlm="1">#NAME?</definedName>
    <definedName name="_xlpm.active_schemes" hidden="1" xlm="1">#NAME?</definedName>
    <definedName name="_xlpm.all_codes" hidden="1" xlm="1">#NAME?</definedName>
    <definedName name="_xlpm.all_time_ret" hidden="1" xlm="1">#NAME?</definedName>
    <definedName name="_xlpm.all_xirr" hidden="1" xlm="1">#NAME?</definedName>
    <definedName name="_xlpm.amc_col" hidden="1" xlm="1">#NAME?</definedName>
    <definedName name="_xlpm.amfi_code" hidden="1" xlm="1">#NAME?</definedName>
    <definedName name="_xlpm.amfi_col" hidden="1" xlm="1">#NAME?</definedName>
    <definedName name="_xlpm.amt" hidden="1" xlm="1">#NAME?</definedName>
    <definedName name="_xlpm.amt_all" hidden="1" xlm="1">#NAME?</definedName>
    <definedName name="_xlpm.amt_arr" hidden="1" xlm="1">#NAME?</definedName>
    <definedName name="_xlpm.amt_curr" hidden="1" xlm="1">#NAME?</definedName>
    <definedName name="_xlpm.au" hidden="1" xlm="1">#NAME?</definedName>
    <definedName name="_xlpm.avail_u" hidden="1" xlm="1">#NAME?</definedName>
    <definedName name="_xlpm.base_data" hidden="1" xlm="1">#NAME?</definedName>
    <definedName name="_xlpm.base_keys" hidden="1" xlm="1">#NAME?</definedName>
    <definedName name="_xlpm.blanks" hidden="1" xlm="1">#NAME?</definedName>
    <definedName name="_xlpm.build_rows" hidden="1" xlm="1">#NAME?</definedName>
    <definedName name="_xlpm.buy_limit" hidden="1" xlm="1">#NAME?</definedName>
    <definedName name="_xlpm.c" hidden="1" xlm="1">#NAME?</definedName>
    <definedName name="_xlpm.c_v" hidden="1" xlm="1">#NAME?</definedName>
    <definedName name="_xlpm.ca" hidden="1" xlm="1">#NAME?</definedName>
    <definedName name="_xlpm.cas_amfi" hidden="1" xlm="1">#NAME?</definedName>
    <definedName name="_xlpm.cas_amt" hidden="1" xlm="1">#NAME?</definedName>
    <definedName name="_xlpm.cas_date" hidden="1" xlm="1">#NAME?</definedName>
    <definedName name="_xlpm.cas_folio" hidden="1" xlm="1">#NAME?</definedName>
    <definedName name="_xlpm.cas_keys" hidden="1" xlm="1">#NAME?</definedName>
    <definedName name="_xlpm.cas_name" hidden="1" xlm="1">#NAME?</definedName>
    <definedName name="_xlpm.cas_pan" hidden="1" xlm="1">#NAME?</definedName>
    <definedName name="_xlpm.cas_scheme" hidden="1" xlm="1">#NAME?</definedName>
    <definedName name="_xlpm.cas_type" hidden="1" xlm="1">#NAME?</definedName>
    <definedName name="_xlpm.cas_units" hidden="1" xlm="1">#NAME?</definedName>
    <definedName name="_xlpm.cat" hidden="1" xlm="1">#NAME?</definedName>
    <definedName name="_xlpm.cat_end" hidden="1" xlm="1">#NAME?</definedName>
    <definedName name="_xlpm.cat_start" hidden="1" xlm="1">#NAME?</definedName>
    <definedName name="_xlpm.cat_string" hidden="1" xlm="1">#NAME?</definedName>
    <definedName name="_xlpm.category" hidden="1" xlm="1">#NAME?</definedName>
    <definedName name="_xlpm.cf" hidden="1" xlm="1">#NAME?</definedName>
    <definedName name="_xlpm.cf_all" hidden="1" xlm="1">#NAME?</definedName>
    <definedName name="_xlpm.cf_amt" hidden="1" xlm="1">#NAME?</definedName>
    <definedName name="_xlpm.cf_cond" hidden="1" xlm="1">#NAME?</definedName>
    <definedName name="_xlpm.cf_curr" hidden="1" xlm="1">#NAME?</definedName>
    <definedName name="_xlpm.cf_date" hidden="1" xlm="1">#NAME?</definedName>
    <definedName name="_xlpm.claimed" hidden="1" xlm="1">#NAME?</definedName>
    <definedName name="_xlpm.codes" hidden="1" xlm="1">#NAME?</definedName>
    <definedName name="_xlpm.cond" hidden="1" xlm="1">#NAME?</definedName>
    <definedName name="_xlpm.cond_all" hidden="1" xlm="1">#NAME?</definedName>
    <definedName name="_xlpm.cond_curr" hidden="1" xlm="1">#NAME?</definedName>
    <definedName name="_xlpm.consume_u" hidden="1" xlm="1">#NAME?</definedName>
    <definedName name="_xlpm.cum" hidden="1" xlm="1">#NAME?</definedName>
    <definedName name="_xlpm.cum_avail" hidden="1" xlm="1">#NAME?</definedName>
    <definedName name="_xlpm.cum_p" hidden="1" xlm="1">#NAME?</definedName>
    <definedName name="_xlpm.curr_fy" hidden="1" xlm="1">#NAME?</definedName>
    <definedName name="_xlpm.curr_val" hidden="1" xlm="1">#NAME?</definedName>
    <definedName name="_xlpm.curr_xirr" hidden="1" xlm="1">#NAME?</definedName>
    <definedName name="_xlpm.current_value" hidden="1" xlm="1">#NAME?</definedName>
    <definedName name="_xlpm.d" hidden="1" xlm="1">#NAME?</definedName>
    <definedName name="_xlpm.data" hidden="1" xlm="1">#NAME?</definedName>
    <definedName name="_xlpm.date_all" hidden="1" xlm="1">#NAME?</definedName>
    <definedName name="_xlpm.date_arr" hidden="1" xlm="1">#NAME?</definedName>
    <definedName name="_xlpm.date_curr" hidden="1" xlm="1">#NAME?</definedName>
    <definedName name="_xlpm.dates" hidden="1" xlm="1">#NAME?</definedName>
    <definedName name="_xlpm.debt_ltcg" hidden="1" xlm="1">#NAME?</definedName>
    <definedName name="_xlpm.debt_stcg" hidden="1" xlm="1">#NAME?</definedName>
    <definedName name="_xlpm.end_pos" hidden="1" xlm="1">#NAME?</definedName>
    <definedName name="_xlpm.eq_ltcg" hidden="1" xlm="1">#NAME?</definedName>
    <definedName name="_xlpm.eq_stcg" hidden="1" xlm="1">#NAME?</definedName>
    <definedName name="_xlpm.f" hidden="1" xlm="1">#NAME?</definedName>
    <definedName name="_xlpm.filled_names" hidden="1" xlm="1">#NAME?</definedName>
    <definedName name="_xlpm.filtered_folios" hidden="1" xlm="1">#NAME?</definedName>
    <definedName name="_xlpm.final_cf" hidden="1" xlm="1">#NAME?</definedName>
    <definedName name="_xlpm.final_cf_all" hidden="1" xlm="1">#NAME?</definedName>
    <definedName name="_xlpm.final_cf_curr" hidden="1" xlm="1">#NAME?</definedName>
    <definedName name="_xlpm.final_d" hidden="1" xlm="1">#NAME?</definedName>
    <definedName name="_xlpm.final_dates" hidden="1" xlm="1">#NAME?</definedName>
    <definedName name="_xlpm.final_dates_all" hidden="1" xlm="1">#NAME?</definedName>
    <definedName name="_xlpm.final_dates_curr" hidden="1" xlm="1">#NAME?</definedName>
    <definedName name="_xlpm.final_names" hidden="1" xlm="1">#NAME?</definedName>
    <definedName name="_xlpm.final_pan" hidden="1" xlm="1">#NAME?</definedName>
    <definedName name="_xlpm.final_table" hidden="1" xlm="1">#NAME?</definedName>
    <definedName name="_xlpm.folio" hidden="1" xlm="1">#NAME?</definedName>
    <definedName name="_xlpm.folio_col" hidden="1" xlm="1">#NAME?</definedName>
    <definedName name="_xlpm.folios" hidden="1" xlm="1">#NAME?</definedName>
    <definedName name="_xlpm.fv_val" hidden="1" xlm="1">#NAME?</definedName>
    <definedName name="_xlpm.goal" hidden="1" xlm="1">#NAME?</definedName>
    <definedName name="_xlpm.has_active" hidden="1" xlm="1">#NAME?</definedName>
    <definedName name="_xlpm.has_zero" hidden="1" xlm="1">#NAME?</definedName>
    <definedName name="_xlpm.headers" hidden="1" xlm="1">#NAME?</definedName>
    <definedName name="_xlpm.holding_months" hidden="1" xlm="1">#NAME?</definedName>
    <definedName name="_xlpm.i" hidden="1" xlm="1">#NAME?</definedName>
    <definedName name="_xlpm.inflation" hidden="1" xlm="1">#NAME?</definedName>
    <definedName name="_xlpm.inv_amt" hidden="1" xlm="1">#NAME?</definedName>
    <definedName name="_xlpm.inv_col" hidden="1" xlm="1">#NAME?</definedName>
    <definedName name="_xlpm.is_ltcg" hidden="1" xlm="1">#NAME?</definedName>
    <definedName name="_xlpm.isin_col" hidden="1" xlm="1">#NAME?</definedName>
    <definedName name="_xlpm.json" hidden="1" xlm="1">#NAME?</definedName>
    <definedName name="_xlpm.json_col" hidden="1" xlm="1">#NAME?</definedName>
    <definedName name="_xlpm.l_nav" hidden="1" xlm="1">#NAME?</definedName>
    <definedName name="_xlpm.l_nav_dt" hidden="1" xlm="1">#NAME?</definedName>
    <definedName name="_xlpm.l_nav_dt_str" hidden="1" xlm="1">#NAME?</definedName>
    <definedName name="_xlpm.last_dt" hidden="1" xlm="1">#NAME?</definedName>
    <definedName name="_xlpm.last_row" hidden="1" xlm="1">#NAME?</definedName>
    <definedName name="_xlpm.latest_nav" hidden="1" xlm="1">#NAME?</definedName>
    <definedName name="_xlpm.ltcg_units" hidden="1" xlm="1">#NAME?</definedName>
    <definedName name="_xlpm.map_name" hidden="1" xlm="1">#NAME?</definedName>
    <definedName name="_xlpm.map_pan" hidden="1" xlm="1">#NAME?</definedName>
    <definedName name="_xlpm.master" hidden="1" xlm="1">#NAME?</definedName>
    <definedName name="_xlpm.min_val" hidden="1" xlm="1">#NAME?</definedName>
    <definedName name="_xlpm.n" hidden="1" xlm="1">#NAME?</definedName>
    <definedName name="_xlpm.name" hidden="1" xlm="1">#NAME?</definedName>
    <definedName name="_xlpm.name_end" hidden="1" xlm="1">#NAME?</definedName>
    <definedName name="_xlpm.name_start" hidden="1" xlm="1">#NAME?</definedName>
    <definedName name="_xlpm.name_string" hidden="1" xlm="1">#NAME?</definedName>
    <definedName name="_xlpm.names" hidden="1" xlm="1">#NAME?</definedName>
    <definedName name="_xlpm.nav" hidden="1" xlm="1">#NAME?</definedName>
    <definedName name="_xlpm.nav_amfi" hidden="1" xlm="1">#NAME?</definedName>
    <definedName name="_xlpm.nav_cat" hidden="1" xlm="1">#NAME?</definedName>
    <definedName name="_xlpm.nav_date_col" hidden="1" xlm="1">#NAME?</definedName>
    <definedName name="_xlpm.nav_dates" hidden="1" xlm="1">#NAME?</definedName>
    <definedName name="_xlpm.nav_dt_col" hidden="1" xlm="1">#NAME?</definedName>
    <definedName name="_xlpm.nav_val" hidden="1" xlm="1">#NAME?</definedName>
    <definedName name="_xlpm.nd" hidden="1" xlm="1">#NAME?</definedName>
    <definedName name="_xlpm.net" hidden="1" xlm="1">#NAME?</definedName>
    <definedName name="_xlpm.p" hidden="1" xlm="1">#NAME?</definedName>
    <definedName name="_xlpm.p_a" hidden="1" xlm="1">#NAME?</definedName>
    <definedName name="_xlpm.p_d" hidden="1" xlm="1">#NAME?</definedName>
    <definedName name="_xlpm.p_folios" hidden="1" xlm="1">#NAME?</definedName>
    <definedName name="_xlpm.p_inv" hidden="1" xlm="1">#NAME?</definedName>
    <definedName name="_xlpm.p_keys" hidden="1" xlm="1">#NAME?</definedName>
    <definedName name="_xlpm.p_pan" hidden="1" xlm="1">#NAME?</definedName>
    <definedName name="_xlpm.p_schemes" hidden="1" xlm="1">#NAME?</definedName>
    <definedName name="_xlpm.p_u" hidden="1" xlm="1">#NAME?</definedName>
    <definedName name="_xlpm.p_unr" hidden="1" xlm="1">#NAME?</definedName>
    <definedName name="_xlpm.p_val" hidden="1" xlm="1">#NAME?</definedName>
    <definedName name="_xlpm.p_xirr" hidden="1" xlm="1">#NAME?</definedName>
    <definedName name="_xlpm.pan" hidden="1" xlm="1">#NAME?</definedName>
    <definedName name="_xlpm.pan_col" hidden="1" xlm="1">#NAME?</definedName>
    <definedName name="_xlpm.pu" hidden="1" xlm="1">#NAME?</definedName>
    <definedName name="_xlpm.pv" hidden="1" xlm="1">#NAME?</definedName>
    <definedName name="_xlpm.r" hidden="1" xlm="1">#NAME?</definedName>
    <definedName name="_xlpm.rate" hidden="1" xlm="1">#NAME?</definedName>
    <definedName name="_xlpm.raw_a" hidden="1" xlm="1">#NAME?</definedName>
    <definedName name="_xlpm.raw_amfi" hidden="1" xlm="1">#NAME?</definedName>
    <definedName name="_xlpm.raw_d" hidden="1" xlm="1">#NAME?</definedName>
    <definedName name="_xlpm.raw_names" hidden="1" xlm="1">#NAME?</definedName>
    <definedName name="_xlpm.raw_range" hidden="1" xlm="1">#NAME?</definedName>
    <definedName name="_xlpm.raw_u" hidden="1" xlm="1">#NAME?</definedName>
    <definedName name="_xlpm.raw_values" hidden="1" xlm="1">#NAME?</definedName>
    <definedName name="_xlpm.results" hidden="1" xlm="1">#NAME?</definedName>
    <definedName name="_xlpm.row" hidden="1" xlm="1">#NAME?</definedName>
    <definedName name="_xlpm.rule" hidden="1" xlm="1">#NAME?</definedName>
    <definedName name="_xlpm.rule_all" hidden="1" xlm="1">#NAME?</definedName>
    <definedName name="_xlpm.rule_curr" hidden="1" xlm="1">#NAME?</definedName>
    <definedName name="_xlpm.s" hidden="1" xlm="1">#NAME?</definedName>
    <definedName name="_xlpm.s_amfi" hidden="1" xlm="1">#NAME?</definedName>
    <definedName name="_xlpm.s_amount" hidden="1" xlm="1">#NAME?</definedName>
    <definedName name="_xlpm.s_folio" hidden="1" xlm="1">#NAME?</definedName>
    <definedName name="_xlpm.s_name" hidden="1" xlm="1">#NAME?</definedName>
    <definedName name="_xlpm.s_nav" hidden="1" xlm="1">#NAME?</definedName>
    <definedName name="_xlpm.s_pan" hidden="1" xlm="1">#NAME?</definedName>
    <definedName name="_xlpm.s_scheme" hidden="1" xlm="1">#NAME?</definedName>
    <definedName name="_xlpm.scheme" hidden="1" xlm="1">#NAME?</definedName>
    <definedName name="_xlpm.scheme_col" hidden="1" xlm="1">#NAME?</definedName>
    <definedName name="_xlpm.schemes" hidden="1" xlm="1">#NAME?</definedName>
    <definedName name="_xlpm.sDate" hidden="1" xlm="1">#NAME?</definedName>
    <definedName name="_xlpm.shifted_pan" hidden="1" xlm="1">#NAME?</definedName>
    <definedName name="_xlpm.shortfall" hidden="1" xlm="1">#NAME?</definedName>
    <definedName name="_xlpm.sold_total" hidden="1" xlm="1">#NAME?</definedName>
    <definedName name="_xlpm.sorted_keys" hidden="1" xlm="1">#NAME?</definedName>
    <definedName name="_xlpm.start_date" hidden="1" xlm="1">#NAME?</definedName>
    <definedName name="_xlpm.start_pos" hidden="1" xlm="1">#NAME?</definedName>
    <definedName name="_xlpm.sum_buy" hidden="1" xlm="1">#NAME?</definedName>
    <definedName name="_xlpm.sum_sell" hidden="1" xlm="1">#NAME?</definedName>
    <definedName name="_xlpm.sUnits" hidden="1" xlm="1">#NAME?</definedName>
    <definedName name="_xlpm.t" hidden="1" xlm="1">#NAME?</definedName>
    <definedName name="_xlpm.target" hidden="1" xlm="1">#NAME?</definedName>
    <definedName name="_xlpm.target_pv" hidden="1" xlm="1">#NAME?</definedName>
    <definedName name="_xlpm.target_units" hidden="1" xlm="1">#NAME?</definedName>
    <definedName name="_xlpm.term_date" hidden="1" xlm="1">#NAME?</definedName>
    <definedName name="_xlpm.term_date_str" hidden="1" xlm="1">#NAME?</definedName>
    <definedName name="_xlpm.total_ltcg" hidden="1" xlm="1">#NAME?</definedName>
    <definedName name="_xlpm.total_stcg" hidden="1" xlm="1">#NAME?</definedName>
    <definedName name="_xlpm.tranche_gain" hidden="1" xlm="1">#NAME?</definedName>
    <definedName name="_xlpm.type_all" hidden="1" xlm="1">#NAME?</definedName>
    <definedName name="_xlpm.type_arr" hidden="1" xlm="1">#NAME?</definedName>
    <definedName name="_xlpm.type_curr" hidden="1" xlm="1">#NAME?</definedName>
    <definedName name="_xlpm.u" hidden="1" xlm="1">#NAME?</definedName>
    <definedName name="_xlpm.unique_names" hidden="1" xlm="1">#NAME?</definedName>
    <definedName name="_xlpm.unit_gain" hidden="1" xlm="1">#NAME?</definedName>
    <definedName name="_xlpm.unit_sums" hidden="1" xlm="1">#NAME?</definedName>
    <definedName name="_xlpm.units" hidden="1" xlm="1">#NAME?</definedName>
    <definedName name="_xlpm.units_col" hidden="1" xlm="1">#NAME?</definedName>
    <definedName name="_xlpm.unr_col" hidden="1" xlm="1">#NAME?</definedName>
    <definedName name="_xlpm.unrealized_gain" hidden="1" xlm="1">#NAME?</definedName>
    <definedName name="_xlpm.upfront" hidden="1" xlm="1">#NAME?</definedName>
    <definedName name="_xlpm.val" hidden="1" xlm="1">#NAME?</definedName>
    <definedName name="_xlpm.val_col" hidden="1" xlm="1">#NAME?</definedName>
    <definedName name="_xlpm.val_date" hidden="1" xlm="1">#NAME?</definedName>
    <definedName name="_xlpm.valid_all" hidden="1" xlm="1">#NAME?</definedName>
    <definedName name="_xlpm.valid_cf" hidden="1" xlm="1">#NAME?</definedName>
    <definedName name="_xlpm.valid_cf_cond" hidden="1" xlm="1">#NAME?</definedName>
    <definedName name="_xlpm.valid_curr" hidden="1" xlm="1">#NAME?</definedName>
    <definedName name="_xlpm.valid_nav_dates" hidden="1" xlm="1">#NAME?</definedName>
    <definedName name="_xlpm.valid_pans" hidden="1" xlm="1">#NAME?</definedName>
    <definedName name="_xlpm.valid_rows" hidden="1" xlm="1">#NAME?</definedName>
    <definedName name="_xlpm.x" hidden="1" xlm="1">#NAME?</definedName>
    <definedName name="_xlpm.xirr_val" hidden="1" xlm="1">#NAME?</definedName>
    <definedName name="_xlpm.years" hidden="1" xlm="1">#NAME?</definedName>
    <definedName name="_xlpm.zero_codes" hidden="1" xlm="1">#NAME?</definedName>
  </definedNames>
  <calcPr calcId="191029"/>
  <pivotCaches>
    <pivotCache cacheId="86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M2" i="21" l="1" a="1"/>
  <c r="J2" i="21" a="1"/>
  <c r="L2" i="21" s="1" a="1"/>
  <c r="I2" i="21" a="1"/>
  <c r="A2" i="20" a="1"/>
  <c r="H2" i="18" a="1"/>
  <c r="G2" i="18" a="1"/>
  <c r="F2" i="18" a="1"/>
  <c r="A4" i="9" s="1" a="1"/>
  <c r="A1" i="18" a="1"/>
  <c r="A1" i="19" a="1"/>
  <c r="A1" i="4" a="1"/>
  <c r="A2" i="17" a="1"/>
  <c r="K2" i="21" l="1" a="1"/>
  <c r="O2" i="21" s="1" a="1"/>
  <c r="J2" i="20" a="1"/>
  <c r="U5" i="9" a="1"/>
  <c r="G2" i="20" a="1"/>
  <c r="H1" i="9" a="1"/>
  <c r="H3" i="9" a="1"/>
  <c r="Y4" i="9" a="1"/>
  <c r="N5" i="9" a="1"/>
  <c r="J3" i="9"/>
  <c r="I3" i="9"/>
  <c r="K3" i="9"/>
  <c r="I1" i="9" s="1" a="1"/>
  <c r="T5" i="9" l="1" a="1"/>
  <c r="F2" i="20" a="1"/>
  <c r="H2" i="20" a="1"/>
  <c r="N2" i="20" a="1"/>
  <c r="K2" i="20" a="1"/>
  <c r="I2" i="20" l="1" a="1"/>
  <c r="M2" i="20" a="1"/>
  <c r="W5" i="9" s="1" a="1"/>
  <c r="L2" i="20" l="1" a="1"/>
  <c r="V5" i="9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<sst xmlns="http://schemas.openxmlformats.org/spreadsheetml/2006/main" count="37289" uniqueCount="172">
  <si>
    <t>amc</t>
  </si>
  <si>
    <t>folio</t>
  </si>
  <si>
    <t>pan</t>
  </si>
  <si>
    <t>scheme</t>
  </si>
  <si>
    <t>advisor</t>
  </si>
  <si>
    <t>amfi</t>
  </si>
  <si>
    <t>date</t>
  </si>
  <si>
    <t>description</t>
  </si>
  <si>
    <t>amount</t>
  </si>
  <si>
    <t>units</t>
  </si>
  <si>
    <t>nav</t>
  </si>
  <si>
    <t>balance</t>
  </si>
  <si>
    <t>type</t>
  </si>
  <si>
    <t>dividend</t>
  </si>
  <si>
    <t>PURCHASE</t>
  </si>
  <si>
    <t>PURCHASE_SIP</t>
  </si>
  <si>
    <t>REDEMPTION</t>
  </si>
  <si>
    <t>STT_TAX</t>
  </si>
  <si>
    <t>HDFC Mutual Fund</t>
  </si>
  <si>
    <t>DIVIDEND_PAYOUT</t>
  </si>
  <si>
    <t>TDS_TAX</t>
  </si>
  <si>
    <t>SWITCH_IN</t>
  </si>
  <si>
    <t>SWITCH_OUT</t>
  </si>
  <si>
    <t>ICICI Prudential Mutual Fund</t>
  </si>
  <si>
    <t>REVERSAL</t>
  </si>
  <si>
    <t>Redemption</t>
  </si>
  <si>
    <t>AMC</t>
  </si>
  <si>
    <t>Latest NAV</t>
  </si>
  <si>
    <t>NAV Date</t>
  </si>
  <si>
    <t>Paste JSON Here</t>
  </si>
  <si>
    <t>Mutual Fund Scheme NAV Summary</t>
  </si>
  <si>
    <t>Snapshot rebuilt from CAS. To refresh NAVs: copy scheme codes, run Terminal command, paste JSON output into column J.</t>
  </si>
  <si>
    <t>PAN</t>
  </si>
  <si>
    <t>Name</t>
  </si>
  <si>
    <t>Enter PAN to filter</t>
  </si>
  <si>
    <t>Dynamic summary: updates from CAS; NAVs use pasted JSON or cached latest values</t>
  </si>
  <si>
    <t>Shown in CAS</t>
  </si>
  <si>
    <t>Consider it</t>
  </si>
  <si>
    <t>As Per XIRR</t>
  </si>
  <si>
    <t>What to Do</t>
  </si>
  <si>
    <t>Positive</t>
  </si>
  <si>
    <t>Invested</t>
  </si>
  <si>
    <t>Negative</t>
  </si>
  <si>
    <t>Invert Sign</t>
  </si>
  <si>
    <t>XIRR Rules</t>
  </si>
  <si>
    <t>Keep As It Is</t>
  </si>
  <si>
    <t>STAMP_DUTY</t>
  </si>
  <si>
    <t>Ignore</t>
  </si>
  <si>
    <t>Consider 0</t>
  </si>
  <si>
    <t>Folio</t>
  </si>
  <si>
    <t>SEGREGATION</t>
  </si>
  <si>
    <t>SWITCH_IN_MERGER</t>
  </si>
  <si>
    <t>SWITCH_OUT_MERGER</t>
  </si>
  <si>
    <t>DIRECT</t>
  </si>
  <si>
    <t>MISC</t>
  </si>
  <si>
    <t>DIVIDEND_REINVEST</t>
  </si>
  <si>
    <t>SBI Mutual Fund</t>
  </si>
  <si>
    <t>SBI Liquid Fund Direct Growth</t>
  </si>
  <si>
    <t>casparser -o cas.csv -p "123456" cas.pdf</t>
  </si>
  <si>
    <t>Amount</t>
  </si>
  <si>
    <t>Units</t>
  </si>
  <si>
    <t>Category</t>
  </si>
  <si>
    <t>Equity LTCG</t>
  </si>
  <si>
    <t>Equity STCG</t>
  </si>
  <si>
    <t>Debt LTCG</t>
  </si>
  <si>
    <t>Debt STCG</t>
  </si>
  <si>
    <t>Redemption Calculator (Trade Smart)</t>
  </si>
  <si>
    <t>Current Overall</t>
  </si>
  <si>
    <t>All Time Returns</t>
  </si>
  <si>
    <t>Scheme</t>
  </si>
  <si>
    <t>Sell Date</t>
  </si>
  <si>
    <t>Units Sold</t>
  </si>
  <si>
    <t>Sell Value</t>
  </si>
  <si>
    <t>FY</t>
  </si>
  <si>
    <t>LTCG Units</t>
  </si>
  <si>
    <t>STCG Units</t>
  </si>
  <si>
    <t>Avg Buy Price</t>
  </si>
  <si>
    <t>Sell Price</t>
  </si>
  <si>
    <t>STCG Gain</t>
  </si>
  <si>
    <t>LTCG Gain</t>
  </si>
  <si>
    <t>FY 2010-11</t>
  </si>
  <si>
    <t>FY 2011-12</t>
  </si>
  <si>
    <t>FY 2013-14</t>
  </si>
  <si>
    <t>FY 2015-16</t>
  </si>
  <si>
    <t>FY 2017-18</t>
  </si>
  <si>
    <t>FY 2018-19</t>
  </si>
  <si>
    <t>FY 2019-20</t>
  </si>
  <si>
    <t>FY 2020-21</t>
  </si>
  <si>
    <t>FY 2021-22</t>
  </si>
  <si>
    <t>FY 2022-23</t>
  </si>
  <si>
    <t>FY 2023-24</t>
  </si>
  <si>
    <t>FY 2024-25</t>
  </si>
  <si>
    <t>FY 2025-26</t>
  </si>
  <si>
    <t>FY 2026-27</t>
  </si>
  <si>
    <t>Sum of STCG Gain</t>
  </si>
  <si>
    <t>Sum of LTCG Gain</t>
  </si>
  <si>
    <t>Equity</t>
  </si>
  <si>
    <t>Values</t>
  </si>
  <si>
    <t>Claimed</t>
  </si>
  <si>
    <t>Tax Harvesting (LTCG Equity)</t>
  </si>
  <si>
    <t>Family Portfolio Summary</t>
  </si>
  <si>
    <t>Amt Available</t>
  </si>
  <si>
    <t>Units Available</t>
  </si>
  <si>
    <t>Claim Left</t>
  </si>
  <si>
    <t>{"meta":{"fund_house":"PPFAS Mutual Fund","scheme_type":"Open Ended Schemes","scheme_category":"Equity Scheme - Flexi Cap Fund","scheme_code":122639,"scheme_name":"Parag Parikh Flexi Cap Fund - Direct Plan - Growth","isin_growth":"INF879O01027","isin_div_reinvestment":null},"data":[{"date":"15-07-2026","nav":"91.12620"}],"status":"SUCCESS"}</t>
  </si>
  <si>
    <t>pbpaste | tail -n +2 | python3 -c 'import sys,urllib.request; print("\n".join(urllib.request.urlopen(f"https://api.mfapi.in/mf/{c.strip()}/latest",timeout=30).read().decode().replace("\n","") if c.strip().isdigit() else "" for c in sys.stdin))' | pbcopy</t>
  </si>
  <si>
    <t>Dynamic NAV command</t>
  </si>
  <si>
    <t>CASParser Command</t>
  </si>
  <si>
    <t>Copy B</t>
  </si>
  <si>
    <t>Paste E2</t>
  </si>
  <si>
    <t>rta</t>
  </si>
  <si>
    <t>AAAA9990</t>
  </si>
  <si>
    <t>AAAAA1111A</t>
  </si>
  <si>
    <t>HDFC Flexi Cap Fund - Direct Plan - Growth</t>
  </si>
  <si>
    <t>CAMS</t>
  </si>
  <si>
    <t>Purchase - SIP</t>
  </si>
  <si>
    <t>STT TAX</t>
  </si>
  <si>
    <t>STAMP DUTY</t>
  </si>
  <si>
    <t>Dividend Paid</t>
  </si>
  <si>
    <t>Parag Parikh Mutual Fund</t>
  </si>
  <si>
    <t>AAAA9991</t>
  </si>
  <si>
    <t>Parag Parikh Flexi Cap Fund - Direct Growth</t>
  </si>
  <si>
    <t>AAAA9992</t>
  </si>
  <si>
    <t>AAAA9993</t>
  </si>
  <si>
    <t>ICICI Pru Equity &amp; Debt Fund - Direct Growth</t>
  </si>
  <si>
    <t>Axis Mutual Fund</t>
  </si>
  <si>
    <t>AAAA9994</t>
  </si>
  <si>
    <t>Axis ELSS Tax Saver Fund - Direct Growth</t>
  </si>
  <si>
    <t>Full Redemption</t>
  </si>
  <si>
    <t>BBBB9990</t>
  </si>
  <si>
    <t>BBBBB2222B</t>
  </si>
  <si>
    <t>BBBB9991</t>
  </si>
  <si>
    <t>BBBB9992</t>
  </si>
  <si>
    <t>BBBB9993</t>
  </si>
  <si>
    <t>BBBB9994</t>
  </si>
  <si>
    <t>CCCC9990</t>
  </si>
  <si>
    <t>CCCCC3333C</t>
  </si>
  <si>
    <t>CCCC9991</t>
  </si>
  <si>
    <t>CCCC9992</t>
  </si>
  <si>
    <t>CCCC9993</t>
  </si>
  <si>
    <t>CCCC9994</t>
  </si>
  <si>
    <t>DDDD9990</t>
  </si>
  <si>
    <t>DDDDD4444D</t>
  </si>
  <si>
    <t>DDDD9991</t>
  </si>
  <si>
    <t>DDDD9992</t>
  </si>
  <si>
    <t>DDDD9993</t>
  </si>
  <si>
    <t>DDDD9994</t>
  </si>
  <si>
    <t>{"meta":{"fund_house":"HDFC Mutual Fund","scheme_type":"Open Ended Schemes","scheme_category":"Hybrid Scheme - Aggressive Hybrid Fund","scheme_code":119062,"scheme_name":"HDFC Hybrid Equity Fund - Growth Option - Direct Plan","isin_growth":"INF179K01XZ1","isin_div_reinvestment":null},"data":[{"date":"15-07-2026","nav":"124.49200"}],"status":"SUCCESS"}</t>
  </si>
  <si>
    <t>{"meta":{"fund_house":"UTI Mutual Fund","scheme_type":"Open Ended Schemes","scheme_category":"Equity Scheme - Large &amp; Mid Cap Fund","scheme_code":120664,"scheme_name":"UTI Large &amp; Mid Cap Fund - Direct Plan - IDCW","isin_growth":"INF789F01UE8","isin_div_reinvestment":"INF789F01UF5"},"data":[{"date":"15-07-2026","nav":"98.37090"}],"status":"SUCCESS"}</t>
  </si>
  <si>
    <t>{"meta":{"fund_house":"SBI Mutual Fund","scheme_type":"Open Ended Schemes","scheme_category":"Equity Scheme - Large Cap Fund","scheme_code":119598,"scheme_name":"SBI Large Cap FUND-DIRECT PLAN -GROWTH","isin_growth":"INF200K01QX4","isin_div_reinvestment":null},"data":[{"date":"15-07-2026","nav":"104.62940"}],"status":"SUCCESS"}</t>
  </si>
  <si>
    <t>{"meta":{"fund_house":"Axis Mutual Fund","scheme_type":"Open Ended Schemes","scheme_category":"Equity Scheme - ELSS","scheme_code":112323,"scheme_name":"Axis ELSS Tax Saver Fund - Regular Plan - Growth","isin_growth":"INF846K01131","isin_div_reinvestment":null},"data":[{"date":"15-07-2026","nav":"96.42130"}],"status":"SUCCESS"}</t>
  </si>
  <si>
    <t>Name 1</t>
  </si>
  <si>
    <t>Name 2</t>
  </si>
  <si>
    <t>Name 3</t>
  </si>
  <si>
    <t>Name 4</t>
  </si>
  <si>
    <t>Goal Name</t>
  </si>
  <si>
    <t>Present Value of Goal</t>
  </si>
  <si>
    <t>Start Date of Goal</t>
  </si>
  <si>
    <t>Years to Achieve Goal</t>
  </si>
  <si>
    <t>Invested Upfront</t>
  </si>
  <si>
    <t>Inflation Rate</t>
  </si>
  <si>
    <t>Expected Rate of Return</t>
  </si>
  <si>
    <t>Future Value of Goal</t>
  </si>
  <si>
    <t>Current Accumulated Value</t>
  </si>
  <si>
    <t>Shortfall</t>
  </si>
  <si>
    <t>Progress (%)</t>
  </si>
  <si>
    <t>Time Left</t>
  </si>
  <si>
    <t>Monthly SIP Required</t>
  </si>
  <si>
    <t>Car</t>
  </si>
  <si>
    <t>Attached Folio</t>
  </si>
  <si>
    <t>Attached Fund Name</t>
  </si>
  <si>
    <t>Allocation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</si>
</sst>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0"/>
    <numFmt numFmtId="165" formatCode="\₹#,##0.00"/>
    <numFmt numFmtId="166" formatCode="dd\ mmm\ yyyy"/>
    <numFmt numFmtId="167" formatCode="[$₹-439]#,##0.00"/>
    <numFmt numFmtId="168" formatCode="[$₹-439]#,##0"/>
  </numFmts>
  <fonts count="13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rgb="FFFFFFFF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rgb="FF000000"/>
      <name val="Aptos Narrow"/>
      <family val="2"/>
      <scheme val="minor"/>
    </font>
    <font>
      <b/>
      <sz val="12"/>
      <color rgb="FFFFFFFF"/>
      <name val="Aptos Narrow"/>
      <scheme val="minor"/>
    </font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FF2CC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156082"/>
        <bgColor rgb="FF000000"/>
      </patternFill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/>
      </patternFill>
    </fill>
  </fills>
  <borders count="6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  <border>
      <left/>
      <right style="thin">
        <color rgb="FFD0D7DE"/>
      </right>
      <top/>
      <bottom style="thin">
        <color rgb="FFD0D7DE"/>
      </bottom>
      <diagonal/>
    </border>
    <border>
      <left/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thin">
        <color rgb="FFD0D7DE"/>
      </left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7">
    <xf numFmtId="0" fontId="0" fillId="0" borderId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12" fillId="8" borderId="5" applyNumberFormat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6" fillId="11" borderId="0" applyNumberFormat="0" applyBorder="0" applyAlignment="0" applyProtection="0"/>
  </cellStyleXfs>
  <cellXfs count="88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166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2" fontId="0" fillId="0" borderId="0" xfId="0" applyNumberFormat="1" applyAlignment="1">
      <alignment vertical="top"/>
    </xf>
    <xf numFmtId="0" fontId="3" fillId="0" borderId="0" xfId="0" applyFont="1"/>
    <xf numFmtId="0" fontId="4" fillId="0" borderId="0" xfId="0" applyFont="1" applyAlignment="1">
      <alignment wrapText="1"/>
    </xf>
    <xf numFmtId="0" fontId="2" fillId="2" borderId="0" xfId="0" applyFont="1" applyFill="1" applyAlignment="1">
      <alignment horizontal="center"/>
    </xf>
    <xf numFmtId="0" fontId="5" fillId="5" borderId="0" xfId="0" applyFont="1" applyFill="1"/>
    <xf numFmtId="0" fontId="7" fillId="6" borderId="0" xfId="0" applyFont="1" applyFill="1"/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wrapText="1"/>
    </xf>
    <xf numFmtId="10" fontId="0" fillId="0" borderId="0" xfId="0" applyNumberFormat="1"/>
    <xf numFmtId="10" fontId="0" fillId="0" borderId="0" xfId="0" applyNumberFormat="1" applyAlignment="1">
      <alignment horizontal="right"/>
    </xf>
    <xf numFmtId="10" fontId="0" fillId="0" borderId="1" xfId="0" applyNumberFormat="1" applyBorder="1" applyAlignment="1">
      <alignment horizontal="right"/>
    </xf>
    <xf numFmtId="0" fontId="1" fillId="0" borderId="0" xfId="0" applyFont="1"/>
    <xf numFmtId="0" fontId="8" fillId="3" borderId="0" xfId="1" applyFont="1"/>
    <xf numFmtId="0" fontId="8" fillId="3" borderId="0" xfId="1" applyFont="1" applyAlignment="1">
      <alignment horizontal="right"/>
    </xf>
    <xf numFmtId="0" fontId="0" fillId="0" borderId="0" xfId="0" applyAlignment="1">
      <alignment horizontal="left" wrapText="1"/>
    </xf>
    <xf numFmtId="0" fontId="9" fillId="0" borderId="2" xfId="0" applyFont="1" applyBorder="1"/>
    <xf numFmtId="0" fontId="6" fillId="3" borderId="1" xfId="1" applyBorder="1" applyAlignment="1">
      <alignment horizontal="center" wrapText="1"/>
    </xf>
    <xf numFmtId="0" fontId="8" fillId="3" borderId="1" xfId="1" applyFont="1" applyBorder="1" applyAlignment="1">
      <alignment horizontal="center" wrapText="1"/>
    </xf>
    <xf numFmtId="0" fontId="8" fillId="3" borderId="3" xfId="1" applyFont="1" applyBorder="1" applyAlignment="1">
      <alignment horizontal="center" wrapText="1"/>
    </xf>
    <xf numFmtId="167" fontId="8" fillId="3" borderId="3" xfId="1" applyNumberFormat="1" applyFont="1" applyBorder="1" applyAlignment="1">
      <alignment horizontal="center" wrapText="1"/>
    </xf>
    <xf numFmtId="167" fontId="9" fillId="0" borderId="2" xfId="0" applyNumberFormat="1" applyFont="1" applyBorder="1" applyAlignment="1">
      <alignment horizontal="right"/>
    </xf>
    <xf numFmtId="167" fontId="0" fillId="0" borderId="0" xfId="0" applyNumberFormat="1"/>
    <xf numFmtId="0" fontId="10" fillId="7" borderId="0" xfId="0" applyFont="1" applyFill="1"/>
    <xf numFmtId="166" fontId="0" fillId="0" borderId="0" xfId="0" applyNumberFormat="1" applyAlignment="1">
      <alignment wrapText="1"/>
    </xf>
    <xf numFmtId="166" fontId="7" fillId="6" borderId="0" xfId="0" applyNumberFormat="1" applyFont="1" applyFill="1"/>
    <xf numFmtId="166" fontId="0" fillId="0" borderId="1" xfId="0" applyNumberFormat="1" applyBorder="1" applyAlignment="1">
      <alignment wrapText="1"/>
    </xf>
    <xf numFmtId="166" fontId="0" fillId="0" borderId="0" xfId="0" applyNumberFormat="1"/>
    <xf numFmtId="10" fontId="0" fillId="0" borderId="0" xfId="0" applyNumberFormat="1" applyAlignment="1">
      <alignment vertical="top"/>
    </xf>
    <xf numFmtId="0" fontId="0" fillId="0" borderId="1" xfId="0" applyBorder="1" applyAlignment="1">
      <alignment horizontal="left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6" fontId="0" fillId="0" borderId="1" xfId="0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 vertical="top"/>
    </xf>
    <xf numFmtId="166" fontId="6" fillId="3" borderId="1" xfId="1" applyNumberFormat="1" applyBorder="1" applyAlignment="1">
      <alignment horizontal="center" wrapText="1"/>
    </xf>
    <xf numFmtId="10" fontId="6" fillId="3" borderId="1" xfId="1" applyNumberFormat="1" applyBorder="1" applyAlignment="1">
      <alignment horizontal="center" wrapText="1"/>
    </xf>
    <xf numFmtId="168" fontId="0" fillId="0" borderId="0" xfId="0" applyNumberFormat="1" applyAlignment="1">
      <alignment wrapText="1"/>
    </xf>
    <xf numFmtId="168" fontId="6" fillId="3" borderId="1" xfId="1" applyNumberFormat="1" applyBorder="1" applyAlignment="1">
      <alignment horizontal="center" wrapText="1"/>
    </xf>
    <xf numFmtId="168" fontId="0" fillId="0" borderId="1" xfId="0" applyNumberFormat="1" applyBorder="1"/>
    <xf numFmtId="168" fontId="0" fillId="0" borderId="0" xfId="0" applyNumberFormat="1"/>
    <xf numFmtId="168" fontId="0" fillId="0" borderId="0" xfId="0" applyNumberFormat="1" applyAlignment="1">
      <alignment vertical="top"/>
    </xf>
    <xf numFmtId="168" fontId="6" fillId="3" borderId="1" xfId="1" applyNumberFormat="1" applyBorder="1"/>
    <xf numFmtId="168" fontId="0" fillId="0" borderId="0" xfId="0" applyNumberFormat="1" applyAlignment="1">
      <alignment vertical="top" wrapText="1"/>
    </xf>
    <xf numFmtId="168" fontId="0" fillId="0" borderId="1" xfId="0" applyNumberFormat="1" applyBorder="1" applyAlignment="1">
      <alignment horizontal="right"/>
    </xf>
    <xf numFmtId="168" fontId="6" fillId="3" borderId="1" xfId="1" applyNumberFormat="1" applyBorder="1" applyAlignment="1">
      <alignment horizontal="right"/>
    </xf>
    <xf numFmtId="168" fontId="0" fillId="0" borderId="0" xfId="0" applyNumberFormat="1" applyAlignment="1">
      <alignment horizontal="right"/>
    </xf>
    <xf numFmtId="168" fontId="6" fillId="3" borderId="0" xfId="1" applyNumberFormat="1"/>
    <xf numFmtId="168" fontId="6" fillId="3" borderId="0" xfId="1" applyNumberFormat="1" applyAlignment="1">
      <alignment wrapText="1"/>
    </xf>
    <xf numFmtId="2" fontId="0" fillId="0" borderId="0" xfId="0" applyNumberFormat="1" applyAlignment="1">
      <alignment wrapText="1"/>
    </xf>
    <xf numFmtId="2" fontId="0" fillId="0" borderId="0" xfId="0" applyNumberFormat="1"/>
    <xf numFmtId="2" fontId="6" fillId="3" borderId="1" xfId="1" applyNumberFormat="1" applyBorder="1" applyAlignment="1">
      <alignment horizontal="right"/>
    </xf>
    <xf numFmtId="2" fontId="0" fillId="0" borderId="1" xfId="0" applyNumberFormat="1" applyBorder="1" applyAlignment="1">
      <alignment horizontal="right"/>
    </xf>
    <xf numFmtId="2" fontId="0" fillId="0" borderId="0" xfId="0" applyNumberFormat="1" applyAlignment="1">
      <alignment horizontal="right"/>
    </xf>
    <xf numFmtId="0" fontId="8" fillId="3" borderId="3" xfId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0" fontId="11" fillId="10" borderId="0" xfId="5" applyNumberFormat="1"/>
    <xf numFmtId="168" fontId="11" fillId="10" borderId="0" xfId="5" applyNumberFormat="1"/>
    <xf numFmtId="168" fontId="11" fillId="10" borderId="1" xfId="5" applyNumberFormat="1" applyBorder="1"/>
    <xf numFmtId="168" fontId="11" fillId="10" borderId="1" xfId="5" applyNumberFormat="1" applyBorder="1" applyAlignment="1">
      <alignment horizontal="right"/>
    </xf>
    <xf numFmtId="10" fontId="11" fillId="9" borderId="0" xfId="4" applyNumberFormat="1" applyAlignment="1">
      <alignment vertical="center" wrapText="1"/>
    </xf>
    <xf numFmtId="0" fontId="0" fillId="0" borderId="0" xfId="0" pivotButton="1"/>
    <xf numFmtId="168" fontId="0" fillId="0" borderId="0" xfId="0" pivotButton="1" applyNumberFormat="1"/>
    <xf numFmtId="0" fontId="6" fillId="3" borderId="0" xfId="1"/>
    <xf numFmtId="10" fontId="6" fillId="3" borderId="0" xfId="1" applyNumberFormat="1"/>
    <xf numFmtId="15" fontId="0" fillId="0" borderId="0" xfId="0" applyNumberFormat="1"/>
    <xf numFmtId="0" fontId="12" fillId="8" borderId="5" xfId="3" applyAlignment="1">
      <alignment horizontal="center"/>
    </xf>
    <xf numFmtId="0" fontId="12" fillId="8" borderId="5" xfId="3" applyAlignment="1">
      <alignment horizontal="center" vertical="center" wrapText="1"/>
    </xf>
    <xf numFmtId="168" fontId="11" fillId="9" borderId="0" xfId="4" applyNumberFormat="1" applyAlignment="1">
      <alignment horizontal="center" vertical="center" wrapText="1"/>
    </xf>
    <xf numFmtId="0" fontId="8" fillId="11" borderId="0" xfId="6" applyFont="1" applyAlignment="1">
      <alignment horizontal="center"/>
    </xf>
    <xf numFmtId="0" fontId="8" fillId="4" borderId="0" xfId="2" applyFont="1" applyAlignment="1">
      <alignment horizontal="center"/>
    </xf>
    <xf numFmtId="0" fontId="0" fillId="0" borderId="0" xfId="0" applyAlignment="1">
      <alignment wrapText="1"/>
    </xf>
    <xf numFmtId="10" fontId="8" fillId="4" borderId="4" xfId="2" applyNumberFormat="1" applyFont="1" applyBorder="1" applyAlignment="1">
      <alignment horizontal="center"/>
    </xf>
    <xf numFmtId="10" fontId="8" fillId="4" borderId="0" xfId="2" applyNumberFormat="1" applyFont="1" applyBorder="1" applyAlignment="1">
      <alignment horizontal="center"/>
    </xf>
    <xf numFmtId="0" fontId="6" fillId="3" borderId="0" xfId="1" applyAlignment="1">
      <alignment horizontal="center"/>
    </xf>
    <xf numFmtId="168" fontId="8" fillId="3" borderId="0" xfId="1" applyNumberFormat="1" applyFont="1"/>
    <xf numFmtId="166" fontId="8" fillId="3" borderId="0" xfId="1" applyNumberFormat="1" applyFont="1"/>
    <xf numFmtId="10" fontId="8" fillId="3" borderId="0" xfId="1" applyNumberFormat="1" applyFont="1"/>
  </cellXfs>
  <cellStyles count="7">
    <cellStyle name="20% - Accent3" xfId="4" builtinId="38"/>
    <cellStyle name="20% - Accent6" xfId="5" builtinId="50"/>
    <cellStyle name="Accent1" xfId="1" builtinId="29"/>
    <cellStyle name="Accent2" xfId="2" builtinId="33"/>
    <cellStyle name="Accent3" xfId="6" builtinId="37"/>
    <cellStyle name="Check Cell" xfId="3" builtinId="23"/>
    <cellStyle name="Normal" xfId="0" builtinId="0"/>
  </cellStyles>
  <dxfs count="13"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Library/Mobile%20Documents/com~apple~CloudDocs/MF%20Master%20Mehul.xlsm" TargetMode="External"/><Relationship Id="rId2" Type="http://schemas.openxmlformats.org/officeDocument/2006/relationships/externalLinkPath" Target="/Users/mehul/Library/Mobile%20Documents/com~apple~CloudDocs/MF%20Master%20Mehul.xlsm" TargetMode="External"/><Relationship Id="rId1" Type="http://schemas.openxmlformats.org/officeDocument/2006/relationships/externalLinkPath" Target="/Users/mehul/Library/Mobile%20Documents/com~apple~CloudDocs/MF%20Master%20Mehu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AS"/>
      <sheetName val="Current NAVs"/>
      <sheetName val="PAN Mapper"/>
      <sheetName val="MF Summary"/>
      <sheetName val="Goals"/>
      <sheetName val="Goals_Tagger"/>
      <sheetName val="Capital Gains"/>
      <sheetName val="Sell_Ledger"/>
      <sheetName val="Folio List"/>
      <sheetName val="CAS_PAN_Filter"/>
      <sheetName val="Info"/>
    </sheetNames>
    <sheetDataSet>
      <sheetData sheetId="0" refreshError="1"/>
      <sheetData sheetId="1" refreshError="1"/>
      <sheetData sheetId="2" refreshError="1"/>
      <sheetData sheetId="3">
        <row r="3">
          <cell r="K3">
            <v>29249629.275860492</v>
          </cell>
        </row>
        <row r="4">
          <cell r="B4" t="str">
            <v>Scheme</v>
          </cell>
          <cell r="C4" t="str">
            <v>Folio</v>
          </cell>
          <cell r="K4" t="str">
            <v>Value @ Latest NAV</v>
          </cell>
        </row>
        <row r="5">
          <cell r="B5" t="str">
            <v>HDFC Balanced Advantage Fund - Direct Plan - Growth Option</v>
          </cell>
          <cell r="C5" t="str">
            <v>21372420 / 31</v>
          </cell>
          <cell r="K5">
            <v>1763671.1939999997</v>
          </cell>
        </row>
        <row r="6">
          <cell r="B6" t="str">
            <v>ICICI Prudential Equity &amp; Debt Fund - Direct Plan - Growth</v>
          </cell>
          <cell r="C6" t="str">
            <v>12062272 / 04</v>
          </cell>
          <cell r="K6">
            <v>1880328.4135700001</v>
          </cell>
        </row>
        <row r="7">
          <cell r="B7" t="str">
            <v>Parag Parikh Flexi Cap Fund - Direct Plan Growth</v>
          </cell>
          <cell r="C7">
            <v>10479159</v>
          </cell>
          <cell r="K7">
            <v>1678746.2662805999</v>
          </cell>
        </row>
        <row r="8">
          <cell r="B8" t="str">
            <v>HDFC Balanced Advantage Fund - Direct Plan - Growth Option</v>
          </cell>
          <cell r="C8" t="str">
            <v>21373833 / 60</v>
          </cell>
          <cell r="K8">
            <v>1360079.3999999994</v>
          </cell>
        </row>
        <row r="9">
          <cell r="B9" t="str">
            <v>ICICI Prudential Equity &amp; Debt Fund - Direct Plan - Growth</v>
          </cell>
          <cell r="C9" t="str">
            <v>12066460 / 50</v>
          </cell>
          <cell r="K9">
            <v>613878.92607999989</v>
          </cell>
        </row>
        <row r="10">
          <cell r="B10" t="str">
            <v>Parag Parikh Flexi Cap Fund - Direct Plan Growth</v>
          </cell>
          <cell r="C10">
            <v>10490524</v>
          </cell>
          <cell r="K10">
            <v>1398751.9952867997</v>
          </cell>
        </row>
        <row r="11">
          <cell r="B11" t="str">
            <v>HDFC Balanced Advantage Fund - Direct Plan - Growth Option</v>
          </cell>
          <cell r="C11" t="str">
            <v>21373884 / 04</v>
          </cell>
          <cell r="K11">
            <v>862247.92949999997</v>
          </cell>
        </row>
        <row r="12">
          <cell r="B12" t="str">
            <v>HDFC Balanced Advantage Fund - Direct Plan - IDCW (Non</v>
          </cell>
          <cell r="C12" t="str">
            <v>21373884 / 04</v>
          </cell>
          <cell r="K12">
            <v>5072052.730800001</v>
          </cell>
        </row>
        <row r="13">
          <cell r="B13" t="str">
            <v>HDFC Flexi Cap Fund - Direct Plan - IDCW</v>
          </cell>
          <cell r="C13" t="str">
            <v>21373884 / 04</v>
          </cell>
          <cell r="K13">
            <v>1383786.8639099994</v>
          </cell>
        </row>
        <row r="14">
          <cell r="B14" t="str">
            <v>ICICI Prudential Equity &amp; Debt Fund - Direct Plan - Growth</v>
          </cell>
          <cell r="C14" t="str">
            <v>12354924 / 92</v>
          </cell>
          <cell r="K14">
            <v>815589.9821599999</v>
          </cell>
        </row>
        <row r="15">
          <cell r="B15" t="str">
            <v>ICICI Prudential US Bluechip Equity Fund - Direct Plan - Growth</v>
          </cell>
          <cell r="C15" t="str">
            <v>12354924 / 92</v>
          </cell>
          <cell r="K15">
            <v>240003.99374999997</v>
          </cell>
        </row>
        <row r="16">
          <cell r="B16" t="str">
            <v>NIPPON INDIA - US EQUITY OPPORTUNITIES FUND - DIRECT GROWTH PLAN (Non Demat)</v>
          </cell>
          <cell r="C16" t="str">
            <v>499198622207 / 0</v>
          </cell>
          <cell r="K16">
            <v>403978.07955180004</v>
          </cell>
        </row>
        <row r="17">
          <cell r="B17" t="str">
            <v>Parag Parikh Conservative Hybrid Fund - Direct Plan Monthly IDCW</v>
          </cell>
          <cell r="C17">
            <v>10479983</v>
          </cell>
          <cell r="K17">
            <v>5489896.2307496993</v>
          </cell>
        </row>
        <row r="18">
          <cell r="B18" t="str">
            <v>Parag Parikh Flexi Cap Fund - Direct Plan Growth</v>
          </cell>
          <cell r="C18">
            <v>10479983</v>
          </cell>
          <cell r="K18">
            <v>960352.59520199988</v>
          </cell>
        </row>
        <row r="19">
          <cell r="B19" t="str">
            <v>SBI Liquid Fund Direct Growth</v>
          </cell>
          <cell r="C19">
            <v>50570846</v>
          </cell>
          <cell r="K19">
            <v>602.15394910000009</v>
          </cell>
        </row>
        <row r="20">
          <cell r="B20" t="str">
            <v>Axis ELSS Tax Saver Fund - Direct Growth (Non Demat)</v>
          </cell>
          <cell r="C20" t="str">
            <v>91057578274 / 0</v>
          </cell>
          <cell r="K20">
            <v>38026.17634749943</v>
          </cell>
        </row>
        <row r="21">
          <cell r="B21" t="str">
            <v>HDFC Balanced Advantage Fund - Direct Plan - Growth Option</v>
          </cell>
          <cell r="C21" t="str">
            <v>21373872 / 40</v>
          </cell>
          <cell r="K21">
            <v>1634157.2295000004</v>
          </cell>
        </row>
        <row r="22">
          <cell r="B22" t="str">
            <v>HDFC ELSS Tax saver- Direct Plan - Growth Option</v>
          </cell>
          <cell r="C22" t="str">
            <v>21373872 / 40</v>
          </cell>
          <cell r="K22">
            <v>74915.145577999981</v>
          </cell>
        </row>
        <row r="23">
          <cell r="B23" t="str">
            <v>ICICI Prudential Equity &amp; Debt Fund - Direct Plan - Growth</v>
          </cell>
          <cell r="C23" t="str">
            <v>11757469 / 91</v>
          </cell>
          <cell r="K23">
            <v>1845796.9984899997</v>
          </cell>
        </row>
        <row r="24">
          <cell r="B24" t="str">
            <v>Parag Parikh Flexi Cap Fund - Direct Plan Growth</v>
          </cell>
          <cell r="C24">
            <v>10490523</v>
          </cell>
          <cell r="K24">
            <v>1732766.9711549997</v>
          </cell>
        </row>
      </sheetData>
      <sheetData sheetId="4" refreshError="1"/>
      <sheetData sheetId="5">
        <row r="2">
          <cell r="A2" t="str">
            <v>Car</v>
          </cell>
          <cell r="B2" t="str">
            <v>21372420 / 31</v>
          </cell>
          <cell r="C2" t="str">
            <v>HDFC Balanced Advantage Fund - Direct Plan - Growth Option</v>
          </cell>
          <cell r="D2">
            <v>0.15</v>
          </cell>
        </row>
        <row r="3">
          <cell r="A3" t="str">
            <v>Car</v>
          </cell>
          <cell r="B3" t="str">
            <v>12354924 / 92</v>
          </cell>
          <cell r="C3" t="str">
            <v>ICICI Prudential Equity &amp; Debt Fund - Direct Plan - Growth</v>
          </cell>
          <cell r="D3">
            <v>0.25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hul Boricha" refreshedDate="46219.557934375" createdVersion="8" refreshedVersion="8" minRefreshableVersion="3" recordCount="251" xr:uid="{5E0DB2D4-23AE-2B4C-993D-0B0FC842868E}">
  <cacheSource type="worksheet">
    <worksheetSource ref="A1:N20000" sheet="Sell_Ledger"/>
  </cacheSource>
  <cacheFields count="14">
    <cacheField name="PAN" numFmtId="0">
      <sharedItems containsBlank="1"/>
    </cacheField>
    <cacheField name="Scheme" numFmtId="0">
      <sharedItems containsBlank="1"/>
    </cacheField>
    <cacheField name="Sell Date" numFmtId="166">
      <sharedItems containsNonDate="0" containsDate="1" containsString="0" containsBlank="1" minDate="2010-04-23T00:00:00" maxDate="2026-06-08T00:00:00"/>
    </cacheField>
    <cacheField name="Units Sold" numFmtId="0">
      <sharedItems containsString="0" containsBlank="1" containsNumber="1" minValue="-17755.998" maxValue="0"/>
    </cacheField>
    <cacheField name="Sell Value" numFmtId="0">
      <sharedItems containsString="0" containsBlank="1" containsNumber="1" minValue="-812985.77" maxValue="13553.78"/>
    </cacheField>
    <cacheField name="FY" numFmtId="0">
      <sharedItems containsBlank="1" count="20">
        <s v="FY 2011-12"/>
        <s v="FY 2014-15"/>
        <s v="FY 2016-17"/>
        <s v="FY 2017-18"/>
        <s v="FY 2018-19"/>
        <s v="FY 2019-20"/>
        <s v="FY 2020-21"/>
        <s v="FY 2021-22"/>
        <s v="FY 2022-23"/>
        <s v="FY 2025-26"/>
        <s v="FY 2013-14"/>
        <s v="FY 2023-24"/>
        <s v="FY 2012-13"/>
        <s v="FY 2024-25"/>
        <s v="FY 2010-11"/>
        <s v="FY 2015-16"/>
        <s v="FY 2026-27"/>
        <m/>
        <s v="FY 2006-07" u="1"/>
        <s v="FY 2009-10" u="1"/>
      </sharedItems>
    </cacheField>
    <cacheField name="Category" numFmtId="0">
      <sharedItems containsBlank="1" count="4">
        <s v="Equity"/>
        <m/>
        <s v="Debt" u="1"/>
        <s v="Not Found" u="1"/>
      </sharedItems>
    </cacheField>
    <cacheField name="LTCG Units" numFmtId="0">
      <sharedItems containsString="0" containsBlank="1" containsNumber="1" minValue="0" maxValue="17755.998"/>
    </cacheField>
    <cacheField name="STCG Units" numFmtId="0">
      <sharedItems containsString="0" containsBlank="1" containsNumber="1" minValue="0" maxValue="512.25199999999995"/>
    </cacheField>
    <cacheField name="Avg Buy Price" numFmtId="0">
      <sharedItems containsString="0" containsBlank="1" containsNumber="1" minValue="0" maxValue="40.374666242313538"/>
    </cacheField>
    <cacheField name="Sell Price" numFmtId="0">
      <sharedItems containsString="0" containsBlank="1" containsNumber="1" minValue="0" maxValue="74.305137238673353"/>
    </cacheField>
    <cacheField name="STCG Gain" numFmtId="0">
      <sharedItems containsString="0" containsBlank="1" containsNumber="1" minValue="0" maxValue="335.10896203324768"/>
    </cacheField>
    <cacheField name="LTCG Gain" numFmtId="0">
      <sharedItems containsString="0" containsBlank="1" containsNumber="1" minValue="0" maxValue="260234.91384803478"/>
    </cacheField>
    <cacheField name="Name" numFmtId="0">
      <sharedItems containsBlank="1" count="9">
        <s v="Name 1"/>
        <s v="Name 2"/>
        <s v="Name 3"/>
        <s v="Name 4"/>
        <m/>
        <s v="Mehul" u="1"/>
        <s v="Hareshbhai" u="1"/>
        <s v="Jashuben" u="1"/>
        <s v="Rameshbhai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1">
  <r>
    <s v="AAAAA1111A"/>
    <s v="HDFC Flexi Cap Fund - Direct Plan - Growth"/>
    <d v="2011-09-03T00:00:00"/>
    <n v="0"/>
    <n v="1204.95"/>
    <x v="0"/>
    <x v="0"/>
    <n v="0"/>
    <n v="0"/>
    <n v="0"/>
    <n v="0"/>
    <n v="0"/>
    <n v="0"/>
    <x v="0"/>
  </r>
  <r>
    <s v="AAAAA1111A"/>
    <s v="HDFC Flexi Cap Fund - Direct Plan - Growth"/>
    <d v="2014-10-17T00:00:00"/>
    <n v="0"/>
    <n v="5078.88"/>
    <x v="1"/>
    <x v="0"/>
    <n v="0"/>
    <n v="0"/>
    <n v="0"/>
    <n v="0"/>
    <n v="0"/>
    <n v="0"/>
    <x v="0"/>
  </r>
  <r>
    <s v="AAAAA1111A"/>
    <s v="HDFC Flexi Cap Fund - Direct Plan - Growth"/>
    <d v="2016-06-08T00:00:00"/>
    <n v="0"/>
    <n v="6888.64"/>
    <x v="2"/>
    <x v="0"/>
    <n v="0"/>
    <n v="0"/>
    <n v="0"/>
    <n v="0"/>
    <n v="0"/>
    <n v="0"/>
    <x v="0"/>
  </r>
  <r>
    <s v="AAAAA1111A"/>
    <s v="HDFC Flexi Cap Fund - Direct Plan - Growth"/>
    <d v="2018-01-29T00:00:00"/>
    <n v="-3393.2840000000001"/>
    <n v="-110273.96"/>
    <x v="3"/>
    <x v="0"/>
    <n v="3393.2840000000001"/>
    <n v="0"/>
    <n v="21.388557767370877"/>
    <n v="32.497710182819951"/>
    <n v="0"/>
    <n v="37696.509144904696"/>
    <x v="0"/>
  </r>
  <r>
    <s v="AAAAA1111A"/>
    <s v="HDFC Flexi Cap Fund - Direct Plan - Growth"/>
    <d v="2018-05-29T00:00:00"/>
    <n v="-2834.4360000000001"/>
    <n v="-94460.54"/>
    <x v="4"/>
    <x v="0"/>
    <n v="2834.4360000000001"/>
    <n v="0"/>
    <n v="24.111321738785136"/>
    <n v="33.326044405306732"/>
    <n v="0"/>
    <n v="26118.541656004807"/>
    <x v="0"/>
  </r>
  <r>
    <s v="AAAAA1111A"/>
    <s v="HDFC Flexi Cap Fund - Direct Plan - Growth"/>
    <d v="2019-01-24T00:00:00"/>
    <n v="0"/>
    <n v="6247.5"/>
    <x v="4"/>
    <x v="0"/>
    <n v="0"/>
    <n v="0"/>
    <n v="0"/>
    <n v="0"/>
    <n v="0"/>
    <n v="0"/>
    <x v="0"/>
  </r>
  <r>
    <s v="AAAAA1111A"/>
    <s v="HDFC Flexi Cap Fund - Direct Plan - Growth"/>
    <d v="2019-10-21T00:00:00"/>
    <n v="0"/>
    <n v="6891.09"/>
    <x v="5"/>
    <x v="0"/>
    <n v="0"/>
    <n v="0"/>
    <n v="0"/>
    <n v="0"/>
    <n v="0"/>
    <n v="0"/>
    <x v="0"/>
  </r>
  <r>
    <s v="AAAAA1111A"/>
    <s v="HDFC Flexi Cap Fund - Direct Plan - Growth"/>
    <d v="2019-11-20T00:00:00"/>
    <n v="0"/>
    <n v="6961.66"/>
    <x v="5"/>
    <x v="0"/>
    <n v="0"/>
    <n v="0"/>
    <n v="0"/>
    <n v="0"/>
    <n v="0"/>
    <n v="0"/>
    <x v="0"/>
  </r>
  <r>
    <s v="AAAAA1111A"/>
    <s v="HDFC Flexi Cap Fund - Direct Plan - Growth"/>
    <d v="2020-03-19T00:00:00"/>
    <n v="0"/>
    <n v="7243.05"/>
    <x v="5"/>
    <x v="0"/>
    <n v="0"/>
    <n v="0"/>
    <n v="0"/>
    <n v="0"/>
    <n v="0"/>
    <n v="0"/>
    <x v="0"/>
  </r>
  <r>
    <s v="AAAAA1111A"/>
    <s v="HDFC Flexi Cap Fund - Direct Plan - Growth"/>
    <d v="2020-07-17T00:00:00"/>
    <n v="0"/>
    <n v="7522.03"/>
    <x v="6"/>
    <x v="0"/>
    <n v="0"/>
    <n v="0"/>
    <n v="0"/>
    <n v="0"/>
    <n v="0"/>
    <n v="0"/>
    <x v="0"/>
  </r>
  <r>
    <s v="AAAAA1111A"/>
    <s v="HDFC Flexi Cap Fund - Direct Plan - Growth"/>
    <d v="2020-12-14T00:00:00"/>
    <n v="0"/>
    <n v="7861.2"/>
    <x v="6"/>
    <x v="0"/>
    <n v="0"/>
    <n v="0"/>
    <n v="0"/>
    <n v="0"/>
    <n v="0"/>
    <n v="0"/>
    <x v="0"/>
  </r>
  <r>
    <s v="AAAAA1111A"/>
    <s v="HDFC Flexi Cap Fund - Direct Plan - Growth"/>
    <d v="2021-07-12T00:00:00"/>
    <n v="0"/>
    <n v="8335.84"/>
    <x v="7"/>
    <x v="0"/>
    <n v="0"/>
    <n v="0"/>
    <n v="0"/>
    <n v="0"/>
    <n v="0"/>
    <n v="0"/>
    <x v="0"/>
  </r>
  <r>
    <s v="AAAAA1111A"/>
    <s v="HDFC Flexi Cap Fund - Direct Plan - Growth"/>
    <d v="2022-08-06T00:00:00"/>
    <n v="-3671.7849999999999"/>
    <n v="-146086.57999999999"/>
    <x v="8"/>
    <x v="0"/>
    <n v="3671.7849999999999"/>
    <n v="0"/>
    <n v="25.154129940544482"/>
    <n v="39.786256548245603"/>
    <n v="0"/>
    <n v="53726.02299625786"/>
    <x v="0"/>
  </r>
  <r>
    <s v="AAAAA1111A"/>
    <s v="HDFC Flexi Cap Fund - Direct Plan - Growth"/>
    <d v="2025-12-18T00:00:00"/>
    <n v="0"/>
    <n v="9671.65"/>
    <x v="9"/>
    <x v="0"/>
    <n v="0"/>
    <n v="0"/>
    <n v="0"/>
    <n v="0"/>
    <n v="0"/>
    <n v="0"/>
    <x v="0"/>
  </r>
  <r>
    <s v="AAAAA1111A"/>
    <s v="Parag Parikh Flexi Cap Fund - Direct Growth"/>
    <d v="2011-08-20T00:00:00"/>
    <n v="0"/>
    <n v="2021.37"/>
    <x v="0"/>
    <x v="0"/>
    <n v="0"/>
    <n v="0"/>
    <n v="0"/>
    <n v="0"/>
    <n v="0"/>
    <n v="0"/>
    <x v="0"/>
  </r>
  <r>
    <s v="AAAAA1111A"/>
    <s v="Parag Parikh Flexi Cap Fund - Direct Growth"/>
    <d v="2012-01-17T00:00:00"/>
    <n v="0"/>
    <n v="2595.64"/>
    <x v="0"/>
    <x v="0"/>
    <n v="0"/>
    <n v="0"/>
    <n v="0"/>
    <n v="0"/>
    <n v="0"/>
    <n v="0"/>
    <x v="0"/>
  </r>
  <r>
    <s v="AAAAA1111A"/>
    <s v="Parag Parikh Flexi Cap Fund - Direct Growth"/>
    <d v="2013-08-09T00:00:00"/>
    <n v="-1848.6469999999999"/>
    <n v="-46237.98"/>
    <x v="10"/>
    <x v="0"/>
    <n v="1848.6469999999999"/>
    <n v="0"/>
    <n v="21.601435785648931"/>
    <n v="25.011795112858216"/>
    <n v="0"/>
    <n v="6304.5505391674633"/>
    <x v="0"/>
  </r>
  <r>
    <s v="AAAAA1111A"/>
    <s v="Parag Parikh Flexi Cap Fund - Direct Growth"/>
    <d v="2018-10-12T00:00:00"/>
    <n v="0"/>
    <n v="8912.6299999999992"/>
    <x v="4"/>
    <x v="0"/>
    <n v="0"/>
    <n v="0"/>
    <n v="0"/>
    <n v="0"/>
    <n v="0"/>
    <n v="0"/>
    <x v="0"/>
  </r>
  <r>
    <s v="AAAAA1111A"/>
    <s v="Parag Parikh Flexi Cap Fund - Direct Growth"/>
    <d v="2019-02-09T00:00:00"/>
    <n v="-3675.61"/>
    <n v="-135397.59"/>
    <x v="4"/>
    <x v="0"/>
    <n v="3675.61"/>
    <n v="0"/>
    <n v="22.391477376461296"/>
    <n v="36.836767230473306"/>
    <n v="0"/>
    <n v="53095.251840305085"/>
    <x v="0"/>
  </r>
  <r>
    <s v="AAAAA1111A"/>
    <s v="Parag Parikh Flexi Cap Fund - Direct Growth"/>
    <d v="2020-03-05T00:00:00"/>
    <n v="0"/>
    <n v="8192.08"/>
    <x v="5"/>
    <x v="0"/>
    <n v="0"/>
    <n v="0"/>
    <n v="0"/>
    <n v="0"/>
    <n v="0"/>
    <n v="0"/>
    <x v="0"/>
  </r>
  <r>
    <s v="AAAAA1111A"/>
    <s v="Parag Parikh Flexi Cap Fund - Direct Growth"/>
    <d v="2023-12-15T00:00:00"/>
    <n v="0"/>
    <n v="10497.24"/>
    <x v="11"/>
    <x v="0"/>
    <n v="0"/>
    <n v="0"/>
    <n v="0"/>
    <n v="0"/>
    <n v="0"/>
    <n v="0"/>
    <x v="0"/>
  </r>
  <r>
    <s v="AAAAA1111A"/>
    <s v="Parag Parikh Flexi Cap Fund - Direct Growth"/>
    <d v="2024-01-14T00:00:00"/>
    <n v="0"/>
    <n v="10542.68"/>
    <x v="11"/>
    <x v="0"/>
    <n v="0"/>
    <n v="0"/>
    <n v="0"/>
    <n v="0"/>
    <n v="0"/>
    <n v="0"/>
    <x v="0"/>
  </r>
  <r>
    <s v="AAAAA1111A"/>
    <s v="Parag Parikh Flexi Cap Fund - Direct Growth"/>
    <d v="2025-10-05T00:00:00"/>
    <n v="0"/>
    <n v="11420.42"/>
    <x v="9"/>
    <x v="0"/>
    <n v="0"/>
    <n v="0"/>
    <n v="0"/>
    <n v="0"/>
    <n v="0"/>
    <n v="0"/>
    <x v="0"/>
  </r>
  <r>
    <s v="AAAAA1111A"/>
    <s v="SBI Liquid Fund Direct Growth"/>
    <d v="2018-11-09T00:00:00"/>
    <n v="-3930.261"/>
    <n v="-118727.77"/>
    <x v="4"/>
    <x v="0"/>
    <n v="3930.261"/>
    <n v="0"/>
    <n v="21.166013322636275"/>
    <n v="30.208622277248256"/>
    <n v="0"/>
    <n v="35539.813312562241"/>
    <x v="0"/>
  </r>
  <r>
    <s v="AAAAA1111A"/>
    <s v="ICICI Pru Equity &amp; Debt Fund - Direct Growth"/>
    <d v="2012-04-17T00:00:00"/>
    <n v="0"/>
    <n v="2244.9"/>
    <x v="12"/>
    <x v="0"/>
    <n v="0"/>
    <n v="0"/>
    <n v="0"/>
    <n v="0"/>
    <n v="0"/>
    <n v="0"/>
    <x v="0"/>
  </r>
  <r>
    <s v="AAAAA1111A"/>
    <s v="ICICI Pru Equity &amp; Debt Fund - Direct Growth"/>
    <d v="2012-07-16T00:00:00"/>
    <n v="0"/>
    <n v="2640.13"/>
    <x v="12"/>
    <x v="0"/>
    <n v="0"/>
    <n v="0"/>
    <n v="0"/>
    <n v="0"/>
    <n v="0"/>
    <n v="0"/>
    <x v="0"/>
  </r>
  <r>
    <s v="AAAAA1111A"/>
    <s v="ICICI Pru Equity &amp; Debt Fund - Direct Growth"/>
    <d v="2012-10-14T00:00:00"/>
    <n v="0"/>
    <n v="3029.73"/>
    <x v="12"/>
    <x v="0"/>
    <n v="0"/>
    <n v="0"/>
    <n v="0"/>
    <n v="0"/>
    <n v="0"/>
    <n v="0"/>
    <x v="0"/>
  </r>
  <r>
    <s v="AAAAA1111A"/>
    <s v="ICICI Pru Equity &amp; Debt Fund - Direct Growth"/>
    <d v="2014-04-07T00:00:00"/>
    <n v="-2086.1610000000001"/>
    <n v="-42811.51"/>
    <x v="1"/>
    <x v="0"/>
    <n v="2086.1610000000001"/>
    <n v="0"/>
    <n v="19.153291135360401"/>
    <n v="20.521671146186705"/>
    <n v="0"/>
    <n v="2854.6610117654122"/>
    <x v="0"/>
  </r>
  <r>
    <s v="AAAAA1111A"/>
    <s v="ICICI Pru Equity &amp; Debt Fund - Direct Growth"/>
    <d v="2014-05-07T00:00:00"/>
    <n v="0"/>
    <n v="4295.3100000000004"/>
    <x v="1"/>
    <x v="0"/>
    <n v="0"/>
    <n v="0"/>
    <n v="0"/>
    <n v="0"/>
    <n v="0"/>
    <n v="0"/>
    <x v="0"/>
  </r>
  <r>
    <s v="AAAAA1111A"/>
    <s v="ICICI Pru Equity &amp; Debt Fund - Direct Growth"/>
    <d v="2016-08-24T00:00:00"/>
    <n v="-3010.1320000000001"/>
    <n v="-68992.28"/>
    <x v="2"/>
    <x v="0"/>
    <n v="3010.1320000000001"/>
    <n v="0"/>
    <n v="18.772005947578744"/>
    <n v="22.920018125450976"/>
    <n v="0"/>
    <n v="12486.064193002898"/>
    <x v="0"/>
  </r>
  <r>
    <s v="AAAAA1111A"/>
    <s v="ICICI Pru Equity &amp; Debt Fund - Direct Growth"/>
    <d v="2016-12-22T00:00:00"/>
    <n v="0"/>
    <n v="6444.92"/>
    <x v="2"/>
    <x v="0"/>
    <n v="0"/>
    <n v="0"/>
    <n v="0"/>
    <n v="0"/>
    <n v="0"/>
    <n v="0"/>
    <x v="0"/>
  </r>
  <r>
    <s v="AAAAA1111A"/>
    <s v="ICICI Pru Equity &amp; Debt Fund - Direct Growth"/>
    <d v="2016-12-22T00:00:00"/>
    <n v="-2577.9670000000001"/>
    <n v="-61982.91"/>
    <x v="2"/>
    <x v="0"/>
    <n v="2577.9670000000001"/>
    <n v="0"/>
    <n v="19.942499209294358"/>
    <n v="24.043329491804975"/>
    <n v="0"/>
    <n v="10571.805140913049"/>
    <x v="0"/>
  </r>
  <r>
    <s v="AAAAA1111A"/>
    <s v="ICICI Pru Equity &amp; Debt Fund - Direct Growth"/>
    <d v="2017-02-20T00:00:00"/>
    <n v="0"/>
    <n v="5364.71"/>
    <x v="2"/>
    <x v="0"/>
    <n v="0"/>
    <n v="0"/>
    <n v="0"/>
    <n v="0"/>
    <n v="0"/>
    <n v="0"/>
    <x v="0"/>
  </r>
  <r>
    <s v="AAAAA1111A"/>
    <s v="ICICI Pru Equity &amp; Debt Fund - Direct Growth"/>
    <d v="2017-04-21T00:00:00"/>
    <n v="0"/>
    <n v="5568.18"/>
    <x v="3"/>
    <x v="0"/>
    <n v="0"/>
    <n v="0"/>
    <n v="0"/>
    <n v="0"/>
    <n v="0"/>
    <n v="0"/>
    <x v="0"/>
  </r>
  <r>
    <s v="AAAAA1111A"/>
    <s v="ICICI Pru Equity &amp; Debt Fund - Direct Growth"/>
    <d v="2017-11-17T00:00:00"/>
    <n v="-2517.009"/>
    <n v="-60861.07"/>
    <x v="3"/>
    <x v="0"/>
    <n v="2517.009"/>
    <n v="0"/>
    <n v="20.742951214103918"/>
    <n v="24.179917513207144"/>
    <n v="0"/>
    <n v="8650.8751075395103"/>
    <x v="0"/>
  </r>
  <r>
    <s v="AAAAA1111A"/>
    <s v="ICICI Pru Equity &amp; Debt Fund - Direct Growth"/>
    <d v="2018-03-17T00:00:00"/>
    <n v="0"/>
    <n v="5434.06"/>
    <x v="3"/>
    <x v="0"/>
    <n v="0"/>
    <n v="0"/>
    <n v="0"/>
    <n v="0"/>
    <n v="0"/>
    <n v="0"/>
    <x v="0"/>
  </r>
  <r>
    <s v="AAAAA1111A"/>
    <s v="ICICI Pru Equity &amp; Debt Fund - Direct Growth"/>
    <d v="2020-06-04T00:00:00"/>
    <n v="0"/>
    <n v="7874.35"/>
    <x v="6"/>
    <x v="0"/>
    <n v="0"/>
    <n v="0"/>
    <n v="0"/>
    <n v="0"/>
    <n v="0"/>
    <n v="0"/>
    <x v="0"/>
  </r>
  <r>
    <s v="AAAAA1111A"/>
    <s v="ICICI Pru Equity &amp; Debt Fund - Direct Growth"/>
    <d v="2020-12-01T00:00:00"/>
    <n v="-3341.3020000000001"/>
    <n v="-105436.33"/>
    <x v="6"/>
    <x v="0"/>
    <n v="3341.3020000000001"/>
    <n v="0"/>
    <n v="20.60670731827032"/>
    <n v="31.555462511320435"/>
    <n v="0"/>
    <n v="36583.097624048736"/>
    <x v="0"/>
  </r>
  <r>
    <s v="AAAAA1111A"/>
    <s v="ICICI Pru Equity &amp; Debt Fund - Direct Growth"/>
    <d v="2021-09-27T00:00:00"/>
    <n v="0"/>
    <n v="7487.91"/>
    <x v="7"/>
    <x v="0"/>
    <n v="0"/>
    <n v="0"/>
    <n v="0"/>
    <n v="0"/>
    <n v="0"/>
    <n v="0"/>
    <x v="0"/>
  </r>
  <r>
    <s v="AAAAA1111A"/>
    <s v="ICICI Pru Equity &amp; Debt Fund - Direct Growth"/>
    <d v="2022-12-21T00:00:00"/>
    <n v="0"/>
    <n v="8585.59"/>
    <x v="8"/>
    <x v="0"/>
    <n v="0"/>
    <n v="0"/>
    <n v="0"/>
    <n v="0"/>
    <n v="0"/>
    <n v="0"/>
    <x v="0"/>
  </r>
  <r>
    <s v="AAAAA1111A"/>
    <s v="ICICI Pru Equity &amp; Debt Fund - Direct Growth"/>
    <d v="2023-07-19T00:00:00"/>
    <n v="-3612.5819999999999"/>
    <n v="-149057.19"/>
    <x v="11"/>
    <x v="0"/>
    <n v="3612.5819999999999"/>
    <n v="0"/>
    <n v="22.491881588780085"/>
    <n v="41.260569310260642"/>
    <n v="0"/>
    <n v="67803.423426241672"/>
    <x v="0"/>
  </r>
  <r>
    <s v="AAAAA1111A"/>
    <s v="ICICI Pru Equity &amp; Debt Fund - Direct Growth"/>
    <d v="2023-10-17T00:00:00"/>
    <n v="0"/>
    <n v="7406.54"/>
    <x v="11"/>
    <x v="0"/>
    <n v="0"/>
    <n v="0"/>
    <n v="0"/>
    <n v="0"/>
    <n v="0"/>
    <n v="0"/>
    <x v="0"/>
  </r>
  <r>
    <s v="AAAAA1111A"/>
    <s v="ICICI Pru Equity &amp; Debt Fund - Direct Growth"/>
    <d v="2024-11-10T00:00:00"/>
    <n v="0"/>
    <n v="8203.9"/>
    <x v="13"/>
    <x v="0"/>
    <n v="0"/>
    <n v="0"/>
    <n v="0"/>
    <n v="0"/>
    <n v="0"/>
    <n v="0"/>
    <x v="0"/>
  </r>
  <r>
    <s v="AAAAA1111A"/>
    <s v="ICICI Pru Equity &amp; Debt Fund - Direct Growth"/>
    <d v="2026-01-04T00:00:00"/>
    <n v="-3585.6990000000001"/>
    <n v="-173432.52"/>
    <x v="9"/>
    <x v="0"/>
    <n v="3585.6990000000001"/>
    <n v="0"/>
    <n v="24.15533971976075"/>
    <n v="48.367841249363089"/>
    <n v="0"/>
    <n v="86818.74252219357"/>
    <x v="0"/>
  </r>
  <r>
    <s v="AAAAA1111A"/>
    <s v="Axis ELSS Tax Saver Fund - Direct Growth"/>
    <d v="2010-09-25T00:00:00"/>
    <n v="-239.24799999999999"/>
    <n v="-5053.84"/>
    <x v="14"/>
    <x v="0"/>
    <n v="0"/>
    <n v="239.24799999999999"/>
    <n v="20.425003472250591"/>
    <n v="21.123854744867252"/>
    <n v="167.19876927099094"/>
    <n v="0"/>
    <x v="0"/>
  </r>
  <r>
    <s v="AAAAA1111A"/>
    <s v="Axis ELSS Tax Saver Fund - Direct Growth"/>
    <d v="2011-11-19T00:00:00"/>
    <n v="0"/>
    <n v="2111.94"/>
    <x v="0"/>
    <x v="0"/>
    <n v="0"/>
    <n v="0"/>
    <n v="0"/>
    <n v="0"/>
    <n v="0"/>
    <n v="0"/>
    <x v="0"/>
  </r>
  <r>
    <s v="AAAAA1111A"/>
    <s v="Axis ELSS Tax Saver Fund - Direct Growth"/>
    <d v="2012-06-16T00:00:00"/>
    <n v="-1153.4490000000001"/>
    <n v="-25594.45"/>
    <x v="12"/>
    <x v="0"/>
    <n v="1153.4490000000001"/>
    <n v="0"/>
    <n v="21.098568009585581"/>
    <n v="22.189494290601491"/>
    <n v="0"/>
    <n v="1258.3278279115211"/>
    <x v="0"/>
  </r>
  <r>
    <s v="AAAAA1111A"/>
    <s v="Axis ELSS Tax Saver Fund - Direct Growth"/>
    <d v="2013-04-12T00:00:00"/>
    <n v="0"/>
    <n v="3414.99"/>
    <x v="10"/>
    <x v="0"/>
    <n v="0"/>
    <n v="0"/>
    <n v="0"/>
    <n v="0"/>
    <n v="0"/>
    <n v="0"/>
    <x v="0"/>
  </r>
  <r>
    <s v="AAAAA1111A"/>
    <s v="Axis ELSS Tax Saver Fund - Direct Growth"/>
    <d v="2013-09-09T00:00:00"/>
    <n v="0"/>
    <n v="3952.4"/>
    <x v="10"/>
    <x v="0"/>
    <n v="0"/>
    <n v="0"/>
    <n v="0"/>
    <n v="0"/>
    <n v="0"/>
    <n v="0"/>
    <x v="0"/>
  </r>
  <r>
    <s v="AAAAA1111A"/>
    <s v="Axis ELSS Tax Saver Fund - Direct Growth"/>
    <d v="2014-01-07T00:00:00"/>
    <n v="0"/>
    <n v="4381.0200000000004"/>
    <x v="10"/>
    <x v="0"/>
    <n v="0"/>
    <n v="0"/>
    <n v="0"/>
    <n v="0"/>
    <n v="0"/>
    <n v="0"/>
    <x v="0"/>
  </r>
  <r>
    <s v="AAAAA1111A"/>
    <s v="Axis ELSS Tax Saver Fund - Direct Growth"/>
    <d v="2014-08-05T00:00:00"/>
    <n v="-2037.1189999999999"/>
    <n v="-51354.42"/>
    <x v="1"/>
    <x v="0"/>
    <n v="2037.1189999999999"/>
    <n v="0"/>
    <n v="21.330281377231159"/>
    <n v="25.209337304300828"/>
    <n v="0"/>
    <n v="7902.0985310962351"/>
    <x v="0"/>
  </r>
  <r>
    <s v="AAAAA1111A"/>
    <s v="Axis ELSS Tax Saver Fund - Direct Growth"/>
    <d v="2014-11-03T00:00:00"/>
    <n v="0"/>
    <n v="4369.54"/>
    <x v="1"/>
    <x v="0"/>
    <n v="0"/>
    <n v="0"/>
    <n v="0"/>
    <n v="0"/>
    <n v="0"/>
    <n v="0"/>
    <x v="0"/>
  </r>
  <r>
    <s v="AAAAA1111A"/>
    <s v="Axis ELSS Tax Saver Fund - Direct Growth"/>
    <d v="2015-05-02T00:00:00"/>
    <n v="0"/>
    <n v="4936.9399999999996"/>
    <x v="15"/>
    <x v="0"/>
    <n v="0"/>
    <n v="0"/>
    <n v="0"/>
    <n v="0"/>
    <n v="0"/>
    <n v="0"/>
    <x v="0"/>
  </r>
  <r>
    <s v="AAAAA1111A"/>
    <s v="Axis ELSS Tax Saver Fund - Direct Growth"/>
    <d v="2015-09-29T00:00:00"/>
    <n v="0"/>
    <n v="5383.27"/>
    <x v="15"/>
    <x v="0"/>
    <n v="0"/>
    <n v="0"/>
    <n v="0"/>
    <n v="0"/>
    <n v="0"/>
    <n v="0"/>
    <x v="0"/>
  </r>
  <r>
    <s v="AAAAA1111A"/>
    <s v="Axis ELSS Tax Saver Fund - Direct Growth"/>
    <d v="2016-09-23T00:00:00"/>
    <n v="0"/>
    <n v="6428.29"/>
    <x v="2"/>
    <x v="0"/>
    <n v="0"/>
    <n v="0"/>
    <n v="0"/>
    <n v="0"/>
    <n v="0"/>
    <n v="0"/>
    <x v="0"/>
  </r>
  <r>
    <s v="AAAAA1111A"/>
    <s v="Axis ELSS Tax Saver Fund - Direct Growth"/>
    <d v="2018-01-16T00:00:00"/>
    <n v="0"/>
    <n v="7714.06"/>
    <x v="3"/>
    <x v="0"/>
    <n v="0"/>
    <n v="0"/>
    <n v="0"/>
    <n v="0"/>
    <n v="0"/>
    <n v="0"/>
    <x v="0"/>
  </r>
  <r>
    <s v="AAAAA1111A"/>
    <s v="Axis ELSS Tax Saver Fund - Direct Growth"/>
    <d v="2020-02-05T00:00:00"/>
    <n v="-3785.0410000000002"/>
    <n v="-151398.04999999999"/>
    <x v="5"/>
    <x v="0"/>
    <n v="3785.0410000000002"/>
    <n v="0"/>
    <n v="22.344279279829777"/>
    <n v="39.999051529428606"/>
    <n v="0"/>
    <n v="66824.036810393794"/>
    <x v="0"/>
  </r>
  <r>
    <s v="AAAAA1111A"/>
    <s v="Axis ELSS Tax Saver Fund - Direct Growth"/>
    <d v="2020-07-04T00:00:00"/>
    <n v="0"/>
    <n v="7883.62"/>
    <x v="6"/>
    <x v="0"/>
    <n v="0"/>
    <n v="0"/>
    <n v="0"/>
    <n v="0"/>
    <n v="0"/>
    <n v="0"/>
    <x v="0"/>
  </r>
  <r>
    <s v="AAAAA1111A"/>
    <s v="Axis ELSS Tax Saver Fund - Direct Growth"/>
    <d v="2022-01-25T00:00:00"/>
    <n v="-17755.998"/>
    <n v="-812985.77"/>
    <x v="7"/>
    <x v="0"/>
    <n v="17755.998"/>
    <n v="0"/>
    <n v="31.130373868704268"/>
    <n v="45.786543228941568"/>
    <n v="0"/>
    <n v="260234.91384803478"/>
    <x v="0"/>
  </r>
  <r>
    <s v="BBBBB2222B"/>
    <s v="HDFC Flexi Cap Fund - Direct Plan - Growth"/>
    <d v="2010-08-27T00:00:00"/>
    <n v="0"/>
    <n v="601.35"/>
    <x v="14"/>
    <x v="0"/>
    <n v="0"/>
    <n v="0"/>
    <n v="0"/>
    <n v="0"/>
    <n v="0"/>
    <n v="0"/>
    <x v="1"/>
  </r>
  <r>
    <s v="BBBBB2222B"/>
    <s v="HDFC Flexi Cap Fund - Direct Plan - Growth"/>
    <d v="2014-04-08T00:00:00"/>
    <n v="-2161.9299999999998"/>
    <n v="-55202.93"/>
    <x v="1"/>
    <x v="0"/>
    <n v="2161.9299999999998"/>
    <n v="0"/>
    <n v="20.901008617320706"/>
    <n v="25.534096848649124"/>
    <n v="0"/>
    <n v="10016.412439955848"/>
    <x v="1"/>
  </r>
  <r>
    <s v="BBBBB2222B"/>
    <s v="HDFC Flexi Cap Fund - Direct Plan - Growth"/>
    <d v="2015-08-01T00:00:00"/>
    <n v="0"/>
    <n v="5796.78"/>
    <x v="15"/>
    <x v="0"/>
    <n v="0"/>
    <n v="0"/>
    <n v="0"/>
    <n v="0"/>
    <n v="0"/>
    <n v="0"/>
    <x v="1"/>
  </r>
  <r>
    <s v="BBBBB2222B"/>
    <s v="HDFC Flexi Cap Fund - Direct Plan - Growth"/>
    <d v="2015-08-01T00:00:00"/>
    <n v="-2318.7130000000002"/>
    <n v="-65288.19"/>
    <x v="15"/>
    <x v="0"/>
    <n v="2318.7130000000002"/>
    <n v="0"/>
    <n v="20.789527017561756"/>
    <n v="28.157081104906037"/>
    <n v="0"/>
    <n v="17083.24344052832"/>
    <x v="1"/>
  </r>
  <r>
    <s v="BBBBB2222B"/>
    <s v="HDFC Flexi Cap Fund - Direct Plan - Growth"/>
    <d v="2017-10-19T00:00:00"/>
    <n v="-2791.1480000000001"/>
    <n v="-85273.37"/>
    <x v="3"/>
    <x v="0"/>
    <n v="2791.1480000000001"/>
    <n v="0"/>
    <n v="22.769317248279197"/>
    <n v="30.551360945388776"/>
    <n v="0"/>
    <n v="21720.835701100008"/>
    <x v="1"/>
  </r>
  <r>
    <s v="BBBBB2222B"/>
    <s v="HDFC Flexi Cap Fund - Direct Plan - Growth"/>
    <d v="2019-03-13T00:00:00"/>
    <n v="0"/>
    <n v="6857.51"/>
    <x v="4"/>
    <x v="0"/>
    <n v="0"/>
    <n v="0"/>
    <n v="0"/>
    <n v="0"/>
    <n v="0"/>
    <n v="0"/>
    <x v="1"/>
  </r>
  <r>
    <s v="BBBBB2222B"/>
    <s v="HDFC Flexi Cap Fund - Direct Plan - Growth"/>
    <d v="2019-07-11T00:00:00"/>
    <n v="-2856.7420000000002"/>
    <n v="-101723.01"/>
    <x v="5"/>
    <x v="0"/>
    <n v="2856.7420000000002"/>
    <n v="0"/>
    <n v="24.697914868033561"/>
    <n v="35.608049309318091"/>
    <n v="0"/>
    <n v="31167.439284064054"/>
    <x v="1"/>
  </r>
  <r>
    <s v="BBBBB2222B"/>
    <s v="HDFC Flexi Cap Fund - Direct Plan - Growth"/>
    <d v="2022-07-25T00:00:00"/>
    <n v="0"/>
    <n v="8211.5400000000009"/>
    <x v="8"/>
    <x v="0"/>
    <n v="0"/>
    <n v="0"/>
    <n v="0"/>
    <n v="0"/>
    <n v="0"/>
    <n v="0"/>
    <x v="1"/>
  </r>
  <r>
    <s v="BBBBB2222B"/>
    <s v="HDFC Flexi Cap Fund - Direct Plan - Growth"/>
    <d v="2023-12-17T00:00:00"/>
    <n v="0"/>
    <n v="9261.86"/>
    <x v="11"/>
    <x v="0"/>
    <n v="0"/>
    <n v="0"/>
    <n v="0"/>
    <n v="0"/>
    <n v="0"/>
    <n v="0"/>
    <x v="1"/>
  </r>
  <r>
    <s v="BBBBB2222B"/>
    <s v="Parag Parikh Flexi Cap Fund - Direct Growth"/>
    <d v="2010-04-23T00:00:00"/>
    <n v="-49.887"/>
    <n v="-1000"/>
    <x v="14"/>
    <x v="0"/>
    <n v="0"/>
    <n v="49.887"/>
    <n v="20.045141659016103"/>
    <n v="20.045302383386453"/>
    <n v="8.0180566636325317E-3"/>
    <n v="0"/>
    <x v="1"/>
  </r>
  <r>
    <s v="BBBBB2222B"/>
    <s v="Parag Parikh Flexi Cap Fund - Direct Growth"/>
    <d v="2010-05-23T00:00:00"/>
    <n v="0"/>
    <n v="221.12"/>
    <x v="14"/>
    <x v="0"/>
    <n v="0"/>
    <n v="0"/>
    <n v="0"/>
    <n v="0"/>
    <n v="0"/>
    <n v="0"/>
    <x v="1"/>
  </r>
  <r>
    <s v="BBBBB2222B"/>
    <s v="Parag Parikh Flexi Cap Fund - Direct Growth"/>
    <d v="2011-02-17T00:00:00"/>
    <n v="-512.25199999999995"/>
    <n v="-10780.26"/>
    <x v="14"/>
    <x v="0"/>
    <n v="0"/>
    <n v="512.25199999999995"/>
    <n v="20.39064959817971"/>
    <n v="21.04483730663814"/>
    <n v="335.10896203324768"/>
    <n v="0"/>
    <x v="1"/>
  </r>
  <r>
    <s v="BBBBB2222B"/>
    <s v="Parag Parikh Flexi Cap Fund - Direct Growth"/>
    <d v="2011-07-17T00:00:00"/>
    <n v="-640.81799999999998"/>
    <n v="-13944.48"/>
    <x v="0"/>
    <x v="0"/>
    <n v="640.81799999999998"/>
    <n v="0"/>
    <n v="21.040876853377686"/>
    <n v="21.760437440895856"/>
    <n v="0"/>
    <n v="461.10737657221898"/>
    <x v="1"/>
  </r>
  <r>
    <s v="BBBBB2222B"/>
    <s v="Parag Parikh Flexi Cap Fund - Direct Growth"/>
    <d v="2013-10-04T00:00:00"/>
    <n v="-1699.732"/>
    <n v="-42533.5"/>
    <x v="10"/>
    <x v="0"/>
    <n v="1699.732"/>
    <n v="0"/>
    <n v="21.337025325425671"/>
    <n v="25.023650787300586"/>
    <n v="0"/>
    <n v="6266.2752695635718"/>
    <x v="1"/>
  </r>
  <r>
    <s v="BBBBB2222B"/>
    <s v="Parag Parikh Flexi Cap Fund - Direct Growth"/>
    <d v="2014-03-03T00:00:00"/>
    <n v="-1557.96"/>
    <n v="-39863.69"/>
    <x v="10"/>
    <x v="0"/>
    <n v="1557.96"/>
    <n v="0"/>
    <n v="21.66610315964364"/>
    <n v="25.587107499550694"/>
    <n v="0"/>
    <n v="6108.7679214015934"/>
    <x v="1"/>
  </r>
  <r>
    <s v="BBBBB2222B"/>
    <s v="Parag Parikh Flexi Cap Fund - Direct Growth"/>
    <d v="2014-04-02T00:00:00"/>
    <n v="0"/>
    <n v="3214.34"/>
    <x v="1"/>
    <x v="0"/>
    <n v="0"/>
    <n v="0"/>
    <n v="0"/>
    <n v="0"/>
    <n v="0"/>
    <n v="0"/>
    <x v="1"/>
  </r>
  <r>
    <s v="BBBBB2222B"/>
    <s v="Parag Parikh Flexi Cap Fund - Direct Growth"/>
    <d v="2015-10-24T00:00:00"/>
    <n v="0"/>
    <n v="4929.83"/>
    <x v="15"/>
    <x v="0"/>
    <n v="0"/>
    <n v="0"/>
    <n v="0"/>
    <n v="0"/>
    <n v="0"/>
    <n v="0"/>
    <x v="1"/>
  </r>
  <r>
    <s v="BBBBB2222B"/>
    <s v="Parag Parikh Flexi Cap Fund - Direct Growth"/>
    <d v="2016-03-22T00:00:00"/>
    <n v="0"/>
    <n v="5346.27"/>
    <x v="15"/>
    <x v="0"/>
    <n v="0"/>
    <n v="0"/>
    <n v="0"/>
    <n v="0"/>
    <n v="0"/>
    <n v="0"/>
    <x v="1"/>
  </r>
  <r>
    <s v="BBBBB2222B"/>
    <s v="Parag Parikh Flexi Cap Fund - Direct Growth"/>
    <d v="2016-07-20T00:00:00"/>
    <n v="-2270.2249999999999"/>
    <n v="-67990.820000000007"/>
    <x v="2"/>
    <x v="0"/>
    <n v="2270.2249999999999"/>
    <n v="0"/>
    <n v="22.305981812720436"/>
    <n v="29.948934576969247"/>
    <n v="0"/>
    <n v="17351.222439216755"/>
    <x v="1"/>
  </r>
  <r>
    <s v="BBBBB2222B"/>
    <s v="Parag Parikh Flexi Cap Fund - Direct Growth"/>
    <d v="2016-11-17T00:00:00"/>
    <n v="-1948.913"/>
    <n v="-59399.1"/>
    <x v="2"/>
    <x v="0"/>
    <n v="1948.913"/>
    <n v="0"/>
    <n v="23.007513275807334"/>
    <n v="30.478066491423679"/>
    <n v="0"/>
    <n v="14559.458279106499"/>
    <x v="1"/>
  </r>
  <r>
    <s v="BBBBB2222B"/>
    <s v="Parag Parikh Flexi Cap Fund - Direct Growth"/>
    <d v="2017-05-16T00:00:00"/>
    <n v="-1750.345"/>
    <n v="-57321.34"/>
    <x v="3"/>
    <x v="0"/>
    <n v="1750.345"/>
    <n v="0"/>
    <n v="24.479937927495847"/>
    <n v="32.74859527693112"/>
    <n v="0"/>
    <n v="14473.003048297283"/>
    <x v="1"/>
  </r>
  <r>
    <s v="BBBBB2222B"/>
    <s v="Parag Parikh Flexi Cap Fund - Direct Growth"/>
    <d v="2019-01-06T00:00:00"/>
    <n v="0"/>
    <n v="5011.3999999999996"/>
    <x v="4"/>
    <x v="0"/>
    <n v="0"/>
    <n v="0"/>
    <n v="0"/>
    <n v="0"/>
    <n v="0"/>
    <n v="0"/>
    <x v="1"/>
  </r>
  <r>
    <s v="BBBBB2222B"/>
    <s v="Parag Parikh Flexi Cap Fund - Direct Growth"/>
    <d v="2019-09-03T00:00:00"/>
    <n v="0"/>
    <n v="5562.64"/>
    <x v="5"/>
    <x v="0"/>
    <n v="0"/>
    <n v="0"/>
    <n v="0"/>
    <n v="0"/>
    <n v="0"/>
    <n v="0"/>
    <x v="1"/>
  </r>
  <r>
    <s v="BBBBB2222B"/>
    <s v="Parag Parikh Flexi Cap Fund - Direct Growth"/>
    <d v="2019-12-02T00:00:00"/>
    <n v="-2303.346"/>
    <n v="-88767.92"/>
    <x v="5"/>
    <x v="0"/>
    <n v="2303.346"/>
    <n v="0"/>
    <n v="26.622775110314894"/>
    <n v="38.538682421138638"/>
    <n v="0"/>
    <n v="27446.457440756629"/>
    <x v="1"/>
  </r>
  <r>
    <s v="BBBBB2222B"/>
    <s v="SBI Liquid Fund Direct Growth"/>
    <d v="2015-07-16T00:00:00"/>
    <n v="-2213.721"/>
    <n v="-67814.080000000002"/>
    <x v="15"/>
    <x v="0"/>
    <n v="2213.721"/>
    <n v="0"/>
    <n v="20.598816181237961"/>
    <n v="30.633526085717214"/>
    <n v="0"/>
    <n v="22214.048044453717"/>
    <x v="1"/>
  </r>
  <r>
    <s v="BBBBB2222B"/>
    <s v="SBI Liquid Fund Direct Growth"/>
    <d v="2015-09-14T00:00:00"/>
    <n v="-1835.5920000000001"/>
    <n v="-56969.62"/>
    <x v="15"/>
    <x v="0"/>
    <n v="1835.5920000000001"/>
    <n v="0"/>
    <n v="23.582414691159304"/>
    <n v="31.036101704518217"/>
    <n v="0"/>
    <n v="13681.928252225514"/>
    <x v="1"/>
  </r>
  <r>
    <s v="BBBBB2222B"/>
    <s v="SBI Liquid Fund Direct Growth"/>
    <d v="2017-11-02T00:00:00"/>
    <n v="-2245.9160000000002"/>
    <n v="-80477.45"/>
    <x v="3"/>
    <x v="0"/>
    <n v="2245.9160000000002"/>
    <n v="0"/>
    <n v="26.590082280788835"/>
    <n v="35.832796061829555"/>
    <n v="0"/>
    <n v="20758.35876425985"/>
    <x v="1"/>
  </r>
  <r>
    <s v="BBBBB2222B"/>
    <s v="SBI Liquid Fund Direct Growth"/>
    <d v="2018-08-29T00:00:00"/>
    <n v="-2063.5740000000001"/>
    <n v="-81269.320000000007"/>
    <x v="4"/>
    <x v="0"/>
    <n v="2063.5740000000001"/>
    <n v="0"/>
    <n v="28.953449106685344"/>
    <n v="39.382798969167091"/>
    <n v="0"/>
    <n v="21521.735213120908"/>
    <x v="1"/>
  </r>
  <r>
    <s v="BBBBB2222B"/>
    <s v="SBI Liquid Fund Direct Growth"/>
    <d v="2018-12-27T00:00:00"/>
    <n v="-1752.41"/>
    <n v="-70961.33"/>
    <x v="4"/>
    <x v="0"/>
    <n v="1752.41"/>
    <n v="0"/>
    <n v="29.681914497712533"/>
    <n v="40.493566003389617"/>
    <n v="0"/>
    <n v="18946.446215063577"/>
    <x v="1"/>
  </r>
  <r>
    <s v="BBBBB2222B"/>
    <s v="SBI Liquid Fund Direct Growth"/>
    <d v="2020-06-19T00:00:00"/>
    <n v="-1814.106"/>
    <n v="-81298.5"/>
    <x v="6"/>
    <x v="0"/>
    <n v="1814.106"/>
    <n v="0"/>
    <n v="30.928211147227849"/>
    <n v="44.814635969452723"/>
    <n v="0"/>
    <n v="25191.446588547078"/>
    <x v="1"/>
  </r>
  <r>
    <s v="BBBBB2222B"/>
    <s v="SBI Liquid Fund Direct Growth"/>
    <d v="2023-04-05T00:00:00"/>
    <n v="-2129.556"/>
    <n v="-124817.28"/>
    <x v="11"/>
    <x v="0"/>
    <n v="2129.556"/>
    <n v="0"/>
    <n v="32.681434993284853"/>
    <n v="58.611879659421959"/>
    <n v="0"/>
    <n v="55220.334021440271"/>
    <x v="1"/>
  </r>
  <r>
    <s v="BBBBB2222B"/>
    <s v="SBI Liquid Fund Direct Growth"/>
    <d v="2024-07-28T00:00:00"/>
    <n v="-1966.046"/>
    <n v="-131555.87"/>
    <x v="13"/>
    <x v="0"/>
    <n v="1966.046"/>
    <n v="0"/>
    <n v="36.210639826321476"/>
    <n v="66.913932837787101"/>
    <n v="0"/>
    <n v="60364.086412019948"/>
    <x v="1"/>
  </r>
  <r>
    <s v="BBBBB2222B"/>
    <s v="SBI Liquid Fund Direct Growth"/>
    <d v="2025-12-20T00:00:00"/>
    <n v="-1807.508"/>
    <n v="-134307.13"/>
    <x v="9"/>
    <x v="0"/>
    <n v="1807.508"/>
    <n v="0"/>
    <n v="40.374666242313538"/>
    <n v="74.305137238673353"/>
    <n v="0"/>
    <n v="61329.597769688342"/>
    <x v="1"/>
  </r>
  <r>
    <s v="BBBBB2222B"/>
    <s v="ICICI Pru Equity &amp; Debt Fund - Direct Growth"/>
    <d v="2010-05-02T00:00:00"/>
    <n v="-196.39400000000001"/>
    <n v="-4086.59"/>
    <x v="14"/>
    <x v="0"/>
    <n v="0"/>
    <n v="196.39400000000001"/>
    <n v="20.007602889097857"/>
    <n v="20.80812041101052"/>
    <n v="157.21683819851563"/>
    <n v="0"/>
    <x v="1"/>
  </r>
  <r>
    <s v="BBBBB2222B"/>
    <s v="ICICI Pru Equity &amp; Debt Fund - Direct Growth"/>
    <d v="2010-06-01T00:00:00"/>
    <n v="-206.12899999999999"/>
    <n v="-4205.57"/>
    <x v="14"/>
    <x v="0"/>
    <n v="0"/>
    <n v="206.12899999999999"/>
    <n v="20.122958267135868"/>
    <n v="20.402611956590292"/>
    <n v="57.644735353550949"/>
    <n v="0"/>
    <x v="1"/>
  </r>
  <r>
    <s v="BBBBB2222B"/>
    <s v="ICICI Pru Equity &amp; Debt Fund - Direct Growth"/>
    <d v="2016-03-01T00:00:00"/>
    <n v="0"/>
    <n v="8009.77"/>
    <x v="15"/>
    <x v="0"/>
    <n v="0"/>
    <n v="0"/>
    <n v="0"/>
    <n v="0"/>
    <n v="0"/>
    <n v="0"/>
    <x v="1"/>
  </r>
  <r>
    <s v="BBBBB2222B"/>
    <s v="ICICI Pru Equity &amp; Debt Fund - Direct Growth"/>
    <d v="2016-04-30T00:00:00"/>
    <n v="0"/>
    <n v="8195.8799999999992"/>
    <x v="2"/>
    <x v="0"/>
    <n v="0"/>
    <n v="0"/>
    <n v="0"/>
    <n v="0"/>
    <n v="0"/>
    <n v="0"/>
    <x v="1"/>
  </r>
  <r>
    <s v="BBBBB2222B"/>
    <s v="ICICI Pru Equity &amp; Debt Fund - Direct Growth"/>
    <d v="2016-10-27T00:00:00"/>
    <n v="0"/>
    <n v="8730.7099999999991"/>
    <x v="2"/>
    <x v="0"/>
    <n v="0"/>
    <n v="0"/>
    <n v="0"/>
    <n v="0"/>
    <n v="0"/>
    <n v="0"/>
    <x v="1"/>
  </r>
  <r>
    <s v="BBBBB2222B"/>
    <s v="ICICI Pru Equity &amp; Debt Fund - Direct Growth"/>
    <d v="2017-03-26T00:00:00"/>
    <n v="0"/>
    <n v="9159.01"/>
    <x v="2"/>
    <x v="0"/>
    <n v="0"/>
    <n v="0"/>
    <n v="0"/>
    <n v="0"/>
    <n v="0"/>
    <n v="0"/>
    <x v="1"/>
  </r>
  <r>
    <s v="BBBBB2222B"/>
    <s v="ICICI Pru Equity &amp; Debt Fund - Direct Growth"/>
    <d v="2018-08-18T00:00:00"/>
    <n v="0"/>
    <n v="10519.87"/>
    <x v="4"/>
    <x v="0"/>
    <n v="0"/>
    <n v="0"/>
    <n v="0"/>
    <n v="0"/>
    <n v="0"/>
    <n v="0"/>
    <x v="1"/>
  </r>
  <r>
    <s v="BBBBB2222B"/>
    <s v="ICICI Pru Equity &amp; Debt Fund - Direct Growth"/>
    <d v="2019-12-11T00:00:00"/>
    <n v="-4678.4979999999996"/>
    <n v="-171709.62"/>
    <x v="5"/>
    <x v="0"/>
    <n v="4678.4979999999996"/>
    <n v="0"/>
    <n v="20.610408141757695"/>
    <n v="36.701868847651532"/>
    <n v="0"/>
    <n v="75283.866729602902"/>
    <x v="1"/>
  </r>
  <r>
    <s v="BBBBB2222B"/>
    <s v="ICICI Pru Equity &amp; Debt Fund - Direct Growth"/>
    <d v="2020-08-07T00:00:00"/>
    <n v="0"/>
    <n v="9899.5400000000009"/>
    <x v="6"/>
    <x v="0"/>
    <n v="0"/>
    <n v="0"/>
    <n v="0"/>
    <n v="0"/>
    <n v="0"/>
    <n v="0"/>
    <x v="1"/>
  </r>
  <r>
    <s v="BBBBB2222B"/>
    <s v="ICICI Pru Equity &amp; Debt Fund - Direct Growth"/>
    <d v="2021-10-31T00:00:00"/>
    <n v="0"/>
    <n v="10843.76"/>
    <x v="7"/>
    <x v="0"/>
    <n v="0"/>
    <n v="0"/>
    <n v="0"/>
    <n v="0"/>
    <n v="0"/>
    <n v="0"/>
    <x v="1"/>
  </r>
  <r>
    <s v="BBBBB2222B"/>
    <s v="ICICI Pru Equity &amp; Debt Fund - Direct Growth"/>
    <d v="2022-06-28T00:00:00"/>
    <n v="0"/>
    <n v="11303.42"/>
    <x v="8"/>
    <x v="0"/>
    <n v="0"/>
    <n v="0"/>
    <n v="0"/>
    <n v="0"/>
    <n v="0"/>
    <n v="0"/>
    <x v="1"/>
  </r>
  <r>
    <s v="BBBBB2222B"/>
    <s v="ICICI Pru Equity &amp; Debt Fund - Direct Growth"/>
    <d v="2022-09-26T00:00:00"/>
    <n v="0"/>
    <n v="11467.22"/>
    <x v="8"/>
    <x v="0"/>
    <n v="0"/>
    <n v="0"/>
    <n v="0"/>
    <n v="0"/>
    <n v="0"/>
    <n v="0"/>
    <x v="1"/>
  </r>
  <r>
    <s v="BBBBB2222B"/>
    <s v="ICICI Pru Equity &amp; Debt Fund - Direct Growth"/>
    <d v="2022-10-26T00:00:00"/>
    <n v="0"/>
    <n v="11521.5"/>
    <x v="8"/>
    <x v="0"/>
    <n v="0"/>
    <n v="0"/>
    <n v="0"/>
    <n v="0"/>
    <n v="0"/>
    <n v="0"/>
    <x v="1"/>
  </r>
  <r>
    <s v="BBBBB2222B"/>
    <s v="ICICI Pru Equity &amp; Debt Fund - Direct Growth"/>
    <d v="2023-02-23T00:00:00"/>
    <n v="-4692.9560000000001"/>
    <n v="-226277.07"/>
    <x v="8"/>
    <x v="0"/>
    <n v="4692.9560000000001"/>
    <n v="0"/>
    <n v="21.882680348814958"/>
    <n v="48.216320374621027"/>
    <n v="0"/>
    <n v="123582.61396094675"/>
    <x v="1"/>
  </r>
  <r>
    <s v="BBBBB2222B"/>
    <s v="ICICI Pru Equity &amp; Debt Fund - Direct Growth"/>
    <d v="2023-12-20T00:00:00"/>
    <n v="0"/>
    <n v="9891.4599999999991"/>
    <x v="11"/>
    <x v="0"/>
    <n v="0"/>
    <n v="0"/>
    <n v="0"/>
    <n v="0"/>
    <n v="0"/>
    <n v="0"/>
    <x v="1"/>
  </r>
  <r>
    <s v="BBBBB2222B"/>
    <s v="ICICI Pru Equity &amp; Debt Fund - Direct Growth"/>
    <d v="2024-02-18T00:00:00"/>
    <n v="-3996.5309999999999"/>
    <n v="-200332.51"/>
    <x v="11"/>
    <x v="0"/>
    <n v="3996.5309999999999"/>
    <n v="0"/>
    <n v="24.673927432777422"/>
    <n v="50.126599793671062"/>
    <n v="0"/>
    <n v="101722.39412315462"/>
    <x v="1"/>
  </r>
  <r>
    <s v="BBBBB2222B"/>
    <s v="ICICI Pru Equity &amp; Debt Fund - Direct Growth"/>
    <d v="2024-07-17T00:00:00"/>
    <n v="0"/>
    <n v="8237.9699999999993"/>
    <x v="13"/>
    <x v="0"/>
    <n v="0"/>
    <n v="0"/>
    <n v="0"/>
    <n v="0"/>
    <n v="0"/>
    <n v="0"/>
    <x v="1"/>
  </r>
  <r>
    <s v="BBBBB2222B"/>
    <s v="ICICI Pru Equity &amp; Debt Fund - Direct Growth"/>
    <d v="2024-07-17T00:00:00"/>
    <n v="-3295.1889999999999"/>
    <n v="-169140.96"/>
    <x v="13"/>
    <x v="0"/>
    <n v="3295.1889999999999"/>
    <n v="0"/>
    <n v="26.298911855156401"/>
    <n v="51.329668798967219"/>
    <n v="0"/>
    <n v="82481.074942919018"/>
    <x v="1"/>
  </r>
  <r>
    <s v="BBBBB2222B"/>
    <s v="ICICI Pru Equity &amp; Debt Fund - Direct Growth"/>
    <d v="2025-11-09T00:00:00"/>
    <n v="0"/>
    <n v="7359.43"/>
    <x v="9"/>
    <x v="0"/>
    <n v="0"/>
    <n v="0"/>
    <n v="0"/>
    <n v="0"/>
    <n v="0"/>
    <n v="0"/>
    <x v="1"/>
  </r>
  <r>
    <s v="BBBBB2222B"/>
    <s v="ICICI Pru Equity &amp; Debt Fund - Direct Growth"/>
    <d v="2026-04-08T00:00:00"/>
    <n v="0"/>
    <n v="7581.19"/>
    <x v="16"/>
    <x v="0"/>
    <n v="0"/>
    <n v="0"/>
    <n v="0"/>
    <n v="0"/>
    <n v="0"/>
    <n v="0"/>
    <x v="1"/>
  </r>
  <r>
    <s v="BBBBB2222B"/>
    <s v="ICICI Pru Equity &amp; Debt Fund - Direct Growth"/>
    <d v="2026-06-07T00:00:00"/>
    <n v="-3068.69"/>
    <n v="-168139.62"/>
    <x v="16"/>
    <x v="0"/>
    <n v="3068.69"/>
    <n v="0"/>
    <n v="29.631987106823026"/>
    <n v="54.791986156959481"/>
    <n v="0"/>
    <n v="77208.237485163248"/>
    <x v="1"/>
  </r>
  <r>
    <s v="BBBBB2222B"/>
    <s v="Axis ELSS Tax Saver Fund - Direct Growth"/>
    <d v="2011-02-14T00:00:00"/>
    <n v="0"/>
    <n v="980.74"/>
    <x v="14"/>
    <x v="0"/>
    <n v="0"/>
    <n v="0"/>
    <n v="0"/>
    <n v="0"/>
    <n v="0"/>
    <n v="0"/>
    <x v="1"/>
  </r>
  <r>
    <s v="BBBBB2222B"/>
    <s v="Axis ELSS Tax Saver Fund - Direct Growth"/>
    <d v="2011-04-15T00:00:00"/>
    <n v="0"/>
    <n v="1225.6600000000001"/>
    <x v="0"/>
    <x v="0"/>
    <n v="0"/>
    <n v="0"/>
    <n v="0"/>
    <n v="0"/>
    <n v="0"/>
    <n v="0"/>
    <x v="1"/>
  </r>
  <r>
    <s v="BBBBB2222B"/>
    <s v="Axis ELSS Tax Saver Fund - Direct Growth"/>
    <d v="2012-08-07T00:00:00"/>
    <n v="0"/>
    <n v="3071.48"/>
    <x v="12"/>
    <x v="0"/>
    <n v="0"/>
    <n v="0"/>
    <n v="0"/>
    <n v="0"/>
    <n v="0"/>
    <n v="0"/>
    <x v="1"/>
  </r>
  <r>
    <s v="BBBBB2222B"/>
    <s v="Axis ELSS Tax Saver Fund - Direct Growth"/>
    <d v="2013-02-03T00:00:00"/>
    <n v="0"/>
    <n v="3736.97"/>
    <x v="12"/>
    <x v="0"/>
    <n v="0"/>
    <n v="0"/>
    <n v="0"/>
    <n v="0"/>
    <n v="0"/>
    <n v="0"/>
    <x v="1"/>
  </r>
  <r>
    <s v="BBBBB2222B"/>
    <s v="Axis ELSS Tax Saver Fund - Direct Growth"/>
    <d v="2013-07-03T00:00:00"/>
    <n v="0"/>
    <n v="4279.63"/>
    <x v="10"/>
    <x v="0"/>
    <n v="0"/>
    <n v="0"/>
    <n v="0"/>
    <n v="0"/>
    <n v="0"/>
    <n v="0"/>
    <x v="1"/>
  </r>
  <r>
    <s v="BBBBB2222B"/>
    <s v="Axis ELSS Tax Saver Fund - Direct Growth"/>
    <d v="2016-03-19T00:00:00"/>
    <n v="0"/>
    <n v="7398.98"/>
    <x v="15"/>
    <x v="0"/>
    <n v="0"/>
    <n v="0"/>
    <n v="0"/>
    <n v="0"/>
    <n v="0"/>
    <n v="0"/>
    <x v="1"/>
  </r>
  <r>
    <s v="BBBBB2222B"/>
    <s v="Axis ELSS Tax Saver Fund - Direct Growth"/>
    <d v="2016-07-17T00:00:00"/>
    <n v="-3088.3270000000002"/>
    <n v="-96544.79"/>
    <x v="2"/>
    <x v="0"/>
    <n v="3088.3270000000002"/>
    <n v="0"/>
    <n v="20.430228772982694"/>
    <n v="31.261194167586524"/>
    <n v="0"/>
    <n v="33449.562864220665"/>
    <x v="1"/>
  </r>
  <r>
    <s v="BBBBB2222B"/>
    <s v="Axis ELSS Tax Saver Fund - Direct Growth"/>
    <d v="2017-08-11T00:00:00"/>
    <n v="0"/>
    <n v="7227.68"/>
    <x v="3"/>
    <x v="0"/>
    <n v="0"/>
    <n v="0"/>
    <n v="0"/>
    <n v="0"/>
    <n v="0"/>
    <n v="0"/>
    <x v="1"/>
  </r>
  <r>
    <s v="BBBBB2222B"/>
    <s v="Axis ELSS Tax Saver Fund - Direct Growth"/>
    <d v="2018-04-08T00:00:00"/>
    <n v="-3161.2660000000001"/>
    <n v="-89637.92"/>
    <x v="4"/>
    <x v="0"/>
    <n v="3161.2660000000001"/>
    <n v="0"/>
    <n v="21.910098784303472"/>
    <n v="28.355070405337607"/>
    <n v="0"/>
    <n v="20374.269656540095"/>
    <x v="1"/>
  </r>
  <r>
    <s v="BBBBB2222B"/>
    <s v="Axis ELSS Tax Saver Fund - Direct Growth"/>
    <d v="2018-11-04T00:00:00"/>
    <n v="-2774.9589999999998"/>
    <n v="-80653.52"/>
    <x v="4"/>
    <x v="0"/>
    <n v="2774.9589999999998"/>
    <n v="0"/>
    <n v="22.809266342534521"/>
    <n v="29.064760956828554"/>
    <n v="0"/>
    <n v="17358.741079386753"/>
    <x v="1"/>
  </r>
  <r>
    <s v="BBBBB2222B"/>
    <s v="Axis ELSS Tax Saver Fund - Direct Growth"/>
    <d v="2019-04-03T00:00:00"/>
    <n v="0"/>
    <n v="5972.18"/>
    <x v="5"/>
    <x v="0"/>
    <n v="0"/>
    <n v="0"/>
    <n v="0"/>
    <n v="0"/>
    <n v="0"/>
    <n v="0"/>
    <x v="1"/>
  </r>
  <r>
    <s v="BBBBB2222B"/>
    <s v="Axis ELSS Tax Saver Fund - Direct Growth"/>
    <d v="2020-03-28T00:00:00"/>
    <n v="0"/>
    <n v="6920.18"/>
    <x v="5"/>
    <x v="0"/>
    <n v="0"/>
    <n v="0"/>
    <n v="0"/>
    <n v="0"/>
    <n v="0"/>
    <n v="0"/>
    <x v="1"/>
  </r>
  <r>
    <s v="BBBBB2222B"/>
    <s v="Axis ELSS Tax Saver Fund - Direct Growth"/>
    <d v="2021-03-23T00:00:00"/>
    <n v="0"/>
    <n v="7839.63"/>
    <x v="6"/>
    <x v="0"/>
    <n v="0"/>
    <n v="0"/>
    <n v="0"/>
    <n v="0"/>
    <n v="0"/>
    <n v="0"/>
    <x v="1"/>
  </r>
  <r>
    <s v="BBBBB2222B"/>
    <s v="Axis ELSS Tax Saver Fund - Direct Growth"/>
    <d v="2021-08-20T00:00:00"/>
    <n v="0"/>
    <n v="8192.85"/>
    <x v="7"/>
    <x v="0"/>
    <n v="0"/>
    <n v="0"/>
    <n v="0"/>
    <n v="0"/>
    <n v="0"/>
    <n v="0"/>
    <x v="1"/>
  </r>
  <r>
    <s v="BBBBB2222B"/>
    <s v="Axis ELSS Tax Saver Fund - Direct Growth"/>
    <d v="2022-01-17T00:00:00"/>
    <n v="-16941.473999999998"/>
    <n v="-609867.41"/>
    <x v="7"/>
    <x v="0"/>
    <n v="16941.473999999998"/>
    <n v="0"/>
    <n v="29.769921058825673"/>
    <n v="35.998485727983294"/>
    <n v="0"/>
    <n v="105521.06639985243"/>
    <x v="1"/>
  </r>
  <r>
    <s v="CCCCC3333C"/>
    <s v="HDFC Flexi Cap Fund - Direct Plan - Growth"/>
    <d v="2013-02-20T00:00:00"/>
    <n v="-1382.6959999999999"/>
    <n v="-30794.11"/>
    <x v="12"/>
    <x v="0"/>
    <n v="1382.6959999999999"/>
    <n v="0"/>
    <n v="20.884382328205355"/>
    <n v="22.27106319827352"/>
    <n v="0"/>
    <n v="1917.3580923197717"/>
    <x v="2"/>
  </r>
  <r>
    <s v="CCCCC3333C"/>
    <s v="HDFC Flexi Cap Fund - Direct Plan - Growth"/>
    <d v="2013-03-22T00:00:00"/>
    <n v="-1150.7660000000001"/>
    <n v="-25796.93"/>
    <x v="12"/>
    <x v="0"/>
    <n v="1150.7660000000001"/>
    <n v="0"/>
    <n v="21.683998063752895"/>
    <n v="22.417181251444688"/>
    <n v="0"/>
    <n v="843.72228416733412"/>
    <x v="2"/>
  </r>
  <r>
    <s v="CCCCC3333C"/>
    <s v="HDFC Flexi Cap Fund - Direct Plan - Growth"/>
    <d v="2014-07-15T00:00:00"/>
    <n v="0"/>
    <n v="3995.87"/>
    <x v="1"/>
    <x v="0"/>
    <n v="0"/>
    <n v="0"/>
    <n v="0"/>
    <n v="0"/>
    <n v="0"/>
    <n v="0"/>
    <x v="2"/>
  </r>
  <r>
    <s v="CCCCC3333C"/>
    <s v="HDFC Flexi Cap Fund - Direct Plan - Growth"/>
    <d v="2016-06-04T00:00:00"/>
    <n v="0"/>
    <n v="6132.57"/>
    <x v="2"/>
    <x v="0"/>
    <n v="0"/>
    <n v="0"/>
    <n v="0"/>
    <n v="0"/>
    <n v="0"/>
    <n v="0"/>
    <x v="2"/>
  </r>
  <r>
    <s v="CCCCC3333C"/>
    <s v="HDFC Flexi Cap Fund - Direct Plan - Growth"/>
    <d v="2016-07-04T00:00:00"/>
    <n v="-2489.703"/>
    <n v="-67884.570000000007"/>
    <x v="2"/>
    <x v="0"/>
    <n v="2489.703"/>
    <n v="0"/>
    <n v="21.819262188509601"/>
    <n v="27.266131743424822"/>
    <n v="0"/>
    <n v="13561.087471481091"/>
    <x v="2"/>
  </r>
  <r>
    <s v="CCCCC3333C"/>
    <s v="HDFC Flexi Cap Fund - Direct Plan - Growth"/>
    <d v="2016-09-02T00:00:00"/>
    <n v="-2066.5230000000001"/>
    <n v="-55326.57"/>
    <x v="2"/>
    <x v="0"/>
    <n v="2066.5230000000001"/>
    <n v="0"/>
    <n v="22.161187344582366"/>
    <n v="26.7727821079175"/>
    <n v="0"/>
    <n v="9529.9666451116118"/>
    <x v="2"/>
  </r>
  <r>
    <s v="CCCCC3333C"/>
    <s v="HDFC Flexi Cap Fund - Direct Plan - Growth"/>
    <d v="2016-11-01T00:00:00"/>
    <n v="0"/>
    <n v="4321.07"/>
    <x v="2"/>
    <x v="0"/>
    <n v="0"/>
    <n v="0"/>
    <n v="0"/>
    <n v="0"/>
    <n v="0"/>
    <n v="0"/>
    <x v="2"/>
  </r>
  <r>
    <s v="CCCCC3333C"/>
    <s v="HDFC Flexi Cap Fund - Direct Plan - Growth"/>
    <d v="2018-11-21T00:00:00"/>
    <n v="0"/>
    <n v="6369.46"/>
    <x v="4"/>
    <x v="0"/>
    <n v="0"/>
    <n v="0"/>
    <n v="0"/>
    <n v="0"/>
    <n v="0"/>
    <n v="0"/>
    <x v="2"/>
  </r>
  <r>
    <s v="CCCCC3333C"/>
    <s v="HDFC Flexi Cap Fund - Direct Plan - Growth"/>
    <d v="2018-12-21T00:00:00"/>
    <n v="0"/>
    <n v="6440.98"/>
    <x v="4"/>
    <x v="0"/>
    <n v="0"/>
    <n v="0"/>
    <n v="0"/>
    <n v="0"/>
    <n v="0"/>
    <n v="0"/>
    <x v="2"/>
  </r>
  <r>
    <s v="CCCCC3333C"/>
    <s v="HDFC Flexi Cap Fund - Direct Plan - Growth"/>
    <d v="2019-01-20T00:00:00"/>
    <n v="0"/>
    <n v="6510.88"/>
    <x v="4"/>
    <x v="0"/>
    <n v="0"/>
    <n v="0"/>
    <n v="0"/>
    <n v="0"/>
    <n v="0"/>
    <n v="0"/>
    <x v="2"/>
  </r>
  <r>
    <s v="CCCCC3333C"/>
    <s v="HDFC Flexi Cap Fund - Direct Plan - Growth"/>
    <d v="2019-01-20T00:00:00"/>
    <n v="-2604.35"/>
    <n v="-93154.85"/>
    <x v="4"/>
    <x v="0"/>
    <n v="2604.35"/>
    <n v="0"/>
    <n v="23.26227631723491"/>
    <n v="35.768944266323658"/>
    <n v="0"/>
    <n v="32571.740673209279"/>
    <x v="2"/>
  </r>
  <r>
    <s v="CCCCC3333C"/>
    <s v="HDFC Flexi Cap Fund - Direct Plan - Growth"/>
    <d v="2020-01-15T00:00:00"/>
    <n v="0"/>
    <n v="6098.19"/>
    <x v="5"/>
    <x v="0"/>
    <n v="0"/>
    <n v="0"/>
    <n v="0"/>
    <n v="0"/>
    <n v="0"/>
    <n v="0"/>
    <x v="2"/>
  </r>
  <r>
    <s v="CCCCC3333C"/>
    <s v="HDFC Flexi Cap Fund - Direct Plan - Growth"/>
    <d v="2020-03-15T00:00:00"/>
    <n v="-2499.1669999999999"/>
    <n v="-82860.83"/>
    <x v="5"/>
    <x v="0"/>
    <n v="2499.1669999999999"/>
    <n v="0"/>
    <n v="25.39273089734036"/>
    <n v="33.155379372406891"/>
    <n v="0"/>
    <n v="19400.154901486596"/>
    <x v="2"/>
  </r>
  <r>
    <s v="CCCCC3333C"/>
    <s v="HDFC Flexi Cap Fund - Direct Plan - Growth"/>
    <d v="2022-04-04T00:00:00"/>
    <n v="0"/>
    <n v="6722.85"/>
    <x v="8"/>
    <x v="0"/>
    <n v="0"/>
    <n v="0"/>
    <n v="0"/>
    <n v="0"/>
    <n v="0"/>
    <n v="0"/>
    <x v="2"/>
  </r>
  <r>
    <s v="CCCCC3333C"/>
    <s v="HDFC Flexi Cap Fund - Direct Plan - Growth"/>
    <d v="2022-10-31T00:00:00"/>
    <n v="0"/>
    <n v="7151.38"/>
    <x v="8"/>
    <x v="0"/>
    <n v="0"/>
    <n v="0"/>
    <n v="0"/>
    <n v="0"/>
    <n v="0"/>
    <n v="0"/>
    <x v="2"/>
  </r>
  <r>
    <s v="CCCCC3333C"/>
    <s v="HDFC Flexi Cap Fund - Direct Plan - Growth"/>
    <d v="2023-04-29T00:00:00"/>
    <n v="0"/>
    <n v="7484.42"/>
    <x v="11"/>
    <x v="0"/>
    <n v="0"/>
    <n v="0"/>
    <n v="0"/>
    <n v="0"/>
    <n v="0"/>
    <n v="0"/>
    <x v="2"/>
  </r>
  <r>
    <s v="CCCCC3333C"/>
    <s v="HDFC Flexi Cap Fund - Direct Plan - Growth"/>
    <d v="2025-02-17T00:00:00"/>
    <n v="0"/>
    <n v="8594.9699999999993"/>
    <x v="13"/>
    <x v="0"/>
    <n v="0"/>
    <n v="0"/>
    <n v="0"/>
    <n v="0"/>
    <n v="0"/>
    <n v="0"/>
    <x v="2"/>
  </r>
  <r>
    <s v="CCCCC3333C"/>
    <s v="HDFC Flexi Cap Fund - Direct Plan - Growth"/>
    <d v="2025-08-16T00:00:00"/>
    <n v="0"/>
    <n v="8889.23"/>
    <x v="9"/>
    <x v="0"/>
    <n v="0"/>
    <n v="0"/>
    <n v="0"/>
    <n v="0"/>
    <n v="0"/>
    <n v="0"/>
    <x v="2"/>
  </r>
  <r>
    <s v="CCCCC3333C"/>
    <s v="Parag Parikh Flexi Cap Fund - Direct Growth"/>
    <d v="2010-10-26T00:00:00"/>
    <n v="0"/>
    <n v="370.06"/>
    <x v="14"/>
    <x v="0"/>
    <n v="0"/>
    <n v="0"/>
    <n v="0"/>
    <n v="0"/>
    <n v="0"/>
    <n v="0"/>
    <x v="2"/>
  </r>
  <r>
    <s v="CCCCC3333C"/>
    <s v="Parag Parikh Flexi Cap Fund - Direct Growth"/>
    <d v="2011-11-20T00:00:00"/>
    <n v="-760.63"/>
    <n v="-16516.939999999999"/>
    <x v="0"/>
    <x v="0"/>
    <n v="760.63"/>
    <n v="0"/>
    <n v="20.281769570905762"/>
    <n v="21.714815350433192"/>
    <n v="0"/>
    <n v="1090.0176112819483"/>
    <x v="2"/>
  </r>
  <r>
    <s v="CCCCC3333C"/>
    <s v="Parag Parikh Flexi Cap Fund - Direct Growth"/>
    <d v="2012-01-19T00:00:00"/>
    <n v="-701.01099999999997"/>
    <n v="-15019.23"/>
    <x v="0"/>
    <x v="0"/>
    <n v="701.01099999999997"/>
    <n v="0"/>
    <n v="20.787517474281568"/>
    <n v="21.425098892884705"/>
    <n v="0"/>
    <n v="446.95158783640363"/>
    <x v="2"/>
  </r>
  <r>
    <s v="CCCCC3333C"/>
    <s v="Parag Parikh Flexi Cap Fund - Direct Growth"/>
    <d v="2012-05-18T00:00:00"/>
    <n v="-740.13"/>
    <n v="-16660.68"/>
    <x v="12"/>
    <x v="0"/>
    <n v="740.13"/>
    <n v="0"/>
    <n v="20.780647645601675"/>
    <n v="22.510477889019498"/>
    <n v="0"/>
    <n v="1280.2992580608329"/>
    <x v="2"/>
  </r>
  <r>
    <s v="CCCCC3333C"/>
    <s v="Parag Parikh Flexi Cap Fund - Direct Growth"/>
    <d v="2012-10-15T00:00:00"/>
    <n v="0"/>
    <n v="2026.09"/>
    <x v="12"/>
    <x v="0"/>
    <n v="0"/>
    <n v="0"/>
    <n v="0"/>
    <n v="0"/>
    <n v="0"/>
    <n v="0"/>
    <x v="2"/>
  </r>
  <r>
    <s v="CCCCC3333C"/>
    <s v="Parag Parikh Flexi Cap Fund - Direct Growth"/>
    <d v="2014-11-04T00:00:00"/>
    <n v="0"/>
    <n v="4361.01"/>
    <x v="1"/>
    <x v="0"/>
    <n v="0"/>
    <n v="0"/>
    <n v="0"/>
    <n v="0"/>
    <n v="0"/>
    <n v="0"/>
    <x v="2"/>
  </r>
  <r>
    <s v="CCCCC3333C"/>
    <s v="Parag Parikh Flexi Cap Fund - Direct Growth"/>
    <d v="2019-07-11T00:00:00"/>
    <n v="0"/>
    <n v="8841.7800000000007"/>
    <x v="5"/>
    <x v="0"/>
    <n v="0"/>
    <n v="0"/>
    <n v="0"/>
    <n v="0"/>
    <n v="0"/>
    <n v="0"/>
    <x v="2"/>
  </r>
  <r>
    <s v="CCCCC3333C"/>
    <s v="Parag Parikh Flexi Cap Fund - Direct Growth"/>
    <d v="2020-10-03T00:00:00"/>
    <n v="-3958.98"/>
    <n v="-152536.66"/>
    <x v="6"/>
    <x v="0"/>
    <n v="3958.98"/>
    <n v="0"/>
    <n v="22.088542883551963"/>
    <n v="38.529282795063374"/>
    <n v="0"/>
    <n v="65088.560494875448"/>
    <x v="2"/>
  </r>
  <r>
    <s v="CCCCC3333C"/>
    <s v="Parag Parikh Flexi Cap Fund - Direct Growth"/>
    <d v="2021-03-02T00:00:00"/>
    <n v="0"/>
    <n v="8244.25"/>
    <x v="6"/>
    <x v="0"/>
    <n v="0"/>
    <n v="0"/>
    <n v="0"/>
    <n v="0"/>
    <n v="0"/>
    <n v="0"/>
    <x v="2"/>
  </r>
  <r>
    <s v="CCCCC3333C"/>
    <s v="Parag Parikh Flexi Cap Fund - Direct Growth"/>
    <d v="2022-03-27T00:00:00"/>
    <n v="-3598.3009999999999"/>
    <n v="-162383.63"/>
    <x v="7"/>
    <x v="0"/>
    <n v="3598.3009999999999"/>
    <n v="0"/>
    <n v="25.891000582707303"/>
    <n v="45.127861732523215"/>
    <n v="0"/>
    <n v="69220.016712243741"/>
    <x v="2"/>
  </r>
  <r>
    <s v="CCCCC3333C"/>
    <s v="Parag Parikh Flexi Cap Fund - Direct Growth"/>
    <d v="2022-06-25T00:00:00"/>
    <n v="0"/>
    <n v="7361.58"/>
    <x v="8"/>
    <x v="0"/>
    <n v="0"/>
    <n v="0"/>
    <n v="0"/>
    <n v="0"/>
    <n v="0"/>
    <n v="0"/>
    <x v="2"/>
  </r>
  <r>
    <s v="CCCCC3333C"/>
    <s v="Parag Parikh Flexi Cap Fund - Direct Growth"/>
    <d v="2023-10-18T00:00:00"/>
    <n v="0"/>
    <n v="8222.59"/>
    <x v="11"/>
    <x v="0"/>
    <n v="0"/>
    <n v="0"/>
    <n v="0"/>
    <n v="0"/>
    <n v="0"/>
    <n v="0"/>
    <x v="2"/>
  </r>
  <r>
    <s v="CCCCC3333C"/>
    <s v="Parag Parikh Flexi Cap Fund - Direct Growth"/>
    <d v="2024-09-12T00:00:00"/>
    <n v="0"/>
    <n v="8790.94"/>
    <x v="13"/>
    <x v="0"/>
    <n v="0"/>
    <n v="0"/>
    <n v="0"/>
    <n v="0"/>
    <n v="0"/>
    <n v="0"/>
    <x v="2"/>
  </r>
  <r>
    <s v="CCCCC3333C"/>
    <s v="SBI Liquid Fund Direct Growth"/>
    <d v="2011-01-26T00:00:00"/>
    <n v="-98.95"/>
    <n v="-2024.44"/>
    <x v="14"/>
    <x v="0"/>
    <n v="0"/>
    <n v="98.95"/>
    <n v="19.971002104943622"/>
    <n v="20.459221829206669"/>
    <n v="48.309341715828488"/>
    <n v="0"/>
    <x v="2"/>
  </r>
  <r>
    <s v="CCCCC3333C"/>
    <s v="SBI Liquid Fund Direct Growth"/>
    <d v="2011-05-26T00:00:00"/>
    <n v="-272.49900000000002"/>
    <n v="-5694.63"/>
    <x v="0"/>
    <x v="0"/>
    <n v="0"/>
    <n v="272.49900000000002"/>
    <n v="20.187928521088832"/>
    <n v="20.897801459821871"/>
    <n v="193.43966593181432"/>
    <n v="0"/>
    <x v="2"/>
  </r>
  <r>
    <s v="CCCCC3333C"/>
    <s v="SBI Liquid Fund Direct Growth"/>
    <d v="2015-04-05T00:00:00"/>
    <n v="-2094.373"/>
    <n v="-62369.08"/>
    <x v="15"/>
    <x v="0"/>
    <n v="2094.373"/>
    <n v="0"/>
    <n v="21.050059414894896"/>
    <n v="29.779356399266032"/>
    <n v="0"/>
    <n v="18282.403913048329"/>
    <x v="2"/>
  </r>
  <r>
    <s v="CCCCC3333C"/>
    <s v="SBI Liquid Fund Direct Growth"/>
    <d v="2017-01-24T00:00:00"/>
    <n v="-2411.933"/>
    <n v="-70360.039999999994"/>
    <x v="2"/>
    <x v="0"/>
    <n v="2411.933"/>
    <n v="0"/>
    <n v="23.115450936031269"/>
    <n v="29.171639510716091"/>
    <n v="0"/>
    <n v="14607.121077505284"/>
    <x v="2"/>
  </r>
  <r>
    <s v="CCCCC3333C"/>
    <s v="SBI Liquid Fund Direct Growth"/>
    <d v="2023-06-22T00:00:00"/>
    <n v="-4154.7"/>
    <n v="-174636.93"/>
    <x v="11"/>
    <x v="0"/>
    <n v="4154.7"/>
    <n v="0"/>
    <n v="25.575649948553558"/>
    <n v="42.033583652249263"/>
    <n v="0"/>
    <n v="68377.777158744546"/>
    <x v="2"/>
  </r>
  <r>
    <s v="CCCCC3333C"/>
    <s v="ICICI Pru Equity &amp; Debt Fund - Direct Growth"/>
    <d v="2010-04-23T00:00:00"/>
    <n v="-189.857"/>
    <n v="-4053.62"/>
    <x v="14"/>
    <x v="0"/>
    <n v="0"/>
    <n v="189.857"/>
    <n v="20.48701737708814"/>
    <n v="21.350911475478913"/>
    <n v="164.016341838177"/>
    <n v="0"/>
    <x v="2"/>
  </r>
  <r>
    <s v="CCCCC3333C"/>
    <s v="ICICI Pru Equity &amp; Debt Fund - Direct Growth"/>
    <d v="2010-12-19T00:00:00"/>
    <n v="0"/>
    <n v="1301.92"/>
    <x v="14"/>
    <x v="0"/>
    <n v="0"/>
    <n v="0"/>
    <n v="0"/>
    <n v="0"/>
    <n v="0"/>
    <n v="0"/>
    <x v="2"/>
  </r>
  <r>
    <s v="CCCCC3333C"/>
    <s v="ICICI Pru Equity &amp; Debt Fund - Direct Growth"/>
    <d v="2012-01-13T00:00:00"/>
    <n v="-1059.479"/>
    <n v="-27276.05"/>
    <x v="0"/>
    <x v="0"/>
    <n v="1059.479"/>
    <n v="0"/>
    <n v="21.203359902716258"/>
    <n v="25.744776442005929"/>
    <n v="0"/>
    <n v="4811.5354536300811"/>
    <x v="2"/>
  </r>
  <r>
    <s v="CCCCC3333C"/>
    <s v="ICICI Pru Equity &amp; Debt Fund - Direct Growth"/>
    <d v="2013-12-03T00:00:00"/>
    <n v="-1682.873"/>
    <n v="-50192.32"/>
    <x v="10"/>
    <x v="0"/>
    <n v="1682.873"/>
    <n v="0"/>
    <n v="21.819777610206192"/>
    <n v="29.825376008765961"/>
    <n v="0"/>
    <n v="13472.405393779474"/>
    <x v="2"/>
  </r>
  <r>
    <s v="CCCCC3333C"/>
    <s v="ICICI Pru Equity &amp; Debt Fund - Direct Growth"/>
    <d v="2014-07-01T00:00:00"/>
    <n v="0"/>
    <n v="3916.44"/>
    <x v="1"/>
    <x v="0"/>
    <n v="0"/>
    <n v="0"/>
    <n v="0"/>
    <n v="0"/>
    <n v="0"/>
    <n v="0"/>
    <x v="2"/>
  </r>
  <r>
    <s v="CCCCC3333C"/>
    <s v="ICICI Pru Equity &amp; Debt Fund - Direct Growth"/>
    <d v="2015-07-26T00:00:00"/>
    <n v="-1940.1679999999999"/>
    <n v="-72259.350000000006"/>
    <x v="15"/>
    <x v="0"/>
    <n v="1940.1679999999999"/>
    <n v="0"/>
    <n v="23.747323639489238"/>
    <n v="37.243862387174723"/>
    <n v="0"/>
    <n v="26185.552589019448"/>
    <x v="2"/>
  </r>
  <r>
    <s v="CCCCC3333C"/>
    <s v="ICICI Pru Equity &amp; Debt Fund - Direct Growth"/>
    <d v="2015-11-23T00:00:00"/>
    <n v="-1661.3309999999999"/>
    <n v="-60671.05"/>
    <x v="15"/>
    <x v="0"/>
    <n v="1661.3309999999999"/>
    <n v="0"/>
    <n v="26.072818663088849"/>
    <n v="36.519543667095846"/>
    <n v="0"/>
    <n v="17355.468097631947"/>
    <x v="2"/>
  </r>
  <r>
    <s v="CCCCC3333C"/>
    <s v="ICICI Pru Equity &amp; Debt Fund - Direct Growth"/>
    <d v="2016-06-20T00:00:00"/>
    <n v="0"/>
    <n v="3803.7"/>
    <x v="2"/>
    <x v="0"/>
    <n v="0"/>
    <n v="0"/>
    <n v="0"/>
    <n v="0"/>
    <n v="0"/>
    <n v="0"/>
    <x v="2"/>
  </r>
  <r>
    <s v="CCCCC3333C"/>
    <s v="ICICI Pru Equity &amp; Debt Fund - Direct Growth"/>
    <d v="2019-03-07T00:00:00"/>
    <n v="0"/>
    <n v="5988.2"/>
    <x v="4"/>
    <x v="0"/>
    <n v="0"/>
    <n v="0"/>
    <n v="0"/>
    <n v="0"/>
    <n v="0"/>
    <n v="0"/>
    <x v="2"/>
  </r>
  <r>
    <s v="CCCCC3333C"/>
    <s v="ICICI Pru Equity &amp; Debt Fund - Direct Growth"/>
    <d v="2019-05-06T00:00:00"/>
    <n v="-2445.2469999999998"/>
    <n v="-97856.29"/>
    <x v="5"/>
    <x v="0"/>
    <n v="2445.2469999999998"/>
    <n v="0"/>
    <n v="27.603561728246881"/>
    <n v="40.018979677717631"/>
    <n v="0"/>
    <n v="30358.763494689501"/>
    <x v="2"/>
  </r>
  <r>
    <s v="CCCCC3333C"/>
    <s v="ICICI Pru Equity &amp; Debt Fund - Direct Growth"/>
    <d v="2019-07-05T00:00:00"/>
    <n v="0"/>
    <n v="5014.29"/>
    <x v="5"/>
    <x v="0"/>
    <n v="0"/>
    <n v="0"/>
    <n v="0"/>
    <n v="0"/>
    <n v="0"/>
    <n v="0"/>
    <x v="2"/>
  </r>
  <r>
    <s v="CCCCC3333C"/>
    <s v="ICICI Pru Equity &amp; Debt Fund - Direct Growth"/>
    <d v="2020-03-01T00:00:00"/>
    <n v="-2200.6350000000002"/>
    <n v="-93600.68"/>
    <x v="5"/>
    <x v="0"/>
    <n v="2200.6350000000002"/>
    <n v="0"/>
    <n v="31.237165183082375"/>
    <n v="42.53348692536472"/>
    <n v="0"/>
    <n v="24859.08099732751"/>
    <x v="2"/>
  </r>
  <r>
    <s v="CCCCC3333C"/>
    <s v="ICICI Pru Equity &amp; Debt Fund - Direct Growth"/>
    <d v="2020-04-30T00:00:00"/>
    <n v="0"/>
    <n v="4519.5200000000004"/>
    <x v="6"/>
    <x v="0"/>
    <n v="0"/>
    <n v="0"/>
    <n v="0"/>
    <n v="0"/>
    <n v="0"/>
    <n v="0"/>
    <x v="2"/>
  </r>
  <r>
    <s v="CCCCC3333C"/>
    <s v="ICICI Pru Equity &amp; Debt Fund - Direct Growth"/>
    <d v="2020-05-30T00:00:00"/>
    <n v="-1831.5719999999999"/>
    <n v="-77079.05"/>
    <x v="6"/>
    <x v="0"/>
    <n v="1831.5719999999999"/>
    <n v="0"/>
    <n v="35.584236027542318"/>
    <n v="42.083548995070906"/>
    <n v="0"/>
    <n v="11903.959650562272"/>
    <x v="2"/>
  </r>
  <r>
    <s v="CCCCC3333C"/>
    <s v="ICICI Pru Equity &amp; Debt Fund - Direct Growth"/>
    <d v="2021-03-26T00:00:00"/>
    <n v="-1697.655"/>
    <n v="-72326.880000000005"/>
    <x v="6"/>
    <x v="0"/>
    <n v="1697.655"/>
    <n v="0"/>
    <n v="36.662271200216388"/>
    <n v="42.603991977168512"/>
    <n v="0"/>
    <n v="10086.991985596658"/>
    <x v="2"/>
  </r>
  <r>
    <s v="CCCCC3333C"/>
    <s v="ICICI Pru Equity &amp; Debt Fund - Direct Growth"/>
    <d v="2021-06-24T00:00:00"/>
    <n v="-1429.5219999999999"/>
    <n v="-59625.91"/>
    <x v="7"/>
    <x v="0"/>
    <n v="1429.5219999999999"/>
    <n v="0"/>
    <n v="37.091748953361332"/>
    <n v="41.710382911210885"/>
    <n v="0"/>
    <n v="6602.4388526930088"/>
    <x v="2"/>
  </r>
  <r>
    <s v="CCCCC3333C"/>
    <s v="ICICI Pru Equity &amp; Debt Fund - Direct Growth"/>
    <d v="2022-03-21T00:00:00"/>
    <n v="-1350.5530000000001"/>
    <n v="-61007.75"/>
    <x v="7"/>
    <x v="0"/>
    <n v="1350.5530000000001"/>
    <n v="0"/>
    <n v="38.31840667311554"/>
    <n v="45.172421963447562"/>
    <n v="0"/>
    <n v="9256.7109124037834"/>
    <x v="2"/>
  </r>
  <r>
    <s v="CCCCC3333C"/>
    <s v="ICICI Pru Equity &amp; Debt Fund - Direct Growth"/>
    <d v="2022-12-16T00:00:00"/>
    <n v="0"/>
    <n v="3183.47"/>
    <x v="8"/>
    <x v="0"/>
    <n v="0"/>
    <n v="0"/>
    <n v="0"/>
    <n v="0"/>
    <n v="0"/>
    <n v="0"/>
    <x v="2"/>
  </r>
  <r>
    <s v="CCCCC3333C"/>
    <s v="ICICI Pru Equity &amp; Debt Fund - Direct Growth"/>
    <d v="2024-02-09T00:00:00"/>
    <n v="0"/>
    <n v="3856.79"/>
    <x v="11"/>
    <x v="0"/>
    <n v="0"/>
    <n v="0"/>
    <n v="0"/>
    <n v="0"/>
    <n v="0"/>
    <n v="0"/>
    <x v="2"/>
  </r>
  <r>
    <s v="CCCCC3333C"/>
    <s v="ICICI Pru Equity &amp; Debt Fund - Direct Growth"/>
    <d v="2025-08-02T00:00:00"/>
    <n v="0"/>
    <n v="4643.55"/>
    <x v="9"/>
    <x v="0"/>
    <n v="0"/>
    <n v="0"/>
    <n v="0"/>
    <n v="0"/>
    <n v="0"/>
    <n v="0"/>
    <x v="2"/>
  </r>
  <r>
    <s v="CCCCC3333C"/>
    <s v="Axis ELSS Tax Saver Fund - Direct Growth"/>
    <d v="2011-09-20T00:00:00"/>
    <n v="0"/>
    <n v="1279.77"/>
    <x v="0"/>
    <x v="0"/>
    <n v="0"/>
    <n v="0"/>
    <n v="0"/>
    <n v="0"/>
    <n v="0"/>
    <n v="0"/>
    <x v="2"/>
  </r>
  <r>
    <s v="CCCCC3333C"/>
    <s v="Axis ELSS Tax Saver Fund - Direct Growth"/>
    <d v="2014-08-05T00:00:00"/>
    <n v="-2179.15"/>
    <n v="-49221.85"/>
    <x v="1"/>
    <x v="0"/>
    <n v="2179.15"/>
    <n v="0"/>
    <n v="19.505274610847202"/>
    <n v="22.58763738154785"/>
    <n v="0"/>
    <n v="6716.9308317723171"/>
    <x v="2"/>
  </r>
  <r>
    <s v="CCCCC3333C"/>
    <s v="Axis ELSS Tax Saver Fund - Direct Growth"/>
    <d v="2014-11-03T00:00:00"/>
    <n v="0"/>
    <n v="4694.18"/>
    <x v="1"/>
    <x v="0"/>
    <n v="0"/>
    <n v="0"/>
    <n v="0"/>
    <n v="0"/>
    <n v="0"/>
    <n v="0"/>
    <x v="2"/>
  </r>
  <r>
    <s v="CCCCC3333C"/>
    <s v="Axis ELSS Tax Saver Fund - Direct Growth"/>
    <d v="2015-07-31T00:00:00"/>
    <n v="0"/>
    <n v="5704.85"/>
    <x v="15"/>
    <x v="0"/>
    <n v="0"/>
    <n v="0"/>
    <n v="0"/>
    <n v="0"/>
    <n v="0"/>
    <n v="0"/>
    <x v="2"/>
  </r>
  <r>
    <s v="CCCCC3333C"/>
    <s v="Axis ELSS Tax Saver Fund - Direct Growth"/>
    <d v="2016-11-22T00:00:00"/>
    <n v="0"/>
    <n v="7361.61"/>
    <x v="2"/>
    <x v="0"/>
    <n v="0"/>
    <n v="0"/>
    <n v="0"/>
    <n v="0"/>
    <n v="0"/>
    <n v="0"/>
    <x v="2"/>
  </r>
  <r>
    <s v="CCCCC3333C"/>
    <s v="Axis ELSS Tax Saver Fund - Direct Growth"/>
    <d v="2017-08-19T00:00:00"/>
    <n v="-3304.27"/>
    <n v="-83508.320000000007"/>
    <x v="3"/>
    <x v="0"/>
    <n v="3304.27"/>
    <n v="0"/>
    <n v="19.9878821224621"/>
    <n v="25.272849978966612"/>
    <n v="0"/>
    <n v="17462.960739212162"/>
    <x v="2"/>
  </r>
  <r>
    <s v="CCCCC3333C"/>
    <s v="Axis ELSS Tax Saver Fund - Direct Growth"/>
    <d v="2018-10-13T00:00:00"/>
    <n v="0"/>
    <n v="7983.22"/>
    <x v="4"/>
    <x v="0"/>
    <n v="0"/>
    <n v="0"/>
    <n v="0"/>
    <n v="0"/>
    <n v="0"/>
    <n v="0"/>
    <x v="2"/>
  </r>
  <r>
    <s v="CCCCC3333C"/>
    <s v="Axis ELSS Tax Saver Fund - Direct Growth"/>
    <d v="2019-06-10T00:00:00"/>
    <n v="0"/>
    <n v="8741.2999999999993"/>
    <x v="5"/>
    <x v="0"/>
    <n v="0"/>
    <n v="0"/>
    <n v="0"/>
    <n v="0"/>
    <n v="0"/>
    <n v="0"/>
    <x v="2"/>
  </r>
  <r>
    <s v="CCCCC3333C"/>
    <s v="Axis ELSS Tax Saver Fund - Direct Growth"/>
    <d v="2019-06-10T00:00:00"/>
    <n v="-3496.5189999999998"/>
    <n v="-91728.320000000007"/>
    <x v="5"/>
    <x v="0"/>
    <n v="3496.5189999999998"/>
    <n v="0"/>
    <n v="20.782851842731951"/>
    <n v="26.234183197631705"/>
    <n v="0"/>
    <n v="19060.683657702732"/>
    <x v="2"/>
  </r>
  <r>
    <s v="CCCCC3333C"/>
    <s v="Axis ELSS Tax Saver Fund - Direct Growth"/>
    <d v="2019-08-09T00:00:00"/>
    <n v="0"/>
    <n v="7185.12"/>
    <x v="5"/>
    <x v="0"/>
    <n v="0"/>
    <n v="0"/>
    <n v="0"/>
    <n v="0"/>
    <n v="0"/>
    <n v="0"/>
    <x v="2"/>
  </r>
  <r>
    <s v="CCCCC3333C"/>
    <s v="Axis ELSS Tax Saver Fund - Direct Growth"/>
    <d v="2019-11-07T00:00:00"/>
    <n v="0"/>
    <n v="7462.34"/>
    <x v="5"/>
    <x v="0"/>
    <n v="0"/>
    <n v="0"/>
    <n v="0"/>
    <n v="0"/>
    <n v="0"/>
    <n v="0"/>
    <x v="2"/>
  </r>
  <r>
    <s v="CCCCC3333C"/>
    <s v="Axis ELSS Tax Saver Fund - Direct Growth"/>
    <d v="2020-09-02T00:00:00"/>
    <n v="0"/>
    <n v="8323.18"/>
    <x v="6"/>
    <x v="0"/>
    <n v="0"/>
    <n v="0"/>
    <n v="0"/>
    <n v="0"/>
    <n v="0"/>
    <n v="0"/>
    <x v="2"/>
  </r>
  <r>
    <s v="CCCCC3333C"/>
    <s v="Axis ELSS Tax Saver Fund - Direct Growth"/>
    <d v="2021-03-01T00:00:00"/>
    <n v="-3522.8969999999999"/>
    <n v="-108752.96000000001"/>
    <x v="6"/>
    <x v="0"/>
    <n v="3522.8969999999999"/>
    <n v="0"/>
    <n v="22.552351322254637"/>
    <n v="30.870320648034845"/>
    <n v="0"/>
    <n v="29303.349183883118"/>
    <x v="2"/>
  </r>
  <r>
    <s v="CCCCC3333C"/>
    <s v="Axis ELSS Tax Saver Fund - Direct Growth"/>
    <d v="2022-01-25T00:00:00"/>
    <n v="-15703.072"/>
    <n v="-502963.05"/>
    <x v="7"/>
    <x v="0"/>
    <n v="15703.072"/>
    <n v="0"/>
    <n v="26.385440658526583"/>
    <n v="32.029595865063854"/>
    <n v="0"/>
    <n v="88630.57558742963"/>
    <x v="2"/>
  </r>
  <r>
    <s v="DDDDD4444D"/>
    <s v="HDFC Flexi Cap Fund - Direct Plan - Growth"/>
    <d v="2011-07-22T00:00:00"/>
    <n v="0"/>
    <n v="1572.96"/>
    <x v="0"/>
    <x v="0"/>
    <n v="0"/>
    <n v="0"/>
    <n v="0"/>
    <n v="0"/>
    <n v="0"/>
    <n v="0"/>
    <x v="3"/>
  </r>
  <r>
    <s v="DDDDD4444D"/>
    <s v="HDFC Flexi Cap Fund - Direct Plan - Growth"/>
    <d v="2016-07-25T00:00:00"/>
    <n v="0"/>
    <n v="8731.01"/>
    <x v="2"/>
    <x v="0"/>
    <n v="0"/>
    <n v="0"/>
    <n v="0"/>
    <n v="0"/>
    <n v="0"/>
    <n v="0"/>
    <x v="3"/>
  </r>
  <r>
    <s v="DDDDD4444D"/>
    <s v="HDFC Flexi Cap Fund - Direct Plan - Growth"/>
    <d v="2017-01-21T00:00:00"/>
    <n v="0"/>
    <n v="9398.02"/>
    <x v="2"/>
    <x v="0"/>
    <n v="0"/>
    <n v="0"/>
    <n v="0"/>
    <n v="0"/>
    <n v="0"/>
    <n v="0"/>
    <x v="3"/>
  </r>
  <r>
    <s v="DDDDD4444D"/>
    <s v="HDFC Flexi Cap Fund - Direct Plan - Growth"/>
    <d v="2020-05-05T00:00:00"/>
    <n v="0"/>
    <n v="13553.78"/>
    <x v="6"/>
    <x v="0"/>
    <n v="0"/>
    <n v="0"/>
    <n v="0"/>
    <n v="0"/>
    <n v="0"/>
    <n v="0"/>
    <x v="3"/>
  </r>
  <r>
    <s v="DDDDD4444D"/>
    <s v="HDFC Flexi Cap Fund - Direct Plan - Growth"/>
    <d v="2022-04-25T00:00:00"/>
    <n v="-6250.1949999999997"/>
    <n v="-183231.69"/>
    <x v="8"/>
    <x v="0"/>
    <n v="6250.1949999999997"/>
    <n v="0"/>
    <n v="20.749210865143048"/>
    <n v="29.316155735941042"/>
    <n v="0"/>
    <n v="53545.075996737258"/>
    <x v="3"/>
  </r>
  <r>
    <s v="DDDDD4444D"/>
    <s v="HDFC Flexi Cap Fund - Direct Plan - Growth"/>
    <d v="2024-04-14T00:00:00"/>
    <n v="-5754.5649999999996"/>
    <n v="-193633.29"/>
    <x v="13"/>
    <x v="0"/>
    <n v="5754.5649999999996"/>
    <n v="0"/>
    <n v="21.543632867405211"/>
    <n v="33.648640687871286"/>
    <n v="0"/>
    <n v="69659.054328380356"/>
    <x v="3"/>
  </r>
  <r>
    <s v="DDDDD4444D"/>
    <s v="Parag Parikh Flexi Cap Fund - Direct Growth"/>
    <d v="2012-06-12T00:00:00"/>
    <n v="0"/>
    <n v="2428.0500000000002"/>
    <x v="12"/>
    <x v="0"/>
    <n v="0"/>
    <n v="0"/>
    <n v="0"/>
    <n v="0"/>
    <n v="0"/>
    <n v="0"/>
    <x v="3"/>
  </r>
  <r>
    <s v="DDDDD4444D"/>
    <s v="Parag Parikh Flexi Cap Fund - Direct Growth"/>
    <d v="2014-04-03T00:00:00"/>
    <n v="-2030.2190000000001"/>
    <n v="-42723.16"/>
    <x v="1"/>
    <x v="0"/>
    <n v="2030.2190000000001"/>
    <n v="0"/>
    <n v="20.432298221042185"/>
    <n v="21.043621402420133"/>
    <n v="0"/>
    <n v="1241.119937973956"/>
    <x v="3"/>
  </r>
  <r>
    <s v="DDDDD4444D"/>
    <s v="Parag Parikh Flexi Cap Fund - Direct Growth"/>
    <d v="2014-10-30T00:00:00"/>
    <n v="0"/>
    <n v="4910.4799999999996"/>
    <x v="1"/>
    <x v="0"/>
    <n v="0"/>
    <n v="0"/>
    <n v="0"/>
    <n v="0"/>
    <n v="0"/>
    <n v="0"/>
    <x v="3"/>
  </r>
  <r>
    <s v="DDDDD4444D"/>
    <s v="Parag Parikh Flexi Cap Fund - Direct Growth"/>
    <d v="2015-10-25T00:00:00"/>
    <n v="-2519.6109999999999"/>
    <n v="-57669.93"/>
    <x v="15"/>
    <x v="0"/>
    <n v="2519.6109999999999"/>
    <n v="0"/>
    <n v="20.72935856786567"/>
    <n v="22.88842603084365"/>
    <n v="0"/>
    <n v="5440.0101294614105"/>
    <x v="3"/>
  </r>
  <r>
    <s v="DDDDD4444D"/>
    <s v="Parag Parikh Flexi Cap Fund - Direct Growth"/>
    <d v="2016-05-22T00:00:00"/>
    <n v="-2309.9789999999998"/>
    <n v="-56225.72"/>
    <x v="2"/>
    <x v="0"/>
    <n v="2309.9789999999998"/>
    <n v="0"/>
    <n v="20.338467011237512"/>
    <n v="24.340359804136749"/>
    <n v="0"/>
    <n v="9244.2883118485879"/>
    <x v="3"/>
  </r>
  <r>
    <s v="DDDDD4444D"/>
    <s v="Parag Parikh Flexi Cap Fund - Direct Growth"/>
    <d v="2016-12-18T00:00:00"/>
    <n v="0"/>
    <n v="5289.03"/>
    <x v="2"/>
    <x v="0"/>
    <n v="0"/>
    <n v="0"/>
    <n v="0"/>
    <n v="0"/>
    <n v="0"/>
    <n v="0"/>
    <x v="3"/>
  </r>
  <r>
    <s v="DDDDD4444D"/>
    <s v="Parag Parikh Flexi Cap Fund - Direct Growth"/>
    <d v="2018-07-11T00:00:00"/>
    <n v="-2786.018"/>
    <n v="-81890.16"/>
    <x v="4"/>
    <x v="0"/>
    <n v="2786.018"/>
    <n v="0"/>
    <n v="21.028913860396589"/>
    <n v="29.393263072959328"/>
    <n v="0"/>
    <n v="23303.227464485619"/>
    <x v="3"/>
  </r>
  <r>
    <s v="DDDDD4444D"/>
    <s v="Parag Parikh Flexi Cap Fund - Direct Growth"/>
    <d v="2019-03-08T00:00:00"/>
    <n v="-2495.857"/>
    <n v="-73860.84"/>
    <x v="4"/>
    <x v="0"/>
    <n v="2495.857"/>
    <n v="0"/>
    <n v="20.719515350386533"/>
    <n v="29.593378146263987"/>
    <n v="0"/>
    <n v="22147.892576130314"/>
    <x v="3"/>
  </r>
  <r>
    <s v="DDDDD4444D"/>
    <s v="Parag Parikh Flexi Cap Fund - Direct Growth"/>
    <d v="2019-05-07T00:00:00"/>
    <n v="0"/>
    <n v="5158.63"/>
    <x v="5"/>
    <x v="0"/>
    <n v="0"/>
    <n v="0"/>
    <n v="0"/>
    <n v="0"/>
    <n v="0"/>
    <n v="0"/>
    <x v="3"/>
  </r>
  <r>
    <s v="DDDDD4444D"/>
    <s v="Parag Parikh Flexi Cap Fund - Direct Growth"/>
    <d v="2019-09-04T00:00:00"/>
    <n v="0"/>
    <n v="5473.59"/>
    <x v="5"/>
    <x v="0"/>
    <n v="0"/>
    <n v="0"/>
    <n v="0"/>
    <n v="0"/>
    <n v="0"/>
    <n v="0"/>
    <x v="3"/>
  </r>
  <r>
    <s v="DDDDD4444D"/>
    <s v="Parag Parikh Flexi Cap Fund - Direct Growth"/>
    <d v="2019-11-03T00:00:00"/>
    <n v="0"/>
    <n v="5622.21"/>
    <x v="5"/>
    <x v="0"/>
    <n v="0"/>
    <n v="0"/>
    <n v="0"/>
    <n v="0"/>
    <n v="0"/>
    <n v="0"/>
    <x v="3"/>
  </r>
  <r>
    <s v="DDDDD4444D"/>
    <s v="Parag Parikh Flexi Cap Fund - Direct Growth"/>
    <d v="2022-01-21T00:00:00"/>
    <n v="-3010.79"/>
    <n v="-106952.44"/>
    <x v="7"/>
    <x v="0"/>
    <n v="3010.79"/>
    <n v="0"/>
    <n v="22.04651179775168"/>
    <n v="35.523048767931343"/>
    <n v="0"/>
    <n v="40575.022744447226"/>
    <x v="3"/>
  </r>
  <r>
    <s v="DDDDD4444D"/>
    <s v="Parag Parikh Flexi Cap Fund - Direct Growth"/>
    <d v="2023-06-15T00:00:00"/>
    <n v="0"/>
    <n v="7140.73"/>
    <x v="11"/>
    <x v="0"/>
    <n v="0"/>
    <n v="0"/>
    <n v="0"/>
    <n v="0"/>
    <n v="0"/>
    <n v="0"/>
    <x v="3"/>
  </r>
  <r>
    <s v="DDDDD4444D"/>
    <s v="Parag Parikh Flexi Cap Fund - Direct Growth"/>
    <d v="2024-11-06T00:00:00"/>
    <n v="0"/>
    <n v="8148.55"/>
    <x v="13"/>
    <x v="0"/>
    <n v="0"/>
    <n v="0"/>
    <n v="0"/>
    <n v="0"/>
    <n v="0"/>
    <n v="0"/>
    <x v="3"/>
  </r>
  <r>
    <s v="DDDDD4444D"/>
    <s v="Parag Parikh Flexi Cap Fund - Direct Growth"/>
    <d v="2025-02-04T00:00:00"/>
    <n v="0"/>
    <n v="8312.7099999999991"/>
    <x v="13"/>
    <x v="0"/>
    <n v="0"/>
    <n v="0"/>
    <n v="0"/>
    <n v="0"/>
    <n v="0"/>
    <n v="0"/>
    <x v="3"/>
  </r>
  <r>
    <s v="DDDDD4444D"/>
    <s v="SBI Liquid Fund Direct Growth"/>
    <d v="2012-10-17T00:00:00"/>
    <n v="-1151.92"/>
    <n v="-26934.23"/>
    <x v="12"/>
    <x v="0"/>
    <n v="1151.92"/>
    <n v="0"/>
    <n v="20.755957307316383"/>
    <n v="23.38203173831516"/>
    <n v="0"/>
    <n v="3025.0276585561114"/>
    <x v="3"/>
  </r>
  <r>
    <s v="DDDDD4444D"/>
    <s v="SBI Liquid Fund Direct Growth"/>
    <d v="2017-01-24T00:00:00"/>
    <n v="-3032.1480000000001"/>
    <n v="-83515.63"/>
    <x v="2"/>
    <x v="0"/>
    <n v="3032.1480000000001"/>
    <n v="0"/>
    <n v="21.636254893211124"/>
    <n v="27.543388383416641"/>
    <n v="0"/>
    <n v="17911.30299805968"/>
    <x v="3"/>
  </r>
  <r>
    <s v="DDDDD4444D"/>
    <s v="SBI Liquid Fund Direct Growth"/>
    <d v="2017-07-23T00:00:00"/>
    <n v="-2638.308"/>
    <n v="-73108.320000000007"/>
    <x v="3"/>
    <x v="0"/>
    <n v="2638.308"/>
    <n v="0"/>
    <n v="23.116914918228634"/>
    <n v="27.710305241086335"/>
    <n v="0"/>
    <n v="12118.778435918055"/>
    <x v="3"/>
  </r>
  <r>
    <s v="DDDDD4444D"/>
    <s v="SBI Liquid Fund Direct Growth"/>
    <d v="2018-11-15T00:00:00"/>
    <n v="-2668.442"/>
    <n v="-78513.69"/>
    <x v="4"/>
    <x v="0"/>
    <n v="2668.442"/>
    <n v="0"/>
    <n v="23.554213490239107"/>
    <n v="29.42304535755321"/>
    <n v="0"/>
    <n v="15660.63744567938"/>
    <x v="3"/>
  </r>
  <r>
    <s v="DDDDD4444D"/>
    <s v="SBI Liquid Fund Direct Growth"/>
    <d v="2019-06-13T00:00:00"/>
    <n v="-2371.672"/>
    <n v="-70347.8"/>
    <x v="5"/>
    <x v="0"/>
    <n v="2371.672"/>
    <n v="0"/>
    <n v="24.213597255917371"/>
    <n v="29.661690149396712"/>
    <n v="0"/>
    <n v="12921.089368863935"/>
    <x v="3"/>
  </r>
  <r>
    <s v="DDDDD4444D"/>
    <s v="SBI Liquid Fund Direct Growth"/>
    <d v="2020-09-05T00:00:00"/>
    <n v="-2385.9299999999998"/>
    <n v="-76695.210000000006"/>
    <x v="6"/>
    <x v="0"/>
    <n v="2385.9299999999998"/>
    <n v="0"/>
    <n v="25.331244856004815"/>
    <n v="32.144786309740859"/>
    <n v="0"/>
    <n v="16256.632960712437"/>
    <x v="3"/>
  </r>
  <r>
    <s v="DDDDD4444D"/>
    <s v="SBI Liquid Fund Direct Growth"/>
    <d v="2021-10-30T00:00:00"/>
    <n v="-2325.9670000000001"/>
    <n v="-81175.61"/>
    <x v="7"/>
    <x v="0"/>
    <n v="2325.9670000000001"/>
    <n v="0"/>
    <n v="26.308613832837651"/>
    <n v="34.899725576502156"/>
    <n v="0"/>
    <n v="19982.642409076099"/>
    <x v="3"/>
  </r>
  <r>
    <s v="DDDDD4444D"/>
    <s v="SBI Liquid Fund Direct Growth"/>
    <d v="2025-05-12T00:00:00"/>
    <n v="-2850.116"/>
    <n v="-138966.1"/>
    <x v="9"/>
    <x v="0"/>
    <n v="2850.116"/>
    <n v="0"/>
    <n v="28.520065437321282"/>
    <n v="48.758050549521492"/>
    <n v="0"/>
    <n v="57680.605176043617"/>
    <x v="3"/>
  </r>
  <r>
    <s v="DDDDD4444D"/>
    <s v="ICICI Pru Equity &amp; Debt Fund - Direct Growth"/>
    <d v="2012-08-20T00:00:00"/>
    <n v="0"/>
    <n v="3372.05"/>
    <x v="12"/>
    <x v="0"/>
    <n v="0"/>
    <n v="0"/>
    <n v="0"/>
    <n v="0"/>
    <n v="0"/>
    <n v="0"/>
    <x v="3"/>
  </r>
  <r>
    <s v="DDDDD4444D"/>
    <s v="ICICI Pru Equity &amp; Debt Fund - Direct Growth"/>
    <d v="2012-10-19T00:00:00"/>
    <n v="0"/>
    <n v="3566.77"/>
    <x v="12"/>
    <x v="0"/>
    <n v="0"/>
    <n v="0"/>
    <n v="0"/>
    <n v="0"/>
    <n v="0"/>
    <n v="0"/>
    <x v="3"/>
  </r>
  <r>
    <s v="DDDDD4444D"/>
    <s v="ICICI Pru Equity &amp; Debt Fund - Direct Growth"/>
    <d v="2013-01-17T00:00:00"/>
    <n v="-1541.6790000000001"/>
    <n v="-40007.49"/>
    <x v="12"/>
    <x v="0"/>
    <n v="1541.6790000000001"/>
    <n v="0"/>
    <n v="20.71627176796169"/>
    <n v="25.950596719550564"/>
    <n v="0"/>
    <n v="8069.6488570405845"/>
    <x v="3"/>
  </r>
  <r>
    <s v="DDDDD4444D"/>
    <s v="ICICI Pru Equity &amp; Debt Fund - Direct Growth"/>
    <d v="2014-06-11T00:00:00"/>
    <n v="0"/>
    <n v="4701.55"/>
    <x v="1"/>
    <x v="0"/>
    <n v="0"/>
    <n v="0"/>
    <n v="0"/>
    <n v="0"/>
    <n v="0"/>
    <n v="0"/>
    <x v="3"/>
  </r>
  <r>
    <s v="DDDDD4444D"/>
    <s v="ICICI Pru Equity &amp; Debt Fund - Direct Growth"/>
    <d v="2014-07-11T00:00:00"/>
    <n v="-1917.732"/>
    <n v="-51673.73"/>
    <x v="1"/>
    <x v="0"/>
    <n v="1917.732"/>
    <n v="0"/>
    <n v="21.224649616721234"/>
    <n v="26.945230094716052"/>
    <n v="0"/>
    <n v="10970.540241225959"/>
    <x v="3"/>
  </r>
  <r>
    <s v="DDDDD4444D"/>
    <s v="ICICI Pru Equity &amp; Debt Fund - Direct Growth"/>
    <d v="2015-09-04T00:00:00"/>
    <n v="-2035.8009999999999"/>
    <n v="-57286.61"/>
    <x v="15"/>
    <x v="0"/>
    <n v="2035.8009999999999"/>
    <n v="0"/>
    <n v="22.916262033266534"/>
    <n v="28.139592229299428"/>
    <n v="0"/>
    <n v="10633.660836413961"/>
    <x v="3"/>
  </r>
  <r>
    <s v="DDDDD4444D"/>
    <s v="ICICI Pru Equity &amp; Debt Fund - Direct Growth"/>
    <d v="2016-07-30T00:00:00"/>
    <n v="-2012.4680000000001"/>
    <n v="-61282.12"/>
    <x v="2"/>
    <x v="0"/>
    <n v="2012.4680000000001"/>
    <n v="0"/>
    <n v="25.090834137414777"/>
    <n v="30.451227050566768"/>
    <n v="0"/>
    <n v="10787.61920514516"/>
    <x v="3"/>
  </r>
  <r>
    <s v="DDDDD4444D"/>
    <s v="ICICI Pru Equity &amp; Debt Fund - Direct Growth"/>
    <d v="2017-12-22T00:00:00"/>
    <n v="-2122.9409999999998"/>
    <n v="-73621.38"/>
    <x v="3"/>
    <x v="0"/>
    <n v="2122.9409999999998"/>
    <n v="0"/>
    <n v="25.947427813602296"/>
    <n v="34.678957163670596"/>
    <n v="0"/>
    <n v="18536.521649963346"/>
    <x v="3"/>
  </r>
  <r>
    <s v="DDDDD4444D"/>
    <s v="ICICI Pru Equity &amp; Debt Fund - Direct Growth"/>
    <d v="2020-01-11T00:00:00"/>
    <n v="-2359.0929999999998"/>
    <n v="-97658.05"/>
    <x v="5"/>
    <x v="0"/>
    <n v="2359.0929999999998"/>
    <n v="0"/>
    <n v="26.951702635337035"/>
    <n v="41.39643922473595"/>
    <n v="0"/>
    <n v="34076.476974894853"/>
    <x v="3"/>
  </r>
  <r>
    <s v="DDDDD4444D"/>
    <s v="ICICI Pru Equity &amp; Debt Fund - Direct Growth"/>
    <d v="2021-11-01T00:00:00"/>
    <n v="0"/>
    <n v="5923.13"/>
    <x v="7"/>
    <x v="0"/>
    <n v="0"/>
    <n v="0"/>
    <n v="0"/>
    <n v="0"/>
    <n v="0"/>
    <n v="0"/>
    <x v="3"/>
  </r>
  <r>
    <s v="DDDDD4444D"/>
    <s v="ICICI Pru Equity &amp; Debt Fund - Direct Growth"/>
    <d v="2023-05-25T00:00:00"/>
    <n v="-2778.1060000000002"/>
    <n v="-127186.96"/>
    <x v="11"/>
    <x v="0"/>
    <n v="2778.1060000000002"/>
    <n v="0"/>
    <n v="28.080039525365066"/>
    <n v="45.781896011167319"/>
    <n v="0"/>
    <n v="49177.633714346157"/>
    <x v="3"/>
  </r>
  <r>
    <s v="DDDDD4444D"/>
    <s v="ICICI Pru Equity &amp; Debt Fund - Direct Growth"/>
    <d v="2023-07-24T00:00:00"/>
    <n v="0"/>
    <n v="5663.07"/>
    <x v="11"/>
    <x v="0"/>
    <n v="0"/>
    <n v="0"/>
    <n v="0"/>
    <n v="0"/>
    <n v="0"/>
    <n v="0"/>
    <x v="3"/>
  </r>
  <r>
    <s v="DDDDD4444D"/>
    <s v="ICICI Pru Equity &amp; Debt Fund - Direct Growth"/>
    <d v="2024-02-19T00:00:00"/>
    <n v="0"/>
    <n v="6023.03"/>
    <x v="11"/>
    <x v="0"/>
    <n v="0"/>
    <n v="0"/>
    <n v="0"/>
    <n v="0"/>
    <n v="0"/>
    <n v="0"/>
    <x v="3"/>
  </r>
  <r>
    <s v="DDDDD4444D"/>
    <s v="Axis ELSS Tax Saver Fund - Direct Growth"/>
    <d v="2011-09-07T00:00:00"/>
    <n v="-528.05499999999995"/>
    <n v="-11417.95"/>
    <x v="0"/>
    <x v="0"/>
    <n v="528.05499999999995"/>
    <n v="0"/>
    <n v="20.273953753214421"/>
    <n v="21.622652943348708"/>
    <n v="0"/>
    <n v="712.1873508463608"/>
    <x v="3"/>
  </r>
  <r>
    <s v="DDDDD4444D"/>
    <s v="Axis ELSS Tax Saver Fund - Direct Growth"/>
    <d v="2011-10-07T00:00:00"/>
    <n v="-469.58499999999998"/>
    <n v="-9961.2000000000007"/>
    <x v="0"/>
    <x v="0"/>
    <n v="469.58499999999998"/>
    <n v="0"/>
    <n v="20.053115407491756"/>
    <n v="21.212772980397588"/>
    <n v="0"/>
    <n v="544.55780137298518"/>
    <x v="3"/>
  </r>
  <r>
    <s v="DDDDD4444D"/>
    <s v="Axis ELSS Tax Saver Fund - Direct Growth"/>
    <d v="2012-06-03T00:00:00"/>
    <n v="0"/>
    <n v="1887.72"/>
    <x v="12"/>
    <x v="0"/>
    <n v="0"/>
    <n v="0"/>
    <n v="0"/>
    <n v="0"/>
    <n v="0"/>
    <n v="0"/>
    <x v="3"/>
  </r>
  <r>
    <s v="DDDDD4444D"/>
    <s v="Axis ELSS Tax Saver Fund - Direct Growth"/>
    <d v="2017-03-09T00:00:00"/>
    <n v="0"/>
    <n v="7547.69"/>
    <x v="2"/>
    <x v="0"/>
    <n v="0"/>
    <n v="0"/>
    <n v="0"/>
    <n v="0"/>
    <n v="0"/>
    <n v="0"/>
    <x v="3"/>
  </r>
  <r>
    <s v="DDDDD4444D"/>
    <s v="Axis ELSS Tax Saver Fund - Direct Growth"/>
    <d v="2017-06-07T00:00:00"/>
    <n v="0"/>
    <n v="7802.01"/>
    <x v="3"/>
    <x v="0"/>
    <n v="0"/>
    <n v="0"/>
    <n v="0"/>
    <n v="0"/>
    <n v="0"/>
    <n v="0"/>
    <x v="3"/>
  </r>
  <r>
    <s v="DDDDD4444D"/>
    <s v="Axis ELSS Tax Saver Fund - Direct Growth"/>
    <d v="2019-03-29T00:00:00"/>
    <n v="-3869.8969999999999"/>
    <n v="-113061.14"/>
    <x v="4"/>
    <x v="0"/>
    <n v="3869.8969999999999"/>
    <n v="0"/>
    <n v="21.177944706156669"/>
    <n v="29.215542429165428"/>
    <n v="0"/>
    <n v="31104.675315478424"/>
    <x v="3"/>
  </r>
  <r>
    <s v="DDDDD4444D"/>
    <s v="Axis ELSS Tax Saver Fund - Direct Growth"/>
    <d v="2019-05-28T00:00:00"/>
    <n v="0"/>
    <n v="7912.4"/>
    <x v="5"/>
    <x v="0"/>
    <n v="0"/>
    <n v="0"/>
    <n v="0"/>
    <n v="0"/>
    <n v="0"/>
    <n v="0"/>
    <x v="3"/>
  </r>
  <r>
    <s v="DDDDD4444D"/>
    <s v="Axis ELSS Tax Saver Fund - Direct Growth"/>
    <d v="2021-03-18T00:00:00"/>
    <n v="-3869.587"/>
    <n v="-123114.43"/>
    <x v="6"/>
    <x v="0"/>
    <n v="3869.587"/>
    <n v="0"/>
    <n v="23.837637971573766"/>
    <n v="31.815909553138358"/>
    <n v="0"/>
    <n v="30872.615994491782"/>
    <x v="3"/>
  </r>
  <r>
    <s v="DDDDD4444D"/>
    <s v="Axis ELSS Tax Saver Fund - Direct Growth"/>
    <d v="2021-11-13T00:00:00"/>
    <n v="0"/>
    <n v="8363.77"/>
    <x v="7"/>
    <x v="0"/>
    <n v="0"/>
    <n v="0"/>
    <n v="0"/>
    <n v="0"/>
    <n v="0"/>
    <n v="0"/>
    <x v="3"/>
  </r>
  <r>
    <s v="DDDDD4444D"/>
    <s v="Axis ELSS Tax Saver Fund - Direct Growth"/>
    <d v="2022-01-12T00:00:00"/>
    <n v="-16874.822"/>
    <n v="-572887.57999999996"/>
    <x v="7"/>
    <x v="0"/>
    <n v="16874.822"/>
    <n v="0"/>
    <n v="28.781300120510281"/>
    <n v="33.94925173136641"/>
    <n v="0"/>
    <n v="87208.263537810446"/>
    <x v="3"/>
  </r>
  <r>
    <m/>
    <m/>
    <m/>
    <m/>
    <m/>
    <x v="17"/>
    <x v="1"/>
    <m/>
    <m/>
    <m/>
    <m/>
    <m/>
    <m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F6262C-C44A-2642-9111-FD3804E99EF4}" name="PivotTable1" cacheId="8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1:D54" firstHeaderRow="1" firstDataRow="3" firstDataCol="2"/>
  <pivotFields count="1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20">
        <item h="1" x="17"/>
        <item x="16"/>
        <item x="9"/>
        <item x="13"/>
        <item x="11"/>
        <item x="8"/>
        <item x="7"/>
        <item x="6"/>
        <item x="5"/>
        <item x="4"/>
        <item x="3"/>
        <item h="1" x="2"/>
        <item x="15"/>
        <item h="1" x="1"/>
        <item x="10"/>
        <item h="1" x="12"/>
        <item x="0"/>
        <item x="14"/>
        <item m="1" x="19"/>
        <item m="1" x="18"/>
      </items>
    </pivotField>
    <pivotField axis="axisCol" compact="0" outline="0" showAll="0" defaultSubtotal="0">
      <items count="4">
        <item x="0"/>
        <item h="1" x="1"/>
        <item m="1" x="2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axis="axisRow" compact="0" outline="0" showAll="0" defaultSubtotal="0">
      <items count="9">
        <item m="1" x="6"/>
        <item m="1" x="7"/>
        <item m="1" x="5"/>
        <item m="1" x="8"/>
        <item x="4"/>
        <item x="0"/>
        <item x="1"/>
        <item x="2"/>
        <item x="3"/>
      </items>
    </pivotField>
  </pivotFields>
  <rowFields count="2">
    <field x="5"/>
    <field x="13"/>
  </rowFields>
  <rowItems count="51">
    <i>
      <x v="1"/>
      <x v="6"/>
    </i>
    <i>
      <x v="2"/>
      <x v="5"/>
    </i>
    <i r="1">
      <x v="6"/>
    </i>
    <i r="1">
      <x v="7"/>
    </i>
    <i r="1">
      <x v="8"/>
    </i>
    <i>
      <x v="3"/>
      <x v="5"/>
    </i>
    <i r="1">
      <x v="6"/>
    </i>
    <i r="1">
      <x v="7"/>
    </i>
    <i r="1">
      <x v="8"/>
    </i>
    <i>
      <x v="4"/>
      <x v="5"/>
    </i>
    <i r="1">
      <x v="6"/>
    </i>
    <i r="1">
      <x v="7"/>
    </i>
    <i r="1">
      <x v="8"/>
    </i>
    <i>
      <x v="5"/>
      <x v="5"/>
    </i>
    <i r="1">
      <x v="6"/>
    </i>
    <i r="1">
      <x v="7"/>
    </i>
    <i r="1">
      <x v="8"/>
    </i>
    <i>
      <x v="6"/>
      <x v="5"/>
    </i>
    <i r="1">
      <x v="6"/>
    </i>
    <i r="1">
      <x v="7"/>
    </i>
    <i r="1">
      <x v="8"/>
    </i>
    <i>
      <x v="7"/>
      <x v="5"/>
    </i>
    <i r="1">
      <x v="6"/>
    </i>
    <i r="1">
      <x v="7"/>
    </i>
    <i r="1">
      <x v="8"/>
    </i>
    <i>
      <x v="8"/>
      <x v="5"/>
    </i>
    <i r="1">
      <x v="6"/>
    </i>
    <i r="1">
      <x v="7"/>
    </i>
    <i r="1">
      <x v="8"/>
    </i>
    <i>
      <x v="9"/>
      <x v="5"/>
    </i>
    <i r="1">
      <x v="6"/>
    </i>
    <i r="1">
      <x v="7"/>
    </i>
    <i r="1">
      <x v="8"/>
    </i>
    <i>
      <x v="10"/>
      <x v="5"/>
    </i>
    <i r="1">
      <x v="6"/>
    </i>
    <i r="1">
      <x v="7"/>
    </i>
    <i r="1">
      <x v="8"/>
    </i>
    <i>
      <x v="12"/>
      <x v="5"/>
    </i>
    <i r="1">
      <x v="6"/>
    </i>
    <i r="1">
      <x v="7"/>
    </i>
    <i r="1">
      <x v="8"/>
    </i>
    <i>
      <x v="14"/>
      <x v="5"/>
    </i>
    <i r="1">
      <x v="6"/>
    </i>
    <i r="1">
      <x v="7"/>
    </i>
    <i>
      <x v="16"/>
      <x v="5"/>
    </i>
    <i r="1">
      <x v="6"/>
    </i>
    <i r="1">
      <x v="7"/>
    </i>
    <i r="1">
      <x v="8"/>
    </i>
    <i>
      <x v="17"/>
      <x v="5"/>
    </i>
    <i r="1">
      <x v="6"/>
    </i>
    <i r="1">
      <x v="7"/>
    </i>
  </rowItems>
  <colFields count="2">
    <field x="6"/>
    <field x="-2"/>
  </colFields>
  <colItems count="2">
    <i>
      <x/>
      <x/>
    </i>
    <i r="1" i="1">
      <x v="1"/>
    </i>
  </colItems>
  <dataFields count="2">
    <dataField name="Sum of STCG Gain" fld="11" baseField="0" baseItem="0"/>
    <dataField name="Sum of LTCG Gain" fld="12" baseField="0" baseItem="0"/>
  </dataFields>
  <formats count="13">
    <format dxfId="12">
      <pivotArea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format>
    <format dxfId="11">
      <pivotArea field="6" type="button" dataOnly="0" labelOnly="1" outline="0" axis="axisCol" fieldPosition="0"/>
    </format>
    <format dxfId="10">
      <pivotArea dataOnly="0" labelOnly="1" outline="0" fieldPosition="0">
        <references count="2">
          <reference field="4294967294" count="1">
            <x v="0"/>
          </reference>
          <reference field="6" count="1" selected="0">
            <x v="0"/>
          </reference>
        </references>
      </pivotArea>
    </format>
    <format dxfId="9">
      <pivotArea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format>
    <format dxfId="8">
      <pivotArea field="-2" type="button" dataOnly="0" labelOnly="1" outline="0" axis="axisCol" fieldPosition="1"/>
    </format>
    <format dxfId="7">
      <pivotArea dataOnly="0" labelOnly="1" outline="0" fieldPosition="0">
        <references count="1">
          <reference field="6" count="1">
            <x v="0"/>
          </reference>
        </references>
      </pivotArea>
    </format>
    <format dxfId="6">
      <pivotArea dataOnly="0" labelOnly="1" outline="0" fieldPosition="0">
        <references count="1">
          <reference field="6" count="1">
            <x v="0"/>
          </reference>
        </references>
      </pivotArea>
    </format>
    <format dxfId="5">
      <pivotArea dataOnly="0" labelOnly="1" outline="0" fieldPosition="0">
        <references count="2">
          <reference field="4294967294" count="1">
            <x v="1"/>
          </reference>
          <reference field="6" count="1" selected="0">
            <x v="0"/>
          </reference>
        </references>
      </pivotArea>
    </format>
    <format dxfId="4">
      <pivotArea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format>
    <format dxfId="3">
      <pivotArea type="topRight" dataOnly="0" labelOnly="1" outline="0" fieldPosition="0"/>
    </format>
    <format dxfId="2">
      <pivotArea dataOnly="0" labelOnly="1" outline="0" fieldPosition="0">
        <references count="1">
          <reference field="6" count="1">
            <x v="2"/>
          </reference>
        </references>
      </pivotArea>
    </format>
    <format dxfId="1">
      <pivotArea dataOnly="0" labelOnly="1" outline="0" fieldPosition="0">
        <references count="2">
          <reference field="4294967294" count="1">
            <x v="0"/>
          </reference>
          <reference field="6" count="1" selected="0">
            <x v="2"/>
          </reference>
        </references>
      </pivotArea>
    </format>
    <format dxfId="0">
      <pivotArea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F514E7C-292A-5F42-B53D-DAA885A56364}">
  <we:reference id="wa200010215" version="2.0.0.0" store="en-US" storeType="OMEX"/>
  <we:alternateReferences>
    <we:reference id="WA200010215" version="2.0.0.0" store="" storeType="OMEX"/>
  </we:alternateReferences>
  <we:properties>
    <we:property name="bps.codex_control.document_id" value="&quot;2c178a17-5b9b-44d0-98a2-ec62af58d434&quot;"/>
  </we:properties>
  <we:bindings/>
  <we:snapshot xmlns:r="http://schemas.openxmlformats.org/officeDocument/2006/relationships"/>
</we:webextension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FB679-1536-4248-9BB4-D5181D18D628}">
  <sheetPr codeName="Sheet1"/>
  <dimension ref="A1:O7320"/>
  <sheetViews>
    <sheetView workbookViewId="0">
      <selection activeCell="T14" sqref="T14"/>
    </sheetView>
  </sheetViews>
  <sheetFormatPr baseColWidth="10" defaultRowHeight="16" x14ac:dyDescent="0.2"/>
  <cols>
    <col min="3" max="3" width="18.33203125" customWidth="1"/>
    <col min="4" max="4" width="35.33203125" customWidth="1"/>
    <col min="6" max="6" width="19" customWidth="1"/>
    <col min="8" max="8" width="17" customWidth="1"/>
    <col min="9" max="9" width="18.1640625" customWidth="1"/>
  </cols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110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2">
      <c r="A2" t="s">
        <v>18</v>
      </c>
      <c r="B2" t="s">
        <v>111</v>
      </c>
      <c r="C2" t="s">
        <v>112</v>
      </c>
      <c r="D2" t="s">
        <v>113</v>
      </c>
      <c r="E2" t="s">
        <v>53</v>
      </c>
      <c r="F2" t="s">
        <v>114</v>
      </c>
      <c r="G2">
        <v>119062</v>
      </c>
      <c r="H2" s="75">
        <v>40519</v>
      </c>
      <c r="I2" t="s">
        <v>115</v>
      </c>
      <c r="J2">
        <v>5000</v>
      </c>
      <c r="K2">
        <v>243.54900000000001</v>
      </c>
      <c r="L2">
        <v>20.529699999999998</v>
      </c>
      <c r="M2">
        <v>243.54900000000001</v>
      </c>
      <c r="N2" t="s">
        <v>15</v>
      </c>
    </row>
    <row r="3" spans="1:15" x14ac:dyDescent="0.2">
      <c r="A3" t="s">
        <v>18</v>
      </c>
      <c r="B3" t="s">
        <v>111</v>
      </c>
      <c r="C3" t="s">
        <v>112</v>
      </c>
      <c r="D3" t="s">
        <v>113</v>
      </c>
      <c r="E3" t="s">
        <v>53</v>
      </c>
      <c r="F3" t="s">
        <v>114</v>
      </c>
      <c r="G3">
        <v>119062</v>
      </c>
      <c r="H3" s="75">
        <v>40549</v>
      </c>
      <c r="I3" t="s">
        <v>115</v>
      </c>
      <c r="J3">
        <v>5000</v>
      </c>
      <c r="K3">
        <v>244.54400000000001</v>
      </c>
      <c r="L3">
        <v>20.446200000000001</v>
      </c>
      <c r="M3">
        <v>488.09300000000002</v>
      </c>
      <c r="N3" t="s">
        <v>15</v>
      </c>
    </row>
    <row r="4" spans="1:15" x14ac:dyDescent="0.2">
      <c r="A4" t="s">
        <v>18</v>
      </c>
      <c r="B4" t="s">
        <v>111</v>
      </c>
      <c r="C4" t="s">
        <v>112</v>
      </c>
      <c r="D4" t="s">
        <v>113</v>
      </c>
      <c r="E4" t="s">
        <v>53</v>
      </c>
      <c r="F4" t="s">
        <v>114</v>
      </c>
      <c r="G4">
        <v>119062</v>
      </c>
      <c r="H4" s="75">
        <v>40579</v>
      </c>
      <c r="I4" t="s">
        <v>115</v>
      </c>
      <c r="J4">
        <v>5000</v>
      </c>
      <c r="K4">
        <v>246.548</v>
      </c>
      <c r="L4">
        <v>20.280100000000001</v>
      </c>
      <c r="M4">
        <v>734.64099999999996</v>
      </c>
      <c r="N4" t="s">
        <v>15</v>
      </c>
    </row>
    <row r="5" spans="1:15" x14ac:dyDescent="0.2">
      <c r="A5" t="s">
        <v>18</v>
      </c>
      <c r="B5" t="s">
        <v>111</v>
      </c>
      <c r="C5" t="s">
        <v>112</v>
      </c>
      <c r="D5" t="s">
        <v>113</v>
      </c>
      <c r="E5" t="s">
        <v>53</v>
      </c>
      <c r="F5" t="s">
        <v>114</v>
      </c>
      <c r="G5">
        <v>119062</v>
      </c>
      <c r="H5" s="75">
        <v>40609</v>
      </c>
      <c r="I5" t="s">
        <v>115</v>
      </c>
      <c r="J5">
        <v>5000</v>
      </c>
      <c r="K5">
        <v>251.37700000000001</v>
      </c>
      <c r="L5">
        <v>19.8904</v>
      </c>
      <c r="M5">
        <v>986.01900000000001</v>
      </c>
      <c r="N5" t="s">
        <v>15</v>
      </c>
    </row>
    <row r="6" spans="1:15" x14ac:dyDescent="0.2">
      <c r="A6" t="s">
        <v>18</v>
      </c>
      <c r="B6" t="s">
        <v>111</v>
      </c>
      <c r="C6" t="s">
        <v>112</v>
      </c>
      <c r="D6" t="s">
        <v>113</v>
      </c>
      <c r="E6" t="s">
        <v>53</v>
      </c>
      <c r="F6" t="s">
        <v>114</v>
      </c>
      <c r="G6">
        <v>119062</v>
      </c>
      <c r="H6" s="75">
        <v>40639</v>
      </c>
      <c r="I6" t="s">
        <v>115</v>
      </c>
      <c r="J6">
        <v>5000</v>
      </c>
      <c r="K6">
        <v>250.43600000000001</v>
      </c>
      <c r="L6">
        <v>19.9651</v>
      </c>
      <c r="M6">
        <v>1236.4549999999999</v>
      </c>
      <c r="N6" t="s">
        <v>15</v>
      </c>
    </row>
    <row r="7" spans="1:15" x14ac:dyDescent="0.2">
      <c r="A7" t="s">
        <v>18</v>
      </c>
      <c r="B7" t="s">
        <v>111</v>
      </c>
      <c r="C7" t="s">
        <v>112</v>
      </c>
      <c r="D7" t="s">
        <v>113</v>
      </c>
      <c r="E7" t="s">
        <v>53</v>
      </c>
      <c r="F7" t="s">
        <v>114</v>
      </c>
      <c r="G7">
        <v>119062</v>
      </c>
      <c r="H7" s="75">
        <v>40639</v>
      </c>
      <c r="I7" t="s">
        <v>116</v>
      </c>
      <c r="J7">
        <v>2.5</v>
      </c>
      <c r="K7">
        <v>0</v>
      </c>
      <c r="M7">
        <v>1236.4549999999999</v>
      </c>
      <c r="N7" t="s">
        <v>17</v>
      </c>
    </row>
    <row r="8" spans="1:15" x14ac:dyDescent="0.2">
      <c r="A8" t="s">
        <v>18</v>
      </c>
      <c r="B8" t="s">
        <v>111</v>
      </c>
      <c r="C8" t="s">
        <v>112</v>
      </c>
      <c r="D8" t="s">
        <v>113</v>
      </c>
      <c r="E8" t="s">
        <v>53</v>
      </c>
      <c r="F8" t="s">
        <v>114</v>
      </c>
      <c r="G8">
        <v>119062</v>
      </c>
      <c r="H8" s="75">
        <v>40669</v>
      </c>
      <c r="I8" t="s">
        <v>115</v>
      </c>
      <c r="J8">
        <v>5000</v>
      </c>
      <c r="K8">
        <v>245.02799999999999</v>
      </c>
      <c r="L8">
        <v>20.405799999999999</v>
      </c>
      <c r="M8">
        <v>1481.4829999999999</v>
      </c>
      <c r="N8" t="s">
        <v>15</v>
      </c>
    </row>
    <row r="9" spans="1:15" x14ac:dyDescent="0.2">
      <c r="A9" t="s">
        <v>18</v>
      </c>
      <c r="B9" t="s">
        <v>111</v>
      </c>
      <c r="C9" t="s">
        <v>112</v>
      </c>
      <c r="D9" t="s">
        <v>113</v>
      </c>
      <c r="E9" t="s">
        <v>53</v>
      </c>
      <c r="F9" t="s">
        <v>114</v>
      </c>
      <c r="G9">
        <v>119062</v>
      </c>
      <c r="H9" s="75">
        <v>40699</v>
      </c>
      <c r="I9" t="s">
        <v>115</v>
      </c>
      <c r="J9">
        <v>5000</v>
      </c>
      <c r="K9">
        <v>239.624</v>
      </c>
      <c r="L9">
        <v>20.866</v>
      </c>
      <c r="M9">
        <v>1721.107</v>
      </c>
      <c r="N9" t="s">
        <v>15</v>
      </c>
    </row>
    <row r="10" spans="1:15" x14ac:dyDescent="0.2">
      <c r="A10" t="s">
        <v>18</v>
      </c>
      <c r="B10" t="s">
        <v>111</v>
      </c>
      <c r="C10" t="s">
        <v>112</v>
      </c>
      <c r="D10" t="s">
        <v>113</v>
      </c>
      <c r="E10" t="s">
        <v>53</v>
      </c>
      <c r="F10" t="s">
        <v>114</v>
      </c>
      <c r="G10">
        <v>119062</v>
      </c>
      <c r="H10" s="75">
        <v>40699</v>
      </c>
      <c r="I10" t="s">
        <v>117</v>
      </c>
      <c r="J10">
        <v>2.5</v>
      </c>
      <c r="K10">
        <v>0</v>
      </c>
      <c r="M10">
        <v>1721.107</v>
      </c>
      <c r="N10" t="s">
        <v>46</v>
      </c>
    </row>
    <row r="11" spans="1:15" x14ac:dyDescent="0.2">
      <c r="A11" t="s">
        <v>18</v>
      </c>
      <c r="B11" t="s">
        <v>111</v>
      </c>
      <c r="C11" t="s">
        <v>112</v>
      </c>
      <c r="D11" t="s">
        <v>113</v>
      </c>
      <c r="E11" t="s">
        <v>53</v>
      </c>
      <c r="F11" t="s">
        <v>114</v>
      </c>
      <c r="G11">
        <v>119062</v>
      </c>
      <c r="H11" s="75">
        <v>40729</v>
      </c>
      <c r="I11" t="s">
        <v>115</v>
      </c>
      <c r="J11">
        <v>5000</v>
      </c>
      <c r="K11">
        <v>234.42699999999999</v>
      </c>
      <c r="L11">
        <v>21.328600000000002</v>
      </c>
      <c r="M11">
        <v>1955.5340000000001</v>
      </c>
      <c r="N11" t="s">
        <v>15</v>
      </c>
    </row>
    <row r="12" spans="1:15" x14ac:dyDescent="0.2">
      <c r="A12" t="s">
        <v>18</v>
      </c>
      <c r="B12" t="s">
        <v>111</v>
      </c>
      <c r="C12" t="s">
        <v>112</v>
      </c>
      <c r="D12" t="s">
        <v>113</v>
      </c>
      <c r="E12" t="s">
        <v>53</v>
      </c>
      <c r="F12" t="s">
        <v>114</v>
      </c>
      <c r="G12">
        <v>119062</v>
      </c>
      <c r="H12" s="75">
        <v>40729</v>
      </c>
      <c r="I12" t="s">
        <v>116</v>
      </c>
      <c r="J12">
        <v>2.5</v>
      </c>
      <c r="K12">
        <v>0</v>
      </c>
      <c r="M12">
        <v>1955.5340000000001</v>
      </c>
      <c r="N12" t="s">
        <v>17</v>
      </c>
    </row>
    <row r="13" spans="1:15" x14ac:dyDescent="0.2">
      <c r="A13" t="s">
        <v>18</v>
      </c>
      <c r="B13" t="s">
        <v>111</v>
      </c>
      <c r="C13" t="s">
        <v>112</v>
      </c>
      <c r="D13" t="s">
        <v>113</v>
      </c>
      <c r="E13" t="s">
        <v>53</v>
      </c>
      <c r="F13" t="s">
        <v>114</v>
      </c>
      <c r="G13">
        <v>119062</v>
      </c>
      <c r="H13" s="75">
        <v>40759</v>
      </c>
      <c r="I13" t="s">
        <v>115</v>
      </c>
      <c r="J13">
        <v>5000</v>
      </c>
      <c r="K13">
        <v>228.53200000000001</v>
      </c>
      <c r="L13">
        <v>21.878699999999998</v>
      </c>
      <c r="M13">
        <v>2184.067</v>
      </c>
      <c r="N13" t="s">
        <v>15</v>
      </c>
    </row>
    <row r="14" spans="1:15" x14ac:dyDescent="0.2">
      <c r="A14" t="s">
        <v>18</v>
      </c>
      <c r="B14" t="s">
        <v>111</v>
      </c>
      <c r="C14" t="s">
        <v>112</v>
      </c>
      <c r="D14" t="s">
        <v>113</v>
      </c>
      <c r="E14" t="s">
        <v>53</v>
      </c>
      <c r="F14" t="s">
        <v>114</v>
      </c>
      <c r="G14">
        <v>119062</v>
      </c>
      <c r="H14" s="75">
        <v>40789</v>
      </c>
      <c r="I14" t="s">
        <v>115</v>
      </c>
      <c r="J14">
        <v>5000</v>
      </c>
      <c r="K14">
        <v>225.83799999999999</v>
      </c>
      <c r="L14">
        <v>22.139800000000001</v>
      </c>
      <c r="M14">
        <v>2409.9050000000002</v>
      </c>
      <c r="N14" t="s">
        <v>15</v>
      </c>
    </row>
    <row r="15" spans="1:15" x14ac:dyDescent="0.2">
      <c r="A15" t="s">
        <v>18</v>
      </c>
      <c r="B15" t="s">
        <v>111</v>
      </c>
      <c r="C15" t="s">
        <v>112</v>
      </c>
      <c r="D15" t="s">
        <v>113</v>
      </c>
      <c r="E15" t="s">
        <v>53</v>
      </c>
      <c r="F15" t="s">
        <v>114</v>
      </c>
      <c r="G15">
        <v>119062</v>
      </c>
      <c r="H15" s="75">
        <v>40789</v>
      </c>
      <c r="I15" t="s">
        <v>118</v>
      </c>
      <c r="J15">
        <v>1204.95</v>
      </c>
      <c r="K15">
        <v>0</v>
      </c>
      <c r="M15">
        <v>2409.9050000000002</v>
      </c>
      <c r="N15" t="s">
        <v>19</v>
      </c>
      <c r="O15">
        <v>1204.95</v>
      </c>
    </row>
    <row r="16" spans="1:15" x14ac:dyDescent="0.2">
      <c r="A16" t="s">
        <v>18</v>
      </c>
      <c r="B16" t="s">
        <v>111</v>
      </c>
      <c r="C16" t="s">
        <v>112</v>
      </c>
      <c r="D16" t="s">
        <v>113</v>
      </c>
      <c r="E16" t="s">
        <v>53</v>
      </c>
      <c r="F16" t="s">
        <v>114</v>
      </c>
      <c r="G16">
        <v>119062</v>
      </c>
      <c r="H16" s="75">
        <v>40819</v>
      </c>
      <c r="I16" t="s">
        <v>115</v>
      </c>
      <c r="J16">
        <v>5000</v>
      </c>
      <c r="K16">
        <v>221.32900000000001</v>
      </c>
      <c r="L16">
        <v>22.590800000000002</v>
      </c>
      <c r="M16">
        <v>2631.2339999999999</v>
      </c>
      <c r="N16" t="s">
        <v>15</v>
      </c>
    </row>
    <row r="17" spans="1:14" x14ac:dyDescent="0.2">
      <c r="A17" t="s">
        <v>18</v>
      </c>
      <c r="B17" t="s">
        <v>111</v>
      </c>
      <c r="C17" t="s">
        <v>112</v>
      </c>
      <c r="D17" t="s">
        <v>113</v>
      </c>
      <c r="E17" t="s">
        <v>53</v>
      </c>
      <c r="F17" t="s">
        <v>114</v>
      </c>
      <c r="G17">
        <v>119062</v>
      </c>
      <c r="H17" s="75">
        <v>40849</v>
      </c>
      <c r="I17" t="s">
        <v>115</v>
      </c>
      <c r="J17">
        <v>5000</v>
      </c>
      <c r="K17">
        <v>219.649</v>
      </c>
      <c r="L17">
        <v>22.7636</v>
      </c>
      <c r="M17">
        <v>2850.8829999999998</v>
      </c>
      <c r="N17" t="s">
        <v>15</v>
      </c>
    </row>
    <row r="18" spans="1:14" x14ac:dyDescent="0.2">
      <c r="A18" t="s">
        <v>18</v>
      </c>
      <c r="B18" t="s">
        <v>111</v>
      </c>
      <c r="C18" t="s">
        <v>112</v>
      </c>
      <c r="D18" t="s">
        <v>113</v>
      </c>
      <c r="E18" t="s">
        <v>53</v>
      </c>
      <c r="F18" t="s">
        <v>114</v>
      </c>
      <c r="G18">
        <v>119062</v>
      </c>
      <c r="H18" s="75">
        <v>40849</v>
      </c>
      <c r="I18" t="s">
        <v>117</v>
      </c>
      <c r="J18">
        <v>2.5</v>
      </c>
      <c r="K18">
        <v>0</v>
      </c>
      <c r="M18">
        <v>2850.8829999999998</v>
      </c>
      <c r="N18" t="s">
        <v>46</v>
      </c>
    </row>
    <row r="19" spans="1:14" x14ac:dyDescent="0.2">
      <c r="A19" t="s">
        <v>18</v>
      </c>
      <c r="B19" t="s">
        <v>111</v>
      </c>
      <c r="C19" t="s">
        <v>112</v>
      </c>
      <c r="D19" t="s">
        <v>113</v>
      </c>
      <c r="E19" t="s">
        <v>53</v>
      </c>
      <c r="F19" t="s">
        <v>114</v>
      </c>
      <c r="G19">
        <v>119062</v>
      </c>
      <c r="H19" s="75">
        <v>40879</v>
      </c>
      <c r="I19" t="s">
        <v>115</v>
      </c>
      <c r="J19">
        <v>5000</v>
      </c>
      <c r="K19">
        <v>216.88200000000001</v>
      </c>
      <c r="L19">
        <v>23.053999999999998</v>
      </c>
      <c r="M19">
        <v>3067.7649999999999</v>
      </c>
      <c r="N19" t="s">
        <v>15</v>
      </c>
    </row>
    <row r="20" spans="1:14" x14ac:dyDescent="0.2">
      <c r="A20" t="s">
        <v>18</v>
      </c>
      <c r="B20" t="s">
        <v>111</v>
      </c>
      <c r="C20" t="s">
        <v>112</v>
      </c>
      <c r="D20" t="s">
        <v>113</v>
      </c>
      <c r="E20" t="s">
        <v>53</v>
      </c>
      <c r="F20" t="s">
        <v>114</v>
      </c>
      <c r="G20">
        <v>119062</v>
      </c>
      <c r="H20" s="75">
        <v>40909</v>
      </c>
      <c r="I20" t="s">
        <v>115</v>
      </c>
      <c r="J20">
        <v>5000</v>
      </c>
      <c r="K20">
        <v>216.61699999999999</v>
      </c>
      <c r="L20">
        <v>23.0822</v>
      </c>
      <c r="M20">
        <v>3284.3820000000001</v>
      </c>
      <c r="N20" t="s">
        <v>15</v>
      </c>
    </row>
    <row r="21" spans="1:14" x14ac:dyDescent="0.2">
      <c r="A21" t="s">
        <v>18</v>
      </c>
      <c r="B21" t="s">
        <v>111</v>
      </c>
      <c r="C21" t="s">
        <v>112</v>
      </c>
      <c r="D21" t="s">
        <v>113</v>
      </c>
      <c r="E21" t="s">
        <v>53</v>
      </c>
      <c r="F21" t="s">
        <v>114</v>
      </c>
      <c r="G21">
        <v>119062</v>
      </c>
      <c r="H21" s="75">
        <v>40939</v>
      </c>
      <c r="I21" t="s">
        <v>115</v>
      </c>
      <c r="J21">
        <v>5000</v>
      </c>
      <c r="K21">
        <v>211.26300000000001</v>
      </c>
      <c r="L21">
        <v>23.667200000000001</v>
      </c>
      <c r="M21">
        <v>3495.645</v>
      </c>
      <c r="N21" t="s">
        <v>15</v>
      </c>
    </row>
    <row r="22" spans="1:14" x14ac:dyDescent="0.2">
      <c r="A22" t="s">
        <v>18</v>
      </c>
      <c r="B22" t="s">
        <v>111</v>
      </c>
      <c r="C22" t="s">
        <v>112</v>
      </c>
      <c r="D22" t="s">
        <v>113</v>
      </c>
      <c r="E22" t="s">
        <v>53</v>
      </c>
      <c r="F22" t="s">
        <v>114</v>
      </c>
      <c r="G22">
        <v>119062</v>
      </c>
      <c r="H22" s="75">
        <v>40969</v>
      </c>
      <c r="I22" t="s">
        <v>115</v>
      </c>
      <c r="J22">
        <v>5000</v>
      </c>
      <c r="K22">
        <v>213.696</v>
      </c>
      <c r="L22">
        <v>23.3977</v>
      </c>
      <c r="M22">
        <v>3709.3420000000001</v>
      </c>
      <c r="N22" t="s">
        <v>15</v>
      </c>
    </row>
    <row r="23" spans="1:14" x14ac:dyDescent="0.2">
      <c r="A23" t="s">
        <v>18</v>
      </c>
      <c r="B23" t="s">
        <v>111</v>
      </c>
      <c r="C23" t="s">
        <v>112</v>
      </c>
      <c r="D23" t="s">
        <v>113</v>
      </c>
      <c r="E23" t="s">
        <v>53</v>
      </c>
      <c r="F23" t="s">
        <v>114</v>
      </c>
      <c r="G23">
        <v>119062</v>
      </c>
      <c r="H23" s="75">
        <v>40969</v>
      </c>
      <c r="I23" t="s">
        <v>117</v>
      </c>
      <c r="J23">
        <v>2.5</v>
      </c>
      <c r="K23">
        <v>0</v>
      </c>
      <c r="M23">
        <v>3709.3420000000001</v>
      </c>
      <c r="N23" t="s">
        <v>46</v>
      </c>
    </row>
    <row r="24" spans="1:14" x14ac:dyDescent="0.2">
      <c r="A24" t="s">
        <v>18</v>
      </c>
      <c r="B24" t="s">
        <v>111</v>
      </c>
      <c r="C24" t="s">
        <v>112</v>
      </c>
      <c r="D24" t="s">
        <v>113</v>
      </c>
      <c r="E24" t="s">
        <v>53</v>
      </c>
      <c r="F24" t="s">
        <v>114</v>
      </c>
      <c r="G24">
        <v>119062</v>
      </c>
      <c r="H24" s="75">
        <v>40999</v>
      </c>
      <c r="I24" t="s">
        <v>115</v>
      </c>
      <c r="J24">
        <v>5000</v>
      </c>
      <c r="K24">
        <v>212.81100000000001</v>
      </c>
      <c r="L24">
        <v>23.495000000000001</v>
      </c>
      <c r="M24">
        <v>3922.1529999999998</v>
      </c>
      <c r="N24" t="s">
        <v>15</v>
      </c>
    </row>
    <row r="25" spans="1:14" x14ac:dyDescent="0.2">
      <c r="A25" t="s">
        <v>18</v>
      </c>
      <c r="B25" t="s">
        <v>111</v>
      </c>
      <c r="C25" t="s">
        <v>112</v>
      </c>
      <c r="D25" t="s">
        <v>113</v>
      </c>
      <c r="E25" t="s">
        <v>53</v>
      </c>
      <c r="F25" t="s">
        <v>114</v>
      </c>
      <c r="G25">
        <v>119062</v>
      </c>
      <c r="H25" s="75">
        <v>41029</v>
      </c>
      <c r="I25" t="s">
        <v>115</v>
      </c>
      <c r="J25">
        <v>5000</v>
      </c>
      <c r="K25">
        <v>212.286</v>
      </c>
      <c r="L25">
        <v>23.553100000000001</v>
      </c>
      <c r="M25">
        <v>4134.4390000000003</v>
      </c>
      <c r="N25" t="s">
        <v>15</v>
      </c>
    </row>
    <row r="26" spans="1:14" x14ac:dyDescent="0.2">
      <c r="A26" t="s">
        <v>18</v>
      </c>
      <c r="B26" t="s">
        <v>111</v>
      </c>
      <c r="C26" t="s">
        <v>112</v>
      </c>
      <c r="D26" t="s">
        <v>113</v>
      </c>
      <c r="E26" t="s">
        <v>53</v>
      </c>
      <c r="F26" t="s">
        <v>114</v>
      </c>
      <c r="G26">
        <v>119062</v>
      </c>
      <c r="H26" s="75">
        <v>41059</v>
      </c>
      <c r="I26" t="s">
        <v>115</v>
      </c>
      <c r="J26">
        <v>5000</v>
      </c>
      <c r="K26">
        <v>215.756</v>
      </c>
      <c r="L26">
        <v>23.174299999999999</v>
      </c>
      <c r="M26">
        <v>4350.1959999999999</v>
      </c>
      <c r="N26" t="s">
        <v>15</v>
      </c>
    </row>
    <row r="27" spans="1:14" x14ac:dyDescent="0.2">
      <c r="A27" t="s">
        <v>18</v>
      </c>
      <c r="B27" t="s">
        <v>111</v>
      </c>
      <c r="C27" t="s">
        <v>112</v>
      </c>
      <c r="D27" t="s">
        <v>113</v>
      </c>
      <c r="E27" t="s">
        <v>53</v>
      </c>
      <c r="F27" t="s">
        <v>114</v>
      </c>
      <c r="G27">
        <v>119062</v>
      </c>
      <c r="H27" s="75">
        <v>41089</v>
      </c>
      <c r="I27" t="s">
        <v>115</v>
      </c>
      <c r="J27">
        <v>5000</v>
      </c>
      <c r="K27">
        <v>211.04900000000001</v>
      </c>
      <c r="L27">
        <v>23.691199999999998</v>
      </c>
      <c r="M27">
        <v>4561.2439999999997</v>
      </c>
      <c r="N27" t="s">
        <v>15</v>
      </c>
    </row>
    <row r="28" spans="1:14" x14ac:dyDescent="0.2">
      <c r="A28" t="s">
        <v>18</v>
      </c>
      <c r="B28" t="s">
        <v>111</v>
      </c>
      <c r="C28" t="s">
        <v>112</v>
      </c>
      <c r="D28" t="s">
        <v>113</v>
      </c>
      <c r="E28" t="s">
        <v>53</v>
      </c>
      <c r="F28" t="s">
        <v>114</v>
      </c>
      <c r="G28">
        <v>119062</v>
      </c>
      <c r="H28" s="75">
        <v>41119</v>
      </c>
      <c r="I28" t="s">
        <v>115</v>
      </c>
      <c r="J28">
        <v>5000</v>
      </c>
      <c r="K28">
        <v>209.119</v>
      </c>
      <c r="L28">
        <v>23.909800000000001</v>
      </c>
      <c r="M28">
        <v>4770.3639999999996</v>
      </c>
      <c r="N28" t="s">
        <v>15</v>
      </c>
    </row>
    <row r="29" spans="1:14" x14ac:dyDescent="0.2">
      <c r="A29" t="s">
        <v>18</v>
      </c>
      <c r="B29" t="s">
        <v>111</v>
      </c>
      <c r="C29" t="s">
        <v>112</v>
      </c>
      <c r="D29" t="s">
        <v>113</v>
      </c>
      <c r="E29" t="s">
        <v>53</v>
      </c>
      <c r="F29" t="s">
        <v>114</v>
      </c>
      <c r="G29">
        <v>119062</v>
      </c>
      <c r="H29" s="75">
        <v>41149</v>
      </c>
      <c r="I29" t="s">
        <v>115</v>
      </c>
      <c r="J29">
        <v>5000</v>
      </c>
      <c r="K29">
        <v>204.65899999999999</v>
      </c>
      <c r="L29">
        <v>24.430900000000001</v>
      </c>
      <c r="M29">
        <v>4975.0230000000001</v>
      </c>
      <c r="N29" t="s">
        <v>15</v>
      </c>
    </row>
    <row r="30" spans="1:14" x14ac:dyDescent="0.2">
      <c r="A30" t="s">
        <v>18</v>
      </c>
      <c r="B30" t="s">
        <v>111</v>
      </c>
      <c r="C30" t="s">
        <v>112</v>
      </c>
      <c r="D30" t="s">
        <v>113</v>
      </c>
      <c r="E30" t="s">
        <v>53</v>
      </c>
      <c r="F30" t="s">
        <v>114</v>
      </c>
      <c r="G30">
        <v>119062</v>
      </c>
      <c r="H30" s="75">
        <v>41179</v>
      </c>
      <c r="I30" t="s">
        <v>115</v>
      </c>
      <c r="J30">
        <v>5000</v>
      </c>
      <c r="K30">
        <v>205.04400000000001</v>
      </c>
      <c r="L30">
        <v>24.385100000000001</v>
      </c>
      <c r="M30">
        <v>5180.0659999999998</v>
      </c>
      <c r="N30" t="s">
        <v>15</v>
      </c>
    </row>
    <row r="31" spans="1:14" x14ac:dyDescent="0.2">
      <c r="A31" t="s">
        <v>18</v>
      </c>
      <c r="B31" t="s">
        <v>111</v>
      </c>
      <c r="C31" t="s">
        <v>112</v>
      </c>
      <c r="D31" t="s">
        <v>113</v>
      </c>
      <c r="E31" t="s">
        <v>53</v>
      </c>
      <c r="F31" t="s">
        <v>114</v>
      </c>
      <c r="G31">
        <v>119062</v>
      </c>
      <c r="H31" s="75">
        <v>41179</v>
      </c>
      <c r="I31" t="s">
        <v>117</v>
      </c>
      <c r="J31">
        <v>2.5</v>
      </c>
      <c r="K31">
        <v>0</v>
      </c>
      <c r="M31">
        <v>5180.0659999999998</v>
      </c>
      <c r="N31" t="s">
        <v>46</v>
      </c>
    </row>
    <row r="32" spans="1:14" x14ac:dyDescent="0.2">
      <c r="A32" t="s">
        <v>18</v>
      </c>
      <c r="B32" t="s">
        <v>111</v>
      </c>
      <c r="C32" t="s">
        <v>112</v>
      </c>
      <c r="D32" t="s">
        <v>113</v>
      </c>
      <c r="E32" t="s">
        <v>53</v>
      </c>
      <c r="F32" t="s">
        <v>114</v>
      </c>
      <c r="G32">
        <v>119062</v>
      </c>
      <c r="H32" s="75">
        <v>41209</v>
      </c>
      <c r="I32" t="s">
        <v>115</v>
      </c>
      <c r="J32">
        <v>5000</v>
      </c>
      <c r="K32">
        <v>205.16300000000001</v>
      </c>
      <c r="L32">
        <v>24.370899999999999</v>
      </c>
      <c r="M32">
        <v>5385.2290000000003</v>
      </c>
      <c r="N32" t="s">
        <v>15</v>
      </c>
    </row>
    <row r="33" spans="1:14" x14ac:dyDescent="0.2">
      <c r="A33" t="s">
        <v>18</v>
      </c>
      <c r="B33" t="s">
        <v>111</v>
      </c>
      <c r="C33" t="s">
        <v>112</v>
      </c>
      <c r="D33" t="s">
        <v>113</v>
      </c>
      <c r="E33" t="s">
        <v>53</v>
      </c>
      <c r="F33" t="s">
        <v>114</v>
      </c>
      <c r="G33">
        <v>119062</v>
      </c>
      <c r="H33" s="75">
        <v>41239</v>
      </c>
      <c r="I33" t="s">
        <v>115</v>
      </c>
      <c r="J33">
        <v>5000</v>
      </c>
      <c r="K33">
        <v>207.072</v>
      </c>
      <c r="L33">
        <v>24.1462</v>
      </c>
      <c r="M33">
        <v>5592.3010000000004</v>
      </c>
      <c r="N33" t="s">
        <v>15</v>
      </c>
    </row>
    <row r="34" spans="1:14" x14ac:dyDescent="0.2">
      <c r="A34" t="s">
        <v>18</v>
      </c>
      <c r="B34" t="s">
        <v>111</v>
      </c>
      <c r="C34" t="s">
        <v>112</v>
      </c>
      <c r="D34" t="s">
        <v>113</v>
      </c>
      <c r="E34" t="s">
        <v>53</v>
      </c>
      <c r="F34" t="s">
        <v>114</v>
      </c>
      <c r="G34">
        <v>119062</v>
      </c>
      <c r="H34" s="75">
        <v>41269</v>
      </c>
      <c r="I34" t="s">
        <v>115</v>
      </c>
      <c r="J34">
        <v>5000</v>
      </c>
      <c r="K34">
        <v>203.87899999999999</v>
      </c>
      <c r="L34">
        <v>24.5243</v>
      </c>
      <c r="M34">
        <v>5796.18</v>
      </c>
      <c r="N34" t="s">
        <v>15</v>
      </c>
    </row>
    <row r="35" spans="1:14" x14ac:dyDescent="0.2">
      <c r="A35" t="s">
        <v>18</v>
      </c>
      <c r="B35" t="s">
        <v>111</v>
      </c>
      <c r="C35" t="s">
        <v>112</v>
      </c>
      <c r="D35" t="s">
        <v>113</v>
      </c>
      <c r="E35" t="s">
        <v>53</v>
      </c>
      <c r="F35" t="s">
        <v>114</v>
      </c>
      <c r="G35">
        <v>119062</v>
      </c>
      <c r="H35" s="75">
        <v>41299</v>
      </c>
      <c r="I35" t="s">
        <v>115</v>
      </c>
      <c r="J35">
        <v>5000</v>
      </c>
      <c r="K35">
        <v>200.583</v>
      </c>
      <c r="L35">
        <v>24.927299999999999</v>
      </c>
      <c r="M35">
        <v>5996.7629999999999</v>
      </c>
      <c r="N35" t="s">
        <v>15</v>
      </c>
    </row>
    <row r="36" spans="1:14" x14ac:dyDescent="0.2">
      <c r="A36" t="s">
        <v>18</v>
      </c>
      <c r="B36" t="s">
        <v>111</v>
      </c>
      <c r="C36" t="s">
        <v>112</v>
      </c>
      <c r="D36" t="s">
        <v>113</v>
      </c>
      <c r="E36" t="s">
        <v>53</v>
      </c>
      <c r="F36" t="s">
        <v>114</v>
      </c>
      <c r="G36">
        <v>119062</v>
      </c>
      <c r="H36" s="75">
        <v>41329</v>
      </c>
      <c r="I36" t="s">
        <v>115</v>
      </c>
      <c r="J36">
        <v>5000</v>
      </c>
      <c r="K36">
        <v>194.97</v>
      </c>
      <c r="L36">
        <v>25.645</v>
      </c>
      <c r="M36">
        <v>6191.7330000000002</v>
      </c>
      <c r="N36" t="s">
        <v>15</v>
      </c>
    </row>
    <row r="37" spans="1:14" x14ac:dyDescent="0.2">
      <c r="A37" t="s">
        <v>18</v>
      </c>
      <c r="B37" t="s">
        <v>111</v>
      </c>
      <c r="C37" t="s">
        <v>112</v>
      </c>
      <c r="D37" t="s">
        <v>113</v>
      </c>
      <c r="E37" t="s">
        <v>53</v>
      </c>
      <c r="F37" t="s">
        <v>114</v>
      </c>
      <c r="G37">
        <v>119062</v>
      </c>
      <c r="H37" s="75">
        <v>41359</v>
      </c>
      <c r="I37" t="s">
        <v>115</v>
      </c>
      <c r="J37">
        <v>5000</v>
      </c>
      <c r="K37">
        <v>195.715</v>
      </c>
      <c r="L37">
        <v>25.5473</v>
      </c>
      <c r="M37">
        <v>6387.4480000000003</v>
      </c>
      <c r="N37" t="s">
        <v>15</v>
      </c>
    </row>
    <row r="38" spans="1:14" x14ac:dyDescent="0.2">
      <c r="A38" t="s">
        <v>18</v>
      </c>
      <c r="B38" t="s">
        <v>111</v>
      </c>
      <c r="C38" t="s">
        <v>112</v>
      </c>
      <c r="D38" t="s">
        <v>113</v>
      </c>
      <c r="E38" t="s">
        <v>53</v>
      </c>
      <c r="F38" t="s">
        <v>114</v>
      </c>
      <c r="G38">
        <v>119062</v>
      </c>
      <c r="H38" s="75">
        <v>41389</v>
      </c>
      <c r="I38" t="s">
        <v>115</v>
      </c>
      <c r="J38">
        <v>5000</v>
      </c>
      <c r="K38">
        <v>198.744</v>
      </c>
      <c r="L38">
        <v>25.158000000000001</v>
      </c>
      <c r="M38">
        <v>6586.192</v>
      </c>
      <c r="N38" t="s">
        <v>15</v>
      </c>
    </row>
    <row r="39" spans="1:14" x14ac:dyDescent="0.2">
      <c r="A39" t="s">
        <v>18</v>
      </c>
      <c r="B39" t="s">
        <v>111</v>
      </c>
      <c r="C39" t="s">
        <v>112</v>
      </c>
      <c r="D39" t="s">
        <v>113</v>
      </c>
      <c r="E39" t="s">
        <v>53</v>
      </c>
      <c r="F39" t="s">
        <v>114</v>
      </c>
      <c r="G39">
        <v>119062</v>
      </c>
      <c r="H39" s="75">
        <v>41419</v>
      </c>
      <c r="I39" t="s">
        <v>115</v>
      </c>
      <c r="J39">
        <v>5000</v>
      </c>
      <c r="K39">
        <v>197.27799999999999</v>
      </c>
      <c r="L39">
        <v>25.344999999999999</v>
      </c>
      <c r="M39">
        <v>6783.4690000000001</v>
      </c>
      <c r="N39" t="s">
        <v>15</v>
      </c>
    </row>
    <row r="40" spans="1:14" x14ac:dyDescent="0.2">
      <c r="A40" t="s">
        <v>18</v>
      </c>
      <c r="B40" t="s">
        <v>111</v>
      </c>
      <c r="C40" t="s">
        <v>112</v>
      </c>
      <c r="D40" t="s">
        <v>113</v>
      </c>
      <c r="E40" t="s">
        <v>53</v>
      </c>
      <c r="F40" t="s">
        <v>114</v>
      </c>
      <c r="G40">
        <v>119062</v>
      </c>
      <c r="H40" s="75">
        <v>41449</v>
      </c>
      <c r="I40" t="s">
        <v>115</v>
      </c>
      <c r="J40">
        <v>5000</v>
      </c>
      <c r="K40">
        <v>193.45500000000001</v>
      </c>
      <c r="L40">
        <v>25.8459</v>
      </c>
      <c r="M40">
        <v>6976.924</v>
      </c>
      <c r="N40" t="s">
        <v>15</v>
      </c>
    </row>
    <row r="41" spans="1:14" x14ac:dyDescent="0.2">
      <c r="A41" t="s">
        <v>18</v>
      </c>
      <c r="B41" t="s">
        <v>111</v>
      </c>
      <c r="C41" t="s">
        <v>112</v>
      </c>
      <c r="D41" t="s">
        <v>113</v>
      </c>
      <c r="E41" t="s">
        <v>53</v>
      </c>
      <c r="F41" t="s">
        <v>114</v>
      </c>
      <c r="G41">
        <v>119062</v>
      </c>
      <c r="H41" s="75">
        <v>41449</v>
      </c>
      <c r="I41" t="s">
        <v>116</v>
      </c>
      <c r="J41">
        <v>2.5</v>
      </c>
      <c r="K41">
        <v>0</v>
      </c>
      <c r="M41">
        <v>6976.924</v>
      </c>
      <c r="N41" t="s">
        <v>17</v>
      </c>
    </row>
    <row r="42" spans="1:14" x14ac:dyDescent="0.2">
      <c r="A42" t="s">
        <v>18</v>
      </c>
      <c r="B42" t="s">
        <v>111</v>
      </c>
      <c r="C42" t="s">
        <v>112</v>
      </c>
      <c r="D42" t="s">
        <v>113</v>
      </c>
      <c r="E42" t="s">
        <v>53</v>
      </c>
      <c r="F42" t="s">
        <v>114</v>
      </c>
      <c r="G42">
        <v>119062</v>
      </c>
      <c r="H42" s="75">
        <v>41479</v>
      </c>
      <c r="I42" t="s">
        <v>115</v>
      </c>
      <c r="J42">
        <v>5000</v>
      </c>
      <c r="K42">
        <v>192.548</v>
      </c>
      <c r="L42">
        <v>25.967500000000001</v>
      </c>
      <c r="M42">
        <v>7169.4719999999998</v>
      </c>
      <c r="N42" t="s">
        <v>15</v>
      </c>
    </row>
    <row r="43" spans="1:14" x14ac:dyDescent="0.2">
      <c r="A43" t="s">
        <v>18</v>
      </c>
      <c r="B43" t="s">
        <v>111</v>
      </c>
      <c r="C43" t="s">
        <v>112</v>
      </c>
      <c r="D43" t="s">
        <v>113</v>
      </c>
      <c r="E43" t="s">
        <v>53</v>
      </c>
      <c r="F43" t="s">
        <v>114</v>
      </c>
      <c r="G43">
        <v>119062</v>
      </c>
      <c r="H43" s="75">
        <v>41479</v>
      </c>
      <c r="I43" t="s">
        <v>116</v>
      </c>
      <c r="J43">
        <v>2.5</v>
      </c>
      <c r="K43">
        <v>0</v>
      </c>
      <c r="M43">
        <v>7169.4719999999998</v>
      </c>
      <c r="N43" t="s">
        <v>17</v>
      </c>
    </row>
    <row r="44" spans="1:14" x14ac:dyDescent="0.2">
      <c r="A44" t="s">
        <v>18</v>
      </c>
      <c r="B44" t="s">
        <v>111</v>
      </c>
      <c r="C44" t="s">
        <v>112</v>
      </c>
      <c r="D44" t="s">
        <v>113</v>
      </c>
      <c r="E44" t="s">
        <v>53</v>
      </c>
      <c r="F44" t="s">
        <v>114</v>
      </c>
      <c r="G44">
        <v>119062</v>
      </c>
      <c r="H44" s="75">
        <v>41509</v>
      </c>
      <c r="I44" t="s">
        <v>115</v>
      </c>
      <c r="J44">
        <v>5000</v>
      </c>
      <c r="K44">
        <v>194.30099999999999</v>
      </c>
      <c r="L44">
        <v>25.7332</v>
      </c>
      <c r="M44">
        <v>7363.7730000000001</v>
      </c>
      <c r="N44" t="s">
        <v>15</v>
      </c>
    </row>
    <row r="45" spans="1:14" x14ac:dyDescent="0.2">
      <c r="A45" t="s">
        <v>18</v>
      </c>
      <c r="B45" t="s">
        <v>111</v>
      </c>
      <c r="C45" t="s">
        <v>112</v>
      </c>
      <c r="D45" t="s">
        <v>113</v>
      </c>
      <c r="E45" t="s">
        <v>53</v>
      </c>
      <c r="F45" t="s">
        <v>114</v>
      </c>
      <c r="G45">
        <v>119062</v>
      </c>
      <c r="H45" s="75">
        <v>41539</v>
      </c>
      <c r="I45" t="s">
        <v>115</v>
      </c>
      <c r="J45">
        <v>5000</v>
      </c>
      <c r="K45">
        <v>195.761</v>
      </c>
      <c r="L45">
        <v>25.5413</v>
      </c>
      <c r="M45">
        <v>7559.5349999999999</v>
      </c>
      <c r="N45" t="s">
        <v>15</v>
      </c>
    </row>
    <row r="46" spans="1:14" x14ac:dyDescent="0.2">
      <c r="A46" t="s">
        <v>18</v>
      </c>
      <c r="B46" t="s">
        <v>111</v>
      </c>
      <c r="C46" t="s">
        <v>112</v>
      </c>
      <c r="D46" t="s">
        <v>113</v>
      </c>
      <c r="E46" t="s">
        <v>53</v>
      </c>
      <c r="F46" t="s">
        <v>114</v>
      </c>
      <c r="G46">
        <v>119062</v>
      </c>
      <c r="H46" s="75">
        <v>41569</v>
      </c>
      <c r="I46" t="s">
        <v>115</v>
      </c>
      <c r="J46">
        <v>5000</v>
      </c>
      <c r="K46">
        <v>198.959</v>
      </c>
      <c r="L46">
        <v>25.130800000000001</v>
      </c>
      <c r="M46">
        <v>7758.4939999999997</v>
      </c>
      <c r="N46" t="s">
        <v>15</v>
      </c>
    </row>
    <row r="47" spans="1:14" x14ac:dyDescent="0.2">
      <c r="A47" t="s">
        <v>18</v>
      </c>
      <c r="B47" t="s">
        <v>111</v>
      </c>
      <c r="C47" t="s">
        <v>112</v>
      </c>
      <c r="D47" t="s">
        <v>113</v>
      </c>
      <c r="E47" t="s">
        <v>53</v>
      </c>
      <c r="F47" t="s">
        <v>114</v>
      </c>
      <c r="G47">
        <v>119062</v>
      </c>
      <c r="H47" s="75">
        <v>41599</v>
      </c>
      <c r="I47" t="s">
        <v>115</v>
      </c>
      <c r="J47">
        <v>5000</v>
      </c>
      <c r="K47">
        <v>196.38300000000001</v>
      </c>
      <c r="L47">
        <v>25.4605</v>
      </c>
      <c r="M47">
        <v>7954.8770000000004</v>
      </c>
      <c r="N47" t="s">
        <v>15</v>
      </c>
    </row>
    <row r="48" spans="1:14" x14ac:dyDescent="0.2">
      <c r="A48" t="s">
        <v>18</v>
      </c>
      <c r="B48" t="s">
        <v>111</v>
      </c>
      <c r="C48" t="s">
        <v>112</v>
      </c>
      <c r="D48" t="s">
        <v>113</v>
      </c>
      <c r="E48" t="s">
        <v>53</v>
      </c>
      <c r="F48" t="s">
        <v>114</v>
      </c>
      <c r="G48">
        <v>119062</v>
      </c>
      <c r="H48" s="75">
        <v>41629</v>
      </c>
      <c r="I48" t="s">
        <v>115</v>
      </c>
      <c r="J48">
        <v>5000</v>
      </c>
      <c r="K48">
        <v>200.017</v>
      </c>
      <c r="L48">
        <v>24.997900000000001</v>
      </c>
      <c r="M48">
        <v>8154.893</v>
      </c>
      <c r="N48" t="s">
        <v>15</v>
      </c>
    </row>
    <row r="49" spans="1:15" x14ac:dyDescent="0.2">
      <c r="A49" t="s">
        <v>18</v>
      </c>
      <c r="B49" t="s">
        <v>111</v>
      </c>
      <c r="C49" t="s">
        <v>112</v>
      </c>
      <c r="D49" t="s">
        <v>113</v>
      </c>
      <c r="E49" t="s">
        <v>53</v>
      </c>
      <c r="F49" t="s">
        <v>114</v>
      </c>
      <c r="G49">
        <v>119062</v>
      </c>
      <c r="H49" s="75">
        <v>41659</v>
      </c>
      <c r="I49" t="s">
        <v>115</v>
      </c>
      <c r="J49">
        <v>5000</v>
      </c>
      <c r="K49">
        <v>201.126</v>
      </c>
      <c r="L49">
        <v>24.860099999999999</v>
      </c>
      <c r="M49">
        <v>8356.0190000000002</v>
      </c>
      <c r="N49" t="s">
        <v>15</v>
      </c>
    </row>
    <row r="50" spans="1:15" x14ac:dyDescent="0.2">
      <c r="A50" t="s">
        <v>18</v>
      </c>
      <c r="B50" t="s">
        <v>111</v>
      </c>
      <c r="C50" t="s">
        <v>112</v>
      </c>
      <c r="D50" t="s">
        <v>113</v>
      </c>
      <c r="E50" t="s">
        <v>53</v>
      </c>
      <c r="F50" t="s">
        <v>114</v>
      </c>
      <c r="G50">
        <v>119062</v>
      </c>
      <c r="H50" s="75">
        <v>41689</v>
      </c>
      <c r="I50" t="s">
        <v>115</v>
      </c>
      <c r="J50">
        <v>5000</v>
      </c>
      <c r="K50">
        <v>203.32499999999999</v>
      </c>
      <c r="L50">
        <v>24.591100000000001</v>
      </c>
      <c r="M50">
        <v>8559.3439999999991</v>
      </c>
      <c r="N50" t="s">
        <v>15</v>
      </c>
    </row>
    <row r="51" spans="1:15" x14ac:dyDescent="0.2">
      <c r="A51" t="s">
        <v>18</v>
      </c>
      <c r="B51" t="s">
        <v>111</v>
      </c>
      <c r="C51" t="s">
        <v>112</v>
      </c>
      <c r="D51" t="s">
        <v>113</v>
      </c>
      <c r="E51" t="s">
        <v>53</v>
      </c>
      <c r="F51" t="s">
        <v>114</v>
      </c>
      <c r="G51">
        <v>119062</v>
      </c>
      <c r="H51" s="75">
        <v>41719</v>
      </c>
      <c r="I51" t="s">
        <v>115</v>
      </c>
      <c r="J51">
        <v>5000</v>
      </c>
      <c r="K51">
        <v>204.29599999999999</v>
      </c>
      <c r="L51">
        <v>24.474299999999999</v>
      </c>
      <c r="M51">
        <v>8763.64</v>
      </c>
      <c r="N51" t="s">
        <v>15</v>
      </c>
    </row>
    <row r="52" spans="1:15" x14ac:dyDescent="0.2">
      <c r="A52" t="s">
        <v>18</v>
      </c>
      <c r="B52" t="s">
        <v>111</v>
      </c>
      <c r="C52" t="s">
        <v>112</v>
      </c>
      <c r="D52" t="s">
        <v>113</v>
      </c>
      <c r="E52" t="s">
        <v>53</v>
      </c>
      <c r="F52" t="s">
        <v>114</v>
      </c>
      <c r="G52">
        <v>119062</v>
      </c>
      <c r="H52" s="75">
        <v>41749</v>
      </c>
      <c r="I52" t="s">
        <v>115</v>
      </c>
      <c r="J52">
        <v>5000</v>
      </c>
      <c r="K52">
        <v>208.13</v>
      </c>
      <c r="L52">
        <v>24.023499999999999</v>
      </c>
      <c r="M52">
        <v>8971.77</v>
      </c>
      <c r="N52" t="s">
        <v>15</v>
      </c>
    </row>
    <row r="53" spans="1:15" x14ac:dyDescent="0.2">
      <c r="A53" t="s">
        <v>18</v>
      </c>
      <c r="B53" t="s">
        <v>111</v>
      </c>
      <c r="C53" t="s">
        <v>112</v>
      </c>
      <c r="D53" t="s">
        <v>113</v>
      </c>
      <c r="E53" t="s">
        <v>53</v>
      </c>
      <c r="F53" t="s">
        <v>114</v>
      </c>
      <c r="G53">
        <v>119062</v>
      </c>
      <c r="H53" s="75">
        <v>41749</v>
      </c>
      <c r="I53" t="s">
        <v>117</v>
      </c>
      <c r="J53">
        <v>2.5</v>
      </c>
      <c r="K53">
        <v>0</v>
      </c>
      <c r="M53">
        <v>8971.77</v>
      </c>
      <c r="N53" t="s">
        <v>46</v>
      </c>
    </row>
    <row r="54" spans="1:15" x14ac:dyDescent="0.2">
      <c r="A54" t="s">
        <v>18</v>
      </c>
      <c r="B54" t="s">
        <v>111</v>
      </c>
      <c r="C54" t="s">
        <v>112</v>
      </c>
      <c r="D54" t="s">
        <v>113</v>
      </c>
      <c r="E54" t="s">
        <v>53</v>
      </c>
      <c r="F54" t="s">
        <v>114</v>
      </c>
      <c r="G54">
        <v>119062</v>
      </c>
      <c r="H54" s="75">
        <v>41779</v>
      </c>
      <c r="I54" t="s">
        <v>115</v>
      </c>
      <c r="J54">
        <v>5000</v>
      </c>
      <c r="K54">
        <v>203.53700000000001</v>
      </c>
      <c r="L54">
        <v>24.5656</v>
      </c>
      <c r="M54">
        <v>9175.3070000000007</v>
      </c>
      <c r="N54" t="s">
        <v>15</v>
      </c>
    </row>
    <row r="55" spans="1:15" x14ac:dyDescent="0.2">
      <c r="A55" t="s">
        <v>18</v>
      </c>
      <c r="B55" t="s">
        <v>111</v>
      </c>
      <c r="C55" t="s">
        <v>112</v>
      </c>
      <c r="D55" t="s">
        <v>113</v>
      </c>
      <c r="E55" t="s">
        <v>53</v>
      </c>
      <c r="F55" t="s">
        <v>114</v>
      </c>
      <c r="G55">
        <v>119062</v>
      </c>
      <c r="H55" s="75">
        <v>41809</v>
      </c>
      <c r="I55" t="s">
        <v>115</v>
      </c>
      <c r="J55">
        <v>5000</v>
      </c>
      <c r="K55">
        <v>200.46899999999999</v>
      </c>
      <c r="L55">
        <v>24.941500000000001</v>
      </c>
      <c r="M55">
        <v>9375.777</v>
      </c>
      <c r="N55" t="s">
        <v>15</v>
      </c>
    </row>
    <row r="56" spans="1:15" x14ac:dyDescent="0.2">
      <c r="A56" t="s">
        <v>18</v>
      </c>
      <c r="B56" t="s">
        <v>111</v>
      </c>
      <c r="C56" t="s">
        <v>112</v>
      </c>
      <c r="D56" t="s">
        <v>113</v>
      </c>
      <c r="E56" t="s">
        <v>53</v>
      </c>
      <c r="F56" t="s">
        <v>114</v>
      </c>
      <c r="G56">
        <v>119062</v>
      </c>
      <c r="H56" s="75">
        <v>41839</v>
      </c>
      <c r="I56" t="s">
        <v>115</v>
      </c>
      <c r="J56">
        <v>5000</v>
      </c>
      <c r="K56">
        <v>200.25700000000001</v>
      </c>
      <c r="L56">
        <v>24.9679</v>
      </c>
      <c r="M56">
        <v>9576.0339999999997</v>
      </c>
      <c r="N56" t="s">
        <v>15</v>
      </c>
    </row>
    <row r="57" spans="1:15" x14ac:dyDescent="0.2">
      <c r="A57" t="s">
        <v>18</v>
      </c>
      <c r="B57" t="s">
        <v>111</v>
      </c>
      <c r="C57" t="s">
        <v>112</v>
      </c>
      <c r="D57" t="s">
        <v>113</v>
      </c>
      <c r="E57" t="s">
        <v>53</v>
      </c>
      <c r="F57" t="s">
        <v>114</v>
      </c>
      <c r="G57">
        <v>119062</v>
      </c>
      <c r="H57" s="75">
        <v>41869</v>
      </c>
      <c r="I57" t="s">
        <v>115</v>
      </c>
      <c r="J57">
        <v>5000</v>
      </c>
      <c r="K57">
        <v>196.56399999999999</v>
      </c>
      <c r="L57">
        <v>25.437000000000001</v>
      </c>
      <c r="M57">
        <v>9772.598</v>
      </c>
      <c r="N57" t="s">
        <v>15</v>
      </c>
    </row>
    <row r="58" spans="1:15" x14ac:dyDescent="0.2">
      <c r="A58" t="s">
        <v>18</v>
      </c>
      <c r="B58" t="s">
        <v>111</v>
      </c>
      <c r="C58" t="s">
        <v>112</v>
      </c>
      <c r="D58" t="s">
        <v>113</v>
      </c>
      <c r="E58" t="s">
        <v>53</v>
      </c>
      <c r="F58" t="s">
        <v>114</v>
      </c>
      <c r="G58">
        <v>119062</v>
      </c>
      <c r="H58" s="75">
        <v>41869</v>
      </c>
      <c r="I58" t="s">
        <v>116</v>
      </c>
      <c r="J58">
        <v>2.5</v>
      </c>
      <c r="K58">
        <v>0</v>
      </c>
      <c r="M58">
        <v>9772.598</v>
      </c>
      <c r="N58" t="s">
        <v>17</v>
      </c>
    </row>
    <row r="59" spans="1:15" x14ac:dyDescent="0.2">
      <c r="A59" t="s">
        <v>18</v>
      </c>
      <c r="B59" t="s">
        <v>111</v>
      </c>
      <c r="C59" t="s">
        <v>112</v>
      </c>
      <c r="D59" t="s">
        <v>113</v>
      </c>
      <c r="E59" t="s">
        <v>53</v>
      </c>
      <c r="F59" t="s">
        <v>114</v>
      </c>
      <c r="G59">
        <v>119062</v>
      </c>
      <c r="H59" s="75">
        <v>41899</v>
      </c>
      <c r="I59" t="s">
        <v>115</v>
      </c>
      <c r="J59">
        <v>5000</v>
      </c>
      <c r="K59">
        <v>193.46</v>
      </c>
      <c r="L59">
        <v>25.845099999999999</v>
      </c>
      <c r="M59">
        <v>9966.0580000000009</v>
      </c>
      <c r="N59" t="s">
        <v>15</v>
      </c>
    </row>
    <row r="60" spans="1:15" x14ac:dyDescent="0.2">
      <c r="A60" t="s">
        <v>18</v>
      </c>
      <c r="B60" t="s">
        <v>111</v>
      </c>
      <c r="C60" t="s">
        <v>112</v>
      </c>
      <c r="D60" t="s">
        <v>113</v>
      </c>
      <c r="E60" t="s">
        <v>53</v>
      </c>
      <c r="F60" t="s">
        <v>114</v>
      </c>
      <c r="G60">
        <v>119062</v>
      </c>
      <c r="H60" s="75">
        <v>41899</v>
      </c>
      <c r="I60" t="s">
        <v>116</v>
      </c>
      <c r="J60">
        <v>2.5</v>
      </c>
      <c r="K60">
        <v>0</v>
      </c>
      <c r="M60">
        <v>9966.0580000000009</v>
      </c>
      <c r="N60" t="s">
        <v>17</v>
      </c>
    </row>
    <row r="61" spans="1:15" x14ac:dyDescent="0.2">
      <c r="A61" t="s">
        <v>18</v>
      </c>
      <c r="B61" t="s">
        <v>111</v>
      </c>
      <c r="C61" t="s">
        <v>112</v>
      </c>
      <c r="D61" t="s">
        <v>113</v>
      </c>
      <c r="E61" t="s">
        <v>53</v>
      </c>
      <c r="F61" t="s">
        <v>114</v>
      </c>
      <c r="G61">
        <v>119062</v>
      </c>
      <c r="H61" s="75">
        <v>41929</v>
      </c>
      <c r="I61" t="s">
        <v>115</v>
      </c>
      <c r="J61">
        <v>5000</v>
      </c>
      <c r="K61">
        <v>191.71199999999999</v>
      </c>
      <c r="L61">
        <v>26.0808</v>
      </c>
      <c r="M61">
        <v>10157.77</v>
      </c>
      <c r="N61" t="s">
        <v>15</v>
      </c>
    </row>
    <row r="62" spans="1:15" x14ac:dyDescent="0.2">
      <c r="A62" t="s">
        <v>18</v>
      </c>
      <c r="B62" t="s">
        <v>111</v>
      </c>
      <c r="C62" t="s">
        <v>112</v>
      </c>
      <c r="D62" t="s">
        <v>113</v>
      </c>
      <c r="E62" t="s">
        <v>53</v>
      </c>
      <c r="F62" t="s">
        <v>114</v>
      </c>
      <c r="G62">
        <v>119062</v>
      </c>
      <c r="H62" s="75">
        <v>41929</v>
      </c>
      <c r="I62" t="s">
        <v>118</v>
      </c>
      <c r="J62">
        <v>5078.88</v>
      </c>
      <c r="K62">
        <v>0</v>
      </c>
      <c r="M62">
        <v>10157.77</v>
      </c>
      <c r="N62" t="s">
        <v>19</v>
      </c>
      <c r="O62">
        <v>5078.88</v>
      </c>
    </row>
    <row r="63" spans="1:15" x14ac:dyDescent="0.2">
      <c r="A63" t="s">
        <v>18</v>
      </c>
      <c r="B63" t="s">
        <v>111</v>
      </c>
      <c r="C63" t="s">
        <v>112</v>
      </c>
      <c r="D63" t="s">
        <v>113</v>
      </c>
      <c r="E63" t="s">
        <v>53</v>
      </c>
      <c r="F63" t="s">
        <v>114</v>
      </c>
      <c r="G63">
        <v>119062</v>
      </c>
      <c r="H63" s="75">
        <v>41959</v>
      </c>
      <c r="I63" t="s">
        <v>115</v>
      </c>
      <c r="J63">
        <v>5000</v>
      </c>
      <c r="K63">
        <v>191.63900000000001</v>
      </c>
      <c r="L63">
        <v>26.090699999999998</v>
      </c>
      <c r="M63">
        <v>10349.409</v>
      </c>
      <c r="N63" t="s">
        <v>15</v>
      </c>
    </row>
    <row r="64" spans="1:15" x14ac:dyDescent="0.2">
      <c r="A64" t="s">
        <v>18</v>
      </c>
      <c r="B64" t="s">
        <v>111</v>
      </c>
      <c r="C64" t="s">
        <v>112</v>
      </c>
      <c r="D64" t="s">
        <v>113</v>
      </c>
      <c r="E64" t="s">
        <v>53</v>
      </c>
      <c r="F64" t="s">
        <v>114</v>
      </c>
      <c r="G64">
        <v>119062</v>
      </c>
      <c r="H64" s="75">
        <v>41989</v>
      </c>
      <c r="I64" t="s">
        <v>115</v>
      </c>
      <c r="J64">
        <v>5000</v>
      </c>
      <c r="K64">
        <v>186.429</v>
      </c>
      <c r="L64">
        <v>26.819900000000001</v>
      </c>
      <c r="M64">
        <v>10535.838</v>
      </c>
      <c r="N64" t="s">
        <v>15</v>
      </c>
    </row>
    <row r="65" spans="1:14" x14ac:dyDescent="0.2">
      <c r="A65" t="s">
        <v>18</v>
      </c>
      <c r="B65" t="s">
        <v>111</v>
      </c>
      <c r="C65" t="s">
        <v>112</v>
      </c>
      <c r="D65" t="s">
        <v>113</v>
      </c>
      <c r="E65" t="s">
        <v>53</v>
      </c>
      <c r="F65" t="s">
        <v>114</v>
      </c>
      <c r="G65">
        <v>119062</v>
      </c>
      <c r="H65" s="75">
        <v>42019</v>
      </c>
      <c r="I65" t="s">
        <v>115</v>
      </c>
      <c r="J65">
        <v>5000</v>
      </c>
      <c r="K65">
        <v>187.50299999999999</v>
      </c>
      <c r="L65">
        <v>26.6663</v>
      </c>
      <c r="M65">
        <v>10723.341</v>
      </c>
      <c r="N65" t="s">
        <v>15</v>
      </c>
    </row>
    <row r="66" spans="1:14" x14ac:dyDescent="0.2">
      <c r="A66" t="s">
        <v>18</v>
      </c>
      <c r="B66" t="s">
        <v>111</v>
      </c>
      <c r="C66" t="s">
        <v>112</v>
      </c>
      <c r="D66" t="s">
        <v>113</v>
      </c>
      <c r="E66" t="s">
        <v>53</v>
      </c>
      <c r="F66" t="s">
        <v>114</v>
      </c>
      <c r="G66">
        <v>119062</v>
      </c>
      <c r="H66" s="75">
        <v>42049</v>
      </c>
      <c r="I66" t="s">
        <v>115</v>
      </c>
      <c r="J66">
        <v>5000</v>
      </c>
      <c r="K66">
        <v>187.393</v>
      </c>
      <c r="L66">
        <v>26.681899999999999</v>
      </c>
      <c r="M66">
        <v>10910.734</v>
      </c>
      <c r="N66" t="s">
        <v>15</v>
      </c>
    </row>
    <row r="67" spans="1:14" x14ac:dyDescent="0.2">
      <c r="A67" t="s">
        <v>18</v>
      </c>
      <c r="B67" t="s">
        <v>111</v>
      </c>
      <c r="C67" t="s">
        <v>112</v>
      </c>
      <c r="D67" t="s">
        <v>113</v>
      </c>
      <c r="E67" t="s">
        <v>53</v>
      </c>
      <c r="F67" t="s">
        <v>114</v>
      </c>
      <c r="G67">
        <v>119062</v>
      </c>
      <c r="H67" s="75">
        <v>42079</v>
      </c>
      <c r="I67" t="s">
        <v>115</v>
      </c>
      <c r="J67">
        <v>5000</v>
      </c>
      <c r="K67">
        <v>188.51</v>
      </c>
      <c r="L67">
        <v>26.523700000000002</v>
      </c>
      <c r="M67">
        <v>11099.244000000001</v>
      </c>
      <c r="N67" t="s">
        <v>15</v>
      </c>
    </row>
    <row r="68" spans="1:14" x14ac:dyDescent="0.2">
      <c r="A68" t="s">
        <v>18</v>
      </c>
      <c r="B68" t="s">
        <v>111</v>
      </c>
      <c r="C68" t="s">
        <v>112</v>
      </c>
      <c r="D68" t="s">
        <v>113</v>
      </c>
      <c r="E68" t="s">
        <v>53</v>
      </c>
      <c r="F68" t="s">
        <v>114</v>
      </c>
      <c r="G68">
        <v>119062</v>
      </c>
      <c r="H68" s="75">
        <v>42109</v>
      </c>
      <c r="I68" t="s">
        <v>115</v>
      </c>
      <c r="J68">
        <v>5000</v>
      </c>
      <c r="K68">
        <v>183.31800000000001</v>
      </c>
      <c r="L68">
        <v>27.274999999999999</v>
      </c>
      <c r="M68">
        <v>11282.562</v>
      </c>
      <c r="N68" t="s">
        <v>15</v>
      </c>
    </row>
    <row r="69" spans="1:14" x14ac:dyDescent="0.2">
      <c r="A69" t="s">
        <v>18</v>
      </c>
      <c r="B69" t="s">
        <v>111</v>
      </c>
      <c r="C69" t="s">
        <v>112</v>
      </c>
      <c r="D69" t="s">
        <v>113</v>
      </c>
      <c r="E69" t="s">
        <v>53</v>
      </c>
      <c r="F69" t="s">
        <v>114</v>
      </c>
      <c r="G69">
        <v>119062</v>
      </c>
      <c r="H69" s="75">
        <v>42109</v>
      </c>
      <c r="I69" t="s">
        <v>116</v>
      </c>
      <c r="J69">
        <v>2.5</v>
      </c>
      <c r="K69">
        <v>0</v>
      </c>
      <c r="M69">
        <v>11282.562</v>
      </c>
      <c r="N69" t="s">
        <v>17</v>
      </c>
    </row>
    <row r="70" spans="1:14" x14ac:dyDescent="0.2">
      <c r="A70" t="s">
        <v>18</v>
      </c>
      <c r="B70" t="s">
        <v>111</v>
      </c>
      <c r="C70" t="s">
        <v>112</v>
      </c>
      <c r="D70" t="s">
        <v>113</v>
      </c>
      <c r="E70" t="s">
        <v>53</v>
      </c>
      <c r="F70" t="s">
        <v>114</v>
      </c>
      <c r="G70">
        <v>119062</v>
      </c>
      <c r="H70" s="75">
        <v>42139</v>
      </c>
      <c r="I70" t="s">
        <v>115</v>
      </c>
      <c r="J70">
        <v>5000</v>
      </c>
      <c r="K70">
        <v>180.25299999999999</v>
      </c>
      <c r="L70">
        <v>27.738800000000001</v>
      </c>
      <c r="M70">
        <v>11462.815000000001</v>
      </c>
      <c r="N70" t="s">
        <v>15</v>
      </c>
    </row>
    <row r="71" spans="1:14" x14ac:dyDescent="0.2">
      <c r="A71" t="s">
        <v>18</v>
      </c>
      <c r="B71" t="s">
        <v>111</v>
      </c>
      <c r="C71" t="s">
        <v>112</v>
      </c>
      <c r="D71" t="s">
        <v>113</v>
      </c>
      <c r="E71" t="s">
        <v>53</v>
      </c>
      <c r="F71" t="s">
        <v>114</v>
      </c>
      <c r="G71">
        <v>119062</v>
      </c>
      <c r="H71" s="75">
        <v>42169</v>
      </c>
      <c r="I71" t="s">
        <v>115</v>
      </c>
      <c r="J71">
        <v>5000</v>
      </c>
      <c r="K71">
        <v>178.19</v>
      </c>
      <c r="L71">
        <v>28.06</v>
      </c>
      <c r="M71">
        <v>11641.004999999999</v>
      </c>
      <c r="N71" t="s">
        <v>15</v>
      </c>
    </row>
    <row r="72" spans="1:14" x14ac:dyDescent="0.2">
      <c r="A72" t="s">
        <v>18</v>
      </c>
      <c r="B72" t="s">
        <v>111</v>
      </c>
      <c r="C72" t="s">
        <v>112</v>
      </c>
      <c r="D72" t="s">
        <v>113</v>
      </c>
      <c r="E72" t="s">
        <v>53</v>
      </c>
      <c r="F72" t="s">
        <v>114</v>
      </c>
      <c r="G72">
        <v>119062</v>
      </c>
      <c r="H72" s="75">
        <v>42169</v>
      </c>
      <c r="I72" t="s">
        <v>117</v>
      </c>
      <c r="J72">
        <v>2.5</v>
      </c>
      <c r="K72">
        <v>0</v>
      </c>
      <c r="M72">
        <v>11641.004999999999</v>
      </c>
      <c r="N72" t="s">
        <v>46</v>
      </c>
    </row>
    <row r="73" spans="1:14" x14ac:dyDescent="0.2">
      <c r="A73" t="s">
        <v>18</v>
      </c>
      <c r="B73" t="s">
        <v>111</v>
      </c>
      <c r="C73" t="s">
        <v>112</v>
      </c>
      <c r="D73" t="s">
        <v>113</v>
      </c>
      <c r="E73" t="s">
        <v>53</v>
      </c>
      <c r="F73" t="s">
        <v>114</v>
      </c>
      <c r="G73">
        <v>119062</v>
      </c>
      <c r="H73" s="75">
        <v>42199</v>
      </c>
      <c r="I73" t="s">
        <v>115</v>
      </c>
      <c r="J73">
        <v>5000</v>
      </c>
      <c r="K73">
        <v>181.18199999999999</v>
      </c>
      <c r="L73">
        <v>27.596599999999999</v>
      </c>
      <c r="M73">
        <v>11822.187</v>
      </c>
      <c r="N73" t="s">
        <v>15</v>
      </c>
    </row>
    <row r="74" spans="1:14" x14ac:dyDescent="0.2">
      <c r="A74" t="s">
        <v>18</v>
      </c>
      <c r="B74" t="s">
        <v>111</v>
      </c>
      <c r="C74" t="s">
        <v>112</v>
      </c>
      <c r="D74" t="s">
        <v>113</v>
      </c>
      <c r="E74" t="s">
        <v>53</v>
      </c>
      <c r="F74" t="s">
        <v>114</v>
      </c>
      <c r="G74">
        <v>119062</v>
      </c>
      <c r="H74" s="75">
        <v>42229</v>
      </c>
      <c r="I74" t="s">
        <v>115</v>
      </c>
      <c r="J74">
        <v>5000</v>
      </c>
      <c r="K74">
        <v>184.096</v>
      </c>
      <c r="L74">
        <v>27.159700000000001</v>
      </c>
      <c r="M74">
        <v>12006.282999999999</v>
      </c>
      <c r="N74" t="s">
        <v>15</v>
      </c>
    </row>
    <row r="75" spans="1:14" x14ac:dyDescent="0.2">
      <c r="A75" t="s">
        <v>18</v>
      </c>
      <c r="B75" t="s">
        <v>111</v>
      </c>
      <c r="C75" t="s">
        <v>112</v>
      </c>
      <c r="D75" t="s">
        <v>113</v>
      </c>
      <c r="E75" t="s">
        <v>53</v>
      </c>
      <c r="F75" t="s">
        <v>114</v>
      </c>
      <c r="G75">
        <v>119062</v>
      </c>
      <c r="H75" s="75">
        <v>42229</v>
      </c>
      <c r="I75" t="s">
        <v>116</v>
      </c>
      <c r="J75">
        <v>2.5</v>
      </c>
      <c r="K75">
        <v>0</v>
      </c>
      <c r="M75">
        <v>12006.282999999999</v>
      </c>
      <c r="N75" t="s">
        <v>17</v>
      </c>
    </row>
    <row r="76" spans="1:14" x14ac:dyDescent="0.2">
      <c r="A76" t="s">
        <v>18</v>
      </c>
      <c r="B76" t="s">
        <v>111</v>
      </c>
      <c r="C76" t="s">
        <v>112</v>
      </c>
      <c r="D76" t="s">
        <v>113</v>
      </c>
      <c r="E76" t="s">
        <v>53</v>
      </c>
      <c r="F76" t="s">
        <v>114</v>
      </c>
      <c r="G76">
        <v>119062</v>
      </c>
      <c r="H76" s="75">
        <v>42259</v>
      </c>
      <c r="I76" t="s">
        <v>115</v>
      </c>
      <c r="J76">
        <v>5000</v>
      </c>
      <c r="K76">
        <v>183.89500000000001</v>
      </c>
      <c r="L76">
        <v>27.189399999999999</v>
      </c>
      <c r="M76">
        <v>12190.179</v>
      </c>
      <c r="N76" t="s">
        <v>15</v>
      </c>
    </row>
    <row r="77" spans="1:14" x14ac:dyDescent="0.2">
      <c r="A77" t="s">
        <v>18</v>
      </c>
      <c r="B77" t="s">
        <v>111</v>
      </c>
      <c r="C77" t="s">
        <v>112</v>
      </c>
      <c r="D77" t="s">
        <v>113</v>
      </c>
      <c r="E77" t="s">
        <v>53</v>
      </c>
      <c r="F77" t="s">
        <v>114</v>
      </c>
      <c r="G77">
        <v>119062</v>
      </c>
      <c r="H77" s="75">
        <v>42289</v>
      </c>
      <c r="I77" t="s">
        <v>115</v>
      </c>
      <c r="J77">
        <v>5000</v>
      </c>
      <c r="K77">
        <v>179.547</v>
      </c>
      <c r="L77">
        <v>27.847899999999999</v>
      </c>
      <c r="M77">
        <v>12369.726000000001</v>
      </c>
      <c r="N77" t="s">
        <v>15</v>
      </c>
    </row>
    <row r="78" spans="1:14" x14ac:dyDescent="0.2">
      <c r="A78" t="s">
        <v>18</v>
      </c>
      <c r="B78" t="s">
        <v>111</v>
      </c>
      <c r="C78" t="s">
        <v>112</v>
      </c>
      <c r="D78" t="s">
        <v>113</v>
      </c>
      <c r="E78" t="s">
        <v>53</v>
      </c>
      <c r="F78" t="s">
        <v>114</v>
      </c>
      <c r="G78">
        <v>119062</v>
      </c>
      <c r="H78" s="75">
        <v>42319</v>
      </c>
      <c r="I78" t="s">
        <v>115</v>
      </c>
      <c r="J78">
        <v>5000</v>
      </c>
      <c r="K78">
        <v>182.38800000000001</v>
      </c>
      <c r="L78">
        <v>27.414000000000001</v>
      </c>
      <c r="M78">
        <v>12552.114</v>
      </c>
      <c r="N78" t="s">
        <v>15</v>
      </c>
    </row>
    <row r="79" spans="1:14" x14ac:dyDescent="0.2">
      <c r="A79" t="s">
        <v>18</v>
      </c>
      <c r="B79" t="s">
        <v>111</v>
      </c>
      <c r="C79" t="s">
        <v>112</v>
      </c>
      <c r="D79" t="s">
        <v>113</v>
      </c>
      <c r="E79" t="s">
        <v>53</v>
      </c>
      <c r="F79" t="s">
        <v>114</v>
      </c>
      <c r="G79">
        <v>119062</v>
      </c>
      <c r="H79" s="75">
        <v>42349</v>
      </c>
      <c r="I79" t="s">
        <v>115</v>
      </c>
      <c r="J79">
        <v>5000</v>
      </c>
      <c r="K79">
        <v>178.84</v>
      </c>
      <c r="L79">
        <v>27.957899999999999</v>
      </c>
      <c r="M79">
        <v>12730.954</v>
      </c>
      <c r="N79" t="s">
        <v>15</v>
      </c>
    </row>
    <row r="80" spans="1:14" x14ac:dyDescent="0.2">
      <c r="A80" t="s">
        <v>18</v>
      </c>
      <c r="B80" t="s">
        <v>111</v>
      </c>
      <c r="C80" t="s">
        <v>112</v>
      </c>
      <c r="D80" t="s">
        <v>113</v>
      </c>
      <c r="E80" t="s">
        <v>53</v>
      </c>
      <c r="F80" t="s">
        <v>114</v>
      </c>
      <c r="G80">
        <v>119062</v>
      </c>
      <c r="H80" s="75">
        <v>42379</v>
      </c>
      <c r="I80" t="s">
        <v>115</v>
      </c>
      <c r="J80">
        <v>5000</v>
      </c>
      <c r="K80">
        <v>180.316</v>
      </c>
      <c r="L80">
        <v>27.729099999999999</v>
      </c>
      <c r="M80">
        <v>12911.271000000001</v>
      </c>
      <c r="N80" t="s">
        <v>15</v>
      </c>
    </row>
    <row r="81" spans="1:15" x14ac:dyDescent="0.2">
      <c r="A81" t="s">
        <v>18</v>
      </c>
      <c r="B81" t="s">
        <v>111</v>
      </c>
      <c r="C81" t="s">
        <v>112</v>
      </c>
      <c r="D81" t="s">
        <v>113</v>
      </c>
      <c r="E81" t="s">
        <v>53</v>
      </c>
      <c r="F81" t="s">
        <v>114</v>
      </c>
      <c r="G81">
        <v>119062</v>
      </c>
      <c r="H81" s="75">
        <v>42379</v>
      </c>
      <c r="I81" t="s">
        <v>117</v>
      </c>
      <c r="J81">
        <v>2.5</v>
      </c>
      <c r="K81">
        <v>0</v>
      </c>
      <c r="M81">
        <v>12911.271000000001</v>
      </c>
      <c r="N81" t="s">
        <v>46</v>
      </c>
    </row>
    <row r="82" spans="1:15" x14ac:dyDescent="0.2">
      <c r="A82" t="s">
        <v>18</v>
      </c>
      <c r="B82" t="s">
        <v>111</v>
      </c>
      <c r="C82" t="s">
        <v>112</v>
      </c>
      <c r="D82" t="s">
        <v>113</v>
      </c>
      <c r="E82" t="s">
        <v>53</v>
      </c>
      <c r="F82" t="s">
        <v>114</v>
      </c>
      <c r="G82">
        <v>119062</v>
      </c>
      <c r="H82" s="75">
        <v>42409</v>
      </c>
      <c r="I82" t="s">
        <v>115</v>
      </c>
      <c r="J82">
        <v>5000</v>
      </c>
      <c r="K82">
        <v>176.04</v>
      </c>
      <c r="L82">
        <v>28.4026</v>
      </c>
      <c r="M82">
        <v>13087.311</v>
      </c>
      <c r="N82" t="s">
        <v>15</v>
      </c>
    </row>
    <row r="83" spans="1:15" x14ac:dyDescent="0.2">
      <c r="A83" t="s">
        <v>18</v>
      </c>
      <c r="B83" t="s">
        <v>111</v>
      </c>
      <c r="C83" t="s">
        <v>112</v>
      </c>
      <c r="D83" t="s">
        <v>113</v>
      </c>
      <c r="E83" t="s">
        <v>53</v>
      </c>
      <c r="F83" t="s">
        <v>114</v>
      </c>
      <c r="G83">
        <v>119062</v>
      </c>
      <c r="H83" s="75">
        <v>42439</v>
      </c>
      <c r="I83" t="s">
        <v>115</v>
      </c>
      <c r="J83">
        <v>5000</v>
      </c>
      <c r="K83">
        <v>177.345</v>
      </c>
      <c r="L83">
        <v>28.1936</v>
      </c>
      <c r="M83">
        <v>13264.656000000001</v>
      </c>
      <c r="N83" t="s">
        <v>15</v>
      </c>
    </row>
    <row r="84" spans="1:15" x14ac:dyDescent="0.2">
      <c r="A84" t="s">
        <v>18</v>
      </c>
      <c r="B84" t="s">
        <v>111</v>
      </c>
      <c r="C84" t="s">
        <v>112</v>
      </c>
      <c r="D84" t="s">
        <v>113</v>
      </c>
      <c r="E84" t="s">
        <v>53</v>
      </c>
      <c r="F84" t="s">
        <v>114</v>
      </c>
      <c r="G84">
        <v>119062</v>
      </c>
      <c r="H84" s="75">
        <v>42469</v>
      </c>
      <c r="I84" t="s">
        <v>115</v>
      </c>
      <c r="J84">
        <v>5000</v>
      </c>
      <c r="K84">
        <v>175.815</v>
      </c>
      <c r="L84">
        <v>28.4389</v>
      </c>
      <c r="M84">
        <v>13440.471</v>
      </c>
      <c r="N84" t="s">
        <v>15</v>
      </c>
    </row>
    <row r="85" spans="1:15" x14ac:dyDescent="0.2">
      <c r="A85" t="s">
        <v>18</v>
      </c>
      <c r="B85" t="s">
        <v>111</v>
      </c>
      <c r="C85" t="s">
        <v>112</v>
      </c>
      <c r="D85" t="s">
        <v>113</v>
      </c>
      <c r="E85" t="s">
        <v>53</v>
      </c>
      <c r="F85" t="s">
        <v>114</v>
      </c>
      <c r="G85">
        <v>119062</v>
      </c>
      <c r="H85" s="75">
        <v>42499</v>
      </c>
      <c r="I85" t="s">
        <v>115</v>
      </c>
      <c r="J85">
        <v>5000</v>
      </c>
      <c r="K85">
        <v>170.73099999999999</v>
      </c>
      <c r="L85">
        <v>29.285799999999998</v>
      </c>
      <c r="M85">
        <v>13611.203</v>
      </c>
      <c r="N85" t="s">
        <v>15</v>
      </c>
    </row>
    <row r="86" spans="1:15" x14ac:dyDescent="0.2">
      <c r="A86" t="s">
        <v>18</v>
      </c>
      <c r="B86" t="s">
        <v>111</v>
      </c>
      <c r="C86" t="s">
        <v>112</v>
      </c>
      <c r="D86" t="s">
        <v>113</v>
      </c>
      <c r="E86" t="s">
        <v>53</v>
      </c>
      <c r="F86" t="s">
        <v>114</v>
      </c>
      <c r="G86">
        <v>119062</v>
      </c>
      <c r="H86" s="75">
        <v>42529</v>
      </c>
      <c r="I86" t="s">
        <v>115</v>
      </c>
      <c r="J86">
        <v>5000</v>
      </c>
      <c r="K86">
        <v>166.07900000000001</v>
      </c>
      <c r="L86">
        <v>30.106200000000001</v>
      </c>
      <c r="M86">
        <v>13777.281999999999</v>
      </c>
      <c r="N86" t="s">
        <v>15</v>
      </c>
    </row>
    <row r="87" spans="1:15" x14ac:dyDescent="0.2">
      <c r="A87" t="s">
        <v>18</v>
      </c>
      <c r="B87" t="s">
        <v>111</v>
      </c>
      <c r="C87" t="s">
        <v>112</v>
      </c>
      <c r="D87" t="s">
        <v>113</v>
      </c>
      <c r="E87" t="s">
        <v>53</v>
      </c>
      <c r="F87" t="s">
        <v>114</v>
      </c>
      <c r="G87">
        <v>119062</v>
      </c>
      <c r="H87" s="75">
        <v>42529</v>
      </c>
      <c r="I87" t="s">
        <v>118</v>
      </c>
      <c r="J87">
        <v>6888.64</v>
      </c>
      <c r="K87">
        <v>0</v>
      </c>
      <c r="M87">
        <v>13777.281999999999</v>
      </c>
      <c r="N87" t="s">
        <v>19</v>
      </c>
      <c r="O87">
        <v>6888.64</v>
      </c>
    </row>
    <row r="88" spans="1:15" x14ac:dyDescent="0.2">
      <c r="A88" t="s">
        <v>18</v>
      </c>
      <c r="B88" t="s">
        <v>111</v>
      </c>
      <c r="C88" t="s">
        <v>112</v>
      </c>
      <c r="D88" t="s">
        <v>113</v>
      </c>
      <c r="E88" t="s">
        <v>53</v>
      </c>
      <c r="F88" t="s">
        <v>114</v>
      </c>
      <c r="G88">
        <v>119062</v>
      </c>
      <c r="H88" s="75">
        <v>42559</v>
      </c>
      <c r="I88" t="s">
        <v>115</v>
      </c>
      <c r="J88">
        <v>5000</v>
      </c>
      <c r="K88">
        <v>162.79900000000001</v>
      </c>
      <c r="L88">
        <v>30.712599999999998</v>
      </c>
      <c r="M88">
        <v>13940.081</v>
      </c>
      <c r="N88" t="s">
        <v>15</v>
      </c>
    </row>
    <row r="89" spans="1:15" x14ac:dyDescent="0.2">
      <c r="A89" t="s">
        <v>18</v>
      </c>
      <c r="B89" t="s">
        <v>111</v>
      </c>
      <c r="C89" t="s">
        <v>112</v>
      </c>
      <c r="D89" t="s">
        <v>113</v>
      </c>
      <c r="E89" t="s">
        <v>53</v>
      </c>
      <c r="F89" t="s">
        <v>114</v>
      </c>
      <c r="G89">
        <v>119062</v>
      </c>
      <c r="H89" s="75">
        <v>42589</v>
      </c>
      <c r="I89" t="s">
        <v>115</v>
      </c>
      <c r="J89">
        <v>5000</v>
      </c>
      <c r="K89">
        <v>166.05099999999999</v>
      </c>
      <c r="L89">
        <v>30.1111</v>
      </c>
      <c r="M89">
        <v>14106.132</v>
      </c>
      <c r="N89" t="s">
        <v>15</v>
      </c>
    </row>
    <row r="90" spans="1:15" x14ac:dyDescent="0.2">
      <c r="A90" t="s">
        <v>18</v>
      </c>
      <c r="B90" t="s">
        <v>111</v>
      </c>
      <c r="C90" t="s">
        <v>112</v>
      </c>
      <c r="D90" t="s">
        <v>113</v>
      </c>
      <c r="E90" t="s">
        <v>53</v>
      </c>
      <c r="F90" t="s">
        <v>114</v>
      </c>
      <c r="G90">
        <v>119062</v>
      </c>
      <c r="H90" s="75">
        <v>42619</v>
      </c>
      <c r="I90" t="s">
        <v>115</v>
      </c>
      <c r="J90">
        <v>5000</v>
      </c>
      <c r="K90">
        <v>165.249</v>
      </c>
      <c r="L90">
        <v>30.257400000000001</v>
      </c>
      <c r="M90">
        <v>14271.380999999999</v>
      </c>
      <c r="N90" t="s">
        <v>15</v>
      </c>
    </row>
    <row r="91" spans="1:15" x14ac:dyDescent="0.2">
      <c r="A91" t="s">
        <v>18</v>
      </c>
      <c r="B91" t="s">
        <v>111</v>
      </c>
      <c r="C91" t="s">
        <v>112</v>
      </c>
      <c r="D91" t="s">
        <v>113</v>
      </c>
      <c r="E91" t="s">
        <v>53</v>
      </c>
      <c r="F91" t="s">
        <v>114</v>
      </c>
      <c r="G91">
        <v>119062</v>
      </c>
      <c r="H91" s="75">
        <v>42649</v>
      </c>
      <c r="I91" t="s">
        <v>115</v>
      </c>
      <c r="J91">
        <v>5000</v>
      </c>
      <c r="K91">
        <v>166.721</v>
      </c>
      <c r="L91">
        <v>29.990100000000002</v>
      </c>
      <c r="M91">
        <v>14438.102999999999</v>
      </c>
      <c r="N91" t="s">
        <v>15</v>
      </c>
    </row>
    <row r="92" spans="1:15" x14ac:dyDescent="0.2">
      <c r="A92" t="s">
        <v>18</v>
      </c>
      <c r="B92" t="s">
        <v>111</v>
      </c>
      <c r="C92" t="s">
        <v>112</v>
      </c>
      <c r="D92" t="s">
        <v>113</v>
      </c>
      <c r="E92" t="s">
        <v>53</v>
      </c>
      <c r="F92" t="s">
        <v>114</v>
      </c>
      <c r="G92">
        <v>119062</v>
      </c>
      <c r="H92" s="75">
        <v>42649</v>
      </c>
      <c r="I92" t="s">
        <v>116</v>
      </c>
      <c r="J92">
        <v>2.5</v>
      </c>
      <c r="K92">
        <v>0</v>
      </c>
      <c r="M92">
        <v>14438.102999999999</v>
      </c>
      <c r="N92" t="s">
        <v>17</v>
      </c>
    </row>
    <row r="93" spans="1:15" x14ac:dyDescent="0.2">
      <c r="A93" t="s">
        <v>18</v>
      </c>
      <c r="B93" t="s">
        <v>111</v>
      </c>
      <c r="C93" t="s">
        <v>112</v>
      </c>
      <c r="D93" t="s">
        <v>113</v>
      </c>
      <c r="E93" t="s">
        <v>53</v>
      </c>
      <c r="F93" t="s">
        <v>114</v>
      </c>
      <c r="G93">
        <v>119062</v>
      </c>
      <c r="H93" s="75">
        <v>42679</v>
      </c>
      <c r="I93" t="s">
        <v>115</v>
      </c>
      <c r="J93">
        <v>5000</v>
      </c>
      <c r="K93">
        <v>165.375</v>
      </c>
      <c r="L93">
        <v>30.234400000000001</v>
      </c>
      <c r="M93">
        <v>14603.477999999999</v>
      </c>
      <c r="N93" t="s">
        <v>15</v>
      </c>
    </row>
    <row r="94" spans="1:15" x14ac:dyDescent="0.2">
      <c r="A94" t="s">
        <v>18</v>
      </c>
      <c r="B94" t="s">
        <v>111</v>
      </c>
      <c r="C94" t="s">
        <v>112</v>
      </c>
      <c r="D94" t="s">
        <v>113</v>
      </c>
      <c r="E94" t="s">
        <v>53</v>
      </c>
      <c r="F94" t="s">
        <v>114</v>
      </c>
      <c r="G94">
        <v>119062</v>
      </c>
      <c r="H94" s="75">
        <v>42679</v>
      </c>
      <c r="I94" t="s">
        <v>116</v>
      </c>
      <c r="J94">
        <v>2.5</v>
      </c>
      <c r="K94">
        <v>0</v>
      </c>
      <c r="M94">
        <v>14603.477999999999</v>
      </c>
      <c r="N94" t="s">
        <v>17</v>
      </c>
    </row>
    <row r="95" spans="1:15" x14ac:dyDescent="0.2">
      <c r="A95" t="s">
        <v>18</v>
      </c>
      <c r="B95" t="s">
        <v>111</v>
      </c>
      <c r="C95" t="s">
        <v>112</v>
      </c>
      <c r="D95" t="s">
        <v>113</v>
      </c>
      <c r="E95" t="s">
        <v>53</v>
      </c>
      <c r="F95" t="s">
        <v>114</v>
      </c>
      <c r="G95">
        <v>119062</v>
      </c>
      <c r="H95" s="75">
        <v>42709</v>
      </c>
      <c r="I95" t="s">
        <v>115</v>
      </c>
      <c r="J95">
        <v>5000</v>
      </c>
      <c r="K95">
        <v>166.62700000000001</v>
      </c>
      <c r="L95">
        <v>30.007100000000001</v>
      </c>
      <c r="M95">
        <v>14770.105</v>
      </c>
      <c r="N95" t="s">
        <v>15</v>
      </c>
    </row>
    <row r="96" spans="1:15" x14ac:dyDescent="0.2">
      <c r="A96" t="s">
        <v>18</v>
      </c>
      <c r="B96" t="s">
        <v>111</v>
      </c>
      <c r="C96" t="s">
        <v>112</v>
      </c>
      <c r="D96" t="s">
        <v>113</v>
      </c>
      <c r="E96" t="s">
        <v>53</v>
      </c>
      <c r="F96" t="s">
        <v>114</v>
      </c>
      <c r="G96">
        <v>119062</v>
      </c>
      <c r="H96" s="75">
        <v>42709</v>
      </c>
      <c r="I96" t="s">
        <v>117</v>
      </c>
      <c r="J96">
        <v>2.5</v>
      </c>
      <c r="K96">
        <v>0</v>
      </c>
      <c r="M96">
        <v>14770.105</v>
      </c>
      <c r="N96" t="s">
        <v>46</v>
      </c>
    </row>
    <row r="97" spans="1:14" x14ac:dyDescent="0.2">
      <c r="A97" t="s">
        <v>18</v>
      </c>
      <c r="B97" t="s">
        <v>111</v>
      </c>
      <c r="C97" t="s">
        <v>112</v>
      </c>
      <c r="D97" t="s">
        <v>113</v>
      </c>
      <c r="E97" t="s">
        <v>53</v>
      </c>
      <c r="F97" t="s">
        <v>114</v>
      </c>
      <c r="G97">
        <v>119062</v>
      </c>
      <c r="H97" s="75">
        <v>42739</v>
      </c>
      <c r="I97" t="s">
        <v>115</v>
      </c>
      <c r="J97">
        <v>5000</v>
      </c>
      <c r="K97">
        <v>165.15</v>
      </c>
      <c r="L97">
        <v>30.275500000000001</v>
      </c>
      <c r="M97">
        <v>14935.254999999999</v>
      </c>
      <c r="N97" t="s">
        <v>15</v>
      </c>
    </row>
    <row r="98" spans="1:14" x14ac:dyDescent="0.2">
      <c r="A98" t="s">
        <v>18</v>
      </c>
      <c r="B98" t="s">
        <v>111</v>
      </c>
      <c r="C98" t="s">
        <v>112</v>
      </c>
      <c r="D98" t="s">
        <v>113</v>
      </c>
      <c r="E98" t="s">
        <v>53</v>
      </c>
      <c r="F98" t="s">
        <v>114</v>
      </c>
      <c r="G98">
        <v>119062</v>
      </c>
      <c r="H98" s="75">
        <v>42769</v>
      </c>
      <c r="I98" t="s">
        <v>115</v>
      </c>
      <c r="J98">
        <v>5000</v>
      </c>
      <c r="K98">
        <v>161.38300000000001</v>
      </c>
      <c r="L98">
        <v>30.982199999999999</v>
      </c>
      <c r="M98">
        <v>15096.638000000001</v>
      </c>
      <c r="N98" t="s">
        <v>15</v>
      </c>
    </row>
    <row r="99" spans="1:14" x14ac:dyDescent="0.2">
      <c r="A99" t="s">
        <v>18</v>
      </c>
      <c r="B99" t="s">
        <v>111</v>
      </c>
      <c r="C99" t="s">
        <v>112</v>
      </c>
      <c r="D99" t="s">
        <v>113</v>
      </c>
      <c r="E99" t="s">
        <v>53</v>
      </c>
      <c r="F99" t="s">
        <v>114</v>
      </c>
      <c r="G99">
        <v>119062</v>
      </c>
      <c r="H99" s="75">
        <v>42799</v>
      </c>
      <c r="I99" t="s">
        <v>115</v>
      </c>
      <c r="J99">
        <v>5000</v>
      </c>
      <c r="K99">
        <v>162.691</v>
      </c>
      <c r="L99">
        <v>30.7331</v>
      </c>
      <c r="M99">
        <v>15259.329</v>
      </c>
      <c r="N99" t="s">
        <v>15</v>
      </c>
    </row>
    <row r="100" spans="1:14" x14ac:dyDescent="0.2">
      <c r="A100" t="s">
        <v>18</v>
      </c>
      <c r="B100" t="s">
        <v>111</v>
      </c>
      <c r="C100" t="s">
        <v>112</v>
      </c>
      <c r="D100" t="s">
        <v>113</v>
      </c>
      <c r="E100" t="s">
        <v>53</v>
      </c>
      <c r="F100" t="s">
        <v>114</v>
      </c>
      <c r="G100">
        <v>119062</v>
      </c>
      <c r="H100" s="75">
        <v>42829</v>
      </c>
      <c r="I100" t="s">
        <v>115</v>
      </c>
      <c r="J100">
        <v>5000</v>
      </c>
      <c r="K100">
        <v>162.34200000000001</v>
      </c>
      <c r="L100">
        <v>30.799199999999999</v>
      </c>
      <c r="M100">
        <v>15421.67</v>
      </c>
      <c r="N100" t="s">
        <v>15</v>
      </c>
    </row>
    <row r="101" spans="1:14" x14ac:dyDescent="0.2">
      <c r="A101" t="s">
        <v>18</v>
      </c>
      <c r="B101" t="s">
        <v>111</v>
      </c>
      <c r="C101" t="s">
        <v>112</v>
      </c>
      <c r="D101" t="s">
        <v>113</v>
      </c>
      <c r="E101" t="s">
        <v>53</v>
      </c>
      <c r="F101" t="s">
        <v>114</v>
      </c>
      <c r="G101">
        <v>119062</v>
      </c>
      <c r="H101" s="75">
        <v>42859</v>
      </c>
      <c r="I101" t="s">
        <v>115</v>
      </c>
      <c r="J101">
        <v>5000</v>
      </c>
      <c r="K101">
        <v>158.65199999999999</v>
      </c>
      <c r="L101">
        <v>31.515599999999999</v>
      </c>
      <c r="M101">
        <v>15580.322</v>
      </c>
      <c r="N101" t="s">
        <v>15</v>
      </c>
    </row>
    <row r="102" spans="1:14" x14ac:dyDescent="0.2">
      <c r="A102" t="s">
        <v>18</v>
      </c>
      <c r="B102" t="s">
        <v>111</v>
      </c>
      <c r="C102" t="s">
        <v>112</v>
      </c>
      <c r="D102" t="s">
        <v>113</v>
      </c>
      <c r="E102" t="s">
        <v>53</v>
      </c>
      <c r="F102" t="s">
        <v>114</v>
      </c>
      <c r="G102">
        <v>119062</v>
      </c>
      <c r="H102" s="75">
        <v>42889</v>
      </c>
      <c r="I102" t="s">
        <v>115</v>
      </c>
      <c r="J102">
        <v>5000</v>
      </c>
      <c r="K102">
        <v>154.715</v>
      </c>
      <c r="L102">
        <v>32.317599999999999</v>
      </c>
      <c r="M102">
        <v>15735.037</v>
      </c>
      <c r="N102" t="s">
        <v>15</v>
      </c>
    </row>
    <row r="103" spans="1:14" x14ac:dyDescent="0.2">
      <c r="A103" t="s">
        <v>18</v>
      </c>
      <c r="B103" t="s">
        <v>111</v>
      </c>
      <c r="C103" t="s">
        <v>112</v>
      </c>
      <c r="D103" t="s">
        <v>113</v>
      </c>
      <c r="E103" t="s">
        <v>53</v>
      </c>
      <c r="F103" t="s">
        <v>114</v>
      </c>
      <c r="G103">
        <v>119062</v>
      </c>
      <c r="H103" s="75">
        <v>42889</v>
      </c>
      <c r="I103" t="s">
        <v>116</v>
      </c>
      <c r="J103">
        <v>2.5</v>
      </c>
      <c r="K103">
        <v>0</v>
      </c>
      <c r="M103">
        <v>15735.037</v>
      </c>
      <c r="N103" t="s">
        <v>17</v>
      </c>
    </row>
    <row r="104" spans="1:14" x14ac:dyDescent="0.2">
      <c r="A104" t="s">
        <v>18</v>
      </c>
      <c r="B104" t="s">
        <v>111</v>
      </c>
      <c r="C104" t="s">
        <v>112</v>
      </c>
      <c r="D104" t="s">
        <v>113</v>
      </c>
      <c r="E104" t="s">
        <v>53</v>
      </c>
      <c r="F104" t="s">
        <v>114</v>
      </c>
      <c r="G104">
        <v>119062</v>
      </c>
      <c r="H104" s="75">
        <v>42919</v>
      </c>
      <c r="I104" t="s">
        <v>115</v>
      </c>
      <c r="J104">
        <v>5000</v>
      </c>
      <c r="K104">
        <v>156.91200000000001</v>
      </c>
      <c r="L104">
        <v>31.865100000000002</v>
      </c>
      <c r="M104">
        <v>15891.948</v>
      </c>
      <c r="N104" t="s">
        <v>15</v>
      </c>
    </row>
    <row r="105" spans="1:14" x14ac:dyDescent="0.2">
      <c r="A105" t="s">
        <v>18</v>
      </c>
      <c r="B105" t="s">
        <v>111</v>
      </c>
      <c r="C105" t="s">
        <v>112</v>
      </c>
      <c r="D105" t="s">
        <v>113</v>
      </c>
      <c r="E105" t="s">
        <v>53</v>
      </c>
      <c r="F105" t="s">
        <v>114</v>
      </c>
      <c r="G105">
        <v>119062</v>
      </c>
      <c r="H105" s="75">
        <v>42949</v>
      </c>
      <c r="I105" t="s">
        <v>115</v>
      </c>
      <c r="J105">
        <v>5000</v>
      </c>
      <c r="K105">
        <v>152.52500000000001</v>
      </c>
      <c r="L105">
        <v>32.781500000000001</v>
      </c>
      <c r="M105">
        <v>16044.473</v>
      </c>
      <c r="N105" t="s">
        <v>15</v>
      </c>
    </row>
    <row r="106" spans="1:14" x14ac:dyDescent="0.2">
      <c r="A106" t="s">
        <v>18</v>
      </c>
      <c r="B106" t="s">
        <v>111</v>
      </c>
      <c r="C106" t="s">
        <v>112</v>
      </c>
      <c r="D106" t="s">
        <v>113</v>
      </c>
      <c r="E106" t="s">
        <v>53</v>
      </c>
      <c r="F106" t="s">
        <v>114</v>
      </c>
      <c r="G106">
        <v>119062</v>
      </c>
      <c r="H106" s="75">
        <v>42979</v>
      </c>
      <c r="I106" t="s">
        <v>115</v>
      </c>
      <c r="J106">
        <v>5000</v>
      </c>
      <c r="K106">
        <v>150.47800000000001</v>
      </c>
      <c r="L106">
        <v>33.227400000000003</v>
      </c>
      <c r="M106">
        <v>16194.950999999999</v>
      </c>
      <c r="N106" t="s">
        <v>15</v>
      </c>
    </row>
    <row r="107" spans="1:14" x14ac:dyDescent="0.2">
      <c r="A107" t="s">
        <v>18</v>
      </c>
      <c r="B107" t="s">
        <v>111</v>
      </c>
      <c r="C107" t="s">
        <v>112</v>
      </c>
      <c r="D107" t="s">
        <v>113</v>
      </c>
      <c r="E107" t="s">
        <v>53</v>
      </c>
      <c r="F107" t="s">
        <v>114</v>
      </c>
      <c r="G107">
        <v>119062</v>
      </c>
      <c r="H107" s="75">
        <v>43009</v>
      </c>
      <c r="I107" t="s">
        <v>115</v>
      </c>
      <c r="J107">
        <v>5000</v>
      </c>
      <c r="K107">
        <v>151.417</v>
      </c>
      <c r="L107">
        <v>33.021500000000003</v>
      </c>
      <c r="M107">
        <v>16346.368</v>
      </c>
      <c r="N107" t="s">
        <v>15</v>
      </c>
    </row>
    <row r="108" spans="1:14" x14ac:dyDescent="0.2">
      <c r="A108" t="s">
        <v>18</v>
      </c>
      <c r="B108" t="s">
        <v>111</v>
      </c>
      <c r="C108" t="s">
        <v>112</v>
      </c>
      <c r="D108" t="s">
        <v>113</v>
      </c>
      <c r="E108" t="s">
        <v>53</v>
      </c>
      <c r="F108" t="s">
        <v>114</v>
      </c>
      <c r="G108">
        <v>119062</v>
      </c>
      <c r="H108" s="75">
        <v>43039</v>
      </c>
      <c r="I108" t="s">
        <v>115</v>
      </c>
      <c r="J108">
        <v>5000</v>
      </c>
      <c r="K108">
        <v>153.518</v>
      </c>
      <c r="L108">
        <v>32.569400000000002</v>
      </c>
      <c r="M108">
        <v>16499.885999999999</v>
      </c>
      <c r="N108" t="s">
        <v>15</v>
      </c>
    </row>
    <row r="109" spans="1:14" x14ac:dyDescent="0.2">
      <c r="A109" t="s">
        <v>18</v>
      </c>
      <c r="B109" t="s">
        <v>111</v>
      </c>
      <c r="C109" t="s">
        <v>112</v>
      </c>
      <c r="D109" t="s">
        <v>113</v>
      </c>
      <c r="E109" t="s">
        <v>53</v>
      </c>
      <c r="F109" t="s">
        <v>114</v>
      </c>
      <c r="G109">
        <v>119062</v>
      </c>
      <c r="H109" s="75">
        <v>43069</v>
      </c>
      <c r="I109" t="s">
        <v>115</v>
      </c>
      <c r="J109">
        <v>5000</v>
      </c>
      <c r="K109">
        <v>156.053</v>
      </c>
      <c r="L109">
        <v>32.040500000000002</v>
      </c>
      <c r="M109">
        <v>16655.938999999998</v>
      </c>
      <c r="N109" t="s">
        <v>15</v>
      </c>
    </row>
    <row r="110" spans="1:14" x14ac:dyDescent="0.2">
      <c r="A110" t="s">
        <v>18</v>
      </c>
      <c r="B110" t="s">
        <v>111</v>
      </c>
      <c r="C110" t="s">
        <v>112</v>
      </c>
      <c r="D110" t="s">
        <v>113</v>
      </c>
      <c r="E110" t="s">
        <v>53</v>
      </c>
      <c r="F110" t="s">
        <v>114</v>
      </c>
      <c r="G110">
        <v>119062</v>
      </c>
      <c r="H110" s="75">
        <v>43099</v>
      </c>
      <c r="I110" t="s">
        <v>115</v>
      </c>
      <c r="J110">
        <v>5000</v>
      </c>
      <c r="K110">
        <v>156.626</v>
      </c>
      <c r="L110">
        <v>31.923100000000002</v>
      </c>
      <c r="M110">
        <v>16812.564999999999</v>
      </c>
      <c r="N110" t="s">
        <v>15</v>
      </c>
    </row>
    <row r="111" spans="1:14" x14ac:dyDescent="0.2">
      <c r="A111" t="s">
        <v>18</v>
      </c>
      <c r="B111" t="s">
        <v>111</v>
      </c>
      <c r="C111" t="s">
        <v>112</v>
      </c>
      <c r="D111" t="s">
        <v>113</v>
      </c>
      <c r="E111" t="s">
        <v>53</v>
      </c>
      <c r="F111" t="s">
        <v>114</v>
      </c>
      <c r="G111">
        <v>119062</v>
      </c>
      <c r="H111" s="75">
        <v>43129</v>
      </c>
      <c r="I111" t="s">
        <v>115</v>
      </c>
      <c r="J111">
        <v>5000</v>
      </c>
      <c r="K111">
        <v>153.857</v>
      </c>
      <c r="L111">
        <v>32.497700000000002</v>
      </c>
      <c r="M111">
        <v>16966.421999999999</v>
      </c>
      <c r="N111" t="s">
        <v>15</v>
      </c>
    </row>
    <row r="112" spans="1:14" x14ac:dyDescent="0.2">
      <c r="A112" t="s">
        <v>18</v>
      </c>
      <c r="B112" t="s">
        <v>111</v>
      </c>
      <c r="C112" t="s">
        <v>112</v>
      </c>
      <c r="D112" t="s">
        <v>113</v>
      </c>
      <c r="E112" t="s">
        <v>53</v>
      </c>
      <c r="F112" t="s">
        <v>114</v>
      </c>
      <c r="G112">
        <v>119062</v>
      </c>
      <c r="H112" s="75">
        <v>43129</v>
      </c>
      <c r="I112" t="s">
        <v>25</v>
      </c>
      <c r="J112">
        <v>-110273.96</v>
      </c>
      <c r="K112">
        <v>-3393.2840000000001</v>
      </c>
      <c r="L112">
        <v>32.497700000000002</v>
      </c>
      <c r="M112">
        <v>13573.138000000001</v>
      </c>
      <c r="N112" t="s">
        <v>16</v>
      </c>
    </row>
    <row r="113" spans="1:14" x14ac:dyDescent="0.2">
      <c r="A113" t="s">
        <v>18</v>
      </c>
      <c r="B113" t="s">
        <v>111</v>
      </c>
      <c r="C113" t="s">
        <v>112</v>
      </c>
      <c r="D113" t="s">
        <v>113</v>
      </c>
      <c r="E113" t="s">
        <v>53</v>
      </c>
      <c r="F113" t="s">
        <v>114</v>
      </c>
      <c r="G113">
        <v>119062</v>
      </c>
      <c r="H113" s="75">
        <v>43159</v>
      </c>
      <c r="I113" t="s">
        <v>115</v>
      </c>
      <c r="J113">
        <v>5000</v>
      </c>
      <c r="K113">
        <v>151.18</v>
      </c>
      <c r="L113">
        <v>33.0732</v>
      </c>
      <c r="M113">
        <v>13724.316999999999</v>
      </c>
      <c r="N113" t="s">
        <v>15</v>
      </c>
    </row>
    <row r="114" spans="1:14" x14ac:dyDescent="0.2">
      <c r="A114" t="s">
        <v>18</v>
      </c>
      <c r="B114" t="s">
        <v>111</v>
      </c>
      <c r="C114" t="s">
        <v>112</v>
      </c>
      <c r="D114" t="s">
        <v>113</v>
      </c>
      <c r="E114" t="s">
        <v>53</v>
      </c>
      <c r="F114" t="s">
        <v>114</v>
      </c>
      <c r="G114">
        <v>119062</v>
      </c>
      <c r="H114" s="75">
        <v>43159</v>
      </c>
      <c r="I114" t="s">
        <v>116</v>
      </c>
      <c r="J114">
        <v>2.5</v>
      </c>
      <c r="K114">
        <v>0</v>
      </c>
      <c r="M114">
        <v>13724.316999999999</v>
      </c>
      <c r="N114" t="s">
        <v>17</v>
      </c>
    </row>
    <row r="115" spans="1:14" x14ac:dyDescent="0.2">
      <c r="A115" t="s">
        <v>18</v>
      </c>
      <c r="B115" t="s">
        <v>111</v>
      </c>
      <c r="C115" t="s">
        <v>112</v>
      </c>
      <c r="D115" t="s">
        <v>113</v>
      </c>
      <c r="E115" t="s">
        <v>53</v>
      </c>
      <c r="F115" t="s">
        <v>114</v>
      </c>
      <c r="G115">
        <v>119062</v>
      </c>
      <c r="H115" s="75">
        <v>43189</v>
      </c>
      <c r="I115" t="s">
        <v>115</v>
      </c>
      <c r="J115">
        <v>5000</v>
      </c>
      <c r="K115">
        <v>149.93199999999999</v>
      </c>
      <c r="L115">
        <v>33.348500000000001</v>
      </c>
      <c r="M115">
        <v>13874.249</v>
      </c>
      <c r="N115" t="s">
        <v>15</v>
      </c>
    </row>
    <row r="116" spans="1:14" x14ac:dyDescent="0.2">
      <c r="A116" t="s">
        <v>18</v>
      </c>
      <c r="B116" t="s">
        <v>111</v>
      </c>
      <c r="C116" t="s">
        <v>112</v>
      </c>
      <c r="D116" t="s">
        <v>113</v>
      </c>
      <c r="E116" t="s">
        <v>53</v>
      </c>
      <c r="F116" t="s">
        <v>114</v>
      </c>
      <c r="G116">
        <v>119062</v>
      </c>
      <c r="H116" s="75">
        <v>43189</v>
      </c>
      <c r="I116" t="s">
        <v>117</v>
      </c>
      <c r="J116">
        <v>2.5</v>
      </c>
      <c r="K116">
        <v>0</v>
      </c>
      <c r="M116">
        <v>13874.249</v>
      </c>
      <c r="N116" t="s">
        <v>46</v>
      </c>
    </row>
    <row r="117" spans="1:14" x14ac:dyDescent="0.2">
      <c r="A117" t="s">
        <v>18</v>
      </c>
      <c r="B117" t="s">
        <v>111</v>
      </c>
      <c r="C117" t="s">
        <v>112</v>
      </c>
      <c r="D117" t="s">
        <v>113</v>
      </c>
      <c r="E117" t="s">
        <v>53</v>
      </c>
      <c r="F117" t="s">
        <v>114</v>
      </c>
      <c r="G117">
        <v>119062</v>
      </c>
      <c r="H117" s="75">
        <v>43219</v>
      </c>
      <c r="I117" t="s">
        <v>115</v>
      </c>
      <c r="J117">
        <v>5000</v>
      </c>
      <c r="K117">
        <v>147.898</v>
      </c>
      <c r="L117">
        <v>33.807099999999998</v>
      </c>
      <c r="M117">
        <v>14022.147000000001</v>
      </c>
      <c r="N117" t="s">
        <v>15</v>
      </c>
    </row>
    <row r="118" spans="1:14" x14ac:dyDescent="0.2">
      <c r="A118" t="s">
        <v>18</v>
      </c>
      <c r="B118" t="s">
        <v>111</v>
      </c>
      <c r="C118" t="s">
        <v>112</v>
      </c>
      <c r="D118" t="s">
        <v>113</v>
      </c>
      <c r="E118" t="s">
        <v>53</v>
      </c>
      <c r="F118" t="s">
        <v>114</v>
      </c>
      <c r="G118">
        <v>119062</v>
      </c>
      <c r="H118" s="75">
        <v>43249</v>
      </c>
      <c r="I118" t="s">
        <v>115</v>
      </c>
      <c r="J118">
        <v>5000</v>
      </c>
      <c r="K118">
        <v>150.03299999999999</v>
      </c>
      <c r="L118">
        <v>33.326000000000001</v>
      </c>
      <c r="M118">
        <v>14172.179</v>
      </c>
      <c r="N118" t="s">
        <v>15</v>
      </c>
    </row>
    <row r="119" spans="1:14" x14ac:dyDescent="0.2">
      <c r="A119" t="s">
        <v>18</v>
      </c>
      <c r="B119" t="s">
        <v>111</v>
      </c>
      <c r="C119" t="s">
        <v>112</v>
      </c>
      <c r="D119" t="s">
        <v>113</v>
      </c>
      <c r="E119" t="s">
        <v>53</v>
      </c>
      <c r="F119" t="s">
        <v>114</v>
      </c>
      <c r="G119">
        <v>119062</v>
      </c>
      <c r="H119" s="75">
        <v>43249</v>
      </c>
      <c r="I119" t="s">
        <v>116</v>
      </c>
      <c r="J119">
        <v>2.5</v>
      </c>
      <c r="K119">
        <v>0</v>
      </c>
      <c r="M119">
        <v>14172.179</v>
      </c>
      <c r="N119" t="s">
        <v>17</v>
      </c>
    </row>
    <row r="120" spans="1:14" x14ac:dyDescent="0.2">
      <c r="A120" t="s">
        <v>18</v>
      </c>
      <c r="B120" t="s">
        <v>111</v>
      </c>
      <c r="C120" t="s">
        <v>112</v>
      </c>
      <c r="D120" t="s">
        <v>113</v>
      </c>
      <c r="E120" t="s">
        <v>53</v>
      </c>
      <c r="F120" t="s">
        <v>114</v>
      </c>
      <c r="G120">
        <v>119062</v>
      </c>
      <c r="H120" s="75">
        <v>43249</v>
      </c>
      <c r="I120" t="s">
        <v>25</v>
      </c>
      <c r="J120">
        <v>-94460.54</v>
      </c>
      <c r="K120">
        <v>-2834.4360000000001</v>
      </c>
      <c r="L120">
        <v>33.326000000000001</v>
      </c>
      <c r="M120">
        <v>11337.744000000001</v>
      </c>
      <c r="N120" t="s">
        <v>16</v>
      </c>
    </row>
    <row r="121" spans="1:14" x14ac:dyDescent="0.2">
      <c r="A121" t="s">
        <v>18</v>
      </c>
      <c r="B121" t="s">
        <v>111</v>
      </c>
      <c r="C121" t="s">
        <v>112</v>
      </c>
      <c r="D121" t="s">
        <v>113</v>
      </c>
      <c r="E121" t="s">
        <v>53</v>
      </c>
      <c r="F121" t="s">
        <v>114</v>
      </c>
      <c r="G121">
        <v>119062</v>
      </c>
      <c r="H121" s="75">
        <v>43279</v>
      </c>
      <c r="I121" t="s">
        <v>115</v>
      </c>
      <c r="J121">
        <v>5000</v>
      </c>
      <c r="K121">
        <v>150.02000000000001</v>
      </c>
      <c r="L121">
        <v>33.329000000000001</v>
      </c>
      <c r="M121">
        <v>11487.763000000001</v>
      </c>
      <c r="N121" t="s">
        <v>15</v>
      </c>
    </row>
    <row r="122" spans="1:14" x14ac:dyDescent="0.2">
      <c r="A122" t="s">
        <v>18</v>
      </c>
      <c r="B122" t="s">
        <v>111</v>
      </c>
      <c r="C122" t="s">
        <v>112</v>
      </c>
      <c r="D122" t="s">
        <v>113</v>
      </c>
      <c r="E122" t="s">
        <v>53</v>
      </c>
      <c r="F122" t="s">
        <v>114</v>
      </c>
      <c r="G122">
        <v>119062</v>
      </c>
      <c r="H122" s="75">
        <v>43309</v>
      </c>
      <c r="I122" t="s">
        <v>115</v>
      </c>
      <c r="J122">
        <v>5000</v>
      </c>
      <c r="K122">
        <v>149.14099999999999</v>
      </c>
      <c r="L122">
        <v>33.525199999999998</v>
      </c>
      <c r="M122">
        <v>11636.905000000001</v>
      </c>
      <c r="N122" t="s">
        <v>15</v>
      </c>
    </row>
    <row r="123" spans="1:14" x14ac:dyDescent="0.2">
      <c r="A123" t="s">
        <v>18</v>
      </c>
      <c r="B123" t="s">
        <v>111</v>
      </c>
      <c r="C123" t="s">
        <v>112</v>
      </c>
      <c r="D123" t="s">
        <v>113</v>
      </c>
      <c r="E123" t="s">
        <v>53</v>
      </c>
      <c r="F123" t="s">
        <v>114</v>
      </c>
      <c r="G123">
        <v>119062</v>
      </c>
      <c r="H123" s="75">
        <v>43339</v>
      </c>
      <c r="I123" t="s">
        <v>115</v>
      </c>
      <c r="J123">
        <v>5000</v>
      </c>
      <c r="K123">
        <v>147.13300000000001</v>
      </c>
      <c r="L123">
        <v>33.982900000000001</v>
      </c>
      <c r="M123">
        <v>11784.037</v>
      </c>
      <c r="N123" t="s">
        <v>15</v>
      </c>
    </row>
    <row r="124" spans="1:14" x14ac:dyDescent="0.2">
      <c r="A124" t="s">
        <v>18</v>
      </c>
      <c r="B124" t="s">
        <v>111</v>
      </c>
      <c r="C124" t="s">
        <v>112</v>
      </c>
      <c r="D124" t="s">
        <v>113</v>
      </c>
      <c r="E124" t="s">
        <v>53</v>
      </c>
      <c r="F124" t="s">
        <v>114</v>
      </c>
      <c r="G124">
        <v>119062</v>
      </c>
      <c r="H124" s="75">
        <v>43369</v>
      </c>
      <c r="I124" t="s">
        <v>115</v>
      </c>
      <c r="J124">
        <v>5000</v>
      </c>
      <c r="K124">
        <v>145.04599999999999</v>
      </c>
      <c r="L124">
        <v>34.471899999999998</v>
      </c>
      <c r="M124">
        <v>11929.083000000001</v>
      </c>
      <c r="N124" t="s">
        <v>15</v>
      </c>
    </row>
    <row r="125" spans="1:14" x14ac:dyDescent="0.2">
      <c r="A125" t="s">
        <v>18</v>
      </c>
      <c r="B125" t="s">
        <v>111</v>
      </c>
      <c r="C125" t="s">
        <v>112</v>
      </c>
      <c r="D125" t="s">
        <v>113</v>
      </c>
      <c r="E125" t="s">
        <v>53</v>
      </c>
      <c r="F125" t="s">
        <v>114</v>
      </c>
      <c r="G125">
        <v>119062</v>
      </c>
      <c r="H125" s="75">
        <v>43399</v>
      </c>
      <c r="I125" t="s">
        <v>115</v>
      </c>
      <c r="J125">
        <v>5000</v>
      </c>
      <c r="K125">
        <v>143.71299999999999</v>
      </c>
      <c r="L125">
        <v>34.791499999999999</v>
      </c>
      <c r="M125">
        <v>12072.796</v>
      </c>
      <c r="N125" t="s">
        <v>15</v>
      </c>
    </row>
    <row r="126" spans="1:14" x14ac:dyDescent="0.2">
      <c r="A126" t="s">
        <v>18</v>
      </c>
      <c r="B126" t="s">
        <v>111</v>
      </c>
      <c r="C126" t="s">
        <v>112</v>
      </c>
      <c r="D126" t="s">
        <v>113</v>
      </c>
      <c r="E126" t="s">
        <v>53</v>
      </c>
      <c r="F126" t="s">
        <v>114</v>
      </c>
      <c r="G126">
        <v>119062</v>
      </c>
      <c r="H126" s="75">
        <v>43399</v>
      </c>
      <c r="I126" t="s">
        <v>117</v>
      </c>
      <c r="J126">
        <v>2.5</v>
      </c>
      <c r="K126">
        <v>0</v>
      </c>
      <c r="M126">
        <v>12072.796</v>
      </c>
      <c r="N126" t="s">
        <v>46</v>
      </c>
    </row>
    <row r="127" spans="1:14" x14ac:dyDescent="0.2">
      <c r="A127" t="s">
        <v>18</v>
      </c>
      <c r="B127" t="s">
        <v>111</v>
      </c>
      <c r="C127" t="s">
        <v>112</v>
      </c>
      <c r="D127" t="s">
        <v>113</v>
      </c>
      <c r="E127" t="s">
        <v>53</v>
      </c>
      <c r="F127" t="s">
        <v>114</v>
      </c>
      <c r="G127">
        <v>119062</v>
      </c>
      <c r="H127" s="75">
        <v>43429</v>
      </c>
      <c r="I127" t="s">
        <v>115</v>
      </c>
      <c r="J127">
        <v>5000</v>
      </c>
      <c r="K127">
        <v>141.845</v>
      </c>
      <c r="L127">
        <v>35.2498</v>
      </c>
      <c r="M127">
        <v>12214.641</v>
      </c>
      <c r="N127" t="s">
        <v>15</v>
      </c>
    </row>
    <row r="128" spans="1:14" x14ac:dyDescent="0.2">
      <c r="A128" t="s">
        <v>18</v>
      </c>
      <c r="B128" t="s">
        <v>111</v>
      </c>
      <c r="C128" t="s">
        <v>112</v>
      </c>
      <c r="D128" t="s">
        <v>113</v>
      </c>
      <c r="E128" t="s">
        <v>53</v>
      </c>
      <c r="F128" t="s">
        <v>114</v>
      </c>
      <c r="G128">
        <v>119062</v>
      </c>
      <c r="H128" s="75">
        <v>43459</v>
      </c>
      <c r="I128" t="s">
        <v>115</v>
      </c>
      <c r="J128">
        <v>5000</v>
      </c>
      <c r="K128">
        <v>139.42599999999999</v>
      </c>
      <c r="L128">
        <v>35.8613</v>
      </c>
      <c r="M128">
        <v>12354.066999999999</v>
      </c>
      <c r="N128" t="s">
        <v>15</v>
      </c>
    </row>
    <row r="129" spans="1:15" x14ac:dyDescent="0.2">
      <c r="A129" t="s">
        <v>18</v>
      </c>
      <c r="B129" t="s">
        <v>111</v>
      </c>
      <c r="C129" t="s">
        <v>112</v>
      </c>
      <c r="D129" t="s">
        <v>113</v>
      </c>
      <c r="E129" t="s">
        <v>53</v>
      </c>
      <c r="F129" t="s">
        <v>114</v>
      </c>
      <c r="G129">
        <v>119062</v>
      </c>
      <c r="H129" s="75">
        <v>43459</v>
      </c>
      <c r="I129" t="s">
        <v>116</v>
      </c>
      <c r="J129">
        <v>2.5</v>
      </c>
      <c r="K129">
        <v>0</v>
      </c>
      <c r="M129">
        <v>12354.066999999999</v>
      </c>
      <c r="N129" t="s">
        <v>17</v>
      </c>
    </row>
    <row r="130" spans="1:15" x14ac:dyDescent="0.2">
      <c r="A130" t="s">
        <v>18</v>
      </c>
      <c r="B130" t="s">
        <v>111</v>
      </c>
      <c r="C130" t="s">
        <v>112</v>
      </c>
      <c r="D130" t="s">
        <v>113</v>
      </c>
      <c r="E130" t="s">
        <v>53</v>
      </c>
      <c r="F130" t="s">
        <v>114</v>
      </c>
      <c r="G130">
        <v>119062</v>
      </c>
      <c r="H130" s="75">
        <v>43489</v>
      </c>
      <c r="I130" t="s">
        <v>115</v>
      </c>
      <c r="J130">
        <v>5000</v>
      </c>
      <c r="K130">
        <v>140.928</v>
      </c>
      <c r="L130">
        <v>35.479100000000003</v>
      </c>
      <c r="M130">
        <v>12494.995000000001</v>
      </c>
      <c r="N130" t="s">
        <v>15</v>
      </c>
    </row>
    <row r="131" spans="1:15" x14ac:dyDescent="0.2">
      <c r="A131" t="s">
        <v>18</v>
      </c>
      <c r="B131" t="s">
        <v>111</v>
      </c>
      <c r="C131" t="s">
        <v>112</v>
      </c>
      <c r="D131" t="s">
        <v>113</v>
      </c>
      <c r="E131" t="s">
        <v>53</v>
      </c>
      <c r="F131" t="s">
        <v>114</v>
      </c>
      <c r="G131">
        <v>119062</v>
      </c>
      <c r="H131" s="75">
        <v>43489</v>
      </c>
      <c r="I131" t="s">
        <v>118</v>
      </c>
      <c r="J131">
        <v>6247.5</v>
      </c>
      <c r="K131">
        <v>0</v>
      </c>
      <c r="M131">
        <v>12494.995000000001</v>
      </c>
      <c r="N131" t="s">
        <v>19</v>
      </c>
      <c r="O131">
        <v>6247.5</v>
      </c>
    </row>
    <row r="132" spans="1:15" x14ac:dyDescent="0.2">
      <c r="A132" t="s">
        <v>18</v>
      </c>
      <c r="B132" t="s">
        <v>111</v>
      </c>
      <c r="C132" t="s">
        <v>112</v>
      </c>
      <c r="D132" t="s">
        <v>113</v>
      </c>
      <c r="E132" t="s">
        <v>53</v>
      </c>
      <c r="F132" t="s">
        <v>114</v>
      </c>
      <c r="G132">
        <v>119062</v>
      </c>
      <c r="H132" s="75">
        <v>43519</v>
      </c>
      <c r="I132" t="s">
        <v>115</v>
      </c>
      <c r="J132">
        <v>5000</v>
      </c>
      <c r="K132">
        <v>141.667</v>
      </c>
      <c r="L132">
        <v>35.293999999999997</v>
      </c>
      <c r="M132">
        <v>12636.662</v>
      </c>
      <c r="N132" t="s">
        <v>15</v>
      </c>
    </row>
    <row r="133" spans="1:15" x14ac:dyDescent="0.2">
      <c r="A133" t="s">
        <v>18</v>
      </c>
      <c r="B133" t="s">
        <v>111</v>
      </c>
      <c r="C133" t="s">
        <v>112</v>
      </c>
      <c r="D133" t="s">
        <v>113</v>
      </c>
      <c r="E133" t="s">
        <v>53</v>
      </c>
      <c r="F133" t="s">
        <v>114</v>
      </c>
      <c r="G133">
        <v>119062</v>
      </c>
      <c r="H133" s="75">
        <v>43549</v>
      </c>
      <c r="I133" t="s">
        <v>115</v>
      </c>
      <c r="J133">
        <v>5000</v>
      </c>
      <c r="K133">
        <v>144.15299999999999</v>
      </c>
      <c r="L133">
        <v>34.685499999999998</v>
      </c>
      <c r="M133">
        <v>12780.815000000001</v>
      </c>
      <c r="N133" t="s">
        <v>15</v>
      </c>
    </row>
    <row r="134" spans="1:15" x14ac:dyDescent="0.2">
      <c r="A134" t="s">
        <v>18</v>
      </c>
      <c r="B134" t="s">
        <v>111</v>
      </c>
      <c r="C134" t="s">
        <v>112</v>
      </c>
      <c r="D134" t="s">
        <v>113</v>
      </c>
      <c r="E134" t="s">
        <v>53</v>
      </c>
      <c r="F134" t="s">
        <v>114</v>
      </c>
      <c r="G134">
        <v>119062</v>
      </c>
      <c r="H134" s="75">
        <v>43549</v>
      </c>
      <c r="I134" t="s">
        <v>116</v>
      </c>
      <c r="J134">
        <v>2.5</v>
      </c>
      <c r="K134">
        <v>0</v>
      </c>
      <c r="M134">
        <v>12780.815000000001</v>
      </c>
      <c r="N134" t="s">
        <v>17</v>
      </c>
    </row>
    <row r="135" spans="1:15" x14ac:dyDescent="0.2">
      <c r="A135" t="s">
        <v>18</v>
      </c>
      <c r="B135" t="s">
        <v>111</v>
      </c>
      <c r="C135" t="s">
        <v>112</v>
      </c>
      <c r="D135" t="s">
        <v>113</v>
      </c>
      <c r="E135" t="s">
        <v>53</v>
      </c>
      <c r="F135" t="s">
        <v>114</v>
      </c>
      <c r="G135">
        <v>119062</v>
      </c>
      <c r="H135" s="75">
        <v>43579</v>
      </c>
      <c r="I135" t="s">
        <v>115</v>
      </c>
      <c r="J135">
        <v>5000</v>
      </c>
      <c r="K135">
        <v>146.41900000000001</v>
      </c>
      <c r="L135">
        <v>34.148699999999998</v>
      </c>
      <c r="M135">
        <v>12927.234</v>
      </c>
      <c r="N135" t="s">
        <v>15</v>
      </c>
    </row>
    <row r="136" spans="1:15" x14ac:dyDescent="0.2">
      <c r="A136" t="s">
        <v>18</v>
      </c>
      <c r="B136" t="s">
        <v>111</v>
      </c>
      <c r="C136" t="s">
        <v>112</v>
      </c>
      <c r="D136" t="s">
        <v>113</v>
      </c>
      <c r="E136" t="s">
        <v>53</v>
      </c>
      <c r="F136" t="s">
        <v>114</v>
      </c>
      <c r="G136">
        <v>119062</v>
      </c>
      <c r="H136" s="75">
        <v>43579</v>
      </c>
      <c r="I136" t="s">
        <v>116</v>
      </c>
      <c r="J136">
        <v>2.5</v>
      </c>
      <c r="K136">
        <v>0</v>
      </c>
      <c r="M136">
        <v>12927.234</v>
      </c>
      <c r="N136" t="s">
        <v>17</v>
      </c>
    </row>
    <row r="137" spans="1:15" x14ac:dyDescent="0.2">
      <c r="A137" t="s">
        <v>18</v>
      </c>
      <c r="B137" t="s">
        <v>111</v>
      </c>
      <c r="C137" t="s">
        <v>112</v>
      </c>
      <c r="D137" t="s">
        <v>113</v>
      </c>
      <c r="E137" t="s">
        <v>53</v>
      </c>
      <c r="F137" t="s">
        <v>114</v>
      </c>
      <c r="G137">
        <v>119062</v>
      </c>
      <c r="H137" s="75">
        <v>43609</v>
      </c>
      <c r="I137" t="s">
        <v>115</v>
      </c>
      <c r="J137">
        <v>5000</v>
      </c>
      <c r="K137">
        <v>144.12100000000001</v>
      </c>
      <c r="L137">
        <v>34.692999999999998</v>
      </c>
      <c r="M137">
        <v>13071.355</v>
      </c>
      <c r="N137" t="s">
        <v>15</v>
      </c>
    </row>
    <row r="138" spans="1:15" x14ac:dyDescent="0.2">
      <c r="A138" t="s">
        <v>18</v>
      </c>
      <c r="B138" t="s">
        <v>111</v>
      </c>
      <c r="C138" t="s">
        <v>112</v>
      </c>
      <c r="D138" t="s">
        <v>113</v>
      </c>
      <c r="E138" t="s">
        <v>53</v>
      </c>
      <c r="F138" t="s">
        <v>114</v>
      </c>
      <c r="G138">
        <v>119062</v>
      </c>
      <c r="H138" s="75">
        <v>43639</v>
      </c>
      <c r="I138" t="s">
        <v>115</v>
      </c>
      <c r="J138">
        <v>5000</v>
      </c>
      <c r="K138">
        <v>145.48699999999999</v>
      </c>
      <c r="L138">
        <v>34.3673</v>
      </c>
      <c r="M138">
        <v>13216.842000000001</v>
      </c>
      <c r="N138" t="s">
        <v>15</v>
      </c>
    </row>
    <row r="139" spans="1:15" x14ac:dyDescent="0.2">
      <c r="A139" t="s">
        <v>18</v>
      </c>
      <c r="B139" t="s">
        <v>111</v>
      </c>
      <c r="C139" t="s">
        <v>112</v>
      </c>
      <c r="D139" t="s">
        <v>113</v>
      </c>
      <c r="E139" t="s">
        <v>53</v>
      </c>
      <c r="F139" t="s">
        <v>114</v>
      </c>
      <c r="G139">
        <v>119062</v>
      </c>
      <c r="H139" s="75">
        <v>43669</v>
      </c>
      <c r="I139" t="s">
        <v>115</v>
      </c>
      <c r="J139">
        <v>5000</v>
      </c>
      <c r="K139">
        <v>141.51900000000001</v>
      </c>
      <c r="L139">
        <v>35.331000000000003</v>
      </c>
      <c r="M139">
        <v>13358.361000000001</v>
      </c>
      <c r="N139" t="s">
        <v>15</v>
      </c>
    </row>
    <row r="140" spans="1:15" x14ac:dyDescent="0.2">
      <c r="A140" t="s">
        <v>18</v>
      </c>
      <c r="B140" t="s">
        <v>111</v>
      </c>
      <c r="C140" t="s">
        <v>112</v>
      </c>
      <c r="D140" t="s">
        <v>113</v>
      </c>
      <c r="E140" t="s">
        <v>53</v>
      </c>
      <c r="F140" t="s">
        <v>114</v>
      </c>
      <c r="G140">
        <v>119062</v>
      </c>
      <c r="H140" s="75">
        <v>43699</v>
      </c>
      <c r="I140" t="s">
        <v>115</v>
      </c>
      <c r="J140">
        <v>5000</v>
      </c>
      <c r="K140">
        <v>141.82499999999999</v>
      </c>
      <c r="L140">
        <v>35.254600000000003</v>
      </c>
      <c r="M140">
        <v>13500.186</v>
      </c>
      <c r="N140" t="s">
        <v>15</v>
      </c>
    </row>
    <row r="141" spans="1:15" x14ac:dyDescent="0.2">
      <c r="A141" t="s">
        <v>18</v>
      </c>
      <c r="B141" t="s">
        <v>111</v>
      </c>
      <c r="C141" t="s">
        <v>112</v>
      </c>
      <c r="D141" t="s">
        <v>113</v>
      </c>
      <c r="E141" t="s">
        <v>53</v>
      </c>
      <c r="F141" t="s">
        <v>114</v>
      </c>
      <c r="G141">
        <v>119062</v>
      </c>
      <c r="H141" s="75">
        <v>43699</v>
      </c>
      <c r="I141" t="s">
        <v>116</v>
      </c>
      <c r="J141">
        <v>2.5</v>
      </c>
      <c r="K141">
        <v>0</v>
      </c>
      <c r="M141">
        <v>13500.186</v>
      </c>
      <c r="N141" t="s">
        <v>17</v>
      </c>
    </row>
    <row r="142" spans="1:15" x14ac:dyDescent="0.2">
      <c r="A142" t="s">
        <v>18</v>
      </c>
      <c r="B142" t="s">
        <v>111</v>
      </c>
      <c r="C142" t="s">
        <v>112</v>
      </c>
      <c r="D142" t="s">
        <v>113</v>
      </c>
      <c r="E142" t="s">
        <v>53</v>
      </c>
      <c r="F142" t="s">
        <v>114</v>
      </c>
      <c r="G142">
        <v>119062</v>
      </c>
      <c r="H142" s="75">
        <v>43729</v>
      </c>
      <c r="I142" t="s">
        <v>115</v>
      </c>
      <c r="J142">
        <v>5000</v>
      </c>
      <c r="K142">
        <v>141.297</v>
      </c>
      <c r="L142">
        <v>35.386499999999998</v>
      </c>
      <c r="M142">
        <v>13641.483</v>
      </c>
      <c r="N142" t="s">
        <v>15</v>
      </c>
    </row>
    <row r="143" spans="1:15" x14ac:dyDescent="0.2">
      <c r="A143" t="s">
        <v>18</v>
      </c>
      <c r="B143" t="s">
        <v>111</v>
      </c>
      <c r="C143" t="s">
        <v>112</v>
      </c>
      <c r="D143" t="s">
        <v>113</v>
      </c>
      <c r="E143" t="s">
        <v>53</v>
      </c>
      <c r="F143" t="s">
        <v>114</v>
      </c>
      <c r="G143">
        <v>119062</v>
      </c>
      <c r="H143" s="75">
        <v>43759</v>
      </c>
      <c r="I143" t="s">
        <v>115</v>
      </c>
      <c r="J143">
        <v>5000</v>
      </c>
      <c r="K143">
        <v>140.69</v>
      </c>
      <c r="L143">
        <v>35.539000000000001</v>
      </c>
      <c r="M143">
        <v>13782.173000000001</v>
      </c>
      <c r="N143" t="s">
        <v>15</v>
      </c>
    </row>
    <row r="144" spans="1:15" x14ac:dyDescent="0.2">
      <c r="A144" t="s">
        <v>18</v>
      </c>
      <c r="B144" t="s">
        <v>111</v>
      </c>
      <c r="C144" t="s">
        <v>112</v>
      </c>
      <c r="D144" t="s">
        <v>113</v>
      </c>
      <c r="E144" t="s">
        <v>53</v>
      </c>
      <c r="F144" t="s">
        <v>114</v>
      </c>
      <c r="G144">
        <v>119062</v>
      </c>
      <c r="H144" s="75">
        <v>43759</v>
      </c>
      <c r="I144" t="s">
        <v>118</v>
      </c>
      <c r="J144">
        <v>6891.09</v>
      </c>
      <c r="K144">
        <v>0</v>
      </c>
      <c r="M144">
        <v>13782.173000000001</v>
      </c>
      <c r="N144" t="s">
        <v>19</v>
      </c>
      <c r="O144">
        <v>6891.09</v>
      </c>
    </row>
    <row r="145" spans="1:15" x14ac:dyDescent="0.2">
      <c r="A145" t="s">
        <v>18</v>
      </c>
      <c r="B145" t="s">
        <v>111</v>
      </c>
      <c r="C145" t="s">
        <v>112</v>
      </c>
      <c r="D145" t="s">
        <v>113</v>
      </c>
      <c r="E145" t="s">
        <v>53</v>
      </c>
      <c r="F145" t="s">
        <v>114</v>
      </c>
      <c r="G145">
        <v>119062</v>
      </c>
      <c r="H145" s="75">
        <v>43789</v>
      </c>
      <c r="I145" t="s">
        <v>115</v>
      </c>
      <c r="J145">
        <v>5000</v>
      </c>
      <c r="K145">
        <v>141.154</v>
      </c>
      <c r="L145">
        <v>35.422199999999997</v>
      </c>
      <c r="M145">
        <v>13923.328</v>
      </c>
      <c r="N145" t="s">
        <v>15</v>
      </c>
    </row>
    <row r="146" spans="1:15" x14ac:dyDescent="0.2">
      <c r="A146" t="s">
        <v>18</v>
      </c>
      <c r="B146" t="s">
        <v>111</v>
      </c>
      <c r="C146" t="s">
        <v>112</v>
      </c>
      <c r="D146" t="s">
        <v>113</v>
      </c>
      <c r="E146" t="s">
        <v>53</v>
      </c>
      <c r="F146" t="s">
        <v>114</v>
      </c>
      <c r="G146">
        <v>119062</v>
      </c>
      <c r="H146" s="75">
        <v>43789</v>
      </c>
      <c r="I146" t="s">
        <v>118</v>
      </c>
      <c r="J146">
        <v>6961.66</v>
      </c>
      <c r="K146">
        <v>0</v>
      </c>
      <c r="M146">
        <v>13923.328</v>
      </c>
      <c r="N146" t="s">
        <v>19</v>
      </c>
      <c r="O146">
        <v>6961.66</v>
      </c>
    </row>
    <row r="147" spans="1:15" x14ac:dyDescent="0.2">
      <c r="A147" t="s">
        <v>18</v>
      </c>
      <c r="B147" t="s">
        <v>111</v>
      </c>
      <c r="C147" t="s">
        <v>112</v>
      </c>
      <c r="D147" t="s">
        <v>113</v>
      </c>
      <c r="E147" t="s">
        <v>53</v>
      </c>
      <c r="F147" t="s">
        <v>114</v>
      </c>
      <c r="G147">
        <v>119062</v>
      </c>
      <c r="H147" s="75">
        <v>43819</v>
      </c>
      <c r="I147" t="s">
        <v>115</v>
      </c>
      <c r="J147">
        <v>5000</v>
      </c>
      <c r="K147">
        <v>142.29499999999999</v>
      </c>
      <c r="L147">
        <v>35.138199999999998</v>
      </c>
      <c r="M147">
        <v>14065.623</v>
      </c>
      <c r="N147" t="s">
        <v>15</v>
      </c>
    </row>
    <row r="148" spans="1:15" x14ac:dyDescent="0.2">
      <c r="A148" t="s">
        <v>18</v>
      </c>
      <c r="B148" t="s">
        <v>111</v>
      </c>
      <c r="C148" t="s">
        <v>112</v>
      </c>
      <c r="D148" t="s">
        <v>113</v>
      </c>
      <c r="E148" t="s">
        <v>53</v>
      </c>
      <c r="F148" t="s">
        <v>114</v>
      </c>
      <c r="G148">
        <v>119062</v>
      </c>
      <c r="H148" s="75">
        <v>43849</v>
      </c>
      <c r="I148" t="s">
        <v>115</v>
      </c>
      <c r="J148">
        <v>5000</v>
      </c>
      <c r="K148">
        <v>141.34</v>
      </c>
      <c r="L148">
        <v>35.375799999999998</v>
      </c>
      <c r="M148">
        <v>14206.963</v>
      </c>
      <c r="N148" t="s">
        <v>15</v>
      </c>
    </row>
    <row r="149" spans="1:15" x14ac:dyDescent="0.2">
      <c r="A149" t="s">
        <v>18</v>
      </c>
      <c r="B149" t="s">
        <v>111</v>
      </c>
      <c r="C149" t="s">
        <v>112</v>
      </c>
      <c r="D149" t="s">
        <v>113</v>
      </c>
      <c r="E149" t="s">
        <v>53</v>
      </c>
      <c r="F149" t="s">
        <v>114</v>
      </c>
      <c r="G149">
        <v>119062</v>
      </c>
      <c r="H149" s="75">
        <v>43879</v>
      </c>
      <c r="I149" t="s">
        <v>115</v>
      </c>
      <c r="J149">
        <v>5000</v>
      </c>
      <c r="K149">
        <v>138.73099999999999</v>
      </c>
      <c r="L149">
        <v>36.040900000000001</v>
      </c>
      <c r="M149">
        <v>14345.694</v>
      </c>
      <c r="N149" t="s">
        <v>15</v>
      </c>
    </row>
    <row r="150" spans="1:15" x14ac:dyDescent="0.2">
      <c r="A150" t="s">
        <v>18</v>
      </c>
      <c r="B150" t="s">
        <v>111</v>
      </c>
      <c r="C150" t="s">
        <v>112</v>
      </c>
      <c r="D150" t="s">
        <v>113</v>
      </c>
      <c r="E150" t="s">
        <v>53</v>
      </c>
      <c r="F150" t="s">
        <v>114</v>
      </c>
      <c r="G150">
        <v>119062</v>
      </c>
      <c r="H150" s="75">
        <v>43909</v>
      </c>
      <c r="I150" t="s">
        <v>115</v>
      </c>
      <c r="J150">
        <v>5000</v>
      </c>
      <c r="K150">
        <v>140.41</v>
      </c>
      <c r="L150">
        <v>35.609900000000003</v>
      </c>
      <c r="M150">
        <v>14486.105</v>
      </c>
      <c r="N150" t="s">
        <v>15</v>
      </c>
    </row>
    <row r="151" spans="1:15" x14ac:dyDescent="0.2">
      <c r="A151" t="s">
        <v>18</v>
      </c>
      <c r="B151" t="s">
        <v>111</v>
      </c>
      <c r="C151" t="s">
        <v>112</v>
      </c>
      <c r="D151" t="s">
        <v>113</v>
      </c>
      <c r="E151" t="s">
        <v>53</v>
      </c>
      <c r="F151" t="s">
        <v>114</v>
      </c>
      <c r="G151">
        <v>119062</v>
      </c>
      <c r="H151" s="75">
        <v>43909</v>
      </c>
      <c r="I151" t="s">
        <v>118</v>
      </c>
      <c r="J151">
        <v>7243.05</v>
      </c>
      <c r="K151">
        <v>0</v>
      </c>
      <c r="M151">
        <v>14486.105</v>
      </c>
      <c r="N151" t="s">
        <v>19</v>
      </c>
      <c r="O151">
        <v>7243.05</v>
      </c>
    </row>
    <row r="152" spans="1:15" x14ac:dyDescent="0.2">
      <c r="A152" t="s">
        <v>18</v>
      </c>
      <c r="B152" t="s">
        <v>111</v>
      </c>
      <c r="C152" t="s">
        <v>112</v>
      </c>
      <c r="D152" t="s">
        <v>113</v>
      </c>
      <c r="E152" t="s">
        <v>53</v>
      </c>
      <c r="F152" t="s">
        <v>114</v>
      </c>
      <c r="G152">
        <v>119062</v>
      </c>
      <c r="H152" s="75">
        <v>43939</v>
      </c>
      <c r="I152" t="s">
        <v>115</v>
      </c>
      <c r="J152">
        <v>5000</v>
      </c>
      <c r="K152">
        <v>140.489</v>
      </c>
      <c r="L152">
        <v>35.590000000000003</v>
      </c>
      <c r="M152">
        <v>14626.593000000001</v>
      </c>
      <c r="N152" t="s">
        <v>15</v>
      </c>
    </row>
    <row r="153" spans="1:15" x14ac:dyDescent="0.2">
      <c r="A153" t="s">
        <v>18</v>
      </c>
      <c r="B153" t="s">
        <v>111</v>
      </c>
      <c r="C153" t="s">
        <v>112</v>
      </c>
      <c r="D153" t="s">
        <v>113</v>
      </c>
      <c r="E153" t="s">
        <v>53</v>
      </c>
      <c r="F153" t="s">
        <v>114</v>
      </c>
      <c r="G153">
        <v>119062</v>
      </c>
      <c r="H153" s="75">
        <v>43969</v>
      </c>
      <c r="I153" t="s">
        <v>115</v>
      </c>
      <c r="J153">
        <v>5000</v>
      </c>
      <c r="K153">
        <v>138.447</v>
      </c>
      <c r="L153">
        <v>36.114800000000002</v>
      </c>
      <c r="M153">
        <v>14765.040999999999</v>
      </c>
      <c r="N153" t="s">
        <v>15</v>
      </c>
    </row>
    <row r="154" spans="1:15" x14ac:dyDescent="0.2">
      <c r="A154" t="s">
        <v>18</v>
      </c>
      <c r="B154" t="s">
        <v>111</v>
      </c>
      <c r="C154" t="s">
        <v>112</v>
      </c>
      <c r="D154" t="s">
        <v>113</v>
      </c>
      <c r="E154" t="s">
        <v>53</v>
      </c>
      <c r="F154" t="s">
        <v>114</v>
      </c>
      <c r="G154">
        <v>119062</v>
      </c>
      <c r="H154" s="75">
        <v>43999</v>
      </c>
      <c r="I154" t="s">
        <v>115</v>
      </c>
      <c r="J154">
        <v>5000</v>
      </c>
      <c r="K154">
        <v>139.18899999999999</v>
      </c>
      <c r="L154">
        <v>35.922499999999999</v>
      </c>
      <c r="M154">
        <v>14904.228999999999</v>
      </c>
      <c r="N154" t="s">
        <v>15</v>
      </c>
    </row>
    <row r="155" spans="1:15" x14ac:dyDescent="0.2">
      <c r="A155" t="s">
        <v>18</v>
      </c>
      <c r="B155" t="s">
        <v>111</v>
      </c>
      <c r="C155" t="s">
        <v>112</v>
      </c>
      <c r="D155" t="s">
        <v>113</v>
      </c>
      <c r="E155" t="s">
        <v>53</v>
      </c>
      <c r="F155" t="s">
        <v>114</v>
      </c>
      <c r="G155">
        <v>119062</v>
      </c>
      <c r="H155" s="75">
        <v>44029</v>
      </c>
      <c r="I155" t="s">
        <v>115</v>
      </c>
      <c r="J155">
        <v>5000</v>
      </c>
      <c r="K155">
        <v>139.83099999999999</v>
      </c>
      <c r="L155">
        <v>35.757399999999997</v>
      </c>
      <c r="M155">
        <v>15044.061</v>
      </c>
      <c r="N155" t="s">
        <v>15</v>
      </c>
    </row>
    <row r="156" spans="1:15" x14ac:dyDescent="0.2">
      <c r="A156" t="s">
        <v>18</v>
      </c>
      <c r="B156" t="s">
        <v>111</v>
      </c>
      <c r="C156" t="s">
        <v>112</v>
      </c>
      <c r="D156" t="s">
        <v>113</v>
      </c>
      <c r="E156" t="s">
        <v>53</v>
      </c>
      <c r="F156" t="s">
        <v>114</v>
      </c>
      <c r="G156">
        <v>119062</v>
      </c>
      <c r="H156" s="75">
        <v>44029</v>
      </c>
      <c r="I156" t="s">
        <v>118</v>
      </c>
      <c r="J156">
        <v>7522.03</v>
      </c>
      <c r="K156">
        <v>0</v>
      </c>
      <c r="M156">
        <v>15044.061</v>
      </c>
      <c r="N156" t="s">
        <v>19</v>
      </c>
      <c r="O156">
        <v>7522.03</v>
      </c>
    </row>
    <row r="157" spans="1:15" x14ac:dyDescent="0.2">
      <c r="A157" t="s">
        <v>18</v>
      </c>
      <c r="B157" t="s">
        <v>111</v>
      </c>
      <c r="C157" t="s">
        <v>112</v>
      </c>
      <c r="D157" t="s">
        <v>113</v>
      </c>
      <c r="E157" t="s">
        <v>53</v>
      </c>
      <c r="F157" t="s">
        <v>114</v>
      </c>
      <c r="G157">
        <v>119062</v>
      </c>
      <c r="H157" s="75">
        <v>44059</v>
      </c>
      <c r="I157" t="s">
        <v>115</v>
      </c>
      <c r="J157">
        <v>5000</v>
      </c>
      <c r="K157">
        <v>139.38900000000001</v>
      </c>
      <c r="L157">
        <v>35.870699999999999</v>
      </c>
      <c r="M157">
        <v>15183.45</v>
      </c>
      <c r="N157" t="s">
        <v>15</v>
      </c>
    </row>
    <row r="158" spans="1:15" x14ac:dyDescent="0.2">
      <c r="A158" t="s">
        <v>18</v>
      </c>
      <c r="B158" t="s">
        <v>111</v>
      </c>
      <c r="C158" t="s">
        <v>112</v>
      </c>
      <c r="D158" t="s">
        <v>113</v>
      </c>
      <c r="E158" t="s">
        <v>53</v>
      </c>
      <c r="F158" t="s">
        <v>114</v>
      </c>
      <c r="G158">
        <v>119062</v>
      </c>
      <c r="H158" s="75">
        <v>44059</v>
      </c>
      <c r="I158" t="s">
        <v>117</v>
      </c>
      <c r="J158">
        <v>2.5</v>
      </c>
      <c r="K158">
        <v>0</v>
      </c>
      <c r="M158">
        <v>15183.45</v>
      </c>
      <c r="N158" t="s">
        <v>46</v>
      </c>
    </row>
    <row r="159" spans="1:15" x14ac:dyDescent="0.2">
      <c r="A159" t="s">
        <v>18</v>
      </c>
      <c r="B159" t="s">
        <v>111</v>
      </c>
      <c r="C159" t="s">
        <v>112</v>
      </c>
      <c r="D159" t="s">
        <v>113</v>
      </c>
      <c r="E159" t="s">
        <v>53</v>
      </c>
      <c r="F159" t="s">
        <v>114</v>
      </c>
      <c r="G159">
        <v>119062</v>
      </c>
      <c r="H159" s="75">
        <v>44089</v>
      </c>
      <c r="I159" t="s">
        <v>115</v>
      </c>
      <c r="J159">
        <v>5000</v>
      </c>
      <c r="K159">
        <v>136.21799999999999</v>
      </c>
      <c r="L159">
        <v>36.705800000000004</v>
      </c>
      <c r="M159">
        <v>15319.668</v>
      </c>
      <c r="N159" t="s">
        <v>15</v>
      </c>
    </row>
    <row r="160" spans="1:15" x14ac:dyDescent="0.2">
      <c r="A160" t="s">
        <v>18</v>
      </c>
      <c r="B160" t="s">
        <v>111</v>
      </c>
      <c r="C160" t="s">
        <v>112</v>
      </c>
      <c r="D160" t="s">
        <v>113</v>
      </c>
      <c r="E160" t="s">
        <v>53</v>
      </c>
      <c r="F160" t="s">
        <v>114</v>
      </c>
      <c r="G160">
        <v>119062</v>
      </c>
      <c r="H160" s="75">
        <v>44089</v>
      </c>
      <c r="I160" t="s">
        <v>116</v>
      </c>
      <c r="J160">
        <v>2.5</v>
      </c>
      <c r="K160">
        <v>0</v>
      </c>
      <c r="M160">
        <v>15319.668</v>
      </c>
      <c r="N160" t="s">
        <v>17</v>
      </c>
    </row>
    <row r="161" spans="1:15" x14ac:dyDescent="0.2">
      <c r="A161" t="s">
        <v>18</v>
      </c>
      <c r="B161" t="s">
        <v>111</v>
      </c>
      <c r="C161" t="s">
        <v>112</v>
      </c>
      <c r="D161" t="s">
        <v>113</v>
      </c>
      <c r="E161" t="s">
        <v>53</v>
      </c>
      <c r="F161" t="s">
        <v>114</v>
      </c>
      <c r="G161">
        <v>119062</v>
      </c>
      <c r="H161" s="75">
        <v>44119</v>
      </c>
      <c r="I161" t="s">
        <v>115</v>
      </c>
      <c r="J161">
        <v>5000</v>
      </c>
      <c r="K161">
        <v>136.14500000000001</v>
      </c>
      <c r="L161">
        <v>36.7254</v>
      </c>
      <c r="M161">
        <v>15455.814</v>
      </c>
      <c r="N161" t="s">
        <v>15</v>
      </c>
    </row>
    <row r="162" spans="1:15" x14ac:dyDescent="0.2">
      <c r="A162" t="s">
        <v>18</v>
      </c>
      <c r="B162" t="s">
        <v>111</v>
      </c>
      <c r="C162" t="s">
        <v>112</v>
      </c>
      <c r="D162" t="s">
        <v>113</v>
      </c>
      <c r="E162" t="s">
        <v>53</v>
      </c>
      <c r="F162" t="s">
        <v>114</v>
      </c>
      <c r="G162">
        <v>119062</v>
      </c>
      <c r="H162" s="75">
        <v>44149</v>
      </c>
      <c r="I162" t="s">
        <v>115</v>
      </c>
      <c r="J162">
        <v>5000</v>
      </c>
      <c r="K162">
        <v>134.29</v>
      </c>
      <c r="L162">
        <v>37.232799999999997</v>
      </c>
      <c r="M162">
        <v>15590.103999999999</v>
      </c>
      <c r="N162" t="s">
        <v>15</v>
      </c>
    </row>
    <row r="163" spans="1:15" x14ac:dyDescent="0.2">
      <c r="A163" t="s">
        <v>18</v>
      </c>
      <c r="B163" t="s">
        <v>111</v>
      </c>
      <c r="C163" t="s">
        <v>112</v>
      </c>
      <c r="D163" t="s">
        <v>113</v>
      </c>
      <c r="E163" t="s">
        <v>53</v>
      </c>
      <c r="F163" t="s">
        <v>114</v>
      </c>
      <c r="G163">
        <v>119062</v>
      </c>
      <c r="H163" s="75">
        <v>44149</v>
      </c>
      <c r="I163" t="s">
        <v>117</v>
      </c>
      <c r="J163">
        <v>2.5</v>
      </c>
      <c r="K163">
        <v>0</v>
      </c>
      <c r="M163">
        <v>15590.103999999999</v>
      </c>
      <c r="N163" t="s">
        <v>46</v>
      </c>
    </row>
    <row r="164" spans="1:15" x14ac:dyDescent="0.2">
      <c r="A164" t="s">
        <v>18</v>
      </c>
      <c r="B164" t="s">
        <v>111</v>
      </c>
      <c r="C164" t="s">
        <v>112</v>
      </c>
      <c r="D164" t="s">
        <v>113</v>
      </c>
      <c r="E164" t="s">
        <v>53</v>
      </c>
      <c r="F164" t="s">
        <v>114</v>
      </c>
      <c r="G164">
        <v>119062</v>
      </c>
      <c r="H164" s="75">
        <v>44179</v>
      </c>
      <c r="I164" t="s">
        <v>115</v>
      </c>
      <c r="J164">
        <v>5000</v>
      </c>
      <c r="K164">
        <v>132.30199999999999</v>
      </c>
      <c r="L164">
        <v>37.792299999999997</v>
      </c>
      <c r="M164">
        <v>15722.406000000001</v>
      </c>
      <c r="N164" t="s">
        <v>15</v>
      </c>
    </row>
    <row r="165" spans="1:15" x14ac:dyDescent="0.2">
      <c r="A165" t="s">
        <v>18</v>
      </c>
      <c r="B165" t="s">
        <v>111</v>
      </c>
      <c r="C165" t="s">
        <v>112</v>
      </c>
      <c r="D165" t="s">
        <v>113</v>
      </c>
      <c r="E165" t="s">
        <v>53</v>
      </c>
      <c r="F165" t="s">
        <v>114</v>
      </c>
      <c r="G165">
        <v>119062</v>
      </c>
      <c r="H165" s="75">
        <v>44179</v>
      </c>
      <c r="I165" t="s">
        <v>118</v>
      </c>
      <c r="J165">
        <v>7861.2</v>
      </c>
      <c r="K165">
        <v>0</v>
      </c>
      <c r="M165">
        <v>15722.406000000001</v>
      </c>
      <c r="N165" t="s">
        <v>19</v>
      </c>
      <c r="O165">
        <v>7861.2</v>
      </c>
    </row>
    <row r="166" spans="1:15" x14ac:dyDescent="0.2">
      <c r="A166" t="s">
        <v>18</v>
      </c>
      <c r="B166" t="s">
        <v>111</v>
      </c>
      <c r="C166" t="s">
        <v>112</v>
      </c>
      <c r="D166" t="s">
        <v>113</v>
      </c>
      <c r="E166" t="s">
        <v>53</v>
      </c>
      <c r="F166" t="s">
        <v>114</v>
      </c>
      <c r="G166">
        <v>119062</v>
      </c>
      <c r="H166" s="75">
        <v>44209</v>
      </c>
      <c r="I166" t="s">
        <v>115</v>
      </c>
      <c r="J166">
        <v>5000</v>
      </c>
      <c r="K166">
        <v>133.80000000000001</v>
      </c>
      <c r="L166">
        <v>37.369100000000003</v>
      </c>
      <c r="M166">
        <v>15856.206</v>
      </c>
      <c r="N166" t="s">
        <v>15</v>
      </c>
    </row>
    <row r="167" spans="1:15" x14ac:dyDescent="0.2">
      <c r="A167" t="s">
        <v>18</v>
      </c>
      <c r="B167" t="s">
        <v>111</v>
      </c>
      <c r="C167" t="s">
        <v>112</v>
      </c>
      <c r="D167" t="s">
        <v>113</v>
      </c>
      <c r="E167" t="s">
        <v>53</v>
      </c>
      <c r="F167" t="s">
        <v>114</v>
      </c>
      <c r="G167">
        <v>119062</v>
      </c>
      <c r="H167" s="75">
        <v>44239</v>
      </c>
      <c r="I167" t="s">
        <v>115</v>
      </c>
      <c r="J167">
        <v>5000</v>
      </c>
      <c r="K167">
        <v>136.30199999999999</v>
      </c>
      <c r="L167">
        <v>36.683300000000003</v>
      </c>
      <c r="M167">
        <v>15992.508</v>
      </c>
      <c r="N167" t="s">
        <v>15</v>
      </c>
    </row>
    <row r="168" spans="1:15" x14ac:dyDescent="0.2">
      <c r="A168" t="s">
        <v>18</v>
      </c>
      <c r="B168" t="s">
        <v>111</v>
      </c>
      <c r="C168" t="s">
        <v>112</v>
      </c>
      <c r="D168" t="s">
        <v>113</v>
      </c>
      <c r="E168" t="s">
        <v>53</v>
      </c>
      <c r="F168" t="s">
        <v>114</v>
      </c>
      <c r="G168">
        <v>119062</v>
      </c>
      <c r="H168" s="75">
        <v>44269</v>
      </c>
      <c r="I168" t="s">
        <v>115</v>
      </c>
      <c r="J168">
        <v>5000</v>
      </c>
      <c r="K168">
        <v>134.91900000000001</v>
      </c>
      <c r="L168">
        <v>37.059199999999997</v>
      </c>
      <c r="M168">
        <v>16127.428</v>
      </c>
      <c r="N168" t="s">
        <v>15</v>
      </c>
    </row>
    <row r="169" spans="1:15" x14ac:dyDescent="0.2">
      <c r="A169" t="s">
        <v>18</v>
      </c>
      <c r="B169" t="s">
        <v>111</v>
      </c>
      <c r="C169" t="s">
        <v>112</v>
      </c>
      <c r="D169" t="s">
        <v>113</v>
      </c>
      <c r="E169" t="s">
        <v>53</v>
      </c>
      <c r="F169" t="s">
        <v>114</v>
      </c>
      <c r="G169">
        <v>119062</v>
      </c>
      <c r="H169" s="75">
        <v>44299</v>
      </c>
      <c r="I169" t="s">
        <v>115</v>
      </c>
      <c r="J169">
        <v>5000</v>
      </c>
      <c r="K169">
        <v>137.20400000000001</v>
      </c>
      <c r="L169">
        <v>36.442100000000003</v>
      </c>
      <c r="M169">
        <v>16264.632</v>
      </c>
      <c r="N169" t="s">
        <v>15</v>
      </c>
    </row>
    <row r="170" spans="1:15" x14ac:dyDescent="0.2">
      <c r="A170" t="s">
        <v>18</v>
      </c>
      <c r="B170" t="s">
        <v>111</v>
      </c>
      <c r="C170" t="s">
        <v>112</v>
      </c>
      <c r="D170" t="s">
        <v>113</v>
      </c>
      <c r="E170" t="s">
        <v>53</v>
      </c>
      <c r="F170" t="s">
        <v>114</v>
      </c>
      <c r="G170">
        <v>119062</v>
      </c>
      <c r="H170" s="75">
        <v>44329</v>
      </c>
      <c r="I170" t="s">
        <v>115</v>
      </c>
      <c r="J170">
        <v>5000</v>
      </c>
      <c r="K170">
        <v>135.18799999999999</v>
      </c>
      <c r="L170">
        <v>36.985500000000002</v>
      </c>
      <c r="M170">
        <v>16399.82</v>
      </c>
      <c r="N170" t="s">
        <v>15</v>
      </c>
    </row>
    <row r="171" spans="1:15" x14ac:dyDescent="0.2">
      <c r="A171" t="s">
        <v>18</v>
      </c>
      <c r="B171" t="s">
        <v>111</v>
      </c>
      <c r="C171" t="s">
        <v>112</v>
      </c>
      <c r="D171" t="s">
        <v>113</v>
      </c>
      <c r="E171" t="s">
        <v>53</v>
      </c>
      <c r="F171" t="s">
        <v>114</v>
      </c>
      <c r="G171">
        <v>119062</v>
      </c>
      <c r="H171" s="75">
        <v>44359</v>
      </c>
      <c r="I171" t="s">
        <v>115</v>
      </c>
      <c r="J171">
        <v>5000</v>
      </c>
      <c r="K171">
        <v>137.82400000000001</v>
      </c>
      <c r="L171">
        <v>36.278300000000002</v>
      </c>
      <c r="M171">
        <v>16537.643</v>
      </c>
      <c r="N171" t="s">
        <v>15</v>
      </c>
    </row>
    <row r="172" spans="1:15" x14ac:dyDescent="0.2">
      <c r="A172" t="s">
        <v>18</v>
      </c>
      <c r="B172" t="s">
        <v>111</v>
      </c>
      <c r="C172" t="s">
        <v>112</v>
      </c>
      <c r="D172" t="s">
        <v>113</v>
      </c>
      <c r="E172" t="s">
        <v>53</v>
      </c>
      <c r="F172" t="s">
        <v>114</v>
      </c>
      <c r="G172">
        <v>119062</v>
      </c>
      <c r="H172" s="75">
        <v>44389</v>
      </c>
      <c r="I172" t="s">
        <v>115</v>
      </c>
      <c r="J172">
        <v>5000</v>
      </c>
      <c r="K172">
        <v>134.042</v>
      </c>
      <c r="L172">
        <v>37.301600000000001</v>
      </c>
      <c r="M172">
        <v>16671.686000000002</v>
      </c>
      <c r="N172" t="s">
        <v>15</v>
      </c>
    </row>
    <row r="173" spans="1:15" x14ac:dyDescent="0.2">
      <c r="A173" t="s">
        <v>18</v>
      </c>
      <c r="B173" t="s">
        <v>111</v>
      </c>
      <c r="C173" t="s">
        <v>112</v>
      </c>
      <c r="D173" t="s">
        <v>113</v>
      </c>
      <c r="E173" t="s">
        <v>53</v>
      </c>
      <c r="F173" t="s">
        <v>114</v>
      </c>
      <c r="G173">
        <v>119062</v>
      </c>
      <c r="H173" s="75">
        <v>44389</v>
      </c>
      <c r="I173" t="s">
        <v>118</v>
      </c>
      <c r="J173">
        <v>8335.84</v>
      </c>
      <c r="K173">
        <v>0</v>
      </c>
      <c r="M173">
        <v>16671.686000000002</v>
      </c>
      <c r="N173" t="s">
        <v>19</v>
      </c>
      <c r="O173">
        <v>8335.84</v>
      </c>
    </row>
    <row r="174" spans="1:15" x14ac:dyDescent="0.2">
      <c r="A174" t="s">
        <v>18</v>
      </c>
      <c r="B174" t="s">
        <v>111</v>
      </c>
      <c r="C174" t="s">
        <v>112</v>
      </c>
      <c r="D174" t="s">
        <v>113</v>
      </c>
      <c r="E174" t="s">
        <v>53</v>
      </c>
      <c r="F174" t="s">
        <v>114</v>
      </c>
      <c r="G174">
        <v>119062</v>
      </c>
      <c r="H174" s="75">
        <v>44419</v>
      </c>
      <c r="I174" t="s">
        <v>115</v>
      </c>
      <c r="J174">
        <v>5000</v>
      </c>
      <c r="K174">
        <v>131.83000000000001</v>
      </c>
      <c r="L174">
        <v>37.927799999999998</v>
      </c>
      <c r="M174">
        <v>16803.514999999999</v>
      </c>
      <c r="N174" t="s">
        <v>15</v>
      </c>
    </row>
    <row r="175" spans="1:15" x14ac:dyDescent="0.2">
      <c r="A175" t="s">
        <v>18</v>
      </c>
      <c r="B175" t="s">
        <v>111</v>
      </c>
      <c r="C175" t="s">
        <v>112</v>
      </c>
      <c r="D175" t="s">
        <v>113</v>
      </c>
      <c r="E175" t="s">
        <v>53</v>
      </c>
      <c r="F175" t="s">
        <v>114</v>
      </c>
      <c r="G175">
        <v>119062</v>
      </c>
      <c r="H175" s="75">
        <v>44449</v>
      </c>
      <c r="I175" t="s">
        <v>115</v>
      </c>
      <c r="J175">
        <v>5000</v>
      </c>
      <c r="K175">
        <v>133.31399999999999</v>
      </c>
      <c r="L175">
        <v>37.505499999999998</v>
      </c>
      <c r="M175">
        <v>16936.829000000002</v>
      </c>
      <c r="N175" t="s">
        <v>15</v>
      </c>
    </row>
    <row r="176" spans="1:15" x14ac:dyDescent="0.2">
      <c r="A176" t="s">
        <v>18</v>
      </c>
      <c r="B176" t="s">
        <v>111</v>
      </c>
      <c r="C176" t="s">
        <v>112</v>
      </c>
      <c r="D176" t="s">
        <v>113</v>
      </c>
      <c r="E176" t="s">
        <v>53</v>
      </c>
      <c r="F176" t="s">
        <v>114</v>
      </c>
      <c r="G176">
        <v>119062</v>
      </c>
      <c r="H176" s="75">
        <v>44479</v>
      </c>
      <c r="I176" t="s">
        <v>115</v>
      </c>
      <c r="J176">
        <v>5000</v>
      </c>
      <c r="K176">
        <v>133.041</v>
      </c>
      <c r="L176">
        <v>37.582500000000003</v>
      </c>
      <c r="M176">
        <v>17069.87</v>
      </c>
      <c r="N176" t="s">
        <v>15</v>
      </c>
    </row>
    <row r="177" spans="1:14" x14ac:dyDescent="0.2">
      <c r="A177" t="s">
        <v>18</v>
      </c>
      <c r="B177" t="s">
        <v>111</v>
      </c>
      <c r="C177" t="s">
        <v>112</v>
      </c>
      <c r="D177" t="s">
        <v>113</v>
      </c>
      <c r="E177" t="s">
        <v>53</v>
      </c>
      <c r="F177" t="s">
        <v>114</v>
      </c>
      <c r="G177">
        <v>119062</v>
      </c>
      <c r="H177" s="75">
        <v>44509</v>
      </c>
      <c r="I177" t="s">
        <v>115</v>
      </c>
      <c r="J177">
        <v>5000</v>
      </c>
      <c r="K177">
        <v>134.428</v>
      </c>
      <c r="L177">
        <v>37.194600000000001</v>
      </c>
      <c r="M177">
        <v>17204.297999999999</v>
      </c>
      <c r="N177" t="s">
        <v>15</v>
      </c>
    </row>
    <row r="178" spans="1:14" x14ac:dyDescent="0.2">
      <c r="A178" t="s">
        <v>18</v>
      </c>
      <c r="B178" t="s">
        <v>111</v>
      </c>
      <c r="C178" t="s">
        <v>112</v>
      </c>
      <c r="D178" t="s">
        <v>113</v>
      </c>
      <c r="E178" t="s">
        <v>53</v>
      </c>
      <c r="F178" t="s">
        <v>114</v>
      </c>
      <c r="G178">
        <v>119062</v>
      </c>
      <c r="H178" s="75">
        <v>44539</v>
      </c>
      <c r="I178" t="s">
        <v>115</v>
      </c>
      <c r="J178">
        <v>5000</v>
      </c>
      <c r="K178">
        <v>131.06100000000001</v>
      </c>
      <c r="L178">
        <v>38.15</v>
      </c>
      <c r="M178">
        <v>17335.359</v>
      </c>
      <c r="N178" t="s">
        <v>15</v>
      </c>
    </row>
    <row r="179" spans="1:14" x14ac:dyDescent="0.2">
      <c r="A179" t="s">
        <v>18</v>
      </c>
      <c r="B179" t="s">
        <v>111</v>
      </c>
      <c r="C179" t="s">
        <v>112</v>
      </c>
      <c r="D179" t="s">
        <v>113</v>
      </c>
      <c r="E179" t="s">
        <v>53</v>
      </c>
      <c r="F179" t="s">
        <v>114</v>
      </c>
      <c r="G179">
        <v>119062</v>
      </c>
      <c r="H179" s="75">
        <v>44569</v>
      </c>
      <c r="I179" t="s">
        <v>115</v>
      </c>
      <c r="J179">
        <v>5000</v>
      </c>
      <c r="K179">
        <v>132.88800000000001</v>
      </c>
      <c r="L179">
        <v>37.625700000000002</v>
      </c>
      <c r="M179">
        <v>17468.246999999999</v>
      </c>
      <c r="N179" t="s">
        <v>15</v>
      </c>
    </row>
    <row r="180" spans="1:14" x14ac:dyDescent="0.2">
      <c r="A180" t="s">
        <v>18</v>
      </c>
      <c r="B180" t="s">
        <v>111</v>
      </c>
      <c r="C180" t="s">
        <v>112</v>
      </c>
      <c r="D180" t="s">
        <v>113</v>
      </c>
      <c r="E180" t="s">
        <v>53</v>
      </c>
      <c r="F180" t="s">
        <v>114</v>
      </c>
      <c r="G180">
        <v>119062</v>
      </c>
      <c r="H180" s="75">
        <v>44599</v>
      </c>
      <c r="I180" t="s">
        <v>115</v>
      </c>
      <c r="J180">
        <v>5000</v>
      </c>
      <c r="K180">
        <v>129.267</v>
      </c>
      <c r="L180">
        <v>38.6798</v>
      </c>
      <c r="M180">
        <v>17597.513999999999</v>
      </c>
      <c r="N180" t="s">
        <v>15</v>
      </c>
    </row>
    <row r="181" spans="1:14" x14ac:dyDescent="0.2">
      <c r="A181" t="s">
        <v>18</v>
      </c>
      <c r="B181" t="s">
        <v>111</v>
      </c>
      <c r="C181" t="s">
        <v>112</v>
      </c>
      <c r="D181" t="s">
        <v>113</v>
      </c>
      <c r="E181" t="s">
        <v>53</v>
      </c>
      <c r="F181" t="s">
        <v>114</v>
      </c>
      <c r="G181">
        <v>119062</v>
      </c>
      <c r="H181" s="75">
        <v>44599</v>
      </c>
      <c r="I181" t="s">
        <v>117</v>
      </c>
      <c r="J181">
        <v>2.5</v>
      </c>
      <c r="K181">
        <v>0</v>
      </c>
      <c r="M181">
        <v>17597.513999999999</v>
      </c>
      <c r="N181" t="s">
        <v>46</v>
      </c>
    </row>
    <row r="182" spans="1:14" x14ac:dyDescent="0.2">
      <c r="A182" t="s">
        <v>18</v>
      </c>
      <c r="B182" t="s">
        <v>111</v>
      </c>
      <c r="C182" t="s">
        <v>112</v>
      </c>
      <c r="D182" t="s">
        <v>113</v>
      </c>
      <c r="E182" t="s">
        <v>53</v>
      </c>
      <c r="F182" t="s">
        <v>114</v>
      </c>
      <c r="G182">
        <v>119062</v>
      </c>
      <c r="H182" s="75">
        <v>44629</v>
      </c>
      <c r="I182" t="s">
        <v>115</v>
      </c>
      <c r="J182">
        <v>5000</v>
      </c>
      <c r="K182">
        <v>127.51900000000001</v>
      </c>
      <c r="L182">
        <v>39.209899999999998</v>
      </c>
      <c r="M182">
        <v>17725.032999999999</v>
      </c>
      <c r="N182" t="s">
        <v>15</v>
      </c>
    </row>
    <row r="183" spans="1:14" x14ac:dyDescent="0.2">
      <c r="A183" t="s">
        <v>18</v>
      </c>
      <c r="B183" t="s">
        <v>111</v>
      </c>
      <c r="C183" t="s">
        <v>112</v>
      </c>
      <c r="D183" t="s">
        <v>113</v>
      </c>
      <c r="E183" t="s">
        <v>53</v>
      </c>
      <c r="F183" t="s">
        <v>114</v>
      </c>
      <c r="G183">
        <v>119062</v>
      </c>
      <c r="H183" s="75">
        <v>44659</v>
      </c>
      <c r="I183" t="s">
        <v>115</v>
      </c>
      <c r="J183">
        <v>5000</v>
      </c>
      <c r="K183">
        <v>128.845</v>
      </c>
      <c r="L183">
        <v>38.8063</v>
      </c>
      <c r="M183">
        <v>17853.878000000001</v>
      </c>
      <c r="N183" t="s">
        <v>15</v>
      </c>
    </row>
    <row r="184" spans="1:14" x14ac:dyDescent="0.2">
      <c r="A184" t="s">
        <v>18</v>
      </c>
      <c r="B184" t="s">
        <v>111</v>
      </c>
      <c r="C184" t="s">
        <v>112</v>
      </c>
      <c r="D184" t="s">
        <v>113</v>
      </c>
      <c r="E184" t="s">
        <v>53</v>
      </c>
      <c r="F184" t="s">
        <v>114</v>
      </c>
      <c r="G184">
        <v>119062</v>
      </c>
      <c r="H184" s="75">
        <v>44689</v>
      </c>
      <c r="I184" t="s">
        <v>115</v>
      </c>
      <c r="J184">
        <v>5000</v>
      </c>
      <c r="K184">
        <v>126.099</v>
      </c>
      <c r="L184">
        <v>39.651400000000002</v>
      </c>
      <c r="M184">
        <v>17979.975999999999</v>
      </c>
      <c r="N184" t="s">
        <v>15</v>
      </c>
    </row>
    <row r="185" spans="1:14" x14ac:dyDescent="0.2">
      <c r="A185" t="s">
        <v>18</v>
      </c>
      <c r="B185" t="s">
        <v>111</v>
      </c>
      <c r="C185" t="s">
        <v>112</v>
      </c>
      <c r="D185" t="s">
        <v>113</v>
      </c>
      <c r="E185" t="s">
        <v>53</v>
      </c>
      <c r="F185" t="s">
        <v>114</v>
      </c>
      <c r="G185">
        <v>119062</v>
      </c>
      <c r="H185" s="75">
        <v>44719</v>
      </c>
      <c r="I185" t="s">
        <v>115</v>
      </c>
      <c r="J185">
        <v>5000</v>
      </c>
      <c r="K185">
        <v>127.712</v>
      </c>
      <c r="L185">
        <v>39.150599999999997</v>
      </c>
      <c r="M185">
        <v>18107.687999999998</v>
      </c>
      <c r="N185" t="s">
        <v>15</v>
      </c>
    </row>
    <row r="186" spans="1:14" x14ac:dyDescent="0.2">
      <c r="A186" t="s">
        <v>18</v>
      </c>
      <c r="B186" t="s">
        <v>111</v>
      </c>
      <c r="C186" t="s">
        <v>112</v>
      </c>
      <c r="D186" t="s">
        <v>113</v>
      </c>
      <c r="E186" t="s">
        <v>53</v>
      </c>
      <c r="F186" t="s">
        <v>114</v>
      </c>
      <c r="G186">
        <v>119062</v>
      </c>
      <c r="H186" s="75">
        <v>44749</v>
      </c>
      <c r="I186" t="s">
        <v>115</v>
      </c>
      <c r="J186">
        <v>5000</v>
      </c>
      <c r="K186">
        <v>125.566</v>
      </c>
      <c r="L186">
        <v>39.819699999999997</v>
      </c>
      <c r="M186">
        <v>18233.255000000001</v>
      </c>
      <c r="N186" t="s">
        <v>15</v>
      </c>
    </row>
    <row r="187" spans="1:14" x14ac:dyDescent="0.2">
      <c r="A187" t="s">
        <v>18</v>
      </c>
      <c r="B187" t="s">
        <v>111</v>
      </c>
      <c r="C187" t="s">
        <v>112</v>
      </c>
      <c r="D187" t="s">
        <v>113</v>
      </c>
      <c r="E187" t="s">
        <v>53</v>
      </c>
      <c r="F187" t="s">
        <v>114</v>
      </c>
      <c r="G187">
        <v>119062</v>
      </c>
      <c r="H187" s="75">
        <v>44749</v>
      </c>
      <c r="I187" t="s">
        <v>116</v>
      </c>
      <c r="J187">
        <v>2.5</v>
      </c>
      <c r="K187">
        <v>0</v>
      </c>
      <c r="M187">
        <v>18233.255000000001</v>
      </c>
      <c r="N187" t="s">
        <v>17</v>
      </c>
    </row>
    <row r="188" spans="1:14" x14ac:dyDescent="0.2">
      <c r="A188" t="s">
        <v>18</v>
      </c>
      <c r="B188" t="s">
        <v>111</v>
      </c>
      <c r="C188" t="s">
        <v>112</v>
      </c>
      <c r="D188" t="s">
        <v>113</v>
      </c>
      <c r="E188" t="s">
        <v>53</v>
      </c>
      <c r="F188" t="s">
        <v>114</v>
      </c>
      <c r="G188">
        <v>119062</v>
      </c>
      <c r="H188" s="75">
        <v>44779</v>
      </c>
      <c r="I188" t="s">
        <v>115</v>
      </c>
      <c r="J188">
        <v>5000</v>
      </c>
      <c r="K188">
        <v>125.672</v>
      </c>
      <c r="L188">
        <v>39.786299999999997</v>
      </c>
      <c r="M188">
        <v>18358.925999999999</v>
      </c>
      <c r="N188" t="s">
        <v>15</v>
      </c>
    </row>
    <row r="189" spans="1:14" x14ac:dyDescent="0.2">
      <c r="A189" t="s">
        <v>18</v>
      </c>
      <c r="B189" t="s">
        <v>111</v>
      </c>
      <c r="C189" t="s">
        <v>112</v>
      </c>
      <c r="D189" t="s">
        <v>113</v>
      </c>
      <c r="E189" t="s">
        <v>53</v>
      </c>
      <c r="F189" t="s">
        <v>114</v>
      </c>
      <c r="G189">
        <v>119062</v>
      </c>
      <c r="H189" s="75">
        <v>44779</v>
      </c>
      <c r="I189" t="s">
        <v>25</v>
      </c>
      <c r="J189">
        <v>-146086.57999999999</v>
      </c>
      <c r="K189">
        <v>-3671.7849999999999</v>
      </c>
      <c r="L189">
        <v>39.786299999999997</v>
      </c>
      <c r="M189">
        <v>14687.141</v>
      </c>
      <c r="N189" t="s">
        <v>16</v>
      </c>
    </row>
    <row r="190" spans="1:14" x14ac:dyDescent="0.2">
      <c r="A190" t="s">
        <v>18</v>
      </c>
      <c r="B190" t="s">
        <v>111</v>
      </c>
      <c r="C190" t="s">
        <v>112</v>
      </c>
      <c r="D190" t="s">
        <v>113</v>
      </c>
      <c r="E190" t="s">
        <v>53</v>
      </c>
      <c r="F190" t="s">
        <v>114</v>
      </c>
      <c r="G190">
        <v>119062</v>
      </c>
      <c r="H190" s="75">
        <v>44809</v>
      </c>
      <c r="I190" t="s">
        <v>115</v>
      </c>
      <c r="J190">
        <v>5000</v>
      </c>
      <c r="K190">
        <v>123.004</v>
      </c>
      <c r="L190">
        <v>40.6492</v>
      </c>
      <c r="M190">
        <v>14810.144</v>
      </c>
      <c r="N190" t="s">
        <v>15</v>
      </c>
    </row>
    <row r="191" spans="1:14" x14ac:dyDescent="0.2">
      <c r="A191" t="s">
        <v>18</v>
      </c>
      <c r="B191" t="s">
        <v>111</v>
      </c>
      <c r="C191" t="s">
        <v>112</v>
      </c>
      <c r="D191" t="s">
        <v>113</v>
      </c>
      <c r="E191" t="s">
        <v>53</v>
      </c>
      <c r="F191" t="s">
        <v>114</v>
      </c>
      <c r="G191">
        <v>119062</v>
      </c>
      <c r="H191" s="75">
        <v>44839</v>
      </c>
      <c r="I191" t="s">
        <v>115</v>
      </c>
      <c r="J191">
        <v>5000</v>
      </c>
      <c r="K191">
        <v>121.163</v>
      </c>
      <c r="L191">
        <v>41.2667</v>
      </c>
      <c r="M191">
        <v>14931.308000000001</v>
      </c>
      <c r="N191" t="s">
        <v>15</v>
      </c>
    </row>
    <row r="192" spans="1:14" x14ac:dyDescent="0.2">
      <c r="A192" t="s">
        <v>18</v>
      </c>
      <c r="B192" t="s">
        <v>111</v>
      </c>
      <c r="C192" t="s">
        <v>112</v>
      </c>
      <c r="D192" t="s">
        <v>113</v>
      </c>
      <c r="E192" t="s">
        <v>53</v>
      </c>
      <c r="F192" t="s">
        <v>114</v>
      </c>
      <c r="G192">
        <v>119062</v>
      </c>
      <c r="H192" s="75">
        <v>44869</v>
      </c>
      <c r="I192" t="s">
        <v>115</v>
      </c>
      <c r="J192">
        <v>5000</v>
      </c>
      <c r="K192">
        <v>120.13200000000001</v>
      </c>
      <c r="L192">
        <v>41.621000000000002</v>
      </c>
      <c r="M192">
        <v>15051.439</v>
      </c>
      <c r="N192" t="s">
        <v>15</v>
      </c>
    </row>
    <row r="193" spans="1:14" x14ac:dyDescent="0.2">
      <c r="A193" t="s">
        <v>18</v>
      </c>
      <c r="B193" t="s">
        <v>111</v>
      </c>
      <c r="C193" t="s">
        <v>112</v>
      </c>
      <c r="D193" t="s">
        <v>113</v>
      </c>
      <c r="E193" t="s">
        <v>53</v>
      </c>
      <c r="F193" t="s">
        <v>114</v>
      </c>
      <c r="G193">
        <v>119062</v>
      </c>
      <c r="H193" s="75">
        <v>44899</v>
      </c>
      <c r="I193" t="s">
        <v>115</v>
      </c>
      <c r="J193">
        <v>5000</v>
      </c>
      <c r="K193">
        <v>119.248</v>
      </c>
      <c r="L193">
        <v>41.929600000000001</v>
      </c>
      <c r="M193">
        <v>15170.687</v>
      </c>
      <c r="N193" t="s">
        <v>15</v>
      </c>
    </row>
    <row r="194" spans="1:14" x14ac:dyDescent="0.2">
      <c r="A194" t="s">
        <v>18</v>
      </c>
      <c r="B194" t="s">
        <v>111</v>
      </c>
      <c r="C194" t="s">
        <v>112</v>
      </c>
      <c r="D194" t="s">
        <v>113</v>
      </c>
      <c r="E194" t="s">
        <v>53</v>
      </c>
      <c r="F194" t="s">
        <v>114</v>
      </c>
      <c r="G194">
        <v>119062</v>
      </c>
      <c r="H194" s="75">
        <v>44929</v>
      </c>
      <c r="I194" t="s">
        <v>115</v>
      </c>
      <c r="J194">
        <v>5000</v>
      </c>
      <c r="K194">
        <v>117.69</v>
      </c>
      <c r="L194">
        <v>42.484299999999998</v>
      </c>
      <c r="M194">
        <v>15288.377</v>
      </c>
      <c r="N194" t="s">
        <v>15</v>
      </c>
    </row>
    <row r="195" spans="1:14" x14ac:dyDescent="0.2">
      <c r="A195" t="s">
        <v>18</v>
      </c>
      <c r="B195" t="s">
        <v>111</v>
      </c>
      <c r="C195" t="s">
        <v>112</v>
      </c>
      <c r="D195" t="s">
        <v>113</v>
      </c>
      <c r="E195" t="s">
        <v>53</v>
      </c>
      <c r="F195" t="s">
        <v>114</v>
      </c>
      <c r="G195">
        <v>119062</v>
      </c>
      <c r="H195" s="75">
        <v>44929</v>
      </c>
      <c r="I195" t="s">
        <v>116</v>
      </c>
      <c r="J195">
        <v>2.5</v>
      </c>
      <c r="K195">
        <v>0</v>
      </c>
      <c r="M195">
        <v>15288.377</v>
      </c>
      <c r="N195" t="s">
        <v>17</v>
      </c>
    </row>
    <row r="196" spans="1:14" x14ac:dyDescent="0.2">
      <c r="A196" t="s">
        <v>18</v>
      </c>
      <c r="B196" t="s">
        <v>111</v>
      </c>
      <c r="C196" t="s">
        <v>112</v>
      </c>
      <c r="D196" t="s">
        <v>113</v>
      </c>
      <c r="E196" t="s">
        <v>53</v>
      </c>
      <c r="F196" t="s">
        <v>114</v>
      </c>
      <c r="G196">
        <v>119062</v>
      </c>
      <c r="H196" s="75">
        <v>44959</v>
      </c>
      <c r="I196" t="s">
        <v>115</v>
      </c>
      <c r="J196">
        <v>5000</v>
      </c>
      <c r="K196">
        <v>116.22799999999999</v>
      </c>
      <c r="L196">
        <v>43.019100000000002</v>
      </c>
      <c r="M196">
        <v>15404.605</v>
      </c>
      <c r="N196" t="s">
        <v>15</v>
      </c>
    </row>
    <row r="197" spans="1:14" x14ac:dyDescent="0.2">
      <c r="A197" t="s">
        <v>18</v>
      </c>
      <c r="B197" t="s">
        <v>111</v>
      </c>
      <c r="C197" t="s">
        <v>112</v>
      </c>
      <c r="D197" t="s">
        <v>113</v>
      </c>
      <c r="E197" t="s">
        <v>53</v>
      </c>
      <c r="F197" t="s">
        <v>114</v>
      </c>
      <c r="G197">
        <v>119062</v>
      </c>
      <c r="H197" s="75">
        <v>44989</v>
      </c>
      <c r="I197" t="s">
        <v>115</v>
      </c>
      <c r="J197">
        <v>5000</v>
      </c>
      <c r="K197">
        <v>112.949</v>
      </c>
      <c r="L197">
        <v>44.267600000000002</v>
      </c>
      <c r="M197">
        <v>15517.554</v>
      </c>
      <c r="N197" t="s">
        <v>15</v>
      </c>
    </row>
    <row r="198" spans="1:14" x14ac:dyDescent="0.2">
      <c r="A198" t="s">
        <v>18</v>
      </c>
      <c r="B198" t="s">
        <v>111</v>
      </c>
      <c r="C198" t="s">
        <v>112</v>
      </c>
      <c r="D198" t="s">
        <v>113</v>
      </c>
      <c r="E198" t="s">
        <v>53</v>
      </c>
      <c r="F198" t="s">
        <v>114</v>
      </c>
      <c r="G198">
        <v>119062</v>
      </c>
      <c r="H198" s="75">
        <v>45019</v>
      </c>
      <c r="I198" t="s">
        <v>115</v>
      </c>
      <c r="J198">
        <v>5000</v>
      </c>
      <c r="K198">
        <v>113.61799999999999</v>
      </c>
      <c r="L198">
        <v>44.006999999999998</v>
      </c>
      <c r="M198">
        <v>15631.173000000001</v>
      </c>
      <c r="N198" t="s">
        <v>15</v>
      </c>
    </row>
    <row r="199" spans="1:14" x14ac:dyDescent="0.2">
      <c r="A199" t="s">
        <v>18</v>
      </c>
      <c r="B199" t="s">
        <v>111</v>
      </c>
      <c r="C199" t="s">
        <v>112</v>
      </c>
      <c r="D199" t="s">
        <v>113</v>
      </c>
      <c r="E199" t="s">
        <v>53</v>
      </c>
      <c r="F199" t="s">
        <v>114</v>
      </c>
      <c r="G199">
        <v>119062</v>
      </c>
      <c r="H199" s="75">
        <v>45049</v>
      </c>
      <c r="I199" t="s">
        <v>115</v>
      </c>
      <c r="J199">
        <v>5000</v>
      </c>
      <c r="K199">
        <v>115.002</v>
      </c>
      <c r="L199">
        <v>43.477400000000003</v>
      </c>
      <c r="M199">
        <v>15746.174999999999</v>
      </c>
      <c r="N199" t="s">
        <v>15</v>
      </c>
    </row>
    <row r="200" spans="1:14" x14ac:dyDescent="0.2">
      <c r="A200" t="s">
        <v>18</v>
      </c>
      <c r="B200" t="s">
        <v>111</v>
      </c>
      <c r="C200" t="s">
        <v>112</v>
      </c>
      <c r="D200" t="s">
        <v>113</v>
      </c>
      <c r="E200" t="s">
        <v>53</v>
      </c>
      <c r="F200" t="s">
        <v>114</v>
      </c>
      <c r="G200">
        <v>119062</v>
      </c>
      <c r="H200" s="75">
        <v>45049</v>
      </c>
      <c r="I200" t="s">
        <v>117</v>
      </c>
      <c r="J200">
        <v>2.5</v>
      </c>
      <c r="K200">
        <v>0</v>
      </c>
      <c r="M200">
        <v>15746.174999999999</v>
      </c>
      <c r="N200" t="s">
        <v>46</v>
      </c>
    </row>
    <row r="201" spans="1:14" x14ac:dyDescent="0.2">
      <c r="A201" t="s">
        <v>18</v>
      </c>
      <c r="B201" t="s">
        <v>111</v>
      </c>
      <c r="C201" t="s">
        <v>112</v>
      </c>
      <c r="D201" t="s">
        <v>113</v>
      </c>
      <c r="E201" t="s">
        <v>53</v>
      </c>
      <c r="F201" t="s">
        <v>114</v>
      </c>
      <c r="G201">
        <v>119062</v>
      </c>
      <c r="H201" s="75">
        <v>45079</v>
      </c>
      <c r="I201" t="s">
        <v>115</v>
      </c>
      <c r="J201">
        <v>5000</v>
      </c>
      <c r="K201">
        <v>114.29</v>
      </c>
      <c r="L201">
        <v>43.748199999999997</v>
      </c>
      <c r="M201">
        <v>15860.465</v>
      </c>
      <c r="N201" t="s">
        <v>15</v>
      </c>
    </row>
    <row r="202" spans="1:14" x14ac:dyDescent="0.2">
      <c r="A202" t="s">
        <v>18</v>
      </c>
      <c r="B202" t="s">
        <v>111</v>
      </c>
      <c r="C202" t="s">
        <v>112</v>
      </c>
      <c r="D202" t="s">
        <v>113</v>
      </c>
      <c r="E202" t="s">
        <v>53</v>
      </c>
      <c r="F202" t="s">
        <v>114</v>
      </c>
      <c r="G202">
        <v>119062</v>
      </c>
      <c r="H202" s="75">
        <v>45079</v>
      </c>
      <c r="I202" t="s">
        <v>117</v>
      </c>
      <c r="J202">
        <v>2.5</v>
      </c>
      <c r="K202">
        <v>0</v>
      </c>
      <c r="M202">
        <v>15860.465</v>
      </c>
      <c r="N202" t="s">
        <v>46</v>
      </c>
    </row>
    <row r="203" spans="1:14" x14ac:dyDescent="0.2">
      <c r="A203" t="s">
        <v>18</v>
      </c>
      <c r="B203" t="s">
        <v>111</v>
      </c>
      <c r="C203" t="s">
        <v>112</v>
      </c>
      <c r="D203" t="s">
        <v>113</v>
      </c>
      <c r="E203" t="s">
        <v>53</v>
      </c>
      <c r="F203" t="s">
        <v>114</v>
      </c>
      <c r="G203">
        <v>119062</v>
      </c>
      <c r="H203" s="75">
        <v>45109</v>
      </c>
      <c r="I203" t="s">
        <v>115</v>
      </c>
      <c r="J203">
        <v>5000</v>
      </c>
      <c r="K203">
        <v>116.608</v>
      </c>
      <c r="L203">
        <v>42.878700000000002</v>
      </c>
      <c r="M203">
        <v>15977.073</v>
      </c>
      <c r="N203" t="s">
        <v>15</v>
      </c>
    </row>
    <row r="204" spans="1:14" x14ac:dyDescent="0.2">
      <c r="A204" t="s">
        <v>18</v>
      </c>
      <c r="B204" t="s">
        <v>111</v>
      </c>
      <c r="C204" t="s">
        <v>112</v>
      </c>
      <c r="D204" t="s">
        <v>113</v>
      </c>
      <c r="E204" t="s">
        <v>53</v>
      </c>
      <c r="F204" t="s">
        <v>114</v>
      </c>
      <c r="G204">
        <v>119062</v>
      </c>
      <c r="H204" s="75">
        <v>45139</v>
      </c>
      <c r="I204" t="s">
        <v>115</v>
      </c>
      <c r="J204">
        <v>5000</v>
      </c>
      <c r="K204">
        <v>113.313</v>
      </c>
      <c r="L204">
        <v>44.125599999999999</v>
      </c>
      <c r="M204">
        <v>16090.386</v>
      </c>
      <c r="N204" t="s">
        <v>15</v>
      </c>
    </row>
    <row r="205" spans="1:14" x14ac:dyDescent="0.2">
      <c r="A205" t="s">
        <v>18</v>
      </c>
      <c r="B205" t="s">
        <v>111</v>
      </c>
      <c r="C205" t="s">
        <v>112</v>
      </c>
      <c r="D205" t="s">
        <v>113</v>
      </c>
      <c r="E205" t="s">
        <v>53</v>
      </c>
      <c r="F205" t="s">
        <v>114</v>
      </c>
      <c r="G205">
        <v>119062</v>
      </c>
      <c r="H205" s="75">
        <v>45139</v>
      </c>
      <c r="I205" t="s">
        <v>117</v>
      </c>
      <c r="J205">
        <v>2.5</v>
      </c>
      <c r="K205">
        <v>0</v>
      </c>
      <c r="M205">
        <v>16090.386</v>
      </c>
      <c r="N205" t="s">
        <v>46</v>
      </c>
    </row>
    <row r="206" spans="1:14" x14ac:dyDescent="0.2">
      <c r="A206" t="s">
        <v>18</v>
      </c>
      <c r="B206" t="s">
        <v>111</v>
      </c>
      <c r="C206" t="s">
        <v>112</v>
      </c>
      <c r="D206" t="s">
        <v>113</v>
      </c>
      <c r="E206" t="s">
        <v>53</v>
      </c>
      <c r="F206" t="s">
        <v>114</v>
      </c>
      <c r="G206">
        <v>119062</v>
      </c>
      <c r="H206" s="75">
        <v>45169</v>
      </c>
      <c r="I206" t="s">
        <v>115</v>
      </c>
      <c r="J206">
        <v>5000</v>
      </c>
      <c r="K206">
        <v>115.221</v>
      </c>
      <c r="L206">
        <v>43.394799999999996</v>
      </c>
      <c r="M206">
        <v>16205.607</v>
      </c>
      <c r="N206" t="s">
        <v>15</v>
      </c>
    </row>
    <row r="207" spans="1:14" x14ac:dyDescent="0.2">
      <c r="A207" t="s">
        <v>18</v>
      </c>
      <c r="B207" t="s">
        <v>111</v>
      </c>
      <c r="C207" t="s">
        <v>112</v>
      </c>
      <c r="D207" t="s">
        <v>113</v>
      </c>
      <c r="E207" t="s">
        <v>53</v>
      </c>
      <c r="F207" t="s">
        <v>114</v>
      </c>
      <c r="G207">
        <v>119062</v>
      </c>
      <c r="H207" s="75">
        <v>45199</v>
      </c>
      <c r="I207" t="s">
        <v>115</v>
      </c>
      <c r="J207">
        <v>5000</v>
      </c>
      <c r="K207">
        <v>113.486</v>
      </c>
      <c r="L207">
        <v>44.058199999999999</v>
      </c>
      <c r="M207">
        <v>16319.093999999999</v>
      </c>
      <c r="N207" t="s">
        <v>15</v>
      </c>
    </row>
    <row r="208" spans="1:14" x14ac:dyDescent="0.2">
      <c r="A208" t="s">
        <v>18</v>
      </c>
      <c r="B208" t="s">
        <v>111</v>
      </c>
      <c r="C208" t="s">
        <v>112</v>
      </c>
      <c r="D208" t="s">
        <v>113</v>
      </c>
      <c r="E208" t="s">
        <v>53</v>
      </c>
      <c r="F208" t="s">
        <v>114</v>
      </c>
      <c r="G208">
        <v>119062</v>
      </c>
      <c r="H208" s="75">
        <v>45229</v>
      </c>
      <c r="I208" t="s">
        <v>115</v>
      </c>
      <c r="J208">
        <v>5000</v>
      </c>
      <c r="K208">
        <v>110.961</v>
      </c>
      <c r="L208">
        <v>45.0608</v>
      </c>
      <c r="M208">
        <v>16430.055</v>
      </c>
      <c r="N208" t="s">
        <v>15</v>
      </c>
    </row>
    <row r="209" spans="1:14" x14ac:dyDescent="0.2">
      <c r="A209" t="s">
        <v>18</v>
      </c>
      <c r="B209" t="s">
        <v>111</v>
      </c>
      <c r="C209" t="s">
        <v>112</v>
      </c>
      <c r="D209" t="s">
        <v>113</v>
      </c>
      <c r="E209" t="s">
        <v>53</v>
      </c>
      <c r="F209" t="s">
        <v>114</v>
      </c>
      <c r="G209">
        <v>119062</v>
      </c>
      <c r="H209" s="75">
        <v>45259</v>
      </c>
      <c r="I209" t="s">
        <v>115</v>
      </c>
      <c r="J209">
        <v>5000</v>
      </c>
      <c r="K209">
        <v>109.38800000000001</v>
      </c>
      <c r="L209">
        <v>45.7089</v>
      </c>
      <c r="M209">
        <v>16539.442999999999</v>
      </c>
      <c r="N209" t="s">
        <v>15</v>
      </c>
    </row>
    <row r="210" spans="1:14" x14ac:dyDescent="0.2">
      <c r="A210" t="s">
        <v>18</v>
      </c>
      <c r="B210" t="s">
        <v>111</v>
      </c>
      <c r="C210" t="s">
        <v>112</v>
      </c>
      <c r="D210" t="s">
        <v>113</v>
      </c>
      <c r="E210" t="s">
        <v>53</v>
      </c>
      <c r="F210" t="s">
        <v>114</v>
      </c>
      <c r="G210">
        <v>119062</v>
      </c>
      <c r="H210" s="75">
        <v>45289</v>
      </c>
      <c r="I210" t="s">
        <v>115</v>
      </c>
      <c r="J210">
        <v>5000</v>
      </c>
      <c r="K210">
        <v>109.717</v>
      </c>
      <c r="L210">
        <v>45.5717</v>
      </c>
      <c r="M210">
        <v>16649.16</v>
      </c>
      <c r="N210" t="s">
        <v>15</v>
      </c>
    </row>
    <row r="211" spans="1:14" x14ac:dyDescent="0.2">
      <c r="A211" t="s">
        <v>18</v>
      </c>
      <c r="B211" t="s">
        <v>111</v>
      </c>
      <c r="C211" t="s">
        <v>112</v>
      </c>
      <c r="D211" t="s">
        <v>113</v>
      </c>
      <c r="E211" t="s">
        <v>53</v>
      </c>
      <c r="F211" t="s">
        <v>114</v>
      </c>
      <c r="G211">
        <v>119062</v>
      </c>
      <c r="H211" s="75">
        <v>45319</v>
      </c>
      <c r="I211" t="s">
        <v>115</v>
      </c>
      <c r="J211">
        <v>5000</v>
      </c>
      <c r="K211">
        <v>107.786</v>
      </c>
      <c r="L211">
        <v>46.388199999999998</v>
      </c>
      <c r="M211">
        <v>16756.946</v>
      </c>
      <c r="N211" t="s">
        <v>15</v>
      </c>
    </row>
    <row r="212" spans="1:14" x14ac:dyDescent="0.2">
      <c r="A212" t="s">
        <v>18</v>
      </c>
      <c r="B212" t="s">
        <v>111</v>
      </c>
      <c r="C212" t="s">
        <v>112</v>
      </c>
      <c r="D212" t="s">
        <v>113</v>
      </c>
      <c r="E212" t="s">
        <v>53</v>
      </c>
      <c r="F212" t="s">
        <v>114</v>
      </c>
      <c r="G212">
        <v>119062</v>
      </c>
      <c r="H212" s="75">
        <v>45349</v>
      </c>
      <c r="I212" t="s">
        <v>115</v>
      </c>
      <c r="J212">
        <v>5000</v>
      </c>
      <c r="K212">
        <v>109.538</v>
      </c>
      <c r="L212">
        <v>45.646099999999997</v>
      </c>
      <c r="M212">
        <v>16866.485000000001</v>
      </c>
      <c r="N212" t="s">
        <v>15</v>
      </c>
    </row>
    <row r="213" spans="1:14" x14ac:dyDescent="0.2">
      <c r="A213" t="s">
        <v>18</v>
      </c>
      <c r="B213" t="s">
        <v>111</v>
      </c>
      <c r="C213" t="s">
        <v>112</v>
      </c>
      <c r="D213" t="s">
        <v>113</v>
      </c>
      <c r="E213" t="s">
        <v>53</v>
      </c>
      <c r="F213" t="s">
        <v>114</v>
      </c>
      <c r="G213">
        <v>119062</v>
      </c>
      <c r="H213" s="75">
        <v>45379</v>
      </c>
      <c r="I213" t="s">
        <v>115</v>
      </c>
      <c r="J213">
        <v>5000</v>
      </c>
      <c r="K213">
        <v>111.751</v>
      </c>
      <c r="L213">
        <v>44.742400000000004</v>
      </c>
      <c r="M213">
        <v>16978.235000000001</v>
      </c>
      <c r="N213" t="s">
        <v>15</v>
      </c>
    </row>
    <row r="214" spans="1:14" x14ac:dyDescent="0.2">
      <c r="A214" t="s">
        <v>18</v>
      </c>
      <c r="B214" t="s">
        <v>111</v>
      </c>
      <c r="C214" t="s">
        <v>112</v>
      </c>
      <c r="D214" t="s">
        <v>113</v>
      </c>
      <c r="E214" t="s">
        <v>53</v>
      </c>
      <c r="F214" t="s">
        <v>114</v>
      </c>
      <c r="G214">
        <v>119062</v>
      </c>
      <c r="H214" s="75">
        <v>45409</v>
      </c>
      <c r="I214" t="s">
        <v>115</v>
      </c>
      <c r="J214">
        <v>5000</v>
      </c>
      <c r="K214">
        <v>111.274</v>
      </c>
      <c r="L214">
        <v>44.933999999999997</v>
      </c>
      <c r="M214">
        <v>17089.509999999998</v>
      </c>
      <c r="N214" t="s">
        <v>15</v>
      </c>
    </row>
    <row r="215" spans="1:14" x14ac:dyDescent="0.2">
      <c r="A215" t="s">
        <v>18</v>
      </c>
      <c r="B215" t="s">
        <v>111</v>
      </c>
      <c r="C215" t="s">
        <v>112</v>
      </c>
      <c r="D215" t="s">
        <v>113</v>
      </c>
      <c r="E215" t="s">
        <v>53</v>
      </c>
      <c r="F215" t="s">
        <v>114</v>
      </c>
      <c r="G215">
        <v>119062</v>
      </c>
      <c r="H215" s="75">
        <v>45439</v>
      </c>
      <c r="I215" t="s">
        <v>115</v>
      </c>
      <c r="J215">
        <v>5000</v>
      </c>
      <c r="K215">
        <v>112.452</v>
      </c>
      <c r="L215">
        <v>44.463299999999997</v>
      </c>
      <c r="M215">
        <v>17201.962</v>
      </c>
      <c r="N215" t="s">
        <v>15</v>
      </c>
    </row>
    <row r="216" spans="1:14" x14ac:dyDescent="0.2">
      <c r="A216" t="s">
        <v>18</v>
      </c>
      <c r="B216" t="s">
        <v>111</v>
      </c>
      <c r="C216" t="s">
        <v>112</v>
      </c>
      <c r="D216" t="s">
        <v>113</v>
      </c>
      <c r="E216" t="s">
        <v>53</v>
      </c>
      <c r="F216" t="s">
        <v>114</v>
      </c>
      <c r="G216">
        <v>119062</v>
      </c>
      <c r="H216" s="75">
        <v>45469</v>
      </c>
      <c r="I216" t="s">
        <v>115</v>
      </c>
      <c r="J216">
        <v>5000</v>
      </c>
      <c r="K216">
        <v>114.41</v>
      </c>
      <c r="L216">
        <v>43.702399999999997</v>
      </c>
      <c r="M216">
        <v>17316.371999999999</v>
      </c>
      <c r="N216" t="s">
        <v>15</v>
      </c>
    </row>
    <row r="217" spans="1:14" x14ac:dyDescent="0.2">
      <c r="A217" t="s">
        <v>18</v>
      </c>
      <c r="B217" t="s">
        <v>111</v>
      </c>
      <c r="C217" t="s">
        <v>112</v>
      </c>
      <c r="D217" t="s">
        <v>113</v>
      </c>
      <c r="E217" t="s">
        <v>53</v>
      </c>
      <c r="F217" t="s">
        <v>114</v>
      </c>
      <c r="G217">
        <v>119062</v>
      </c>
      <c r="H217" s="75">
        <v>45499</v>
      </c>
      <c r="I217" t="s">
        <v>115</v>
      </c>
      <c r="J217">
        <v>5000</v>
      </c>
      <c r="K217">
        <v>115.599</v>
      </c>
      <c r="L217">
        <v>43.252800000000001</v>
      </c>
      <c r="M217">
        <v>17431.972000000002</v>
      </c>
      <c r="N217" t="s">
        <v>15</v>
      </c>
    </row>
    <row r="218" spans="1:14" x14ac:dyDescent="0.2">
      <c r="A218" t="s">
        <v>18</v>
      </c>
      <c r="B218" t="s">
        <v>111</v>
      </c>
      <c r="C218" t="s">
        <v>112</v>
      </c>
      <c r="D218" t="s">
        <v>113</v>
      </c>
      <c r="E218" t="s">
        <v>53</v>
      </c>
      <c r="F218" t="s">
        <v>114</v>
      </c>
      <c r="G218">
        <v>119062</v>
      </c>
      <c r="H218" s="75">
        <v>45529</v>
      </c>
      <c r="I218" t="s">
        <v>115</v>
      </c>
      <c r="J218">
        <v>5000</v>
      </c>
      <c r="K218">
        <v>113.608</v>
      </c>
      <c r="L218">
        <v>44.011099999999999</v>
      </c>
      <c r="M218">
        <v>17545.579000000002</v>
      </c>
      <c r="N218" t="s">
        <v>15</v>
      </c>
    </row>
    <row r="219" spans="1:14" x14ac:dyDescent="0.2">
      <c r="A219" t="s">
        <v>18</v>
      </c>
      <c r="B219" t="s">
        <v>111</v>
      </c>
      <c r="C219" t="s">
        <v>112</v>
      </c>
      <c r="D219" t="s">
        <v>113</v>
      </c>
      <c r="E219" t="s">
        <v>53</v>
      </c>
      <c r="F219" t="s">
        <v>114</v>
      </c>
      <c r="G219">
        <v>119062</v>
      </c>
      <c r="H219" s="75">
        <v>45559</v>
      </c>
      <c r="I219" t="s">
        <v>115</v>
      </c>
      <c r="J219">
        <v>5000</v>
      </c>
      <c r="K219">
        <v>114.254</v>
      </c>
      <c r="L219">
        <v>43.762300000000003</v>
      </c>
      <c r="M219">
        <v>17659.832999999999</v>
      </c>
      <c r="N219" t="s">
        <v>15</v>
      </c>
    </row>
    <row r="220" spans="1:14" x14ac:dyDescent="0.2">
      <c r="A220" t="s">
        <v>18</v>
      </c>
      <c r="B220" t="s">
        <v>111</v>
      </c>
      <c r="C220" t="s">
        <v>112</v>
      </c>
      <c r="D220" t="s">
        <v>113</v>
      </c>
      <c r="E220" t="s">
        <v>53</v>
      </c>
      <c r="F220" t="s">
        <v>114</v>
      </c>
      <c r="G220">
        <v>119062</v>
      </c>
      <c r="H220" s="75">
        <v>45589</v>
      </c>
      <c r="I220" t="s">
        <v>115</v>
      </c>
      <c r="J220">
        <v>5000</v>
      </c>
      <c r="K220">
        <v>112.654</v>
      </c>
      <c r="L220">
        <v>44.383800000000001</v>
      </c>
      <c r="M220">
        <v>17772.487000000001</v>
      </c>
      <c r="N220" t="s">
        <v>15</v>
      </c>
    </row>
    <row r="221" spans="1:14" x14ac:dyDescent="0.2">
      <c r="A221" t="s">
        <v>18</v>
      </c>
      <c r="B221" t="s">
        <v>111</v>
      </c>
      <c r="C221" t="s">
        <v>112</v>
      </c>
      <c r="D221" t="s">
        <v>113</v>
      </c>
      <c r="E221" t="s">
        <v>53</v>
      </c>
      <c r="F221" t="s">
        <v>114</v>
      </c>
      <c r="G221">
        <v>119062</v>
      </c>
      <c r="H221" s="75">
        <v>45619</v>
      </c>
      <c r="I221" t="s">
        <v>115</v>
      </c>
      <c r="J221">
        <v>5000</v>
      </c>
      <c r="K221">
        <v>113.803</v>
      </c>
      <c r="L221">
        <v>43.935400000000001</v>
      </c>
      <c r="M221">
        <v>17886.29</v>
      </c>
      <c r="N221" t="s">
        <v>15</v>
      </c>
    </row>
    <row r="222" spans="1:14" x14ac:dyDescent="0.2">
      <c r="A222" t="s">
        <v>18</v>
      </c>
      <c r="B222" t="s">
        <v>111</v>
      </c>
      <c r="C222" t="s">
        <v>112</v>
      </c>
      <c r="D222" t="s">
        <v>113</v>
      </c>
      <c r="E222" t="s">
        <v>53</v>
      </c>
      <c r="F222" t="s">
        <v>114</v>
      </c>
      <c r="G222">
        <v>119062</v>
      </c>
      <c r="H222" s="75">
        <v>45649</v>
      </c>
      <c r="I222" t="s">
        <v>115</v>
      </c>
      <c r="J222">
        <v>5000</v>
      </c>
      <c r="K222">
        <v>114.05500000000001</v>
      </c>
      <c r="L222">
        <v>43.838500000000003</v>
      </c>
      <c r="M222">
        <v>18000.345000000001</v>
      </c>
      <c r="N222" t="s">
        <v>15</v>
      </c>
    </row>
    <row r="223" spans="1:14" x14ac:dyDescent="0.2">
      <c r="A223" t="s">
        <v>18</v>
      </c>
      <c r="B223" t="s">
        <v>111</v>
      </c>
      <c r="C223" t="s">
        <v>112</v>
      </c>
      <c r="D223" t="s">
        <v>113</v>
      </c>
      <c r="E223" t="s">
        <v>53</v>
      </c>
      <c r="F223" t="s">
        <v>114</v>
      </c>
      <c r="G223">
        <v>119062</v>
      </c>
      <c r="H223" s="75">
        <v>45679</v>
      </c>
      <c r="I223" t="s">
        <v>115</v>
      </c>
      <c r="J223">
        <v>5000</v>
      </c>
      <c r="K223">
        <v>113.023</v>
      </c>
      <c r="L223">
        <v>44.238700000000001</v>
      </c>
      <c r="M223">
        <v>18113.368999999999</v>
      </c>
      <c r="N223" t="s">
        <v>15</v>
      </c>
    </row>
    <row r="224" spans="1:14" x14ac:dyDescent="0.2">
      <c r="A224" t="s">
        <v>18</v>
      </c>
      <c r="B224" t="s">
        <v>111</v>
      </c>
      <c r="C224" t="s">
        <v>112</v>
      </c>
      <c r="D224" t="s">
        <v>113</v>
      </c>
      <c r="E224" t="s">
        <v>53</v>
      </c>
      <c r="F224" t="s">
        <v>114</v>
      </c>
      <c r="G224">
        <v>119062</v>
      </c>
      <c r="H224" s="75">
        <v>45709</v>
      </c>
      <c r="I224" t="s">
        <v>115</v>
      </c>
      <c r="J224">
        <v>5000</v>
      </c>
      <c r="K224">
        <v>112.476</v>
      </c>
      <c r="L224">
        <v>44.453800000000001</v>
      </c>
      <c r="M224">
        <v>18225.845000000001</v>
      </c>
      <c r="N224" t="s">
        <v>15</v>
      </c>
    </row>
    <row r="225" spans="1:15" x14ac:dyDescent="0.2">
      <c r="A225" t="s">
        <v>18</v>
      </c>
      <c r="B225" t="s">
        <v>111</v>
      </c>
      <c r="C225" t="s">
        <v>112</v>
      </c>
      <c r="D225" t="s">
        <v>113</v>
      </c>
      <c r="E225" t="s">
        <v>53</v>
      </c>
      <c r="F225" t="s">
        <v>114</v>
      </c>
      <c r="G225">
        <v>119062</v>
      </c>
      <c r="H225" s="75">
        <v>45709</v>
      </c>
      <c r="I225" t="s">
        <v>117</v>
      </c>
      <c r="J225">
        <v>2.5</v>
      </c>
      <c r="K225">
        <v>0</v>
      </c>
      <c r="M225">
        <v>18225.845000000001</v>
      </c>
      <c r="N225" t="s">
        <v>46</v>
      </c>
    </row>
    <row r="226" spans="1:15" x14ac:dyDescent="0.2">
      <c r="A226" t="s">
        <v>18</v>
      </c>
      <c r="B226" t="s">
        <v>111</v>
      </c>
      <c r="C226" t="s">
        <v>112</v>
      </c>
      <c r="D226" t="s">
        <v>113</v>
      </c>
      <c r="E226" t="s">
        <v>53</v>
      </c>
      <c r="F226" t="s">
        <v>114</v>
      </c>
      <c r="G226">
        <v>119062</v>
      </c>
      <c r="H226" s="75">
        <v>45739</v>
      </c>
      <c r="I226" t="s">
        <v>115</v>
      </c>
      <c r="J226">
        <v>5000</v>
      </c>
      <c r="K226">
        <v>114.32</v>
      </c>
      <c r="L226">
        <v>43.736899999999999</v>
      </c>
      <c r="M226">
        <v>18340.165000000001</v>
      </c>
      <c r="N226" t="s">
        <v>15</v>
      </c>
    </row>
    <row r="227" spans="1:15" x14ac:dyDescent="0.2">
      <c r="A227" t="s">
        <v>18</v>
      </c>
      <c r="B227" t="s">
        <v>111</v>
      </c>
      <c r="C227" t="s">
        <v>112</v>
      </c>
      <c r="D227" t="s">
        <v>113</v>
      </c>
      <c r="E227" t="s">
        <v>53</v>
      </c>
      <c r="F227" t="s">
        <v>114</v>
      </c>
      <c r="G227">
        <v>119062</v>
      </c>
      <c r="H227" s="75">
        <v>45769</v>
      </c>
      <c r="I227" t="s">
        <v>115</v>
      </c>
      <c r="J227">
        <v>5000</v>
      </c>
      <c r="K227">
        <v>111.068</v>
      </c>
      <c r="L227">
        <v>45.017499999999998</v>
      </c>
      <c r="M227">
        <v>18451.233</v>
      </c>
      <c r="N227" t="s">
        <v>15</v>
      </c>
    </row>
    <row r="228" spans="1:15" x14ac:dyDescent="0.2">
      <c r="A228" t="s">
        <v>18</v>
      </c>
      <c r="B228" t="s">
        <v>111</v>
      </c>
      <c r="C228" t="s">
        <v>112</v>
      </c>
      <c r="D228" t="s">
        <v>113</v>
      </c>
      <c r="E228" t="s">
        <v>53</v>
      </c>
      <c r="F228" t="s">
        <v>114</v>
      </c>
      <c r="G228">
        <v>119062</v>
      </c>
      <c r="H228" s="75">
        <v>45799</v>
      </c>
      <c r="I228" t="s">
        <v>115</v>
      </c>
      <c r="J228">
        <v>5000</v>
      </c>
      <c r="K228">
        <v>110.578</v>
      </c>
      <c r="L228">
        <v>45.216799999999999</v>
      </c>
      <c r="M228">
        <v>18561.811000000002</v>
      </c>
      <c r="N228" t="s">
        <v>15</v>
      </c>
    </row>
    <row r="229" spans="1:15" x14ac:dyDescent="0.2">
      <c r="A229" t="s">
        <v>18</v>
      </c>
      <c r="B229" t="s">
        <v>111</v>
      </c>
      <c r="C229" t="s">
        <v>112</v>
      </c>
      <c r="D229" t="s">
        <v>113</v>
      </c>
      <c r="E229" t="s">
        <v>53</v>
      </c>
      <c r="F229" t="s">
        <v>114</v>
      </c>
      <c r="G229">
        <v>119062</v>
      </c>
      <c r="H229" s="75">
        <v>45829</v>
      </c>
      <c r="I229" t="s">
        <v>115</v>
      </c>
      <c r="J229">
        <v>5000</v>
      </c>
      <c r="K229">
        <v>112.34</v>
      </c>
      <c r="L229">
        <v>44.507899999999999</v>
      </c>
      <c r="M229">
        <v>18674.151000000002</v>
      </c>
      <c r="N229" t="s">
        <v>15</v>
      </c>
    </row>
    <row r="230" spans="1:15" x14ac:dyDescent="0.2">
      <c r="A230" t="s">
        <v>18</v>
      </c>
      <c r="B230" t="s">
        <v>111</v>
      </c>
      <c r="C230" t="s">
        <v>112</v>
      </c>
      <c r="D230" t="s">
        <v>113</v>
      </c>
      <c r="E230" t="s">
        <v>53</v>
      </c>
      <c r="F230" t="s">
        <v>114</v>
      </c>
      <c r="G230">
        <v>119062</v>
      </c>
      <c r="H230" s="75">
        <v>45829</v>
      </c>
      <c r="I230" t="s">
        <v>117</v>
      </c>
      <c r="J230">
        <v>2.5</v>
      </c>
      <c r="K230">
        <v>0</v>
      </c>
      <c r="M230">
        <v>18674.151000000002</v>
      </c>
      <c r="N230" t="s">
        <v>46</v>
      </c>
    </row>
    <row r="231" spans="1:15" x14ac:dyDescent="0.2">
      <c r="A231" t="s">
        <v>18</v>
      </c>
      <c r="B231" t="s">
        <v>111</v>
      </c>
      <c r="C231" t="s">
        <v>112</v>
      </c>
      <c r="D231" t="s">
        <v>113</v>
      </c>
      <c r="E231" t="s">
        <v>53</v>
      </c>
      <c r="F231" t="s">
        <v>114</v>
      </c>
      <c r="G231">
        <v>119062</v>
      </c>
      <c r="H231" s="75">
        <v>45859</v>
      </c>
      <c r="I231" t="s">
        <v>115</v>
      </c>
      <c r="J231">
        <v>5000</v>
      </c>
      <c r="K231">
        <v>111.68600000000001</v>
      </c>
      <c r="L231">
        <v>44.768599999999999</v>
      </c>
      <c r="M231">
        <v>18785.835999999999</v>
      </c>
      <c r="N231" t="s">
        <v>15</v>
      </c>
    </row>
    <row r="232" spans="1:15" x14ac:dyDescent="0.2">
      <c r="A232" t="s">
        <v>18</v>
      </c>
      <c r="B232" t="s">
        <v>111</v>
      </c>
      <c r="C232" t="s">
        <v>112</v>
      </c>
      <c r="D232" t="s">
        <v>113</v>
      </c>
      <c r="E232" t="s">
        <v>53</v>
      </c>
      <c r="F232" t="s">
        <v>114</v>
      </c>
      <c r="G232">
        <v>119062</v>
      </c>
      <c r="H232" s="75">
        <v>45889</v>
      </c>
      <c r="I232" t="s">
        <v>115</v>
      </c>
      <c r="J232">
        <v>5000</v>
      </c>
      <c r="K232">
        <v>111.898</v>
      </c>
      <c r="L232">
        <v>44.683399999999999</v>
      </c>
      <c r="M232">
        <v>18897.735000000001</v>
      </c>
      <c r="N232" t="s">
        <v>15</v>
      </c>
    </row>
    <row r="233" spans="1:15" x14ac:dyDescent="0.2">
      <c r="A233" t="s">
        <v>18</v>
      </c>
      <c r="B233" t="s">
        <v>111</v>
      </c>
      <c r="C233" t="s">
        <v>112</v>
      </c>
      <c r="D233" t="s">
        <v>113</v>
      </c>
      <c r="E233" t="s">
        <v>53</v>
      </c>
      <c r="F233" t="s">
        <v>114</v>
      </c>
      <c r="G233">
        <v>119062</v>
      </c>
      <c r="H233" s="75">
        <v>45919</v>
      </c>
      <c r="I233" t="s">
        <v>115</v>
      </c>
      <c r="J233">
        <v>5000</v>
      </c>
      <c r="K233">
        <v>110.06399999999999</v>
      </c>
      <c r="L233">
        <v>45.428100000000001</v>
      </c>
      <c r="M233">
        <v>19007.798999999999</v>
      </c>
      <c r="N233" t="s">
        <v>15</v>
      </c>
    </row>
    <row r="234" spans="1:15" x14ac:dyDescent="0.2">
      <c r="A234" t="s">
        <v>18</v>
      </c>
      <c r="B234" t="s">
        <v>111</v>
      </c>
      <c r="C234" t="s">
        <v>112</v>
      </c>
      <c r="D234" t="s">
        <v>113</v>
      </c>
      <c r="E234" t="s">
        <v>53</v>
      </c>
      <c r="F234" t="s">
        <v>114</v>
      </c>
      <c r="G234">
        <v>119062</v>
      </c>
      <c r="H234" s="75">
        <v>45949</v>
      </c>
      <c r="I234" t="s">
        <v>115</v>
      </c>
      <c r="J234">
        <v>5000</v>
      </c>
      <c r="K234">
        <v>112.214</v>
      </c>
      <c r="L234">
        <v>44.557499999999997</v>
      </c>
      <c r="M234">
        <v>19120.012999999999</v>
      </c>
      <c r="N234" t="s">
        <v>15</v>
      </c>
    </row>
    <row r="235" spans="1:15" x14ac:dyDescent="0.2">
      <c r="A235" t="s">
        <v>18</v>
      </c>
      <c r="B235" t="s">
        <v>111</v>
      </c>
      <c r="C235" t="s">
        <v>112</v>
      </c>
      <c r="D235" t="s">
        <v>113</v>
      </c>
      <c r="E235" t="s">
        <v>53</v>
      </c>
      <c r="F235" t="s">
        <v>114</v>
      </c>
      <c r="G235">
        <v>119062</v>
      </c>
      <c r="H235" s="75">
        <v>45979</v>
      </c>
      <c r="I235" t="s">
        <v>115</v>
      </c>
      <c r="J235">
        <v>5000</v>
      </c>
      <c r="K235">
        <v>110.55200000000001</v>
      </c>
      <c r="L235">
        <v>45.227800000000002</v>
      </c>
      <c r="M235">
        <v>19230.564999999999</v>
      </c>
      <c r="N235" t="s">
        <v>15</v>
      </c>
    </row>
    <row r="236" spans="1:15" x14ac:dyDescent="0.2">
      <c r="A236" t="s">
        <v>18</v>
      </c>
      <c r="B236" t="s">
        <v>111</v>
      </c>
      <c r="C236" t="s">
        <v>112</v>
      </c>
      <c r="D236" t="s">
        <v>113</v>
      </c>
      <c r="E236" t="s">
        <v>53</v>
      </c>
      <c r="F236" t="s">
        <v>114</v>
      </c>
      <c r="G236">
        <v>119062</v>
      </c>
      <c r="H236" s="75">
        <v>46009</v>
      </c>
      <c r="I236" t="s">
        <v>115</v>
      </c>
      <c r="J236">
        <v>5000</v>
      </c>
      <c r="K236">
        <v>112.74</v>
      </c>
      <c r="L236">
        <v>44.349699999999999</v>
      </c>
      <c r="M236">
        <v>19343.305</v>
      </c>
      <c r="N236" t="s">
        <v>15</v>
      </c>
    </row>
    <row r="237" spans="1:15" x14ac:dyDescent="0.2">
      <c r="A237" t="s">
        <v>18</v>
      </c>
      <c r="B237" t="s">
        <v>111</v>
      </c>
      <c r="C237" t="s">
        <v>112</v>
      </c>
      <c r="D237" t="s">
        <v>113</v>
      </c>
      <c r="E237" t="s">
        <v>53</v>
      </c>
      <c r="F237" t="s">
        <v>114</v>
      </c>
      <c r="G237">
        <v>119062</v>
      </c>
      <c r="H237" s="75">
        <v>46009</v>
      </c>
      <c r="I237" t="s">
        <v>118</v>
      </c>
      <c r="J237">
        <v>9671.65</v>
      </c>
      <c r="K237">
        <v>0</v>
      </c>
      <c r="M237">
        <v>19343.305</v>
      </c>
      <c r="N237" t="s">
        <v>19</v>
      </c>
      <c r="O237">
        <v>9671.65</v>
      </c>
    </row>
    <row r="238" spans="1:15" x14ac:dyDescent="0.2">
      <c r="A238" t="s">
        <v>18</v>
      </c>
      <c r="B238" t="s">
        <v>111</v>
      </c>
      <c r="C238" t="s">
        <v>112</v>
      </c>
      <c r="D238" t="s">
        <v>113</v>
      </c>
      <c r="E238" t="s">
        <v>53</v>
      </c>
      <c r="F238" t="s">
        <v>114</v>
      </c>
      <c r="G238">
        <v>119062</v>
      </c>
      <c r="H238" s="75">
        <v>46039</v>
      </c>
      <c r="I238" t="s">
        <v>115</v>
      </c>
      <c r="J238">
        <v>5000</v>
      </c>
      <c r="K238">
        <v>113.33499999999999</v>
      </c>
      <c r="L238">
        <v>44.117100000000001</v>
      </c>
      <c r="M238">
        <v>19456.64</v>
      </c>
      <c r="N238" t="s">
        <v>15</v>
      </c>
    </row>
    <row r="239" spans="1:15" x14ac:dyDescent="0.2">
      <c r="A239" t="s">
        <v>18</v>
      </c>
      <c r="B239" t="s">
        <v>111</v>
      </c>
      <c r="C239" t="s">
        <v>112</v>
      </c>
      <c r="D239" t="s">
        <v>113</v>
      </c>
      <c r="E239" t="s">
        <v>53</v>
      </c>
      <c r="F239" t="s">
        <v>114</v>
      </c>
      <c r="G239">
        <v>119062</v>
      </c>
      <c r="H239" s="75">
        <v>46069</v>
      </c>
      <c r="I239" t="s">
        <v>115</v>
      </c>
      <c r="J239">
        <v>5000</v>
      </c>
      <c r="K239">
        <v>110.84</v>
      </c>
      <c r="L239">
        <v>45.109900000000003</v>
      </c>
      <c r="M239">
        <v>19567.48</v>
      </c>
      <c r="N239" t="s">
        <v>15</v>
      </c>
    </row>
    <row r="240" spans="1:15" x14ac:dyDescent="0.2">
      <c r="A240" t="s">
        <v>18</v>
      </c>
      <c r="B240" t="s">
        <v>111</v>
      </c>
      <c r="C240" t="s">
        <v>112</v>
      </c>
      <c r="D240" t="s">
        <v>113</v>
      </c>
      <c r="E240" t="s">
        <v>53</v>
      </c>
      <c r="F240" t="s">
        <v>114</v>
      </c>
      <c r="G240">
        <v>119062</v>
      </c>
      <c r="H240" s="75">
        <v>46099</v>
      </c>
      <c r="I240" t="s">
        <v>115</v>
      </c>
      <c r="J240">
        <v>5000</v>
      </c>
      <c r="K240">
        <v>108.03100000000001</v>
      </c>
      <c r="L240">
        <v>46.282800000000002</v>
      </c>
      <c r="M240">
        <v>19675.511999999999</v>
      </c>
      <c r="N240" t="s">
        <v>15</v>
      </c>
    </row>
    <row r="241" spans="1:14" x14ac:dyDescent="0.2">
      <c r="A241" t="s">
        <v>18</v>
      </c>
      <c r="B241" t="s">
        <v>111</v>
      </c>
      <c r="C241" t="s">
        <v>112</v>
      </c>
      <c r="D241" t="s">
        <v>113</v>
      </c>
      <c r="E241" t="s">
        <v>53</v>
      </c>
      <c r="F241" t="s">
        <v>114</v>
      </c>
      <c r="G241">
        <v>119062</v>
      </c>
      <c r="H241" s="75">
        <v>46099</v>
      </c>
      <c r="I241" t="s">
        <v>117</v>
      </c>
      <c r="J241">
        <v>2.5</v>
      </c>
      <c r="K241">
        <v>0</v>
      </c>
      <c r="M241">
        <v>19675.511999999999</v>
      </c>
      <c r="N241" t="s">
        <v>46</v>
      </c>
    </row>
    <row r="242" spans="1:14" x14ac:dyDescent="0.2">
      <c r="A242" t="s">
        <v>18</v>
      </c>
      <c r="B242" t="s">
        <v>111</v>
      </c>
      <c r="C242" t="s">
        <v>112</v>
      </c>
      <c r="D242" t="s">
        <v>113</v>
      </c>
      <c r="E242" t="s">
        <v>53</v>
      </c>
      <c r="F242" t="s">
        <v>114</v>
      </c>
      <c r="G242">
        <v>119062</v>
      </c>
      <c r="H242" s="75">
        <v>46129</v>
      </c>
      <c r="I242" t="s">
        <v>115</v>
      </c>
      <c r="J242">
        <v>5000</v>
      </c>
      <c r="K242">
        <v>105.944</v>
      </c>
      <c r="L242">
        <v>47.194600000000001</v>
      </c>
      <c r="M242">
        <v>19781.455999999998</v>
      </c>
      <c r="N242" t="s">
        <v>15</v>
      </c>
    </row>
    <row r="243" spans="1:14" x14ac:dyDescent="0.2">
      <c r="A243" t="s">
        <v>18</v>
      </c>
      <c r="B243" t="s">
        <v>111</v>
      </c>
      <c r="C243" t="s">
        <v>112</v>
      </c>
      <c r="D243" t="s">
        <v>113</v>
      </c>
      <c r="E243" t="s">
        <v>53</v>
      </c>
      <c r="F243" t="s">
        <v>114</v>
      </c>
      <c r="G243">
        <v>119062</v>
      </c>
      <c r="H243" s="75">
        <v>46159</v>
      </c>
      <c r="I243" t="s">
        <v>115</v>
      </c>
      <c r="J243">
        <v>5000</v>
      </c>
      <c r="K243">
        <v>103.33199999999999</v>
      </c>
      <c r="L243">
        <v>48.387599999999999</v>
      </c>
      <c r="M243">
        <v>19884.788</v>
      </c>
      <c r="N243" t="s">
        <v>15</v>
      </c>
    </row>
    <row r="244" spans="1:14" x14ac:dyDescent="0.2">
      <c r="A244" t="s">
        <v>18</v>
      </c>
      <c r="B244" t="s">
        <v>111</v>
      </c>
      <c r="C244" t="s">
        <v>112</v>
      </c>
      <c r="D244" t="s">
        <v>113</v>
      </c>
      <c r="E244" t="s">
        <v>53</v>
      </c>
      <c r="F244" t="s">
        <v>114</v>
      </c>
      <c r="G244">
        <v>119062</v>
      </c>
      <c r="H244" s="75">
        <v>46189</v>
      </c>
      <c r="I244" t="s">
        <v>115</v>
      </c>
      <c r="J244">
        <v>5000</v>
      </c>
      <c r="K244">
        <v>101.68</v>
      </c>
      <c r="L244">
        <v>49.1738</v>
      </c>
      <c r="M244">
        <v>19986.469000000001</v>
      </c>
      <c r="N244" t="s">
        <v>15</v>
      </c>
    </row>
    <row r="245" spans="1:14" x14ac:dyDescent="0.2">
      <c r="A245" t="s">
        <v>18</v>
      </c>
      <c r="B245" t="s">
        <v>111</v>
      </c>
      <c r="C245" t="s">
        <v>112</v>
      </c>
      <c r="D245" t="s">
        <v>113</v>
      </c>
      <c r="E245" t="s">
        <v>53</v>
      </c>
      <c r="F245" t="s">
        <v>114</v>
      </c>
      <c r="G245">
        <v>119062</v>
      </c>
      <c r="H245" s="75">
        <v>46189</v>
      </c>
      <c r="I245" t="s">
        <v>116</v>
      </c>
      <c r="J245">
        <v>2.5</v>
      </c>
      <c r="K245">
        <v>0</v>
      </c>
      <c r="M245">
        <v>19986.469000000001</v>
      </c>
      <c r="N245" t="s">
        <v>17</v>
      </c>
    </row>
    <row r="246" spans="1:14" x14ac:dyDescent="0.2">
      <c r="A246" t="s">
        <v>119</v>
      </c>
      <c r="B246" t="s">
        <v>120</v>
      </c>
      <c r="C246" t="s">
        <v>112</v>
      </c>
      <c r="D246" t="s">
        <v>121</v>
      </c>
      <c r="E246" t="s">
        <v>53</v>
      </c>
      <c r="F246" t="s">
        <v>114</v>
      </c>
      <c r="G246">
        <v>122639</v>
      </c>
      <c r="H246" s="75">
        <v>40265</v>
      </c>
      <c r="I246" t="s">
        <v>115</v>
      </c>
      <c r="J246">
        <v>5000</v>
      </c>
      <c r="K246">
        <v>243.77</v>
      </c>
      <c r="L246">
        <v>20.511099999999999</v>
      </c>
      <c r="M246">
        <v>243.77</v>
      </c>
      <c r="N246" t="s">
        <v>15</v>
      </c>
    </row>
    <row r="247" spans="1:14" x14ac:dyDescent="0.2">
      <c r="A247" t="s">
        <v>119</v>
      </c>
      <c r="B247" t="s">
        <v>120</v>
      </c>
      <c r="C247" t="s">
        <v>112</v>
      </c>
      <c r="D247" t="s">
        <v>121</v>
      </c>
      <c r="E247" t="s">
        <v>53</v>
      </c>
      <c r="F247" t="s">
        <v>114</v>
      </c>
      <c r="G247">
        <v>122639</v>
      </c>
      <c r="H247" s="75">
        <v>40295</v>
      </c>
      <c r="I247" t="s">
        <v>115</v>
      </c>
      <c r="J247">
        <v>5000</v>
      </c>
      <c r="K247">
        <v>238.386</v>
      </c>
      <c r="L247">
        <v>20.974399999999999</v>
      </c>
      <c r="M247">
        <v>482.15600000000001</v>
      </c>
      <c r="N247" t="s">
        <v>15</v>
      </c>
    </row>
    <row r="248" spans="1:14" x14ac:dyDescent="0.2">
      <c r="A248" t="s">
        <v>119</v>
      </c>
      <c r="B248" t="s">
        <v>120</v>
      </c>
      <c r="C248" t="s">
        <v>112</v>
      </c>
      <c r="D248" t="s">
        <v>121</v>
      </c>
      <c r="E248" t="s">
        <v>53</v>
      </c>
      <c r="F248" t="s">
        <v>114</v>
      </c>
      <c r="G248">
        <v>122639</v>
      </c>
      <c r="H248" s="75">
        <v>40325</v>
      </c>
      <c r="I248" t="s">
        <v>115</v>
      </c>
      <c r="J248">
        <v>5000</v>
      </c>
      <c r="K248">
        <v>240.45</v>
      </c>
      <c r="L248">
        <v>20.7944</v>
      </c>
      <c r="M248">
        <v>722.60500000000002</v>
      </c>
      <c r="N248" t="s">
        <v>15</v>
      </c>
    </row>
    <row r="249" spans="1:14" x14ac:dyDescent="0.2">
      <c r="A249" t="s">
        <v>119</v>
      </c>
      <c r="B249" t="s">
        <v>120</v>
      </c>
      <c r="C249" t="s">
        <v>112</v>
      </c>
      <c r="D249" t="s">
        <v>121</v>
      </c>
      <c r="E249" t="s">
        <v>53</v>
      </c>
      <c r="F249" t="s">
        <v>114</v>
      </c>
      <c r="G249">
        <v>122639</v>
      </c>
      <c r="H249" s="75">
        <v>40325</v>
      </c>
      <c r="I249" t="s">
        <v>116</v>
      </c>
      <c r="J249">
        <v>2.5</v>
      </c>
      <c r="K249">
        <v>0</v>
      </c>
      <c r="M249">
        <v>722.60500000000002</v>
      </c>
      <c r="N249" t="s">
        <v>17</v>
      </c>
    </row>
    <row r="250" spans="1:14" x14ac:dyDescent="0.2">
      <c r="A250" t="s">
        <v>119</v>
      </c>
      <c r="B250" t="s">
        <v>120</v>
      </c>
      <c r="C250" t="s">
        <v>112</v>
      </c>
      <c r="D250" t="s">
        <v>121</v>
      </c>
      <c r="E250" t="s">
        <v>53</v>
      </c>
      <c r="F250" t="s">
        <v>114</v>
      </c>
      <c r="G250">
        <v>122639</v>
      </c>
      <c r="H250" s="75">
        <v>40355</v>
      </c>
      <c r="I250" t="s">
        <v>115</v>
      </c>
      <c r="J250">
        <v>5000</v>
      </c>
      <c r="K250">
        <v>234.50200000000001</v>
      </c>
      <c r="L250">
        <v>21.3218</v>
      </c>
      <c r="M250">
        <v>957.10699999999997</v>
      </c>
      <c r="N250" t="s">
        <v>15</v>
      </c>
    </row>
    <row r="251" spans="1:14" x14ac:dyDescent="0.2">
      <c r="A251" t="s">
        <v>119</v>
      </c>
      <c r="B251" t="s">
        <v>120</v>
      </c>
      <c r="C251" t="s">
        <v>112</v>
      </c>
      <c r="D251" t="s">
        <v>121</v>
      </c>
      <c r="E251" t="s">
        <v>53</v>
      </c>
      <c r="F251" t="s">
        <v>114</v>
      </c>
      <c r="G251">
        <v>122639</v>
      </c>
      <c r="H251" s="75">
        <v>40385</v>
      </c>
      <c r="I251" t="s">
        <v>115</v>
      </c>
      <c r="J251">
        <v>5000</v>
      </c>
      <c r="K251">
        <v>228.34200000000001</v>
      </c>
      <c r="L251">
        <v>21.896999999999998</v>
      </c>
      <c r="M251">
        <v>1185.4490000000001</v>
      </c>
      <c r="N251" t="s">
        <v>15</v>
      </c>
    </row>
    <row r="252" spans="1:14" x14ac:dyDescent="0.2">
      <c r="A252" t="s">
        <v>119</v>
      </c>
      <c r="B252" t="s">
        <v>120</v>
      </c>
      <c r="C252" t="s">
        <v>112</v>
      </c>
      <c r="D252" t="s">
        <v>121</v>
      </c>
      <c r="E252" t="s">
        <v>53</v>
      </c>
      <c r="F252" t="s">
        <v>114</v>
      </c>
      <c r="G252">
        <v>122639</v>
      </c>
      <c r="H252" s="75">
        <v>40415</v>
      </c>
      <c r="I252" t="s">
        <v>115</v>
      </c>
      <c r="J252">
        <v>5000</v>
      </c>
      <c r="K252">
        <v>224.786</v>
      </c>
      <c r="L252">
        <v>22.243400000000001</v>
      </c>
      <c r="M252">
        <v>1410.2349999999999</v>
      </c>
      <c r="N252" t="s">
        <v>15</v>
      </c>
    </row>
    <row r="253" spans="1:14" x14ac:dyDescent="0.2">
      <c r="A253" t="s">
        <v>119</v>
      </c>
      <c r="B253" t="s">
        <v>120</v>
      </c>
      <c r="C253" t="s">
        <v>112</v>
      </c>
      <c r="D253" t="s">
        <v>121</v>
      </c>
      <c r="E253" t="s">
        <v>53</v>
      </c>
      <c r="F253" t="s">
        <v>114</v>
      </c>
      <c r="G253">
        <v>122639</v>
      </c>
      <c r="H253" s="75">
        <v>40445</v>
      </c>
      <c r="I253" t="s">
        <v>115</v>
      </c>
      <c r="J253">
        <v>5000</v>
      </c>
      <c r="K253">
        <v>218.75399999999999</v>
      </c>
      <c r="L253">
        <v>22.8568</v>
      </c>
      <c r="M253">
        <v>1628.9880000000001</v>
      </c>
      <c r="N253" t="s">
        <v>15</v>
      </c>
    </row>
    <row r="254" spans="1:14" x14ac:dyDescent="0.2">
      <c r="A254" t="s">
        <v>119</v>
      </c>
      <c r="B254" t="s">
        <v>120</v>
      </c>
      <c r="C254" t="s">
        <v>112</v>
      </c>
      <c r="D254" t="s">
        <v>121</v>
      </c>
      <c r="E254" t="s">
        <v>53</v>
      </c>
      <c r="F254" t="s">
        <v>114</v>
      </c>
      <c r="G254">
        <v>122639</v>
      </c>
      <c r="H254" s="75">
        <v>40475</v>
      </c>
      <c r="I254" t="s">
        <v>115</v>
      </c>
      <c r="J254">
        <v>5000</v>
      </c>
      <c r="K254">
        <v>222.62100000000001</v>
      </c>
      <c r="L254">
        <v>22.459700000000002</v>
      </c>
      <c r="M254">
        <v>1851.6089999999999</v>
      </c>
      <c r="N254" t="s">
        <v>15</v>
      </c>
    </row>
    <row r="255" spans="1:14" x14ac:dyDescent="0.2">
      <c r="A255" t="s">
        <v>119</v>
      </c>
      <c r="B255" t="s">
        <v>120</v>
      </c>
      <c r="C255" t="s">
        <v>112</v>
      </c>
      <c r="D255" t="s">
        <v>121</v>
      </c>
      <c r="E255" t="s">
        <v>53</v>
      </c>
      <c r="F255" t="s">
        <v>114</v>
      </c>
      <c r="G255">
        <v>122639</v>
      </c>
      <c r="H255" s="75">
        <v>40505</v>
      </c>
      <c r="I255" t="s">
        <v>115</v>
      </c>
      <c r="J255">
        <v>5000</v>
      </c>
      <c r="K255">
        <v>224.24700000000001</v>
      </c>
      <c r="L255">
        <v>22.296900000000001</v>
      </c>
      <c r="M255">
        <v>2075.855</v>
      </c>
      <c r="N255" t="s">
        <v>15</v>
      </c>
    </row>
    <row r="256" spans="1:14" x14ac:dyDescent="0.2">
      <c r="A256" t="s">
        <v>119</v>
      </c>
      <c r="B256" t="s">
        <v>120</v>
      </c>
      <c r="C256" t="s">
        <v>112</v>
      </c>
      <c r="D256" t="s">
        <v>121</v>
      </c>
      <c r="E256" t="s">
        <v>53</v>
      </c>
      <c r="F256" t="s">
        <v>114</v>
      </c>
      <c r="G256">
        <v>122639</v>
      </c>
      <c r="H256" s="75">
        <v>40505</v>
      </c>
      <c r="I256" t="s">
        <v>117</v>
      </c>
      <c r="J256">
        <v>2.5</v>
      </c>
      <c r="K256">
        <v>0</v>
      </c>
      <c r="M256">
        <v>2075.855</v>
      </c>
      <c r="N256" t="s">
        <v>46</v>
      </c>
    </row>
    <row r="257" spans="1:15" x14ac:dyDescent="0.2">
      <c r="A257" t="s">
        <v>119</v>
      </c>
      <c r="B257" t="s">
        <v>120</v>
      </c>
      <c r="C257" t="s">
        <v>112</v>
      </c>
      <c r="D257" t="s">
        <v>121</v>
      </c>
      <c r="E257" t="s">
        <v>53</v>
      </c>
      <c r="F257" t="s">
        <v>114</v>
      </c>
      <c r="G257">
        <v>122639</v>
      </c>
      <c r="H257" s="75">
        <v>40535</v>
      </c>
      <c r="I257" t="s">
        <v>115</v>
      </c>
      <c r="J257">
        <v>5000</v>
      </c>
      <c r="K257">
        <v>221.86699999999999</v>
      </c>
      <c r="L257">
        <v>22.536000000000001</v>
      </c>
      <c r="M257">
        <v>2297.7220000000002</v>
      </c>
      <c r="N257" t="s">
        <v>15</v>
      </c>
    </row>
    <row r="258" spans="1:15" x14ac:dyDescent="0.2">
      <c r="A258" t="s">
        <v>119</v>
      </c>
      <c r="B258" t="s">
        <v>120</v>
      </c>
      <c r="C258" t="s">
        <v>112</v>
      </c>
      <c r="D258" t="s">
        <v>121</v>
      </c>
      <c r="E258" t="s">
        <v>53</v>
      </c>
      <c r="F258" t="s">
        <v>114</v>
      </c>
      <c r="G258">
        <v>122639</v>
      </c>
      <c r="H258" s="75">
        <v>40565</v>
      </c>
      <c r="I258" t="s">
        <v>115</v>
      </c>
      <c r="J258">
        <v>5000</v>
      </c>
      <c r="K258">
        <v>220.10499999999999</v>
      </c>
      <c r="L258">
        <v>22.7164</v>
      </c>
      <c r="M258">
        <v>2517.8270000000002</v>
      </c>
      <c r="N258" t="s">
        <v>15</v>
      </c>
    </row>
    <row r="259" spans="1:15" x14ac:dyDescent="0.2">
      <c r="A259" t="s">
        <v>119</v>
      </c>
      <c r="B259" t="s">
        <v>120</v>
      </c>
      <c r="C259" t="s">
        <v>112</v>
      </c>
      <c r="D259" t="s">
        <v>121</v>
      </c>
      <c r="E259" t="s">
        <v>53</v>
      </c>
      <c r="F259" t="s">
        <v>114</v>
      </c>
      <c r="G259">
        <v>122639</v>
      </c>
      <c r="H259" s="75">
        <v>40595</v>
      </c>
      <c r="I259" t="s">
        <v>115</v>
      </c>
      <c r="J259">
        <v>5000</v>
      </c>
      <c r="K259">
        <v>216.441</v>
      </c>
      <c r="L259">
        <v>23.100999999999999</v>
      </c>
      <c r="M259">
        <v>2734.268</v>
      </c>
      <c r="N259" t="s">
        <v>15</v>
      </c>
    </row>
    <row r="260" spans="1:15" x14ac:dyDescent="0.2">
      <c r="A260" t="s">
        <v>119</v>
      </c>
      <c r="B260" t="s">
        <v>120</v>
      </c>
      <c r="C260" t="s">
        <v>112</v>
      </c>
      <c r="D260" t="s">
        <v>121</v>
      </c>
      <c r="E260" t="s">
        <v>53</v>
      </c>
      <c r="F260" t="s">
        <v>114</v>
      </c>
      <c r="G260">
        <v>122639</v>
      </c>
      <c r="H260" s="75">
        <v>40625</v>
      </c>
      <c r="I260" t="s">
        <v>115</v>
      </c>
      <c r="J260">
        <v>5000</v>
      </c>
      <c r="K260">
        <v>215.244</v>
      </c>
      <c r="L260">
        <v>23.229500000000002</v>
      </c>
      <c r="M260">
        <v>2949.5120000000002</v>
      </c>
      <c r="N260" t="s">
        <v>15</v>
      </c>
    </row>
    <row r="261" spans="1:15" x14ac:dyDescent="0.2">
      <c r="A261" t="s">
        <v>119</v>
      </c>
      <c r="B261" t="s">
        <v>120</v>
      </c>
      <c r="C261" t="s">
        <v>112</v>
      </c>
      <c r="D261" t="s">
        <v>121</v>
      </c>
      <c r="E261" t="s">
        <v>53</v>
      </c>
      <c r="F261" t="s">
        <v>114</v>
      </c>
      <c r="G261">
        <v>122639</v>
      </c>
      <c r="H261" s="75">
        <v>40655</v>
      </c>
      <c r="I261" t="s">
        <v>115</v>
      </c>
      <c r="J261">
        <v>5000</v>
      </c>
      <c r="K261">
        <v>219.02</v>
      </c>
      <c r="L261">
        <v>22.829000000000001</v>
      </c>
      <c r="M261">
        <v>3168.5320000000002</v>
      </c>
      <c r="N261" t="s">
        <v>15</v>
      </c>
    </row>
    <row r="262" spans="1:15" x14ac:dyDescent="0.2">
      <c r="A262" t="s">
        <v>119</v>
      </c>
      <c r="B262" t="s">
        <v>120</v>
      </c>
      <c r="C262" t="s">
        <v>112</v>
      </c>
      <c r="D262" t="s">
        <v>121</v>
      </c>
      <c r="E262" t="s">
        <v>53</v>
      </c>
      <c r="F262" t="s">
        <v>114</v>
      </c>
      <c r="G262">
        <v>122639</v>
      </c>
      <c r="H262" s="75">
        <v>40655</v>
      </c>
      <c r="I262" t="s">
        <v>116</v>
      </c>
      <c r="J262">
        <v>2.5</v>
      </c>
      <c r="K262">
        <v>0</v>
      </c>
      <c r="M262">
        <v>3168.5320000000002</v>
      </c>
      <c r="N262" t="s">
        <v>17</v>
      </c>
    </row>
    <row r="263" spans="1:15" x14ac:dyDescent="0.2">
      <c r="A263" t="s">
        <v>119</v>
      </c>
      <c r="B263" t="s">
        <v>120</v>
      </c>
      <c r="C263" t="s">
        <v>112</v>
      </c>
      <c r="D263" t="s">
        <v>121</v>
      </c>
      <c r="E263" t="s">
        <v>53</v>
      </c>
      <c r="F263" t="s">
        <v>114</v>
      </c>
      <c r="G263">
        <v>122639</v>
      </c>
      <c r="H263" s="75">
        <v>40685</v>
      </c>
      <c r="I263" t="s">
        <v>115</v>
      </c>
      <c r="J263">
        <v>5000</v>
      </c>
      <c r="K263">
        <v>219.06800000000001</v>
      </c>
      <c r="L263">
        <v>22.823899999999998</v>
      </c>
      <c r="M263">
        <v>3387.6</v>
      </c>
      <c r="N263" t="s">
        <v>15</v>
      </c>
    </row>
    <row r="264" spans="1:15" x14ac:dyDescent="0.2">
      <c r="A264" t="s">
        <v>119</v>
      </c>
      <c r="B264" t="s">
        <v>120</v>
      </c>
      <c r="C264" t="s">
        <v>112</v>
      </c>
      <c r="D264" t="s">
        <v>121</v>
      </c>
      <c r="E264" t="s">
        <v>53</v>
      </c>
      <c r="F264" t="s">
        <v>114</v>
      </c>
      <c r="G264">
        <v>122639</v>
      </c>
      <c r="H264" s="75">
        <v>40715</v>
      </c>
      <c r="I264" t="s">
        <v>115</v>
      </c>
      <c r="J264">
        <v>5000</v>
      </c>
      <c r="K264">
        <v>214.51900000000001</v>
      </c>
      <c r="L264">
        <v>23.308</v>
      </c>
      <c r="M264">
        <v>3602.1190000000001</v>
      </c>
      <c r="N264" t="s">
        <v>15</v>
      </c>
    </row>
    <row r="265" spans="1:15" x14ac:dyDescent="0.2">
      <c r="A265" t="s">
        <v>119</v>
      </c>
      <c r="B265" t="s">
        <v>120</v>
      </c>
      <c r="C265" t="s">
        <v>112</v>
      </c>
      <c r="D265" t="s">
        <v>121</v>
      </c>
      <c r="E265" t="s">
        <v>53</v>
      </c>
      <c r="F265" t="s">
        <v>114</v>
      </c>
      <c r="G265">
        <v>122639</v>
      </c>
      <c r="H265" s="75">
        <v>40745</v>
      </c>
      <c r="I265" t="s">
        <v>115</v>
      </c>
      <c r="J265">
        <v>5000</v>
      </c>
      <c r="K265">
        <v>218.57400000000001</v>
      </c>
      <c r="L265">
        <v>22.875599999999999</v>
      </c>
      <c r="M265">
        <v>3820.692</v>
      </c>
      <c r="N265" t="s">
        <v>15</v>
      </c>
    </row>
    <row r="266" spans="1:15" x14ac:dyDescent="0.2">
      <c r="A266" t="s">
        <v>119</v>
      </c>
      <c r="B266" t="s">
        <v>120</v>
      </c>
      <c r="C266" t="s">
        <v>112</v>
      </c>
      <c r="D266" t="s">
        <v>121</v>
      </c>
      <c r="E266" t="s">
        <v>53</v>
      </c>
      <c r="F266" t="s">
        <v>114</v>
      </c>
      <c r="G266">
        <v>122639</v>
      </c>
      <c r="H266" s="75">
        <v>40775</v>
      </c>
      <c r="I266" t="s">
        <v>115</v>
      </c>
      <c r="J266">
        <v>5000</v>
      </c>
      <c r="K266">
        <v>222.05</v>
      </c>
      <c r="L266">
        <v>22.517499999999998</v>
      </c>
      <c r="M266">
        <v>4042.7420000000002</v>
      </c>
      <c r="N266" t="s">
        <v>15</v>
      </c>
    </row>
    <row r="267" spans="1:15" x14ac:dyDescent="0.2">
      <c r="A267" t="s">
        <v>119</v>
      </c>
      <c r="B267" t="s">
        <v>120</v>
      </c>
      <c r="C267" t="s">
        <v>112</v>
      </c>
      <c r="D267" t="s">
        <v>121</v>
      </c>
      <c r="E267" t="s">
        <v>53</v>
      </c>
      <c r="F267" t="s">
        <v>114</v>
      </c>
      <c r="G267">
        <v>122639</v>
      </c>
      <c r="H267" s="75">
        <v>40775</v>
      </c>
      <c r="I267" t="s">
        <v>118</v>
      </c>
      <c r="J267">
        <v>2021.37</v>
      </c>
      <c r="K267">
        <v>0</v>
      </c>
      <c r="M267">
        <v>4042.7420000000002</v>
      </c>
      <c r="N267" t="s">
        <v>19</v>
      </c>
      <c r="O267">
        <v>2021.37</v>
      </c>
    </row>
    <row r="268" spans="1:15" x14ac:dyDescent="0.2">
      <c r="A268" t="s">
        <v>119</v>
      </c>
      <c r="B268" t="s">
        <v>120</v>
      </c>
      <c r="C268" t="s">
        <v>112</v>
      </c>
      <c r="D268" t="s">
        <v>121</v>
      </c>
      <c r="E268" t="s">
        <v>53</v>
      </c>
      <c r="F268" t="s">
        <v>114</v>
      </c>
      <c r="G268">
        <v>122639</v>
      </c>
      <c r="H268" s="75">
        <v>40805</v>
      </c>
      <c r="I268" t="s">
        <v>115</v>
      </c>
      <c r="J268">
        <v>5000</v>
      </c>
      <c r="K268">
        <v>223.57900000000001</v>
      </c>
      <c r="L268">
        <v>22.363499999999998</v>
      </c>
      <c r="M268">
        <v>4266.3209999999999</v>
      </c>
      <c r="N268" t="s">
        <v>15</v>
      </c>
    </row>
    <row r="269" spans="1:15" x14ac:dyDescent="0.2">
      <c r="A269" t="s">
        <v>119</v>
      </c>
      <c r="B269" t="s">
        <v>120</v>
      </c>
      <c r="C269" t="s">
        <v>112</v>
      </c>
      <c r="D269" t="s">
        <v>121</v>
      </c>
      <c r="E269" t="s">
        <v>53</v>
      </c>
      <c r="F269" t="s">
        <v>114</v>
      </c>
      <c r="G269">
        <v>122639</v>
      </c>
      <c r="H269" s="75">
        <v>40805</v>
      </c>
      <c r="I269" t="s">
        <v>116</v>
      </c>
      <c r="J269">
        <v>2.5</v>
      </c>
      <c r="K269">
        <v>0</v>
      </c>
      <c r="M269">
        <v>4266.3209999999999</v>
      </c>
      <c r="N269" t="s">
        <v>17</v>
      </c>
    </row>
    <row r="270" spans="1:15" x14ac:dyDescent="0.2">
      <c r="A270" t="s">
        <v>119</v>
      </c>
      <c r="B270" t="s">
        <v>120</v>
      </c>
      <c r="C270" t="s">
        <v>112</v>
      </c>
      <c r="D270" t="s">
        <v>121</v>
      </c>
      <c r="E270" t="s">
        <v>53</v>
      </c>
      <c r="F270" t="s">
        <v>114</v>
      </c>
      <c r="G270">
        <v>122639</v>
      </c>
      <c r="H270" s="75">
        <v>40835</v>
      </c>
      <c r="I270" t="s">
        <v>115</v>
      </c>
      <c r="J270">
        <v>5000</v>
      </c>
      <c r="K270">
        <v>225.90199999999999</v>
      </c>
      <c r="L270">
        <v>22.133500000000002</v>
      </c>
      <c r="M270">
        <v>4492.223</v>
      </c>
      <c r="N270" t="s">
        <v>15</v>
      </c>
    </row>
    <row r="271" spans="1:15" x14ac:dyDescent="0.2">
      <c r="A271" t="s">
        <v>119</v>
      </c>
      <c r="B271" t="s">
        <v>120</v>
      </c>
      <c r="C271" t="s">
        <v>112</v>
      </c>
      <c r="D271" t="s">
        <v>121</v>
      </c>
      <c r="E271" t="s">
        <v>53</v>
      </c>
      <c r="F271" t="s">
        <v>114</v>
      </c>
      <c r="G271">
        <v>122639</v>
      </c>
      <c r="H271" s="75">
        <v>40865</v>
      </c>
      <c r="I271" t="s">
        <v>115</v>
      </c>
      <c r="J271">
        <v>5000</v>
      </c>
      <c r="K271">
        <v>230.256</v>
      </c>
      <c r="L271">
        <v>21.7149</v>
      </c>
      <c r="M271">
        <v>4722.4799999999996</v>
      </c>
      <c r="N271" t="s">
        <v>15</v>
      </c>
    </row>
    <row r="272" spans="1:15" x14ac:dyDescent="0.2">
      <c r="A272" t="s">
        <v>119</v>
      </c>
      <c r="B272" t="s">
        <v>120</v>
      </c>
      <c r="C272" t="s">
        <v>112</v>
      </c>
      <c r="D272" t="s">
        <v>121</v>
      </c>
      <c r="E272" t="s">
        <v>53</v>
      </c>
      <c r="F272" t="s">
        <v>114</v>
      </c>
      <c r="G272">
        <v>122639</v>
      </c>
      <c r="H272" s="75">
        <v>40895</v>
      </c>
      <c r="I272" t="s">
        <v>115</v>
      </c>
      <c r="J272">
        <v>5000</v>
      </c>
      <c r="K272">
        <v>234.155</v>
      </c>
      <c r="L272">
        <v>21.353400000000001</v>
      </c>
      <c r="M272">
        <v>4956.6350000000002</v>
      </c>
      <c r="N272" t="s">
        <v>15</v>
      </c>
    </row>
    <row r="273" spans="1:15" x14ac:dyDescent="0.2">
      <c r="A273" t="s">
        <v>119</v>
      </c>
      <c r="B273" t="s">
        <v>120</v>
      </c>
      <c r="C273" t="s">
        <v>112</v>
      </c>
      <c r="D273" t="s">
        <v>121</v>
      </c>
      <c r="E273" t="s">
        <v>53</v>
      </c>
      <c r="F273" t="s">
        <v>114</v>
      </c>
      <c r="G273">
        <v>122639</v>
      </c>
      <c r="H273" s="75">
        <v>40925</v>
      </c>
      <c r="I273" t="s">
        <v>115</v>
      </c>
      <c r="J273">
        <v>5000</v>
      </c>
      <c r="K273">
        <v>234.64599999999999</v>
      </c>
      <c r="L273">
        <v>21.308700000000002</v>
      </c>
      <c r="M273">
        <v>5191.2809999999999</v>
      </c>
      <c r="N273" t="s">
        <v>15</v>
      </c>
    </row>
    <row r="274" spans="1:15" x14ac:dyDescent="0.2">
      <c r="A274" t="s">
        <v>119</v>
      </c>
      <c r="B274" t="s">
        <v>120</v>
      </c>
      <c r="C274" t="s">
        <v>112</v>
      </c>
      <c r="D274" t="s">
        <v>121</v>
      </c>
      <c r="E274" t="s">
        <v>53</v>
      </c>
      <c r="F274" t="s">
        <v>114</v>
      </c>
      <c r="G274">
        <v>122639</v>
      </c>
      <c r="H274" s="75">
        <v>40925</v>
      </c>
      <c r="I274" t="s">
        <v>118</v>
      </c>
      <c r="J274">
        <v>2595.64</v>
      </c>
      <c r="K274">
        <v>0</v>
      </c>
      <c r="M274">
        <v>5191.2809999999999</v>
      </c>
      <c r="N274" t="s">
        <v>19</v>
      </c>
      <c r="O274">
        <v>2595.64</v>
      </c>
    </row>
    <row r="275" spans="1:15" x14ac:dyDescent="0.2">
      <c r="A275" t="s">
        <v>119</v>
      </c>
      <c r="B275" t="s">
        <v>120</v>
      </c>
      <c r="C275" t="s">
        <v>112</v>
      </c>
      <c r="D275" t="s">
        <v>121</v>
      </c>
      <c r="E275" t="s">
        <v>53</v>
      </c>
      <c r="F275" t="s">
        <v>114</v>
      </c>
      <c r="G275">
        <v>122639</v>
      </c>
      <c r="H275" s="75">
        <v>40955</v>
      </c>
      <c r="I275" t="s">
        <v>115</v>
      </c>
      <c r="J275">
        <v>5000</v>
      </c>
      <c r="K275">
        <v>229.37200000000001</v>
      </c>
      <c r="L275">
        <v>21.7987</v>
      </c>
      <c r="M275">
        <v>5420.652</v>
      </c>
      <c r="N275" t="s">
        <v>15</v>
      </c>
    </row>
    <row r="276" spans="1:15" x14ac:dyDescent="0.2">
      <c r="A276" t="s">
        <v>119</v>
      </c>
      <c r="B276" t="s">
        <v>120</v>
      </c>
      <c r="C276" t="s">
        <v>112</v>
      </c>
      <c r="D276" t="s">
        <v>121</v>
      </c>
      <c r="E276" t="s">
        <v>53</v>
      </c>
      <c r="F276" t="s">
        <v>114</v>
      </c>
      <c r="G276">
        <v>122639</v>
      </c>
      <c r="H276" s="75">
        <v>40955</v>
      </c>
      <c r="I276" t="s">
        <v>116</v>
      </c>
      <c r="J276">
        <v>2.5</v>
      </c>
      <c r="K276">
        <v>0</v>
      </c>
      <c r="M276">
        <v>5420.652</v>
      </c>
      <c r="N276" t="s">
        <v>17</v>
      </c>
    </row>
    <row r="277" spans="1:15" x14ac:dyDescent="0.2">
      <c r="A277" t="s">
        <v>119</v>
      </c>
      <c r="B277" t="s">
        <v>120</v>
      </c>
      <c r="C277" t="s">
        <v>112</v>
      </c>
      <c r="D277" t="s">
        <v>121</v>
      </c>
      <c r="E277" t="s">
        <v>53</v>
      </c>
      <c r="F277" t="s">
        <v>114</v>
      </c>
      <c r="G277">
        <v>122639</v>
      </c>
      <c r="H277" s="75">
        <v>40985</v>
      </c>
      <c r="I277" t="s">
        <v>115</v>
      </c>
      <c r="J277">
        <v>5000</v>
      </c>
      <c r="K277">
        <v>231.69</v>
      </c>
      <c r="L277">
        <v>21.580500000000001</v>
      </c>
      <c r="M277">
        <v>5652.3419999999996</v>
      </c>
      <c r="N277" t="s">
        <v>15</v>
      </c>
    </row>
    <row r="278" spans="1:15" x14ac:dyDescent="0.2">
      <c r="A278" t="s">
        <v>119</v>
      </c>
      <c r="B278" t="s">
        <v>120</v>
      </c>
      <c r="C278" t="s">
        <v>112</v>
      </c>
      <c r="D278" t="s">
        <v>121</v>
      </c>
      <c r="E278" t="s">
        <v>53</v>
      </c>
      <c r="F278" t="s">
        <v>114</v>
      </c>
      <c r="G278">
        <v>122639</v>
      </c>
      <c r="H278" s="75">
        <v>41015</v>
      </c>
      <c r="I278" t="s">
        <v>115</v>
      </c>
      <c r="J278">
        <v>5000</v>
      </c>
      <c r="K278">
        <v>225.51400000000001</v>
      </c>
      <c r="L278">
        <v>22.171600000000002</v>
      </c>
      <c r="M278">
        <v>5877.8559999999998</v>
      </c>
      <c r="N278" t="s">
        <v>15</v>
      </c>
    </row>
    <row r="279" spans="1:15" x14ac:dyDescent="0.2">
      <c r="A279" t="s">
        <v>119</v>
      </c>
      <c r="B279" t="s">
        <v>120</v>
      </c>
      <c r="C279" t="s">
        <v>112</v>
      </c>
      <c r="D279" t="s">
        <v>121</v>
      </c>
      <c r="E279" t="s">
        <v>53</v>
      </c>
      <c r="F279" t="s">
        <v>114</v>
      </c>
      <c r="G279">
        <v>122639</v>
      </c>
      <c r="H279" s="75">
        <v>41045</v>
      </c>
      <c r="I279" t="s">
        <v>115</v>
      </c>
      <c r="J279">
        <v>5000</v>
      </c>
      <c r="K279">
        <v>224.30600000000001</v>
      </c>
      <c r="L279">
        <v>22.290900000000001</v>
      </c>
      <c r="M279">
        <v>6102.1629999999996</v>
      </c>
      <c r="N279" t="s">
        <v>15</v>
      </c>
    </row>
    <row r="280" spans="1:15" x14ac:dyDescent="0.2">
      <c r="A280" t="s">
        <v>119</v>
      </c>
      <c r="B280" t="s">
        <v>120</v>
      </c>
      <c r="C280" t="s">
        <v>112</v>
      </c>
      <c r="D280" t="s">
        <v>121</v>
      </c>
      <c r="E280" t="s">
        <v>53</v>
      </c>
      <c r="F280" t="s">
        <v>114</v>
      </c>
      <c r="G280">
        <v>122639</v>
      </c>
      <c r="H280" s="75">
        <v>41075</v>
      </c>
      <c r="I280" t="s">
        <v>115</v>
      </c>
      <c r="J280">
        <v>5000</v>
      </c>
      <c r="K280">
        <v>227.15700000000001</v>
      </c>
      <c r="L280">
        <v>22.011199999999999</v>
      </c>
      <c r="M280">
        <v>6329.32</v>
      </c>
      <c r="N280" t="s">
        <v>15</v>
      </c>
    </row>
    <row r="281" spans="1:15" x14ac:dyDescent="0.2">
      <c r="A281" t="s">
        <v>119</v>
      </c>
      <c r="B281" t="s">
        <v>120</v>
      </c>
      <c r="C281" t="s">
        <v>112</v>
      </c>
      <c r="D281" t="s">
        <v>121</v>
      </c>
      <c r="E281" t="s">
        <v>53</v>
      </c>
      <c r="F281" t="s">
        <v>114</v>
      </c>
      <c r="G281">
        <v>122639</v>
      </c>
      <c r="H281" s="75">
        <v>41105</v>
      </c>
      <c r="I281" t="s">
        <v>115</v>
      </c>
      <c r="J281">
        <v>5000</v>
      </c>
      <c r="K281">
        <v>225.119</v>
      </c>
      <c r="L281">
        <v>22.2105</v>
      </c>
      <c r="M281">
        <v>6554.4390000000003</v>
      </c>
      <c r="N281" t="s">
        <v>15</v>
      </c>
    </row>
    <row r="282" spans="1:15" x14ac:dyDescent="0.2">
      <c r="A282" t="s">
        <v>119</v>
      </c>
      <c r="B282" t="s">
        <v>120</v>
      </c>
      <c r="C282" t="s">
        <v>112</v>
      </c>
      <c r="D282" t="s">
        <v>121</v>
      </c>
      <c r="E282" t="s">
        <v>53</v>
      </c>
      <c r="F282" t="s">
        <v>114</v>
      </c>
      <c r="G282">
        <v>122639</v>
      </c>
      <c r="H282" s="75">
        <v>41135</v>
      </c>
      <c r="I282" t="s">
        <v>115</v>
      </c>
      <c r="J282">
        <v>5000</v>
      </c>
      <c r="K282">
        <v>220.452</v>
      </c>
      <c r="L282">
        <v>22.680599999999998</v>
      </c>
      <c r="M282">
        <v>6774.8919999999998</v>
      </c>
      <c r="N282" t="s">
        <v>15</v>
      </c>
    </row>
    <row r="283" spans="1:15" x14ac:dyDescent="0.2">
      <c r="A283" t="s">
        <v>119</v>
      </c>
      <c r="B283" t="s">
        <v>120</v>
      </c>
      <c r="C283" t="s">
        <v>112</v>
      </c>
      <c r="D283" t="s">
        <v>121</v>
      </c>
      <c r="E283" t="s">
        <v>53</v>
      </c>
      <c r="F283" t="s">
        <v>114</v>
      </c>
      <c r="G283">
        <v>122639</v>
      </c>
      <c r="H283" s="75">
        <v>41135</v>
      </c>
      <c r="I283" t="s">
        <v>117</v>
      </c>
      <c r="J283">
        <v>2.5</v>
      </c>
      <c r="K283">
        <v>0</v>
      </c>
      <c r="M283">
        <v>6774.8919999999998</v>
      </c>
      <c r="N283" t="s">
        <v>46</v>
      </c>
    </row>
    <row r="284" spans="1:15" x14ac:dyDescent="0.2">
      <c r="A284" t="s">
        <v>119</v>
      </c>
      <c r="B284" t="s">
        <v>120</v>
      </c>
      <c r="C284" t="s">
        <v>112</v>
      </c>
      <c r="D284" t="s">
        <v>121</v>
      </c>
      <c r="E284" t="s">
        <v>53</v>
      </c>
      <c r="F284" t="s">
        <v>114</v>
      </c>
      <c r="G284">
        <v>122639</v>
      </c>
      <c r="H284" s="75">
        <v>41165</v>
      </c>
      <c r="I284" t="s">
        <v>115</v>
      </c>
      <c r="J284">
        <v>5000</v>
      </c>
      <c r="K284">
        <v>216.94800000000001</v>
      </c>
      <c r="L284">
        <v>23.047000000000001</v>
      </c>
      <c r="M284">
        <v>6991.8389999999999</v>
      </c>
      <c r="N284" t="s">
        <v>15</v>
      </c>
    </row>
    <row r="285" spans="1:15" x14ac:dyDescent="0.2">
      <c r="A285" t="s">
        <v>119</v>
      </c>
      <c r="B285" t="s">
        <v>120</v>
      </c>
      <c r="C285" t="s">
        <v>112</v>
      </c>
      <c r="D285" t="s">
        <v>121</v>
      </c>
      <c r="E285" t="s">
        <v>53</v>
      </c>
      <c r="F285" t="s">
        <v>114</v>
      </c>
      <c r="G285">
        <v>122639</v>
      </c>
      <c r="H285" s="75">
        <v>41195</v>
      </c>
      <c r="I285" t="s">
        <v>115</v>
      </c>
      <c r="J285">
        <v>5000</v>
      </c>
      <c r="K285">
        <v>216.661</v>
      </c>
      <c r="L285">
        <v>23.077500000000001</v>
      </c>
      <c r="M285">
        <v>7208.5010000000002</v>
      </c>
      <c r="N285" t="s">
        <v>15</v>
      </c>
    </row>
    <row r="286" spans="1:15" x14ac:dyDescent="0.2">
      <c r="A286" t="s">
        <v>119</v>
      </c>
      <c r="B286" t="s">
        <v>120</v>
      </c>
      <c r="C286" t="s">
        <v>112</v>
      </c>
      <c r="D286" t="s">
        <v>121</v>
      </c>
      <c r="E286" t="s">
        <v>53</v>
      </c>
      <c r="F286" t="s">
        <v>114</v>
      </c>
      <c r="G286">
        <v>122639</v>
      </c>
      <c r="H286" s="75">
        <v>41225</v>
      </c>
      <c r="I286" t="s">
        <v>115</v>
      </c>
      <c r="J286">
        <v>5000</v>
      </c>
      <c r="K286">
        <v>215.30799999999999</v>
      </c>
      <c r="L286">
        <v>23.2225</v>
      </c>
      <c r="M286">
        <v>7423.8090000000002</v>
      </c>
      <c r="N286" t="s">
        <v>15</v>
      </c>
    </row>
    <row r="287" spans="1:15" x14ac:dyDescent="0.2">
      <c r="A287" t="s">
        <v>119</v>
      </c>
      <c r="B287" t="s">
        <v>120</v>
      </c>
      <c r="C287" t="s">
        <v>112</v>
      </c>
      <c r="D287" t="s">
        <v>121</v>
      </c>
      <c r="E287" t="s">
        <v>53</v>
      </c>
      <c r="F287" t="s">
        <v>114</v>
      </c>
      <c r="G287">
        <v>122639</v>
      </c>
      <c r="H287" s="75">
        <v>41225</v>
      </c>
      <c r="I287" t="s">
        <v>117</v>
      </c>
      <c r="J287">
        <v>2.5</v>
      </c>
      <c r="K287">
        <v>0</v>
      </c>
      <c r="M287">
        <v>7423.8090000000002</v>
      </c>
      <c r="N287" t="s">
        <v>46</v>
      </c>
    </row>
    <row r="288" spans="1:15" x14ac:dyDescent="0.2">
      <c r="A288" t="s">
        <v>119</v>
      </c>
      <c r="B288" t="s">
        <v>120</v>
      </c>
      <c r="C288" t="s">
        <v>112</v>
      </c>
      <c r="D288" t="s">
        <v>121</v>
      </c>
      <c r="E288" t="s">
        <v>53</v>
      </c>
      <c r="F288" t="s">
        <v>114</v>
      </c>
      <c r="G288">
        <v>122639</v>
      </c>
      <c r="H288" s="75">
        <v>41255</v>
      </c>
      <c r="I288" t="s">
        <v>115</v>
      </c>
      <c r="J288">
        <v>5000</v>
      </c>
      <c r="K288">
        <v>210.072</v>
      </c>
      <c r="L288">
        <v>23.801300000000001</v>
      </c>
      <c r="M288">
        <v>7633.8810000000003</v>
      </c>
      <c r="N288" t="s">
        <v>15</v>
      </c>
    </row>
    <row r="289" spans="1:14" x14ac:dyDescent="0.2">
      <c r="A289" t="s">
        <v>119</v>
      </c>
      <c r="B289" t="s">
        <v>120</v>
      </c>
      <c r="C289" t="s">
        <v>112</v>
      </c>
      <c r="D289" t="s">
        <v>121</v>
      </c>
      <c r="E289" t="s">
        <v>53</v>
      </c>
      <c r="F289" t="s">
        <v>114</v>
      </c>
      <c r="G289">
        <v>122639</v>
      </c>
      <c r="H289" s="75">
        <v>41285</v>
      </c>
      <c r="I289" t="s">
        <v>115</v>
      </c>
      <c r="J289">
        <v>5000</v>
      </c>
      <c r="K289">
        <v>207.52099999999999</v>
      </c>
      <c r="L289">
        <v>24.094000000000001</v>
      </c>
      <c r="M289">
        <v>7841.402</v>
      </c>
      <c r="N289" t="s">
        <v>15</v>
      </c>
    </row>
    <row r="290" spans="1:14" x14ac:dyDescent="0.2">
      <c r="A290" t="s">
        <v>119</v>
      </c>
      <c r="B290" t="s">
        <v>120</v>
      </c>
      <c r="C290" t="s">
        <v>112</v>
      </c>
      <c r="D290" t="s">
        <v>121</v>
      </c>
      <c r="E290" t="s">
        <v>53</v>
      </c>
      <c r="F290" t="s">
        <v>114</v>
      </c>
      <c r="G290">
        <v>122639</v>
      </c>
      <c r="H290" s="75">
        <v>41285</v>
      </c>
      <c r="I290" t="s">
        <v>116</v>
      </c>
      <c r="J290">
        <v>2.5</v>
      </c>
      <c r="K290">
        <v>0</v>
      </c>
      <c r="M290">
        <v>7841.402</v>
      </c>
      <c r="N290" t="s">
        <v>17</v>
      </c>
    </row>
    <row r="291" spans="1:14" x14ac:dyDescent="0.2">
      <c r="A291" t="s">
        <v>119</v>
      </c>
      <c r="B291" t="s">
        <v>120</v>
      </c>
      <c r="C291" t="s">
        <v>112</v>
      </c>
      <c r="D291" t="s">
        <v>121</v>
      </c>
      <c r="E291" t="s">
        <v>53</v>
      </c>
      <c r="F291" t="s">
        <v>114</v>
      </c>
      <c r="G291">
        <v>122639</v>
      </c>
      <c r="H291" s="75">
        <v>41315</v>
      </c>
      <c r="I291" t="s">
        <v>115</v>
      </c>
      <c r="J291">
        <v>5000</v>
      </c>
      <c r="K291">
        <v>206.453</v>
      </c>
      <c r="L291">
        <v>24.218599999999999</v>
      </c>
      <c r="M291">
        <v>8047.8549999999996</v>
      </c>
      <c r="N291" t="s">
        <v>15</v>
      </c>
    </row>
    <row r="292" spans="1:14" x14ac:dyDescent="0.2">
      <c r="A292" t="s">
        <v>119</v>
      </c>
      <c r="B292" t="s">
        <v>120</v>
      </c>
      <c r="C292" t="s">
        <v>112</v>
      </c>
      <c r="D292" t="s">
        <v>121</v>
      </c>
      <c r="E292" t="s">
        <v>53</v>
      </c>
      <c r="F292" t="s">
        <v>114</v>
      </c>
      <c r="G292">
        <v>122639</v>
      </c>
      <c r="H292" s="75">
        <v>41345</v>
      </c>
      <c r="I292" t="s">
        <v>115</v>
      </c>
      <c r="J292">
        <v>5000</v>
      </c>
      <c r="K292">
        <v>205.75800000000001</v>
      </c>
      <c r="L292">
        <v>24.3004</v>
      </c>
      <c r="M292">
        <v>8253.6129999999994</v>
      </c>
      <c r="N292" t="s">
        <v>15</v>
      </c>
    </row>
    <row r="293" spans="1:14" x14ac:dyDescent="0.2">
      <c r="A293" t="s">
        <v>119</v>
      </c>
      <c r="B293" t="s">
        <v>120</v>
      </c>
      <c r="C293" t="s">
        <v>112</v>
      </c>
      <c r="D293" t="s">
        <v>121</v>
      </c>
      <c r="E293" t="s">
        <v>53</v>
      </c>
      <c r="F293" t="s">
        <v>114</v>
      </c>
      <c r="G293">
        <v>122639</v>
      </c>
      <c r="H293" s="75">
        <v>41345</v>
      </c>
      <c r="I293" t="s">
        <v>116</v>
      </c>
      <c r="J293">
        <v>2.5</v>
      </c>
      <c r="K293">
        <v>0</v>
      </c>
      <c r="M293">
        <v>8253.6129999999994</v>
      </c>
      <c r="N293" t="s">
        <v>17</v>
      </c>
    </row>
    <row r="294" spans="1:14" x14ac:dyDescent="0.2">
      <c r="A294" t="s">
        <v>119</v>
      </c>
      <c r="B294" t="s">
        <v>120</v>
      </c>
      <c r="C294" t="s">
        <v>112</v>
      </c>
      <c r="D294" t="s">
        <v>121</v>
      </c>
      <c r="E294" t="s">
        <v>53</v>
      </c>
      <c r="F294" t="s">
        <v>114</v>
      </c>
      <c r="G294">
        <v>122639</v>
      </c>
      <c r="H294" s="75">
        <v>41375</v>
      </c>
      <c r="I294" t="s">
        <v>115</v>
      </c>
      <c r="J294">
        <v>5000</v>
      </c>
      <c r="K294">
        <v>200.636</v>
      </c>
      <c r="L294">
        <v>24.9207</v>
      </c>
      <c r="M294">
        <v>8454.2489999999998</v>
      </c>
      <c r="N294" t="s">
        <v>15</v>
      </c>
    </row>
    <row r="295" spans="1:14" x14ac:dyDescent="0.2">
      <c r="A295" t="s">
        <v>119</v>
      </c>
      <c r="B295" t="s">
        <v>120</v>
      </c>
      <c r="C295" t="s">
        <v>112</v>
      </c>
      <c r="D295" t="s">
        <v>121</v>
      </c>
      <c r="E295" t="s">
        <v>53</v>
      </c>
      <c r="F295" t="s">
        <v>114</v>
      </c>
      <c r="G295">
        <v>122639</v>
      </c>
      <c r="H295" s="75">
        <v>41375</v>
      </c>
      <c r="I295" t="s">
        <v>117</v>
      </c>
      <c r="J295">
        <v>2.5</v>
      </c>
      <c r="K295">
        <v>0</v>
      </c>
      <c r="M295">
        <v>8454.2489999999998</v>
      </c>
      <c r="N295" t="s">
        <v>46</v>
      </c>
    </row>
    <row r="296" spans="1:14" x14ac:dyDescent="0.2">
      <c r="A296" t="s">
        <v>119</v>
      </c>
      <c r="B296" t="s">
        <v>120</v>
      </c>
      <c r="C296" t="s">
        <v>112</v>
      </c>
      <c r="D296" t="s">
        <v>121</v>
      </c>
      <c r="E296" t="s">
        <v>53</v>
      </c>
      <c r="F296" t="s">
        <v>114</v>
      </c>
      <c r="G296">
        <v>122639</v>
      </c>
      <c r="H296" s="75">
        <v>41405</v>
      </c>
      <c r="I296" t="s">
        <v>115</v>
      </c>
      <c r="J296">
        <v>5000</v>
      </c>
      <c r="K296">
        <v>198.28299999999999</v>
      </c>
      <c r="L296">
        <v>25.2165</v>
      </c>
      <c r="M296">
        <v>8652.5319999999992</v>
      </c>
      <c r="N296" t="s">
        <v>15</v>
      </c>
    </row>
    <row r="297" spans="1:14" x14ac:dyDescent="0.2">
      <c r="A297" t="s">
        <v>119</v>
      </c>
      <c r="B297" t="s">
        <v>120</v>
      </c>
      <c r="C297" t="s">
        <v>112</v>
      </c>
      <c r="D297" t="s">
        <v>121</v>
      </c>
      <c r="E297" t="s">
        <v>53</v>
      </c>
      <c r="F297" t="s">
        <v>114</v>
      </c>
      <c r="G297">
        <v>122639</v>
      </c>
      <c r="H297" s="75">
        <v>41435</v>
      </c>
      <c r="I297" t="s">
        <v>115</v>
      </c>
      <c r="J297">
        <v>5000</v>
      </c>
      <c r="K297">
        <v>193.96199999999999</v>
      </c>
      <c r="L297">
        <v>25.778199999999998</v>
      </c>
      <c r="M297">
        <v>8846.4940000000006</v>
      </c>
      <c r="N297" t="s">
        <v>15</v>
      </c>
    </row>
    <row r="298" spans="1:14" x14ac:dyDescent="0.2">
      <c r="A298" t="s">
        <v>119</v>
      </c>
      <c r="B298" t="s">
        <v>120</v>
      </c>
      <c r="C298" t="s">
        <v>112</v>
      </c>
      <c r="D298" t="s">
        <v>121</v>
      </c>
      <c r="E298" t="s">
        <v>53</v>
      </c>
      <c r="F298" t="s">
        <v>114</v>
      </c>
      <c r="G298">
        <v>122639</v>
      </c>
      <c r="H298" s="75">
        <v>41465</v>
      </c>
      <c r="I298" t="s">
        <v>115</v>
      </c>
      <c r="J298">
        <v>5000</v>
      </c>
      <c r="K298">
        <v>196.834</v>
      </c>
      <c r="L298">
        <v>25.402100000000001</v>
      </c>
      <c r="M298">
        <v>9043.3279999999995</v>
      </c>
      <c r="N298" t="s">
        <v>15</v>
      </c>
    </row>
    <row r="299" spans="1:14" x14ac:dyDescent="0.2">
      <c r="A299" t="s">
        <v>119</v>
      </c>
      <c r="B299" t="s">
        <v>120</v>
      </c>
      <c r="C299" t="s">
        <v>112</v>
      </c>
      <c r="D299" t="s">
        <v>121</v>
      </c>
      <c r="E299" t="s">
        <v>53</v>
      </c>
      <c r="F299" t="s">
        <v>114</v>
      </c>
      <c r="G299">
        <v>122639</v>
      </c>
      <c r="H299" s="75">
        <v>41495</v>
      </c>
      <c r="I299" t="s">
        <v>115</v>
      </c>
      <c r="J299">
        <v>5000</v>
      </c>
      <c r="K299">
        <v>199.90600000000001</v>
      </c>
      <c r="L299">
        <v>25.011800000000001</v>
      </c>
      <c r="M299">
        <v>9243.2340000000004</v>
      </c>
      <c r="N299" t="s">
        <v>15</v>
      </c>
    </row>
    <row r="300" spans="1:14" x14ac:dyDescent="0.2">
      <c r="A300" t="s">
        <v>119</v>
      </c>
      <c r="B300" t="s">
        <v>120</v>
      </c>
      <c r="C300" t="s">
        <v>112</v>
      </c>
      <c r="D300" t="s">
        <v>121</v>
      </c>
      <c r="E300" t="s">
        <v>53</v>
      </c>
      <c r="F300" t="s">
        <v>114</v>
      </c>
      <c r="G300">
        <v>122639</v>
      </c>
      <c r="H300" s="75">
        <v>41495</v>
      </c>
      <c r="I300" t="s">
        <v>117</v>
      </c>
      <c r="J300">
        <v>2.5</v>
      </c>
      <c r="K300">
        <v>0</v>
      </c>
      <c r="M300">
        <v>9243.2340000000004</v>
      </c>
      <c r="N300" t="s">
        <v>46</v>
      </c>
    </row>
    <row r="301" spans="1:14" x14ac:dyDescent="0.2">
      <c r="A301" t="s">
        <v>119</v>
      </c>
      <c r="B301" t="s">
        <v>120</v>
      </c>
      <c r="C301" t="s">
        <v>112</v>
      </c>
      <c r="D301" t="s">
        <v>121</v>
      </c>
      <c r="E301" t="s">
        <v>53</v>
      </c>
      <c r="F301" t="s">
        <v>114</v>
      </c>
      <c r="G301">
        <v>122639</v>
      </c>
      <c r="H301" s="75">
        <v>41495</v>
      </c>
      <c r="I301" t="s">
        <v>25</v>
      </c>
      <c r="J301">
        <v>-46237.98</v>
      </c>
      <c r="K301">
        <v>-1848.6469999999999</v>
      </c>
      <c r="L301">
        <v>25.011800000000001</v>
      </c>
      <c r="M301">
        <v>7394.5870000000004</v>
      </c>
      <c r="N301" t="s">
        <v>16</v>
      </c>
    </row>
    <row r="302" spans="1:14" x14ac:dyDescent="0.2">
      <c r="A302" t="s">
        <v>119</v>
      </c>
      <c r="B302" t="s">
        <v>120</v>
      </c>
      <c r="C302" t="s">
        <v>112</v>
      </c>
      <c r="D302" t="s">
        <v>121</v>
      </c>
      <c r="E302" t="s">
        <v>53</v>
      </c>
      <c r="F302" t="s">
        <v>114</v>
      </c>
      <c r="G302">
        <v>122639</v>
      </c>
      <c r="H302" s="75">
        <v>41525</v>
      </c>
      <c r="I302" t="s">
        <v>115</v>
      </c>
      <c r="J302">
        <v>5000</v>
      </c>
      <c r="K302">
        <v>198.41900000000001</v>
      </c>
      <c r="L302">
        <v>25.199200000000001</v>
      </c>
      <c r="M302">
        <v>7593.0050000000001</v>
      </c>
      <c r="N302" t="s">
        <v>15</v>
      </c>
    </row>
    <row r="303" spans="1:14" x14ac:dyDescent="0.2">
      <c r="A303" t="s">
        <v>119</v>
      </c>
      <c r="B303" t="s">
        <v>120</v>
      </c>
      <c r="C303" t="s">
        <v>112</v>
      </c>
      <c r="D303" t="s">
        <v>121</v>
      </c>
      <c r="E303" t="s">
        <v>53</v>
      </c>
      <c r="F303" t="s">
        <v>114</v>
      </c>
      <c r="G303">
        <v>122639</v>
      </c>
      <c r="H303" s="75">
        <v>41555</v>
      </c>
      <c r="I303" t="s">
        <v>115</v>
      </c>
      <c r="J303">
        <v>5000</v>
      </c>
      <c r="K303">
        <v>194.46299999999999</v>
      </c>
      <c r="L303">
        <v>25.7119</v>
      </c>
      <c r="M303">
        <v>7787.4679999999998</v>
      </c>
      <c r="N303" t="s">
        <v>15</v>
      </c>
    </row>
    <row r="304" spans="1:14" x14ac:dyDescent="0.2">
      <c r="A304" t="s">
        <v>119</v>
      </c>
      <c r="B304" t="s">
        <v>120</v>
      </c>
      <c r="C304" t="s">
        <v>112</v>
      </c>
      <c r="D304" t="s">
        <v>121</v>
      </c>
      <c r="E304" t="s">
        <v>53</v>
      </c>
      <c r="F304" t="s">
        <v>114</v>
      </c>
      <c r="G304">
        <v>122639</v>
      </c>
      <c r="H304" s="75">
        <v>41555</v>
      </c>
      <c r="I304" t="s">
        <v>116</v>
      </c>
      <c r="J304">
        <v>2.5</v>
      </c>
      <c r="K304">
        <v>0</v>
      </c>
      <c r="M304">
        <v>7787.4679999999998</v>
      </c>
      <c r="N304" t="s">
        <v>17</v>
      </c>
    </row>
    <row r="305" spans="1:14" x14ac:dyDescent="0.2">
      <c r="A305" t="s">
        <v>119</v>
      </c>
      <c r="B305" t="s">
        <v>120</v>
      </c>
      <c r="C305" t="s">
        <v>112</v>
      </c>
      <c r="D305" t="s">
        <v>121</v>
      </c>
      <c r="E305" t="s">
        <v>53</v>
      </c>
      <c r="F305" t="s">
        <v>114</v>
      </c>
      <c r="G305">
        <v>122639</v>
      </c>
      <c r="H305" s="75">
        <v>41585</v>
      </c>
      <c r="I305" t="s">
        <v>115</v>
      </c>
      <c r="J305">
        <v>5000</v>
      </c>
      <c r="K305">
        <v>196.637</v>
      </c>
      <c r="L305">
        <v>25.427600000000002</v>
      </c>
      <c r="M305">
        <v>7984.1049999999996</v>
      </c>
      <c r="N305" t="s">
        <v>15</v>
      </c>
    </row>
    <row r="306" spans="1:14" x14ac:dyDescent="0.2">
      <c r="A306" t="s">
        <v>119</v>
      </c>
      <c r="B306" t="s">
        <v>120</v>
      </c>
      <c r="C306" t="s">
        <v>112</v>
      </c>
      <c r="D306" t="s">
        <v>121</v>
      </c>
      <c r="E306" t="s">
        <v>53</v>
      </c>
      <c r="F306" t="s">
        <v>114</v>
      </c>
      <c r="G306">
        <v>122639</v>
      </c>
      <c r="H306" s="75">
        <v>41615</v>
      </c>
      <c r="I306" t="s">
        <v>115</v>
      </c>
      <c r="J306">
        <v>5000</v>
      </c>
      <c r="K306">
        <v>193.42</v>
      </c>
      <c r="L306">
        <v>25.8505</v>
      </c>
      <c r="M306">
        <v>8177.5249999999996</v>
      </c>
      <c r="N306" t="s">
        <v>15</v>
      </c>
    </row>
    <row r="307" spans="1:14" x14ac:dyDescent="0.2">
      <c r="A307" t="s">
        <v>119</v>
      </c>
      <c r="B307" t="s">
        <v>120</v>
      </c>
      <c r="C307" t="s">
        <v>112</v>
      </c>
      <c r="D307" t="s">
        <v>121</v>
      </c>
      <c r="E307" t="s">
        <v>53</v>
      </c>
      <c r="F307" t="s">
        <v>114</v>
      </c>
      <c r="G307">
        <v>122639</v>
      </c>
      <c r="H307" s="75">
        <v>41615</v>
      </c>
      <c r="I307" t="s">
        <v>116</v>
      </c>
      <c r="J307">
        <v>2.5</v>
      </c>
      <c r="K307">
        <v>0</v>
      </c>
      <c r="M307">
        <v>8177.5249999999996</v>
      </c>
      <c r="N307" t="s">
        <v>17</v>
      </c>
    </row>
    <row r="308" spans="1:14" x14ac:dyDescent="0.2">
      <c r="A308" t="s">
        <v>119</v>
      </c>
      <c r="B308" t="s">
        <v>120</v>
      </c>
      <c r="C308" t="s">
        <v>112</v>
      </c>
      <c r="D308" t="s">
        <v>121</v>
      </c>
      <c r="E308" t="s">
        <v>53</v>
      </c>
      <c r="F308" t="s">
        <v>114</v>
      </c>
      <c r="G308">
        <v>122639</v>
      </c>
      <c r="H308" s="75">
        <v>41645</v>
      </c>
      <c r="I308" t="s">
        <v>115</v>
      </c>
      <c r="J308">
        <v>5000</v>
      </c>
      <c r="K308">
        <v>190.916</v>
      </c>
      <c r="L308">
        <v>26.189499999999999</v>
      </c>
      <c r="M308">
        <v>8368.4410000000007</v>
      </c>
      <c r="N308" t="s">
        <v>15</v>
      </c>
    </row>
    <row r="309" spans="1:14" x14ac:dyDescent="0.2">
      <c r="A309" t="s">
        <v>119</v>
      </c>
      <c r="B309" t="s">
        <v>120</v>
      </c>
      <c r="C309" t="s">
        <v>112</v>
      </c>
      <c r="D309" t="s">
        <v>121</v>
      </c>
      <c r="E309" t="s">
        <v>53</v>
      </c>
      <c r="F309" t="s">
        <v>114</v>
      </c>
      <c r="G309">
        <v>122639</v>
      </c>
      <c r="H309" s="75">
        <v>41645</v>
      </c>
      <c r="I309" t="s">
        <v>117</v>
      </c>
      <c r="J309">
        <v>2.5</v>
      </c>
      <c r="K309">
        <v>0</v>
      </c>
      <c r="M309">
        <v>8368.4410000000007</v>
      </c>
      <c r="N309" t="s">
        <v>46</v>
      </c>
    </row>
    <row r="310" spans="1:14" x14ac:dyDescent="0.2">
      <c r="A310" t="s">
        <v>119</v>
      </c>
      <c r="B310" t="s">
        <v>120</v>
      </c>
      <c r="C310" t="s">
        <v>112</v>
      </c>
      <c r="D310" t="s">
        <v>121</v>
      </c>
      <c r="E310" t="s">
        <v>53</v>
      </c>
      <c r="F310" t="s">
        <v>114</v>
      </c>
      <c r="G310">
        <v>122639</v>
      </c>
      <c r="H310" s="75">
        <v>41675</v>
      </c>
      <c r="I310" t="s">
        <v>115</v>
      </c>
      <c r="J310">
        <v>5000</v>
      </c>
      <c r="K310">
        <v>191.87</v>
      </c>
      <c r="L310">
        <v>26.0593</v>
      </c>
      <c r="M310">
        <v>8560.3109999999997</v>
      </c>
      <c r="N310" t="s">
        <v>15</v>
      </c>
    </row>
    <row r="311" spans="1:14" x14ac:dyDescent="0.2">
      <c r="A311" t="s">
        <v>119</v>
      </c>
      <c r="B311" t="s">
        <v>120</v>
      </c>
      <c r="C311" t="s">
        <v>112</v>
      </c>
      <c r="D311" t="s">
        <v>121</v>
      </c>
      <c r="E311" t="s">
        <v>53</v>
      </c>
      <c r="F311" t="s">
        <v>114</v>
      </c>
      <c r="G311">
        <v>122639</v>
      </c>
      <c r="H311" s="75">
        <v>41705</v>
      </c>
      <c r="I311" t="s">
        <v>115</v>
      </c>
      <c r="J311">
        <v>5000</v>
      </c>
      <c r="K311">
        <v>189.16200000000001</v>
      </c>
      <c r="L311">
        <v>26.432400000000001</v>
      </c>
      <c r="M311">
        <v>8749.473</v>
      </c>
      <c r="N311" t="s">
        <v>15</v>
      </c>
    </row>
    <row r="312" spans="1:14" x14ac:dyDescent="0.2">
      <c r="A312" t="s">
        <v>119</v>
      </c>
      <c r="B312" t="s">
        <v>120</v>
      </c>
      <c r="C312" t="s">
        <v>112</v>
      </c>
      <c r="D312" t="s">
        <v>121</v>
      </c>
      <c r="E312" t="s">
        <v>53</v>
      </c>
      <c r="F312" t="s">
        <v>114</v>
      </c>
      <c r="G312">
        <v>122639</v>
      </c>
      <c r="H312" s="75">
        <v>41705</v>
      </c>
      <c r="I312" t="s">
        <v>117</v>
      </c>
      <c r="J312">
        <v>2.5</v>
      </c>
      <c r="K312">
        <v>0</v>
      </c>
      <c r="M312">
        <v>8749.473</v>
      </c>
      <c r="N312" t="s">
        <v>46</v>
      </c>
    </row>
    <row r="313" spans="1:14" x14ac:dyDescent="0.2">
      <c r="A313" t="s">
        <v>119</v>
      </c>
      <c r="B313" t="s">
        <v>120</v>
      </c>
      <c r="C313" t="s">
        <v>112</v>
      </c>
      <c r="D313" t="s">
        <v>121</v>
      </c>
      <c r="E313" t="s">
        <v>53</v>
      </c>
      <c r="F313" t="s">
        <v>114</v>
      </c>
      <c r="G313">
        <v>122639</v>
      </c>
      <c r="H313" s="75">
        <v>41735</v>
      </c>
      <c r="I313" t="s">
        <v>115</v>
      </c>
      <c r="J313">
        <v>5000</v>
      </c>
      <c r="K313">
        <v>189.178</v>
      </c>
      <c r="L313">
        <v>26.430199999999999</v>
      </c>
      <c r="M313">
        <v>8938.65</v>
      </c>
      <c r="N313" t="s">
        <v>15</v>
      </c>
    </row>
    <row r="314" spans="1:14" x14ac:dyDescent="0.2">
      <c r="A314" t="s">
        <v>119</v>
      </c>
      <c r="B314" t="s">
        <v>120</v>
      </c>
      <c r="C314" t="s">
        <v>112</v>
      </c>
      <c r="D314" t="s">
        <v>121</v>
      </c>
      <c r="E314" t="s">
        <v>53</v>
      </c>
      <c r="F314" t="s">
        <v>114</v>
      </c>
      <c r="G314">
        <v>122639</v>
      </c>
      <c r="H314" s="75">
        <v>41765</v>
      </c>
      <c r="I314" t="s">
        <v>115</v>
      </c>
      <c r="J314">
        <v>5000</v>
      </c>
      <c r="K314">
        <v>186.197</v>
      </c>
      <c r="L314">
        <v>26.853300000000001</v>
      </c>
      <c r="M314">
        <v>9124.8469999999998</v>
      </c>
      <c r="N314" t="s">
        <v>15</v>
      </c>
    </row>
    <row r="315" spans="1:14" x14ac:dyDescent="0.2">
      <c r="A315" t="s">
        <v>119</v>
      </c>
      <c r="B315" t="s">
        <v>120</v>
      </c>
      <c r="C315" t="s">
        <v>112</v>
      </c>
      <c r="D315" t="s">
        <v>121</v>
      </c>
      <c r="E315" t="s">
        <v>53</v>
      </c>
      <c r="F315" t="s">
        <v>114</v>
      </c>
      <c r="G315">
        <v>122639</v>
      </c>
      <c r="H315" s="75">
        <v>41795</v>
      </c>
      <c r="I315" t="s">
        <v>115</v>
      </c>
      <c r="J315">
        <v>5000</v>
      </c>
      <c r="K315">
        <v>184.25200000000001</v>
      </c>
      <c r="L315">
        <v>27.136700000000001</v>
      </c>
      <c r="M315">
        <v>9309.0990000000002</v>
      </c>
      <c r="N315" t="s">
        <v>15</v>
      </c>
    </row>
    <row r="316" spans="1:14" x14ac:dyDescent="0.2">
      <c r="A316" t="s">
        <v>119</v>
      </c>
      <c r="B316" t="s">
        <v>120</v>
      </c>
      <c r="C316" t="s">
        <v>112</v>
      </c>
      <c r="D316" t="s">
        <v>121</v>
      </c>
      <c r="E316" t="s">
        <v>53</v>
      </c>
      <c r="F316" t="s">
        <v>114</v>
      </c>
      <c r="G316">
        <v>122639</v>
      </c>
      <c r="H316" s="75">
        <v>41825</v>
      </c>
      <c r="I316" t="s">
        <v>115</v>
      </c>
      <c r="J316">
        <v>5000</v>
      </c>
      <c r="K316">
        <v>181.20699999999999</v>
      </c>
      <c r="L316">
        <v>27.592700000000001</v>
      </c>
      <c r="M316">
        <v>9490.3060000000005</v>
      </c>
      <c r="N316" t="s">
        <v>15</v>
      </c>
    </row>
    <row r="317" spans="1:14" x14ac:dyDescent="0.2">
      <c r="A317" t="s">
        <v>119</v>
      </c>
      <c r="B317" t="s">
        <v>120</v>
      </c>
      <c r="C317" t="s">
        <v>112</v>
      </c>
      <c r="D317" t="s">
        <v>121</v>
      </c>
      <c r="E317" t="s">
        <v>53</v>
      </c>
      <c r="F317" t="s">
        <v>114</v>
      </c>
      <c r="G317">
        <v>122639</v>
      </c>
      <c r="H317" s="75">
        <v>41855</v>
      </c>
      <c r="I317" t="s">
        <v>115</v>
      </c>
      <c r="J317">
        <v>5000</v>
      </c>
      <c r="K317">
        <v>184.565</v>
      </c>
      <c r="L317">
        <v>27.090800000000002</v>
      </c>
      <c r="M317">
        <v>9674.8709999999992</v>
      </c>
      <c r="N317" t="s">
        <v>15</v>
      </c>
    </row>
    <row r="318" spans="1:14" x14ac:dyDescent="0.2">
      <c r="A318" t="s">
        <v>119</v>
      </c>
      <c r="B318" t="s">
        <v>120</v>
      </c>
      <c r="C318" t="s">
        <v>112</v>
      </c>
      <c r="D318" t="s">
        <v>121</v>
      </c>
      <c r="E318" t="s">
        <v>53</v>
      </c>
      <c r="F318" t="s">
        <v>114</v>
      </c>
      <c r="G318">
        <v>122639</v>
      </c>
      <c r="H318" s="75">
        <v>41855</v>
      </c>
      <c r="I318" t="s">
        <v>117</v>
      </c>
      <c r="J318">
        <v>2.5</v>
      </c>
      <c r="K318">
        <v>0</v>
      </c>
      <c r="M318">
        <v>9674.8709999999992</v>
      </c>
      <c r="N318" t="s">
        <v>46</v>
      </c>
    </row>
    <row r="319" spans="1:14" x14ac:dyDescent="0.2">
      <c r="A319" t="s">
        <v>119</v>
      </c>
      <c r="B319" t="s">
        <v>120</v>
      </c>
      <c r="C319" t="s">
        <v>112</v>
      </c>
      <c r="D319" t="s">
        <v>121</v>
      </c>
      <c r="E319" t="s">
        <v>53</v>
      </c>
      <c r="F319" t="s">
        <v>114</v>
      </c>
      <c r="G319">
        <v>122639</v>
      </c>
      <c r="H319" s="75">
        <v>41885</v>
      </c>
      <c r="I319" t="s">
        <v>115</v>
      </c>
      <c r="J319">
        <v>5000</v>
      </c>
      <c r="K319">
        <v>182.96899999999999</v>
      </c>
      <c r="L319">
        <v>27.327000000000002</v>
      </c>
      <c r="M319">
        <v>9857.84</v>
      </c>
      <c r="N319" t="s">
        <v>15</v>
      </c>
    </row>
    <row r="320" spans="1:14" x14ac:dyDescent="0.2">
      <c r="A320" t="s">
        <v>119</v>
      </c>
      <c r="B320" t="s">
        <v>120</v>
      </c>
      <c r="C320" t="s">
        <v>112</v>
      </c>
      <c r="D320" t="s">
        <v>121</v>
      </c>
      <c r="E320" t="s">
        <v>53</v>
      </c>
      <c r="F320" t="s">
        <v>114</v>
      </c>
      <c r="G320">
        <v>122639</v>
      </c>
      <c r="H320" s="75">
        <v>41915</v>
      </c>
      <c r="I320" t="s">
        <v>115</v>
      </c>
      <c r="J320">
        <v>5000</v>
      </c>
      <c r="K320">
        <v>186.68799999999999</v>
      </c>
      <c r="L320">
        <v>26.782599999999999</v>
      </c>
      <c r="M320">
        <v>10044.528</v>
      </c>
      <c r="N320" t="s">
        <v>15</v>
      </c>
    </row>
    <row r="321" spans="1:14" x14ac:dyDescent="0.2">
      <c r="A321" t="s">
        <v>119</v>
      </c>
      <c r="B321" t="s">
        <v>120</v>
      </c>
      <c r="C321" t="s">
        <v>112</v>
      </c>
      <c r="D321" t="s">
        <v>121</v>
      </c>
      <c r="E321" t="s">
        <v>53</v>
      </c>
      <c r="F321" t="s">
        <v>114</v>
      </c>
      <c r="G321">
        <v>122639</v>
      </c>
      <c r="H321" s="75">
        <v>41915</v>
      </c>
      <c r="I321" t="s">
        <v>116</v>
      </c>
      <c r="J321">
        <v>2.5</v>
      </c>
      <c r="K321">
        <v>0</v>
      </c>
      <c r="M321">
        <v>10044.528</v>
      </c>
      <c r="N321" t="s">
        <v>17</v>
      </c>
    </row>
    <row r="322" spans="1:14" x14ac:dyDescent="0.2">
      <c r="A322" t="s">
        <v>119</v>
      </c>
      <c r="B322" t="s">
        <v>120</v>
      </c>
      <c r="C322" t="s">
        <v>112</v>
      </c>
      <c r="D322" t="s">
        <v>121</v>
      </c>
      <c r="E322" t="s">
        <v>53</v>
      </c>
      <c r="F322" t="s">
        <v>114</v>
      </c>
      <c r="G322">
        <v>122639</v>
      </c>
      <c r="H322" s="75">
        <v>41945</v>
      </c>
      <c r="I322" t="s">
        <v>115</v>
      </c>
      <c r="J322">
        <v>5000</v>
      </c>
      <c r="K322">
        <v>188.685</v>
      </c>
      <c r="L322">
        <v>26.499199999999998</v>
      </c>
      <c r="M322">
        <v>10233.214</v>
      </c>
      <c r="N322" t="s">
        <v>15</v>
      </c>
    </row>
    <row r="323" spans="1:14" x14ac:dyDescent="0.2">
      <c r="A323" t="s">
        <v>119</v>
      </c>
      <c r="B323" t="s">
        <v>120</v>
      </c>
      <c r="C323" t="s">
        <v>112</v>
      </c>
      <c r="D323" t="s">
        <v>121</v>
      </c>
      <c r="E323" t="s">
        <v>53</v>
      </c>
      <c r="F323" t="s">
        <v>114</v>
      </c>
      <c r="G323">
        <v>122639</v>
      </c>
      <c r="H323" s="75">
        <v>41975</v>
      </c>
      <c r="I323" t="s">
        <v>115</v>
      </c>
      <c r="J323">
        <v>5000</v>
      </c>
      <c r="K323">
        <v>183.96600000000001</v>
      </c>
      <c r="L323">
        <v>27.178899999999999</v>
      </c>
      <c r="M323">
        <v>10417.18</v>
      </c>
      <c r="N323" t="s">
        <v>15</v>
      </c>
    </row>
    <row r="324" spans="1:14" x14ac:dyDescent="0.2">
      <c r="A324" t="s">
        <v>119</v>
      </c>
      <c r="B324" t="s">
        <v>120</v>
      </c>
      <c r="C324" t="s">
        <v>112</v>
      </c>
      <c r="D324" t="s">
        <v>121</v>
      </c>
      <c r="E324" t="s">
        <v>53</v>
      </c>
      <c r="F324" t="s">
        <v>114</v>
      </c>
      <c r="G324">
        <v>122639</v>
      </c>
      <c r="H324" s="75">
        <v>42005</v>
      </c>
      <c r="I324" t="s">
        <v>115</v>
      </c>
      <c r="J324">
        <v>5000</v>
      </c>
      <c r="K324">
        <v>181.29</v>
      </c>
      <c r="L324">
        <v>27.580100000000002</v>
      </c>
      <c r="M324">
        <v>10598.47</v>
      </c>
      <c r="N324" t="s">
        <v>15</v>
      </c>
    </row>
    <row r="325" spans="1:14" x14ac:dyDescent="0.2">
      <c r="A325" t="s">
        <v>119</v>
      </c>
      <c r="B325" t="s">
        <v>120</v>
      </c>
      <c r="C325" t="s">
        <v>112</v>
      </c>
      <c r="D325" t="s">
        <v>121</v>
      </c>
      <c r="E325" t="s">
        <v>53</v>
      </c>
      <c r="F325" t="s">
        <v>114</v>
      </c>
      <c r="G325">
        <v>122639</v>
      </c>
      <c r="H325" s="75">
        <v>42035</v>
      </c>
      <c r="I325" t="s">
        <v>115</v>
      </c>
      <c r="J325">
        <v>5000</v>
      </c>
      <c r="K325">
        <v>177.744</v>
      </c>
      <c r="L325">
        <v>28.130400000000002</v>
      </c>
      <c r="M325">
        <v>10776.214</v>
      </c>
      <c r="N325" t="s">
        <v>15</v>
      </c>
    </row>
    <row r="326" spans="1:14" x14ac:dyDescent="0.2">
      <c r="A326" t="s">
        <v>119</v>
      </c>
      <c r="B326" t="s">
        <v>120</v>
      </c>
      <c r="C326" t="s">
        <v>112</v>
      </c>
      <c r="D326" t="s">
        <v>121</v>
      </c>
      <c r="E326" t="s">
        <v>53</v>
      </c>
      <c r="F326" t="s">
        <v>114</v>
      </c>
      <c r="G326">
        <v>122639</v>
      </c>
      <c r="H326" s="75">
        <v>42065</v>
      </c>
      <c r="I326" t="s">
        <v>115</v>
      </c>
      <c r="J326">
        <v>5000</v>
      </c>
      <c r="K326">
        <v>175.56</v>
      </c>
      <c r="L326">
        <v>28.480399999999999</v>
      </c>
      <c r="M326">
        <v>10951.772999999999</v>
      </c>
      <c r="N326" t="s">
        <v>15</v>
      </c>
    </row>
    <row r="327" spans="1:14" x14ac:dyDescent="0.2">
      <c r="A327" t="s">
        <v>119</v>
      </c>
      <c r="B327" t="s">
        <v>120</v>
      </c>
      <c r="C327" t="s">
        <v>112</v>
      </c>
      <c r="D327" t="s">
        <v>121</v>
      </c>
      <c r="E327" t="s">
        <v>53</v>
      </c>
      <c r="F327" t="s">
        <v>114</v>
      </c>
      <c r="G327">
        <v>122639</v>
      </c>
      <c r="H327" s="75">
        <v>42095</v>
      </c>
      <c r="I327" t="s">
        <v>115</v>
      </c>
      <c r="J327">
        <v>5000</v>
      </c>
      <c r="K327">
        <v>171.43700000000001</v>
      </c>
      <c r="L327">
        <v>29.165099999999999</v>
      </c>
      <c r="M327">
        <v>11123.210999999999</v>
      </c>
      <c r="N327" t="s">
        <v>15</v>
      </c>
    </row>
    <row r="328" spans="1:14" x14ac:dyDescent="0.2">
      <c r="A328" t="s">
        <v>119</v>
      </c>
      <c r="B328" t="s">
        <v>120</v>
      </c>
      <c r="C328" t="s">
        <v>112</v>
      </c>
      <c r="D328" t="s">
        <v>121</v>
      </c>
      <c r="E328" t="s">
        <v>53</v>
      </c>
      <c r="F328" t="s">
        <v>114</v>
      </c>
      <c r="G328">
        <v>122639</v>
      </c>
      <c r="H328" s="75">
        <v>42125</v>
      </c>
      <c r="I328" t="s">
        <v>115</v>
      </c>
      <c r="J328">
        <v>5000</v>
      </c>
      <c r="K328">
        <v>174.261</v>
      </c>
      <c r="L328">
        <v>28.692599999999999</v>
      </c>
      <c r="M328">
        <v>11297.472</v>
      </c>
      <c r="N328" t="s">
        <v>15</v>
      </c>
    </row>
    <row r="329" spans="1:14" x14ac:dyDescent="0.2">
      <c r="A329" t="s">
        <v>119</v>
      </c>
      <c r="B329" t="s">
        <v>120</v>
      </c>
      <c r="C329" t="s">
        <v>112</v>
      </c>
      <c r="D329" t="s">
        <v>121</v>
      </c>
      <c r="E329" t="s">
        <v>53</v>
      </c>
      <c r="F329" t="s">
        <v>114</v>
      </c>
      <c r="G329">
        <v>122639</v>
      </c>
      <c r="H329" s="75">
        <v>42155</v>
      </c>
      <c r="I329" t="s">
        <v>115</v>
      </c>
      <c r="J329">
        <v>5000</v>
      </c>
      <c r="K329">
        <v>170.518</v>
      </c>
      <c r="L329">
        <v>29.322500000000002</v>
      </c>
      <c r="M329">
        <v>11467.989</v>
      </c>
      <c r="N329" t="s">
        <v>15</v>
      </c>
    </row>
    <row r="330" spans="1:14" x14ac:dyDescent="0.2">
      <c r="A330" t="s">
        <v>119</v>
      </c>
      <c r="B330" t="s">
        <v>120</v>
      </c>
      <c r="C330" t="s">
        <v>112</v>
      </c>
      <c r="D330" t="s">
        <v>121</v>
      </c>
      <c r="E330" t="s">
        <v>53</v>
      </c>
      <c r="F330" t="s">
        <v>114</v>
      </c>
      <c r="G330">
        <v>122639</v>
      </c>
      <c r="H330" s="75">
        <v>42155</v>
      </c>
      <c r="I330" t="s">
        <v>117</v>
      </c>
      <c r="J330">
        <v>2.5</v>
      </c>
      <c r="K330">
        <v>0</v>
      </c>
      <c r="M330">
        <v>11467.989</v>
      </c>
      <c r="N330" t="s">
        <v>46</v>
      </c>
    </row>
    <row r="331" spans="1:14" x14ac:dyDescent="0.2">
      <c r="A331" t="s">
        <v>119</v>
      </c>
      <c r="B331" t="s">
        <v>120</v>
      </c>
      <c r="C331" t="s">
        <v>112</v>
      </c>
      <c r="D331" t="s">
        <v>121</v>
      </c>
      <c r="E331" t="s">
        <v>53</v>
      </c>
      <c r="F331" t="s">
        <v>114</v>
      </c>
      <c r="G331">
        <v>122639</v>
      </c>
      <c r="H331" s="75">
        <v>42185</v>
      </c>
      <c r="I331" t="s">
        <v>115</v>
      </c>
      <c r="J331">
        <v>5000</v>
      </c>
      <c r="K331">
        <v>169.34</v>
      </c>
      <c r="L331">
        <v>29.526399999999999</v>
      </c>
      <c r="M331">
        <v>11637.329</v>
      </c>
      <c r="N331" t="s">
        <v>15</v>
      </c>
    </row>
    <row r="332" spans="1:14" x14ac:dyDescent="0.2">
      <c r="A332" t="s">
        <v>119</v>
      </c>
      <c r="B332" t="s">
        <v>120</v>
      </c>
      <c r="C332" t="s">
        <v>112</v>
      </c>
      <c r="D332" t="s">
        <v>121</v>
      </c>
      <c r="E332" t="s">
        <v>53</v>
      </c>
      <c r="F332" t="s">
        <v>114</v>
      </c>
      <c r="G332">
        <v>122639</v>
      </c>
      <c r="H332" s="75">
        <v>42215</v>
      </c>
      <c r="I332" t="s">
        <v>115</v>
      </c>
      <c r="J332">
        <v>5000</v>
      </c>
      <c r="K332">
        <v>164.577</v>
      </c>
      <c r="L332">
        <v>30.381</v>
      </c>
      <c r="M332">
        <v>11801.906000000001</v>
      </c>
      <c r="N332" t="s">
        <v>15</v>
      </c>
    </row>
    <row r="333" spans="1:14" x14ac:dyDescent="0.2">
      <c r="A333" t="s">
        <v>119</v>
      </c>
      <c r="B333" t="s">
        <v>120</v>
      </c>
      <c r="C333" t="s">
        <v>112</v>
      </c>
      <c r="D333" t="s">
        <v>121</v>
      </c>
      <c r="E333" t="s">
        <v>53</v>
      </c>
      <c r="F333" t="s">
        <v>114</v>
      </c>
      <c r="G333">
        <v>122639</v>
      </c>
      <c r="H333" s="75">
        <v>42245</v>
      </c>
      <c r="I333" t="s">
        <v>115</v>
      </c>
      <c r="J333">
        <v>5000</v>
      </c>
      <c r="K333">
        <v>162.96</v>
      </c>
      <c r="L333">
        <v>30.682400000000001</v>
      </c>
      <c r="M333">
        <v>11964.866</v>
      </c>
      <c r="N333" t="s">
        <v>15</v>
      </c>
    </row>
    <row r="334" spans="1:14" x14ac:dyDescent="0.2">
      <c r="A334" t="s">
        <v>119</v>
      </c>
      <c r="B334" t="s">
        <v>120</v>
      </c>
      <c r="C334" t="s">
        <v>112</v>
      </c>
      <c r="D334" t="s">
        <v>121</v>
      </c>
      <c r="E334" t="s">
        <v>53</v>
      </c>
      <c r="F334" t="s">
        <v>114</v>
      </c>
      <c r="G334">
        <v>122639</v>
      </c>
      <c r="H334" s="75">
        <v>42275</v>
      </c>
      <c r="I334" t="s">
        <v>115</v>
      </c>
      <c r="J334">
        <v>5000</v>
      </c>
      <c r="K334">
        <v>165.76</v>
      </c>
      <c r="L334">
        <v>30.164000000000001</v>
      </c>
      <c r="M334">
        <v>12130.626</v>
      </c>
      <c r="N334" t="s">
        <v>15</v>
      </c>
    </row>
    <row r="335" spans="1:14" x14ac:dyDescent="0.2">
      <c r="A335" t="s">
        <v>119</v>
      </c>
      <c r="B335" t="s">
        <v>120</v>
      </c>
      <c r="C335" t="s">
        <v>112</v>
      </c>
      <c r="D335" t="s">
        <v>121</v>
      </c>
      <c r="E335" t="s">
        <v>53</v>
      </c>
      <c r="F335" t="s">
        <v>114</v>
      </c>
      <c r="G335">
        <v>122639</v>
      </c>
      <c r="H335" s="75">
        <v>42305</v>
      </c>
      <c r="I335" t="s">
        <v>115</v>
      </c>
      <c r="J335">
        <v>5000</v>
      </c>
      <c r="K335">
        <v>163.50800000000001</v>
      </c>
      <c r="L335">
        <v>30.579499999999999</v>
      </c>
      <c r="M335">
        <v>12294.135</v>
      </c>
      <c r="N335" t="s">
        <v>15</v>
      </c>
    </row>
    <row r="336" spans="1:14" x14ac:dyDescent="0.2">
      <c r="A336" t="s">
        <v>119</v>
      </c>
      <c r="B336" t="s">
        <v>120</v>
      </c>
      <c r="C336" t="s">
        <v>112</v>
      </c>
      <c r="D336" t="s">
        <v>121</v>
      </c>
      <c r="E336" t="s">
        <v>53</v>
      </c>
      <c r="F336" t="s">
        <v>114</v>
      </c>
      <c r="G336">
        <v>122639</v>
      </c>
      <c r="H336" s="75">
        <v>42335</v>
      </c>
      <c r="I336" t="s">
        <v>115</v>
      </c>
      <c r="J336">
        <v>5000</v>
      </c>
      <c r="K336">
        <v>158.78399999999999</v>
      </c>
      <c r="L336">
        <v>31.4894</v>
      </c>
      <c r="M336">
        <v>12452.919</v>
      </c>
      <c r="N336" t="s">
        <v>15</v>
      </c>
    </row>
    <row r="337" spans="1:14" x14ac:dyDescent="0.2">
      <c r="A337" t="s">
        <v>119</v>
      </c>
      <c r="B337" t="s">
        <v>120</v>
      </c>
      <c r="C337" t="s">
        <v>112</v>
      </c>
      <c r="D337" t="s">
        <v>121</v>
      </c>
      <c r="E337" t="s">
        <v>53</v>
      </c>
      <c r="F337" t="s">
        <v>114</v>
      </c>
      <c r="G337">
        <v>122639</v>
      </c>
      <c r="H337" s="75">
        <v>42365</v>
      </c>
      <c r="I337" t="s">
        <v>115</v>
      </c>
      <c r="J337">
        <v>5000</v>
      </c>
      <c r="K337">
        <v>159.66499999999999</v>
      </c>
      <c r="L337">
        <v>31.3155</v>
      </c>
      <c r="M337">
        <v>12612.584000000001</v>
      </c>
      <c r="N337" t="s">
        <v>15</v>
      </c>
    </row>
    <row r="338" spans="1:14" x14ac:dyDescent="0.2">
      <c r="A338" t="s">
        <v>119</v>
      </c>
      <c r="B338" t="s">
        <v>120</v>
      </c>
      <c r="C338" t="s">
        <v>112</v>
      </c>
      <c r="D338" t="s">
        <v>121</v>
      </c>
      <c r="E338" t="s">
        <v>53</v>
      </c>
      <c r="F338" t="s">
        <v>114</v>
      </c>
      <c r="G338">
        <v>122639</v>
      </c>
      <c r="H338" s="75">
        <v>42365</v>
      </c>
      <c r="I338" t="s">
        <v>117</v>
      </c>
      <c r="J338">
        <v>2.5</v>
      </c>
      <c r="K338">
        <v>0</v>
      </c>
      <c r="M338">
        <v>12612.584000000001</v>
      </c>
      <c r="N338" t="s">
        <v>46</v>
      </c>
    </row>
    <row r="339" spans="1:14" x14ac:dyDescent="0.2">
      <c r="A339" t="s">
        <v>119</v>
      </c>
      <c r="B339" t="s">
        <v>120</v>
      </c>
      <c r="C339" t="s">
        <v>112</v>
      </c>
      <c r="D339" t="s">
        <v>121</v>
      </c>
      <c r="E339" t="s">
        <v>53</v>
      </c>
      <c r="F339" t="s">
        <v>114</v>
      </c>
      <c r="G339">
        <v>122639</v>
      </c>
      <c r="H339" s="75">
        <v>42395</v>
      </c>
      <c r="I339" t="s">
        <v>115</v>
      </c>
      <c r="J339">
        <v>5000</v>
      </c>
      <c r="K339">
        <v>161.46100000000001</v>
      </c>
      <c r="L339">
        <v>30.967300000000002</v>
      </c>
      <c r="M339">
        <v>12774.045</v>
      </c>
      <c r="N339" t="s">
        <v>15</v>
      </c>
    </row>
    <row r="340" spans="1:14" x14ac:dyDescent="0.2">
      <c r="A340" t="s">
        <v>119</v>
      </c>
      <c r="B340" t="s">
        <v>120</v>
      </c>
      <c r="C340" t="s">
        <v>112</v>
      </c>
      <c r="D340" t="s">
        <v>121</v>
      </c>
      <c r="E340" t="s">
        <v>53</v>
      </c>
      <c r="F340" t="s">
        <v>114</v>
      </c>
      <c r="G340">
        <v>122639</v>
      </c>
      <c r="H340" s="75">
        <v>42425</v>
      </c>
      <c r="I340" t="s">
        <v>115</v>
      </c>
      <c r="J340">
        <v>5000</v>
      </c>
      <c r="K340">
        <v>162.07400000000001</v>
      </c>
      <c r="L340">
        <v>30.85</v>
      </c>
      <c r="M340">
        <v>12936.119000000001</v>
      </c>
      <c r="N340" t="s">
        <v>15</v>
      </c>
    </row>
    <row r="341" spans="1:14" x14ac:dyDescent="0.2">
      <c r="A341" t="s">
        <v>119</v>
      </c>
      <c r="B341" t="s">
        <v>120</v>
      </c>
      <c r="C341" t="s">
        <v>112</v>
      </c>
      <c r="D341" t="s">
        <v>121</v>
      </c>
      <c r="E341" t="s">
        <v>53</v>
      </c>
      <c r="F341" t="s">
        <v>114</v>
      </c>
      <c r="G341">
        <v>122639</v>
      </c>
      <c r="H341" s="75">
        <v>42425</v>
      </c>
      <c r="I341" t="s">
        <v>116</v>
      </c>
      <c r="J341">
        <v>2.5</v>
      </c>
      <c r="K341">
        <v>0</v>
      </c>
      <c r="M341">
        <v>12936.119000000001</v>
      </c>
      <c r="N341" t="s">
        <v>17</v>
      </c>
    </row>
    <row r="342" spans="1:14" x14ac:dyDescent="0.2">
      <c r="A342" t="s">
        <v>119</v>
      </c>
      <c r="B342" t="s">
        <v>120</v>
      </c>
      <c r="C342" t="s">
        <v>112</v>
      </c>
      <c r="D342" t="s">
        <v>121</v>
      </c>
      <c r="E342" t="s">
        <v>53</v>
      </c>
      <c r="F342" t="s">
        <v>114</v>
      </c>
      <c r="G342">
        <v>122639</v>
      </c>
      <c r="H342" s="75">
        <v>42455</v>
      </c>
      <c r="I342" t="s">
        <v>115</v>
      </c>
      <c r="J342">
        <v>5000</v>
      </c>
      <c r="K342">
        <v>163.352</v>
      </c>
      <c r="L342">
        <v>30.608799999999999</v>
      </c>
      <c r="M342">
        <v>13099.471</v>
      </c>
      <c r="N342" t="s">
        <v>15</v>
      </c>
    </row>
    <row r="343" spans="1:14" x14ac:dyDescent="0.2">
      <c r="A343" t="s">
        <v>119</v>
      </c>
      <c r="B343" t="s">
        <v>120</v>
      </c>
      <c r="C343" t="s">
        <v>112</v>
      </c>
      <c r="D343" t="s">
        <v>121</v>
      </c>
      <c r="E343" t="s">
        <v>53</v>
      </c>
      <c r="F343" t="s">
        <v>114</v>
      </c>
      <c r="G343">
        <v>122639</v>
      </c>
      <c r="H343" s="75">
        <v>42485</v>
      </c>
      <c r="I343" t="s">
        <v>115</v>
      </c>
      <c r="J343">
        <v>5000</v>
      </c>
      <c r="K343">
        <v>159.60400000000001</v>
      </c>
      <c r="L343">
        <v>31.327500000000001</v>
      </c>
      <c r="M343">
        <v>13259.075000000001</v>
      </c>
      <c r="N343" t="s">
        <v>15</v>
      </c>
    </row>
    <row r="344" spans="1:14" x14ac:dyDescent="0.2">
      <c r="A344" t="s">
        <v>119</v>
      </c>
      <c r="B344" t="s">
        <v>120</v>
      </c>
      <c r="C344" t="s">
        <v>112</v>
      </c>
      <c r="D344" t="s">
        <v>121</v>
      </c>
      <c r="E344" t="s">
        <v>53</v>
      </c>
      <c r="F344" t="s">
        <v>114</v>
      </c>
      <c r="G344">
        <v>122639</v>
      </c>
      <c r="H344" s="75">
        <v>42515</v>
      </c>
      <c r="I344" t="s">
        <v>115</v>
      </c>
      <c r="J344">
        <v>5000</v>
      </c>
      <c r="K344">
        <v>161.928</v>
      </c>
      <c r="L344">
        <v>30.878</v>
      </c>
      <c r="M344">
        <v>13421.003000000001</v>
      </c>
      <c r="N344" t="s">
        <v>15</v>
      </c>
    </row>
    <row r="345" spans="1:14" x14ac:dyDescent="0.2">
      <c r="A345" t="s">
        <v>119</v>
      </c>
      <c r="B345" t="s">
        <v>120</v>
      </c>
      <c r="C345" t="s">
        <v>112</v>
      </c>
      <c r="D345" t="s">
        <v>121</v>
      </c>
      <c r="E345" t="s">
        <v>53</v>
      </c>
      <c r="F345" t="s">
        <v>114</v>
      </c>
      <c r="G345">
        <v>122639</v>
      </c>
      <c r="H345" s="75">
        <v>42515</v>
      </c>
      <c r="I345" t="s">
        <v>116</v>
      </c>
      <c r="J345">
        <v>2.5</v>
      </c>
      <c r="K345">
        <v>0</v>
      </c>
      <c r="M345">
        <v>13421.003000000001</v>
      </c>
      <c r="N345" t="s">
        <v>17</v>
      </c>
    </row>
    <row r="346" spans="1:14" x14ac:dyDescent="0.2">
      <c r="A346" t="s">
        <v>119</v>
      </c>
      <c r="B346" t="s">
        <v>120</v>
      </c>
      <c r="C346" t="s">
        <v>112</v>
      </c>
      <c r="D346" t="s">
        <v>121</v>
      </c>
      <c r="E346" t="s">
        <v>53</v>
      </c>
      <c r="F346" t="s">
        <v>114</v>
      </c>
      <c r="G346">
        <v>122639</v>
      </c>
      <c r="H346" s="75">
        <v>42545</v>
      </c>
      <c r="I346" t="s">
        <v>115</v>
      </c>
      <c r="J346">
        <v>5000</v>
      </c>
      <c r="K346">
        <v>160.53700000000001</v>
      </c>
      <c r="L346">
        <v>31.145399999999999</v>
      </c>
      <c r="M346">
        <v>13581.54</v>
      </c>
      <c r="N346" t="s">
        <v>15</v>
      </c>
    </row>
    <row r="347" spans="1:14" x14ac:dyDescent="0.2">
      <c r="A347" t="s">
        <v>119</v>
      </c>
      <c r="B347" t="s">
        <v>120</v>
      </c>
      <c r="C347" t="s">
        <v>112</v>
      </c>
      <c r="D347" t="s">
        <v>121</v>
      </c>
      <c r="E347" t="s">
        <v>53</v>
      </c>
      <c r="F347" t="s">
        <v>114</v>
      </c>
      <c r="G347">
        <v>122639</v>
      </c>
      <c r="H347" s="75">
        <v>42545</v>
      </c>
      <c r="I347" t="s">
        <v>117</v>
      </c>
      <c r="J347">
        <v>2.5</v>
      </c>
      <c r="K347">
        <v>0</v>
      </c>
      <c r="M347">
        <v>13581.54</v>
      </c>
      <c r="N347" t="s">
        <v>46</v>
      </c>
    </row>
    <row r="348" spans="1:14" x14ac:dyDescent="0.2">
      <c r="A348" t="s">
        <v>119</v>
      </c>
      <c r="B348" t="s">
        <v>120</v>
      </c>
      <c r="C348" t="s">
        <v>112</v>
      </c>
      <c r="D348" t="s">
        <v>121</v>
      </c>
      <c r="E348" t="s">
        <v>53</v>
      </c>
      <c r="F348" t="s">
        <v>114</v>
      </c>
      <c r="G348">
        <v>122639</v>
      </c>
      <c r="H348" s="75">
        <v>42575</v>
      </c>
      <c r="I348" t="s">
        <v>115</v>
      </c>
      <c r="J348">
        <v>5000</v>
      </c>
      <c r="K348">
        <v>161.83099999999999</v>
      </c>
      <c r="L348">
        <v>30.8964</v>
      </c>
      <c r="M348">
        <v>13743.370999999999</v>
      </c>
      <c r="N348" t="s">
        <v>15</v>
      </c>
    </row>
    <row r="349" spans="1:14" x14ac:dyDescent="0.2">
      <c r="A349" t="s">
        <v>119</v>
      </c>
      <c r="B349" t="s">
        <v>120</v>
      </c>
      <c r="C349" t="s">
        <v>112</v>
      </c>
      <c r="D349" t="s">
        <v>121</v>
      </c>
      <c r="E349" t="s">
        <v>53</v>
      </c>
      <c r="F349" t="s">
        <v>114</v>
      </c>
      <c r="G349">
        <v>122639</v>
      </c>
      <c r="H349" s="75">
        <v>42605</v>
      </c>
      <c r="I349" t="s">
        <v>115</v>
      </c>
      <c r="J349">
        <v>5000</v>
      </c>
      <c r="K349">
        <v>160.80000000000001</v>
      </c>
      <c r="L349">
        <v>31.0944</v>
      </c>
      <c r="M349">
        <v>13904.171</v>
      </c>
      <c r="N349" t="s">
        <v>15</v>
      </c>
    </row>
    <row r="350" spans="1:14" x14ac:dyDescent="0.2">
      <c r="A350" t="s">
        <v>119</v>
      </c>
      <c r="B350" t="s">
        <v>120</v>
      </c>
      <c r="C350" t="s">
        <v>112</v>
      </c>
      <c r="D350" t="s">
        <v>121</v>
      </c>
      <c r="E350" t="s">
        <v>53</v>
      </c>
      <c r="F350" t="s">
        <v>114</v>
      </c>
      <c r="G350">
        <v>122639</v>
      </c>
      <c r="H350" s="75">
        <v>42635</v>
      </c>
      <c r="I350" t="s">
        <v>115</v>
      </c>
      <c r="J350">
        <v>5000</v>
      </c>
      <c r="K350">
        <v>156.32400000000001</v>
      </c>
      <c r="L350">
        <v>31.9848</v>
      </c>
      <c r="M350">
        <v>14060.495000000001</v>
      </c>
      <c r="N350" t="s">
        <v>15</v>
      </c>
    </row>
    <row r="351" spans="1:14" x14ac:dyDescent="0.2">
      <c r="A351" t="s">
        <v>119</v>
      </c>
      <c r="B351" t="s">
        <v>120</v>
      </c>
      <c r="C351" t="s">
        <v>112</v>
      </c>
      <c r="D351" t="s">
        <v>121</v>
      </c>
      <c r="E351" t="s">
        <v>53</v>
      </c>
      <c r="F351" t="s">
        <v>114</v>
      </c>
      <c r="G351">
        <v>122639</v>
      </c>
      <c r="H351" s="75">
        <v>42665</v>
      </c>
      <c r="I351" t="s">
        <v>115</v>
      </c>
      <c r="J351">
        <v>5000</v>
      </c>
      <c r="K351">
        <v>159.01499999999999</v>
      </c>
      <c r="L351">
        <v>31.4436</v>
      </c>
      <c r="M351">
        <v>14219.51</v>
      </c>
      <c r="N351" t="s">
        <v>15</v>
      </c>
    </row>
    <row r="352" spans="1:14" x14ac:dyDescent="0.2">
      <c r="A352" t="s">
        <v>119</v>
      </c>
      <c r="B352" t="s">
        <v>120</v>
      </c>
      <c r="C352" t="s">
        <v>112</v>
      </c>
      <c r="D352" t="s">
        <v>121</v>
      </c>
      <c r="E352" t="s">
        <v>53</v>
      </c>
      <c r="F352" t="s">
        <v>114</v>
      </c>
      <c r="G352">
        <v>122639</v>
      </c>
      <c r="H352" s="75">
        <v>42695</v>
      </c>
      <c r="I352" t="s">
        <v>115</v>
      </c>
      <c r="J352">
        <v>5000</v>
      </c>
      <c r="K352">
        <v>157.82900000000001</v>
      </c>
      <c r="L352">
        <v>31.6798</v>
      </c>
      <c r="M352">
        <v>14377.34</v>
      </c>
      <c r="N352" t="s">
        <v>15</v>
      </c>
    </row>
    <row r="353" spans="1:14" x14ac:dyDescent="0.2">
      <c r="A353" t="s">
        <v>119</v>
      </c>
      <c r="B353" t="s">
        <v>120</v>
      </c>
      <c r="C353" t="s">
        <v>112</v>
      </c>
      <c r="D353" t="s">
        <v>121</v>
      </c>
      <c r="E353" t="s">
        <v>53</v>
      </c>
      <c r="F353" t="s">
        <v>114</v>
      </c>
      <c r="G353">
        <v>122639</v>
      </c>
      <c r="H353" s="75">
        <v>42725</v>
      </c>
      <c r="I353" t="s">
        <v>115</v>
      </c>
      <c r="J353">
        <v>5000</v>
      </c>
      <c r="K353">
        <v>160.81100000000001</v>
      </c>
      <c r="L353">
        <v>31.092400000000001</v>
      </c>
      <c r="M353">
        <v>14538.151</v>
      </c>
      <c r="N353" t="s">
        <v>15</v>
      </c>
    </row>
    <row r="354" spans="1:14" x14ac:dyDescent="0.2">
      <c r="A354" t="s">
        <v>119</v>
      </c>
      <c r="B354" t="s">
        <v>120</v>
      </c>
      <c r="C354" t="s">
        <v>112</v>
      </c>
      <c r="D354" t="s">
        <v>121</v>
      </c>
      <c r="E354" t="s">
        <v>53</v>
      </c>
      <c r="F354" t="s">
        <v>114</v>
      </c>
      <c r="G354">
        <v>122639</v>
      </c>
      <c r="H354" s="75">
        <v>42755</v>
      </c>
      <c r="I354" t="s">
        <v>115</v>
      </c>
      <c r="J354">
        <v>5000</v>
      </c>
      <c r="K354">
        <v>161.94300000000001</v>
      </c>
      <c r="L354">
        <v>30.875</v>
      </c>
      <c r="M354">
        <v>14700.093999999999</v>
      </c>
      <c r="N354" t="s">
        <v>15</v>
      </c>
    </row>
    <row r="355" spans="1:14" x14ac:dyDescent="0.2">
      <c r="A355" t="s">
        <v>119</v>
      </c>
      <c r="B355" t="s">
        <v>120</v>
      </c>
      <c r="C355" t="s">
        <v>112</v>
      </c>
      <c r="D355" t="s">
        <v>121</v>
      </c>
      <c r="E355" t="s">
        <v>53</v>
      </c>
      <c r="F355" t="s">
        <v>114</v>
      </c>
      <c r="G355">
        <v>122639</v>
      </c>
      <c r="H355" s="75">
        <v>42785</v>
      </c>
      <c r="I355" t="s">
        <v>115</v>
      </c>
      <c r="J355">
        <v>5000</v>
      </c>
      <c r="K355">
        <v>159.11099999999999</v>
      </c>
      <c r="L355">
        <v>31.424700000000001</v>
      </c>
      <c r="M355">
        <v>14859.204</v>
      </c>
      <c r="N355" t="s">
        <v>15</v>
      </c>
    </row>
    <row r="356" spans="1:14" x14ac:dyDescent="0.2">
      <c r="A356" t="s">
        <v>119</v>
      </c>
      <c r="B356" t="s">
        <v>120</v>
      </c>
      <c r="C356" t="s">
        <v>112</v>
      </c>
      <c r="D356" t="s">
        <v>121</v>
      </c>
      <c r="E356" t="s">
        <v>53</v>
      </c>
      <c r="F356" t="s">
        <v>114</v>
      </c>
      <c r="G356">
        <v>122639</v>
      </c>
      <c r="H356" s="75">
        <v>42815</v>
      </c>
      <c r="I356" t="s">
        <v>115</v>
      </c>
      <c r="J356">
        <v>5000</v>
      </c>
      <c r="K356">
        <v>159.18600000000001</v>
      </c>
      <c r="L356">
        <v>31.409800000000001</v>
      </c>
      <c r="M356">
        <v>15018.391</v>
      </c>
      <c r="N356" t="s">
        <v>15</v>
      </c>
    </row>
    <row r="357" spans="1:14" x14ac:dyDescent="0.2">
      <c r="A357" t="s">
        <v>119</v>
      </c>
      <c r="B357" t="s">
        <v>120</v>
      </c>
      <c r="C357" t="s">
        <v>112</v>
      </c>
      <c r="D357" t="s">
        <v>121</v>
      </c>
      <c r="E357" t="s">
        <v>53</v>
      </c>
      <c r="F357" t="s">
        <v>114</v>
      </c>
      <c r="G357">
        <v>122639</v>
      </c>
      <c r="H357" s="75">
        <v>42845</v>
      </c>
      <c r="I357" t="s">
        <v>115</v>
      </c>
      <c r="J357">
        <v>5000</v>
      </c>
      <c r="K357">
        <v>159.864</v>
      </c>
      <c r="L357">
        <v>31.276499999999999</v>
      </c>
      <c r="M357">
        <v>15178.254999999999</v>
      </c>
      <c r="N357" t="s">
        <v>15</v>
      </c>
    </row>
    <row r="358" spans="1:14" x14ac:dyDescent="0.2">
      <c r="A358" t="s">
        <v>119</v>
      </c>
      <c r="B358" t="s">
        <v>120</v>
      </c>
      <c r="C358" t="s">
        <v>112</v>
      </c>
      <c r="D358" t="s">
        <v>121</v>
      </c>
      <c r="E358" t="s">
        <v>53</v>
      </c>
      <c r="F358" t="s">
        <v>114</v>
      </c>
      <c r="G358">
        <v>122639</v>
      </c>
      <c r="H358" s="75">
        <v>42875</v>
      </c>
      <c r="I358" t="s">
        <v>115</v>
      </c>
      <c r="J358">
        <v>5000</v>
      </c>
      <c r="K358">
        <v>155.77600000000001</v>
      </c>
      <c r="L358">
        <v>32.097299999999997</v>
      </c>
      <c r="M358">
        <v>15334.031000000001</v>
      </c>
      <c r="N358" t="s">
        <v>15</v>
      </c>
    </row>
    <row r="359" spans="1:14" x14ac:dyDescent="0.2">
      <c r="A359" t="s">
        <v>119</v>
      </c>
      <c r="B359" t="s">
        <v>120</v>
      </c>
      <c r="C359" t="s">
        <v>112</v>
      </c>
      <c r="D359" t="s">
        <v>121</v>
      </c>
      <c r="E359" t="s">
        <v>53</v>
      </c>
      <c r="F359" t="s">
        <v>114</v>
      </c>
      <c r="G359">
        <v>122639</v>
      </c>
      <c r="H359" s="75">
        <v>42905</v>
      </c>
      <c r="I359" t="s">
        <v>115</v>
      </c>
      <c r="J359">
        <v>5000</v>
      </c>
      <c r="K359">
        <v>157.34200000000001</v>
      </c>
      <c r="L359">
        <v>31.777899999999999</v>
      </c>
      <c r="M359">
        <v>15491.373</v>
      </c>
      <c r="N359" t="s">
        <v>15</v>
      </c>
    </row>
    <row r="360" spans="1:14" x14ac:dyDescent="0.2">
      <c r="A360" t="s">
        <v>119</v>
      </c>
      <c r="B360" t="s">
        <v>120</v>
      </c>
      <c r="C360" t="s">
        <v>112</v>
      </c>
      <c r="D360" t="s">
        <v>121</v>
      </c>
      <c r="E360" t="s">
        <v>53</v>
      </c>
      <c r="F360" t="s">
        <v>114</v>
      </c>
      <c r="G360">
        <v>122639</v>
      </c>
      <c r="H360" s="75">
        <v>42905</v>
      </c>
      <c r="I360" t="s">
        <v>116</v>
      </c>
      <c r="J360">
        <v>2.5</v>
      </c>
      <c r="K360">
        <v>0</v>
      </c>
      <c r="M360">
        <v>15491.373</v>
      </c>
      <c r="N360" t="s">
        <v>17</v>
      </c>
    </row>
    <row r="361" spans="1:14" x14ac:dyDescent="0.2">
      <c r="A361" t="s">
        <v>119</v>
      </c>
      <c r="B361" t="s">
        <v>120</v>
      </c>
      <c r="C361" t="s">
        <v>112</v>
      </c>
      <c r="D361" t="s">
        <v>121</v>
      </c>
      <c r="E361" t="s">
        <v>53</v>
      </c>
      <c r="F361" t="s">
        <v>114</v>
      </c>
      <c r="G361">
        <v>122639</v>
      </c>
      <c r="H361" s="75">
        <v>42935</v>
      </c>
      <c r="I361" t="s">
        <v>115</v>
      </c>
      <c r="J361">
        <v>5000</v>
      </c>
      <c r="K361">
        <v>153.642</v>
      </c>
      <c r="L361">
        <v>32.543100000000003</v>
      </c>
      <c r="M361">
        <v>15645.014999999999</v>
      </c>
      <c r="N361" t="s">
        <v>15</v>
      </c>
    </row>
    <row r="362" spans="1:14" x14ac:dyDescent="0.2">
      <c r="A362" t="s">
        <v>119</v>
      </c>
      <c r="B362" t="s">
        <v>120</v>
      </c>
      <c r="C362" t="s">
        <v>112</v>
      </c>
      <c r="D362" t="s">
        <v>121</v>
      </c>
      <c r="E362" t="s">
        <v>53</v>
      </c>
      <c r="F362" t="s">
        <v>114</v>
      </c>
      <c r="G362">
        <v>122639</v>
      </c>
      <c r="H362" s="75">
        <v>42965</v>
      </c>
      <c r="I362" t="s">
        <v>115</v>
      </c>
      <c r="J362">
        <v>5000</v>
      </c>
      <c r="K362">
        <v>150.232</v>
      </c>
      <c r="L362">
        <v>33.2819</v>
      </c>
      <c r="M362">
        <v>15795.246999999999</v>
      </c>
      <c r="N362" t="s">
        <v>15</v>
      </c>
    </row>
    <row r="363" spans="1:14" x14ac:dyDescent="0.2">
      <c r="A363" t="s">
        <v>119</v>
      </c>
      <c r="B363" t="s">
        <v>120</v>
      </c>
      <c r="C363" t="s">
        <v>112</v>
      </c>
      <c r="D363" t="s">
        <v>121</v>
      </c>
      <c r="E363" t="s">
        <v>53</v>
      </c>
      <c r="F363" t="s">
        <v>114</v>
      </c>
      <c r="G363">
        <v>122639</v>
      </c>
      <c r="H363" s="75">
        <v>42995</v>
      </c>
      <c r="I363" t="s">
        <v>115</v>
      </c>
      <c r="J363">
        <v>5000</v>
      </c>
      <c r="K363">
        <v>147.97499999999999</v>
      </c>
      <c r="L363">
        <v>33.789499999999997</v>
      </c>
      <c r="M363">
        <v>15943.222</v>
      </c>
      <c r="N363" t="s">
        <v>15</v>
      </c>
    </row>
    <row r="364" spans="1:14" x14ac:dyDescent="0.2">
      <c r="A364" t="s">
        <v>119</v>
      </c>
      <c r="B364" t="s">
        <v>120</v>
      </c>
      <c r="C364" t="s">
        <v>112</v>
      </c>
      <c r="D364" t="s">
        <v>121</v>
      </c>
      <c r="E364" t="s">
        <v>53</v>
      </c>
      <c r="F364" t="s">
        <v>114</v>
      </c>
      <c r="G364">
        <v>122639</v>
      </c>
      <c r="H364" s="75">
        <v>43025</v>
      </c>
      <c r="I364" t="s">
        <v>115</v>
      </c>
      <c r="J364">
        <v>5000</v>
      </c>
      <c r="K364">
        <v>147.34299999999999</v>
      </c>
      <c r="L364">
        <v>33.934399999999997</v>
      </c>
      <c r="M364">
        <v>16090.565000000001</v>
      </c>
      <c r="N364" t="s">
        <v>15</v>
      </c>
    </row>
    <row r="365" spans="1:14" x14ac:dyDescent="0.2">
      <c r="A365" t="s">
        <v>119</v>
      </c>
      <c r="B365" t="s">
        <v>120</v>
      </c>
      <c r="C365" t="s">
        <v>112</v>
      </c>
      <c r="D365" t="s">
        <v>121</v>
      </c>
      <c r="E365" t="s">
        <v>53</v>
      </c>
      <c r="F365" t="s">
        <v>114</v>
      </c>
      <c r="G365">
        <v>122639</v>
      </c>
      <c r="H365" s="75">
        <v>43055</v>
      </c>
      <c r="I365" t="s">
        <v>115</v>
      </c>
      <c r="J365">
        <v>5000</v>
      </c>
      <c r="K365">
        <v>149.095</v>
      </c>
      <c r="L365">
        <v>33.535699999999999</v>
      </c>
      <c r="M365">
        <v>16239.66</v>
      </c>
      <c r="N365" t="s">
        <v>15</v>
      </c>
    </row>
    <row r="366" spans="1:14" x14ac:dyDescent="0.2">
      <c r="A366" t="s">
        <v>119</v>
      </c>
      <c r="B366" t="s">
        <v>120</v>
      </c>
      <c r="C366" t="s">
        <v>112</v>
      </c>
      <c r="D366" t="s">
        <v>121</v>
      </c>
      <c r="E366" t="s">
        <v>53</v>
      </c>
      <c r="F366" t="s">
        <v>114</v>
      </c>
      <c r="G366">
        <v>122639</v>
      </c>
      <c r="H366" s="75">
        <v>43085</v>
      </c>
      <c r="I366" t="s">
        <v>115</v>
      </c>
      <c r="J366">
        <v>5000</v>
      </c>
      <c r="K366">
        <v>144.898</v>
      </c>
      <c r="L366">
        <v>34.506999999999998</v>
      </c>
      <c r="M366">
        <v>16384.559000000001</v>
      </c>
      <c r="N366" t="s">
        <v>15</v>
      </c>
    </row>
    <row r="367" spans="1:14" x14ac:dyDescent="0.2">
      <c r="A367" t="s">
        <v>119</v>
      </c>
      <c r="B367" t="s">
        <v>120</v>
      </c>
      <c r="C367" t="s">
        <v>112</v>
      </c>
      <c r="D367" t="s">
        <v>121</v>
      </c>
      <c r="E367" t="s">
        <v>53</v>
      </c>
      <c r="F367" t="s">
        <v>114</v>
      </c>
      <c r="G367">
        <v>122639</v>
      </c>
      <c r="H367" s="75">
        <v>43115</v>
      </c>
      <c r="I367" t="s">
        <v>115</v>
      </c>
      <c r="J367">
        <v>5000</v>
      </c>
      <c r="K367">
        <v>142.86000000000001</v>
      </c>
      <c r="L367">
        <v>34.999400000000001</v>
      </c>
      <c r="M367">
        <v>16527.418000000001</v>
      </c>
      <c r="N367" t="s">
        <v>15</v>
      </c>
    </row>
    <row r="368" spans="1:14" x14ac:dyDescent="0.2">
      <c r="A368" t="s">
        <v>119</v>
      </c>
      <c r="B368" t="s">
        <v>120</v>
      </c>
      <c r="C368" t="s">
        <v>112</v>
      </c>
      <c r="D368" t="s">
        <v>121</v>
      </c>
      <c r="E368" t="s">
        <v>53</v>
      </c>
      <c r="F368" t="s">
        <v>114</v>
      </c>
      <c r="G368">
        <v>122639</v>
      </c>
      <c r="H368" s="75">
        <v>43145</v>
      </c>
      <c r="I368" t="s">
        <v>115</v>
      </c>
      <c r="J368">
        <v>5000</v>
      </c>
      <c r="K368">
        <v>143.625</v>
      </c>
      <c r="L368">
        <v>34.812899999999999</v>
      </c>
      <c r="M368">
        <v>16671.043000000001</v>
      </c>
      <c r="N368" t="s">
        <v>15</v>
      </c>
    </row>
    <row r="369" spans="1:15" x14ac:dyDescent="0.2">
      <c r="A369" t="s">
        <v>119</v>
      </c>
      <c r="B369" t="s">
        <v>120</v>
      </c>
      <c r="C369" t="s">
        <v>112</v>
      </c>
      <c r="D369" t="s">
        <v>121</v>
      </c>
      <c r="E369" t="s">
        <v>53</v>
      </c>
      <c r="F369" t="s">
        <v>114</v>
      </c>
      <c r="G369">
        <v>122639</v>
      </c>
      <c r="H369" s="75">
        <v>43145</v>
      </c>
      <c r="I369" t="s">
        <v>117</v>
      </c>
      <c r="J369">
        <v>2.5</v>
      </c>
      <c r="K369">
        <v>0</v>
      </c>
      <c r="M369">
        <v>16671.043000000001</v>
      </c>
      <c r="N369" t="s">
        <v>46</v>
      </c>
    </row>
    <row r="370" spans="1:15" x14ac:dyDescent="0.2">
      <c r="A370" t="s">
        <v>119</v>
      </c>
      <c r="B370" t="s">
        <v>120</v>
      </c>
      <c r="C370" t="s">
        <v>112</v>
      </c>
      <c r="D370" t="s">
        <v>121</v>
      </c>
      <c r="E370" t="s">
        <v>53</v>
      </c>
      <c r="F370" t="s">
        <v>114</v>
      </c>
      <c r="G370">
        <v>122639</v>
      </c>
      <c r="H370" s="75">
        <v>43175</v>
      </c>
      <c r="I370" t="s">
        <v>115</v>
      </c>
      <c r="J370">
        <v>5000</v>
      </c>
      <c r="K370">
        <v>145.50399999999999</v>
      </c>
      <c r="L370">
        <v>34.363399999999999</v>
      </c>
      <c r="M370">
        <v>16816.546999999999</v>
      </c>
      <c r="N370" t="s">
        <v>15</v>
      </c>
    </row>
    <row r="371" spans="1:15" x14ac:dyDescent="0.2">
      <c r="A371" t="s">
        <v>119</v>
      </c>
      <c r="B371" t="s">
        <v>120</v>
      </c>
      <c r="C371" t="s">
        <v>112</v>
      </c>
      <c r="D371" t="s">
        <v>121</v>
      </c>
      <c r="E371" t="s">
        <v>53</v>
      </c>
      <c r="F371" t="s">
        <v>114</v>
      </c>
      <c r="G371">
        <v>122639</v>
      </c>
      <c r="H371" s="75">
        <v>43205</v>
      </c>
      <c r="I371" t="s">
        <v>115</v>
      </c>
      <c r="J371">
        <v>5000</v>
      </c>
      <c r="K371">
        <v>148.40199999999999</v>
      </c>
      <c r="L371">
        <v>33.6922</v>
      </c>
      <c r="M371">
        <v>16964.949000000001</v>
      </c>
      <c r="N371" t="s">
        <v>15</v>
      </c>
    </row>
    <row r="372" spans="1:15" x14ac:dyDescent="0.2">
      <c r="A372" t="s">
        <v>119</v>
      </c>
      <c r="B372" t="s">
        <v>120</v>
      </c>
      <c r="C372" t="s">
        <v>112</v>
      </c>
      <c r="D372" t="s">
        <v>121</v>
      </c>
      <c r="E372" t="s">
        <v>53</v>
      </c>
      <c r="F372" t="s">
        <v>114</v>
      </c>
      <c r="G372">
        <v>122639</v>
      </c>
      <c r="H372" s="75">
        <v>43205</v>
      </c>
      <c r="I372" t="s">
        <v>117</v>
      </c>
      <c r="J372">
        <v>2.5</v>
      </c>
      <c r="K372">
        <v>0</v>
      </c>
      <c r="M372">
        <v>16964.949000000001</v>
      </c>
      <c r="N372" t="s">
        <v>46</v>
      </c>
    </row>
    <row r="373" spans="1:15" x14ac:dyDescent="0.2">
      <c r="A373" t="s">
        <v>119</v>
      </c>
      <c r="B373" t="s">
        <v>120</v>
      </c>
      <c r="C373" t="s">
        <v>112</v>
      </c>
      <c r="D373" t="s">
        <v>121</v>
      </c>
      <c r="E373" t="s">
        <v>53</v>
      </c>
      <c r="F373" t="s">
        <v>114</v>
      </c>
      <c r="G373">
        <v>122639</v>
      </c>
      <c r="H373" s="75">
        <v>43235</v>
      </c>
      <c r="I373" t="s">
        <v>115</v>
      </c>
      <c r="J373">
        <v>5000</v>
      </c>
      <c r="K373">
        <v>148.095</v>
      </c>
      <c r="L373">
        <v>33.762</v>
      </c>
      <c r="M373">
        <v>17113.044000000002</v>
      </c>
      <c r="N373" t="s">
        <v>15</v>
      </c>
    </row>
    <row r="374" spans="1:15" x14ac:dyDescent="0.2">
      <c r="A374" t="s">
        <v>119</v>
      </c>
      <c r="B374" t="s">
        <v>120</v>
      </c>
      <c r="C374" t="s">
        <v>112</v>
      </c>
      <c r="D374" t="s">
        <v>121</v>
      </c>
      <c r="E374" t="s">
        <v>53</v>
      </c>
      <c r="F374" t="s">
        <v>114</v>
      </c>
      <c r="G374">
        <v>122639</v>
      </c>
      <c r="H374" s="75">
        <v>43265</v>
      </c>
      <c r="I374" t="s">
        <v>115</v>
      </c>
      <c r="J374">
        <v>5000</v>
      </c>
      <c r="K374">
        <v>143.84100000000001</v>
      </c>
      <c r="L374">
        <v>34.7607</v>
      </c>
      <c r="M374">
        <v>17256.884999999998</v>
      </c>
      <c r="N374" t="s">
        <v>15</v>
      </c>
    </row>
    <row r="375" spans="1:15" x14ac:dyDescent="0.2">
      <c r="A375" t="s">
        <v>119</v>
      </c>
      <c r="B375" t="s">
        <v>120</v>
      </c>
      <c r="C375" t="s">
        <v>112</v>
      </c>
      <c r="D375" t="s">
        <v>121</v>
      </c>
      <c r="E375" t="s">
        <v>53</v>
      </c>
      <c r="F375" t="s">
        <v>114</v>
      </c>
      <c r="G375">
        <v>122639</v>
      </c>
      <c r="H375" s="75">
        <v>43295</v>
      </c>
      <c r="I375" t="s">
        <v>115</v>
      </c>
      <c r="J375">
        <v>5000</v>
      </c>
      <c r="K375">
        <v>141.30199999999999</v>
      </c>
      <c r="L375">
        <v>35.385100000000001</v>
      </c>
      <c r="M375">
        <v>17398.187999999998</v>
      </c>
      <c r="N375" t="s">
        <v>15</v>
      </c>
    </row>
    <row r="376" spans="1:15" x14ac:dyDescent="0.2">
      <c r="A376" t="s">
        <v>119</v>
      </c>
      <c r="B376" t="s">
        <v>120</v>
      </c>
      <c r="C376" t="s">
        <v>112</v>
      </c>
      <c r="D376" t="s">
        <v>121</v>
      </c>
      <c r="E376" t="s">
        <v>53</v>
      </c>
      <c r="F376" t="s">
        <v>114</v>
      </c>
      <c r="G376">
        <v>122639</v>
      </c>
      <c r="H376" s="75">
        <v>43325</v>
      </c>
      <c r="I376" t="s">
        <v>115</v>
      </c>
      <c r="J376">
        <v>5000</v>
      </c>
      <c r="K376">
        <v>142.08799999999999</v>
      </c>
      <c r="L376">
        <v>35.189399999999999</v>
      </c>
      <c r="M376">
        <v>17540.276000000002</v>
      </c>
      <c r="N376" t="s">
        <v>15</v>
      </c>
    </row>
    <row r="377" spans="1:15" x14ac:dyDescent="0.2">
      <c r="A377" t="s">
        <v>119</v>
      </c>
      <c r="B377" t="s">
        <v>120</v>
      </c>
      <c r="C377" t="s">
        <v>112</v>
      </c>
      <c r="D377" t="s">
        <v>121</v>
      </c>
      <c r="E377" t="s">
        <v>53</v>
      </c>
      <c r="F377" t="s">
        <v>114</v>
      </c>
      <c r="G377">
        <v>122639</v>
      </c>
      <c r="H377" s="75">
        <v>43355</v>
      </c>
      <c r="I377" t="s">
        <v>115</v>
      </c>
      <c r="J377">
        <v>5000</v>
      </c>
      <c r="K377">
        <v>141.15</v>
      </c>
      <c r="L377">
        <v>35.423400000000001</v>
      </c>
      <c r="M377">
        <v>17681.424999999999</v>
      </c>
      <c r="N377" t="s">
        <v>15</v>
      </c>
    </row>
    <row r="378" spans="1:15" x14ac:dyDescent="0.2">
      <c r="A378" t="s">
        <v>119</v>
      </c>
      <c r="B378" t="s">
        <v>120</v>
      </c>
      <c r="C378" t="s">
        <v>112</v>
      </c>
      <c r="D378" t="s">
        <v>121</v>
      </c>
      <c r="E378" t="s">
        <v>53</v>
      </c>
      <c r="F378" t="s">
        <v>114</v>
      </c>
      <c r="G378">
        <v>122639</v>
      </c>
      <c r="H378" s="75">
        <v>43355</v>
      </c>
      <c r="I378" t="s">
        <v>116</v>
      </c>
      <c r="J378">
        <v>2.5</v>
      </c>
      <c r="K378">
        <v>0</v>
      </c>
      <c r="M378">
        <v>17681.424999999999</v>
      </c>
      <c r="N378" t="s">
        <v>17</v>
      </c>
    </row>
    <row r="379" spans="1:15" x14ac:dyDescent="0.2">
      <c r="A379" t="s">
        <v>119</v>
      </c>
      <c r="B379" t="s">
        <v>120</v>
      </c>
      <c r="C379" t="s">
        <v>112</v>
      </c>
      <c r="D379" t="s">
        <v>121</v>
      </c>
      <c r="E379" t="s">
        <v>53</v>
      </c>
      <c r="F379" t="s">
        <v>114</v>
      </c>
      <c r="G379">
        <v>122639</v>
      </c>
      <c r="H379" s="75">
        <v>43385</v>
      </c>
      <c r="I379" t="s">
        <v>115</v>
      </c>
      <c r="J379">
        <v>5000</v>
      </c>
      <c r="K379">
        <v>143.833</v>
      </c>
      <c r="L379">
        <v>34.7624</v>
      </c>
      <c r="M379">
        <v>17825.258999999998</v>
      </c>
      <c r="N379" t="s">
        <v>15</v>
      </c>
    </row>
    <row r="380" spans="1:15" x14ac:dyDescent="0.2">
      <c r="A380" t="s">
        <v>119</v>
      </c>
      <c r="B380" t="s">
        <v>120</v>
      </c>
      <c r="C380" t="s">
        <v>112</v>
      </c>
      <c r="D380" t="s">
        <v>121</v>
      </c>
      <c r="E380" t="s">
        <v>53</v>
      </c>
      <c r="F380" t="s">
        <v>114</v>
      </c>
      <c r="G380">
        <v>122639</v>
      </c>
      <c r="H380" s="75">
        <v>43385</v>
      </c>
      <c r="I380" t="s">
        <v>118</v>
      </c>
      <c r="J380">
        <v>8912.6299999999992</v>
      </c>
      <c r="K380">
        <v>0</v>
      </c>
      <c r="M380">
        <v>17825.258999999998</v>
      </c>
      <c r="N380" t="s">
        <v>19</v>
      </c>
      <c r="O380">
        <v>8912.6299999999992</v>
      </c>
    </row>
    <row r="381" spans="1:15" x14ac:dyDescent="0.2">
      <c r="A381" t="s">
        <v>119</v>
      </c>
      <c r="B381" t="s">
        <v>120</v>
      </c>
      <c r="C381" t="s">
        <v>112</v>
      </c>
      <c r="D381" t="s">
        <v>121</v>
      </c>
      <c r="E381" t="s">
        <v>53</v>
      </c>
      <c r="F381" t="s">
        <v>114</v>
      </c>
      <c r="G381">
        <v>122639</v>
      </c>
      <c r="H381" s="75">
        <v>43415</v>
      </c>
      <c r="I381" t="s">
        <v>115</v>
      </c>
      <c r="J381">
        <v>5000</v>
      </c>
      <c r="K381">
        <v>140.38300000000001</v>
      </c>
      <c r="L381">
        <v>35.616900000000001</v>
      </c>
      <c r="M381">
        <v>17965.641</v>
      </c>
      <c r="N381" t="s">
        <v>15</v>
      </c>
    </row>
    <row r="382" spans="1:15" x14ac:dyDescent="0.2">
      <c r="A382" t="s">
        <v>119</v>
      </c>
      <c r="B382" t="s">
        <v>120</v>
      </c>
      <c r="C382" t="s">
        <v>112</v>
      </c>
      <c r="D382" t="s">
        <v>121</v>
      </c>
      <c r="E382" t="s">
        <v>53</v>
      </c>
      <c r="F382" t="s">
        <v>114</v>
      </c>
      <c r="G382">
        <v>122639</v>
      </c>
      <c r="H382" s="75">
        <v>43445</v>
      </c>
      <c r="I382" t="s">
        <v>115</v>
      </c>
      <c r="J382">
        <v>5000</v>
      </c>
      <c r="K382">
        <v>139.886</v>
      </c>
      <c r="L382">
        <v>35.743400000000001</v>
      </c>
      <c r="M382">
        <v>18105.526999999998</v>
      </c>
      <c r="N382" t="s">
        <v>15</v>
      </c>
    </row>
    <row r="383" spans="1:15" x14ac:dyDescent="0.2">
      <c r="A383" t="s">
        <v>119</v>
      </c>
      <c r="B383" t="s">
        <v>120</v>
      </c>
      <c r="C383" t="s">
        <v>112</v>
      </c>
      <c r="D383" t="s">
        <v>121</v>
      </c>
      <c r="E383" t="s">
        <v>53</v>
      </c>
      <c r="F383" t="s">
        <v>114</v>
      </c>
      <c r="G383">
        <v>122639</v>
      </c>
      <c r="H383" s="75">
        <v>43445</v>
      </c>
      <c r="I383" t="s">
        <v>117</v>
      </c>
      <c r="J383">
        <v>2.5</v>
      </c>
      <c r="K383">
        <v>0</v>
      </c>
      <c r="M383">
        <v>18105.526999999998</v>
      </c>
      <c r="N383" t="s">
        <v>46</v>
      </c>
    </row>
    <row r="384" spans="1:15" x14ac:dyDescent="0.2">
      <c r="A384" t="s">
        <v>119</v>
      </c>
      <c r="B384" t="s">
        <v>120</v>
      </c>
      <c r="C384" t="s">
        <v>112</v>
      </c>
      <c r="D384" t="s">
        <v>121</v>
      </c>
      <c r="E384" t="s">
        <v>53</v>
      </c>
      <c r="F384" t="s">
        <v>114</v>
      </c>
      <c r="G384">
        <v>122639</v>
      </c>
      <c r="H384" s="75">
        <v>43475</v>
      </c>
      <c r="I384" t="s">
        <v>115</v>
      </c>
      <c r="J384">
        <v>5000</v>
      </c>
      <c r="K384">
        <v>136.78899999999999</v>
      </c>
      <c r="L384">
        <v>36.552599999999998</v>
      </c>
      <c r="M384">
        <v>18242.316999999999</v>
      </c>
      <c r="N384" t="s">
        <v>15</v>
      </c>
    </row>
    <row r="385" spans="1:14" x14ac:dyDescent="0.2">
      <c r="A385" t="s">
        <v>119</v>
      </c>
      <c r="B385" t="s">
        <v>120</v>
      </c>
      <c r="C385" t="s">
        <v>112</v>
      </c>
      <c r="D385" t="s">
        <v>121</v>
      </c>
      <c r="E385" t="s">
        <v>53</v>
      </c>
      <c r="F385" t="s">
        <v>114</v>
      </c>
      <c r="G385">
        <v>122639</v>
      </c>
      <c r="H385" s="75">
        <v>43475</v>
      </c>
      <c r="I385" t="s">
        <v>117</v>
      </c>
      <c r="J385">
        <v>2.5</v>
      </c>
      <c r="K385">
        <v>0</v>
      </c>
      <c r="M385">
        <v>18242.316999999999</v>
      </c>
      <c r="N385" t="s">
        <v>46</v>
      </c>
    </row>
    <row r="386" spans="1:14" x14ac:dyDescent="0.2">
      <c r="A386" t="s">
        <v>119</v>
      </c>
      <c r="B386" t="s">
        <v>120</v>
      </c>
      <c r="C386" t="s">
        <v>112</v>
      </c>
      <c r="D386" t="s">
        <v>121</v>
      </c>
      <c r="E386" t="s">
        <v>53</v>
      </c>
      <c r="F386" t="s">
        <v>114</v>
      </c>
      <c r="G386">
        <v>122639</v>
      </c>
      <c r="H386" s="75">
        <v>43505</v>
      </c>
      <c r="I386" t="s">
        <v>115</v>
      </c>
      <c r="J386">
        <v>5000</v>
      </c>
      <c r="K386">
        <v>135.73400000000001</v>
      </c>
      <c r="L386">
        <v>36.836799999999997</v>
      </c>
      <c r="M386">
        <v>18378.05</v>
      </c>
      <c r="N386" t="s">
        <v>15</v>
      </c>
    </row>
    <row r="387" spans="1:14" x14ac:dyDescent="0.2">
      <c r="A387" t="s">
        <v>119</v>
      </c>
      <c r="B387" t="s">
        <v>120</v>
      </c>
      <c r="C387" t="s">
        <v>112</v>
      </c>
      <c r="D387" t="s">
        <v>121</v>
      </c>
      <c r="E387" t="s">
        <v>53</v>
      </c>
      <c r="F387" t="s">
        <v>114</v>
      </c>
      <c r="G387">
        <v>122639</v>
      </c>
      <c r="H387" s="75">
        <v>43505</v>
      </c>
      <c r="I387" t="s">
        <v>25</v>
      </c>
      <c r="J387">
        <v>-135397.59</v>
      </c>
      <c r="K387">
        <v>-3675.61</v>
      </c>
      <c r="L387">
        <v>36.836799999999997</v>
      </c>
      <c r="M387">
        <v>14702.44</v>
      </c>
      <c r="N387" t="s">
        <v>16</v>
      </c>
    </row>
    <row r="388" spans="1:14" x14ac:dyDescent="0.2">
      <c r="A388" t="s">
        <v>119</v>
      </c>
      <c r="B388" t="s">
        <v>120</v>
      </c>
      <c r="C388" t="s">
        <v>112</v>
      </c>
      <c r="D388" t="s">
        <v>121</v>
      </c>
      <c r="E388" t="s">
        <v>53</v>
      </c>
      <c r="F388" t="s">
        <v>114</v>
      </c>
      <c r="G388">
        <v>122639</v>
      </c>
      <c r="H388" s="75">
        <v>43535</v>
      </c>
      <c r="I388" t="s">
        <v>115</v>
      </c>
      <c r="J388">
        <v>5000</v>
      </c>
      <c r="K388">
        <v>133.82499999999999</v>
      </c>
      <c r="L388">
        <v>37.362299999999998</v>
      </c>
      <c r="M388">
        <v>14836.264999999999</v>
      </c>
      <c r="N388" t="s">
        <v>15</v>
      </c>
    </row>
    <row r="389" spans="1:14" x14ac:dyDescent="0.2">
      <c r="A389" t="s">
        <v>119</v>
      </c>
      <c r="B389" t="s">
        <v>120</v>
      </c>
      <c r="C389" t="s">
        <v>112</v>
      </c>
      <c r="D389" t="s">
        <v>121</v>
      </c>
      <c r="E389" t="s">
        <v>53</v>
      </c>
      <c r="F389" t="s">
        <v>114</v>
      </c>
      <c r="G389">
        <v>122639</v>
      </c>
      <c r="H389" s="75">
        <v>43565</v>
      </c>
      <c r="I389" t="s">
        <v>115</v>
      </c>
      <c r="J389">
        <v>5000</v>
      </c>
      <c r="K389">
        <v>132.66399999999999</v>
      </c>
      <c r="L389">
        <v>37.689100000000003</v>
      </c>
      <c r="M389">
        <v>14968.93</v>
      </c>
      <c r="N389" t="s">
        <v>15</v>
      </c>
    </row>
    <row r="390" spans="1:14" x14ac:dyDescent="0.2">
      <c r="A390" t="s">
        <v>119</v>
      </c>
      <c r="B390" t="s">
        <v>120</v>
      </c>
      <c r="C390" t="s">
        <v>112</v>
      </c>
      <c r="D390" t="s">
        <v>121</v>
      </c>
      <c r="E390" t="s">
        <v>53</v>
      </c>
      <c r="F390" t="s">
        <v>114</v>
      </c>
      <c r="G390">
        <v>122639</v>
      </c>
      <c r="H390" s="75">
        <v>43595</v>
      </c>
      <c r="I390" t="s">
        <v>115</v>
      </c>
      <c r="J390">
        <v>5000</v>
      </c>
      <c r="K390">
        <v>135.03200000000001</v>
      </c>
      <c r="L390">
        <v>37.028399999999998</v>
      </c>
      <c r="M390">
        <v>15103.960999999999</v>
      </c>
      <c r="N390" t="s">
        <v>15</v>
      </c>
    </row>
    <row r="391" spans="1:14" x14ac:dyDescent="0.2">
      <c r="A391" t="s">
        <v>119</v>
      </c>
      <c r="B391" t="s">
        <v>120</v>
      </c>
      <c r="C391" t="s">
        <v>112</v>
      </c>
      <c r="D391" t="s">
        <v>121</v>
      </c>
      <c r="E391" t="s">
        <v>53</v>
      </c>
      <c r="F391" t="s">
        <v>114</v>
      </c>
      <c r="G391">
        <v>122639</v>
      </c>
      <c r="H391" s="75">
        <v>43625</v>
      </c>
      <c r="I391" t="s">
        <v>115</v>
      </c>
      <c r="J391">
        <v>5000</v>
      </c>
      <c r="K391">
        <v>132.36600000000001</v>
      </c>
      <c r="L391">
        <v>37.774000000000001</v>
      </c>
      <c r="M391">
        <v>15236.326999999999</v>
      </c>
      <c r="N391" t="s">
        <v>15</v>
      </c>
    </row>
    <row r="392" spans="1:14" x14ac:dyDescent="0.2">
      <c r="A392" t="s">
        <v>119</v>
      </c>
      <c r="B392" t="s">
        <v>120</v>
      </c>
      <c r="C392" t="s">
        <v>112</v>
      </c>
      <c r="D392" t="s">
        <v>121</v>
      </c>
      <c r="E392" t="s">
        <v>53</v>
      </c>
      <c r="F392" t="s">
        <v>114</v>
      </c>
      <c r="G392">
        <v>122639</v>
      </c>
      <c r="H392" s="75">
        <v>43655</v>
      </c>
      <c r="I392" t="s">
        <v>115</v>
      </c>
      <c r="J392">
        <v>5000</v>
      </c>
      <c r="K392">
        <v>130.80099999999999</v>
      </c>
      <c r="L392">
        <v>38.226100000000002</v>
      </c>
      <c r="M392">
        <v>15367.128000000001</v>
      </c>
      <c r="N392" t="s">
        <v>15</v>
      </c>
    </row>
    <row r="393" spans="1:14" x14ac:dyDescent="0.2">
      <c r="A393" t="s">
        <v>119</v>
      </c>
      <c r="B393" t="s">
        <v>120</v>
      </c>
      <c r="C393" t="s">
        <v>112</v>
      </c>
      <c r="D393" t="s">
        <v>121</v>
      </c>
      <c r="E393" t="s">
        <v>53</v>
      </c>
      <c r="F393" t="s">
        <v>114</v>
      </c>
      <c r="G393">
        <v>122639</v>
      </c>
      <c r="H393" s="75">
        <v>43685</v>
      </c>
      <c r="I393" t="s">
        <v>115</v>
      </c>
      <c r="J393">
        <v>5000</v>
      </c>
      <c r="K393">
        <v>133.136</v>
      </c>
      <c r="L393">
        <v>37.555700000000002</v>
      </c>
      <c r="M393">
        <v>15500.263999999999</v>
      </c>
      <c r="N393" t="s">
        <v>15</v>
      </c>
    </row>
    <row r="394" spans="1:14" x14ac:dyDescent="0.2">
      <c r="A394" t="s">
        <v>119</v>
      </c>
      <c r="B394" t="s">
        <v>120</v>
      </c>
      <c r="C394" t="s">
        <v>112</v>
      </c>
      <c r="D394" t="s">
        <v>121</v>
      </c>
      <c r="E394" t="s">
        <v>53</v>
      </c>
      <c r="F394" t="s">
        <v>114</v>
      </c>
      <c r="G394">
        <v>122639</v>
      </c>
      <c r="H394" s="75">
        <v>43715</v>
      </c>
      <c r="I394" t="s">
        <v>115</v>
      </c>
      <c r="J394">
        <v>5000</v>
      </c>
      <c r="K394">
        <v>130.97300000000001</v>
      </c>
      <c r="L394">
        <v>38.175699999999999</v>
      </c>
      <c r="M394">
        <v>15631.236999999999</v>
      </c>
      <c r="N394" t="s">
        <v>15</v>
      </c>
    </row>
    <row r="395" spans="1:14" x14ac:dyDescent="0.2">
      <c r="A395" t="s">
        <v>119</v>
      </c>
      <c r="B395" t="s">
        <v>120</v>
      </c>
      <c r="C395" t="s">
        <v>112</v>
      </c>
      <c r="D395" t="s">
        <v>121</v>
      </c>
      <c r="E395" t="s">
        <v>53</v>
      </c>
      <c r="F395" t="s">
        <v>114</v>
      </c>
      <c r="G395">
        <v>122639</v>
      </c>
      <c r="H395" s="75">
        <v>43745</v>
      </c>
      <c r="I395" t="s">
        <v>115</v>
      </c>
      <c r="J395">
        <v>5000</v>
      </c>
      <c r="K395">
        <v>129.34700000000001</v>
      </c>
      <c r="L395">
        <v>38.655700000000003</v>
      </c>
      <c r="M395">
        <v>15760.584000000001</v>
      </c>
      <c r="N395" t="s">
        <v>15</v>
      </c>
    </row>
    <row r="396" spans="1:14" x14ac:dyDescent="0.2">
      <c r="A396" t="s">
        <v>119</v>
      </c>
      <c r="B396" t="s">
        <v>120</v>
      </c>
      <c r="C396" t="s">
        <v>112</v>
      </c>
      <c r="D396" t="s">
        <v>121</v>
      </c>
      <c r="E396" t="s">
        <v>53</v>
      </c>
      <c r="F396" t="s">
        <v>114</v>
      </c>
      <c r="G396">
        <v>122639</v>
      </c>
      <c r="H396" s="75">
        <v>43775</v>
      </c>
      <c r="I396" t="s">
        <v>115</v>
      </c>
      <c r="J396">
        <v>5000</v>
      </c>
      <c r="K396">
        <v>125.866</v>
      </c>
      <c r="L396">
        <v>39.724600000000002</v>
      </c>
      <c r="M396">
        <v>15886.45</v>
      </c>
      <c r="N396" t="s">
        <v>15</v>
      </c>
    </row>
    <row r="397" spans="1:14" x14ac:dyDescent="0.2">
      <c r="A397" t="s">
        <v>119</v>
      </c>
      <c r="B397" t="s">
        <v>120</v>
      </c>
      <c r="C397" t="s">
        <v>112</v>
      </c>
      <c r="D397" t="s">
        <v>121</v>
      </c>
      <c r="E397" t="s">
        <v>53</v>
      </c>
      <c r="F397" t="s">
        <v>114</v>
      </c>
      <c r="G397">
        <v>122639</v>
      </c>
      <c r="H397" s="75">
        <v>43805</v>
      </c>
      <c r="I397" t="s">
        <v>115</v>
      </c>
      <c r="J397">
        <v>5000</v>
      </c>
      <c r="K397">
        <v>126.488</v>
      </c>
      <c r="L397">
        <v>39.529400000000003</v>
      </c>
      <c r="M397">
        <v>16012.938</v>
      </c>
      <c r="N397" t="s">
        <v>15</v>
      </c>
    </row>
    <row r="398" spans="1:14" x14ac:dyDescent="0.2">
      <c r="A398" t="s">
        <v>119</v>
      </c>
      <c r="B398" t="s">
        <v>120</v>
      </c>
      <c r="C398" t="s">
        <v>112</v>
      </c>
      <c r="D398" t="s">
        <v>121</v>
      </c>
      <c r="E398" t="s">
        <v>53</v>
      </c>
      <c r="F398" t="s">
        <v>114</v>
      </c>
      <c r="G398">
        <v>122639</v>
      </c>
      <c r="H398" s="75">
        <v>43835</v>
      </c>
      <c r="I398" t="s">
        <v>115</v>
      </c>
      <c r="J398">
        <v>5000</v>
      </c>
      <c r="K398">
        <v>123.23699999999999</v>
      </c>
      <c r="L398">
        <v>40.572299999999998</v>
      </c>
      <c r="M398">
        <v>16136.174999999999</v>
      </c>
      <c r="N398" t="s">
        <v>15</v>
      </c>
    </row>
    <row r="399" spans="1:14" x14ac:dyDescent="0.2">
      <c r="A399" t="s">
        <v>119</v>
      </c>
      <c r="B399" t="s">
        <v>120</v>
      </c>
      <c r="C399" t="s">
        <v>112</v>
      </c>
      <c r="D399" t="s">
        <v>121</v>
      </c>
      <c r="E399" t="s">
        <v>53</v>
      </c>
      <c r="F399" t="s">
        <v>114</v>
      </c>
      <c r="G399">
        <v>122639</v>
      </c>
      <c r="H399" s="75">
        <v>43865</v>
      </c>
      <c r="I399" t="s">
        <v>115</v>
      </c>
      <c r="J399">
        <v>5000</v>
      </c>
      <c r="K399">
        <v>123.774</v>
      </c>
      <c r="L399">
        <v>40.3962</v>
      </c>
      <c r="M399">
        <v>16259.949000000001</v>
      </c>
      <c r="N399" t="s">
        <v>15</v>
      </c>
    </row>
    <row r="400" spans="1:14" x14ac:dyDescent="0.2">
      <c r="A400" t="s">
        <v>119</v>
      </c>
      <c r="B400" t="s">
        <v>120</v>
      </c>
      <c r="C400" t="s">
        <v>112</v>
      </c>
      <c r="D400" t="s">
        <v>121</v>
      </c>
      <c r="E400" t="s">
        <v>53</v>
      </c>
      <c r="F400" t="s">
        <v>114</v>
      </c>
      <c r="G400">
        <v>122639</v>
      </c>
      <c r="H400" s="75">
        <v>43895</v>
      </c>
      <c r="I400" t="s">
        <v>115</v>
      </c>
      <c r="J400">
        <v>5000</v>
      </c>
      <c r="K400">
        <v>124.21299999999999</v>
      </c>
      <c r="L400">
        <v>40.253300000000003</v>
      </c>
      <c r="M400">
        <v>16384.162</v>
      </c>
      <c r="N400" t="s">
        <v>15</v>
      </c>
    </row>
    <row r="401" spans="1:15" x14ac:dyDescent="0.2">
      <c r="A401" t="s">
        <v>119</v>
      </c>
      <c r="B401" t="s">
        <v>120</v>
      </c>
      <c r="C401" t="s">
        <v>112</v>
      </c>
      <c r="D401" t="s">
        <v>121</v>
      </c>
      <c r="E401" t="s">
        <v>53</v>
      </c>
      <c r="F401" t="s">
        <v>114</v>
      </c>
      <c r="G401">
        <v>122639</v>
      </c>
      <c r="H401" s="75">
        <v>43895</v>
      </c>
      <c r="I401" t="s">
        <v>118</v>
      </c>
      <c r="J401">
        <v>8192.08</v>
      </c>
      <c r="K401">
        <v>0</v>
      </c>
      <c r="M401">
        <v>16384.162</v>
      </c>
      <c r="N401" t="s">
        <v>19</v>
      </c>
      <c r="O401">
        <v>8192.08</v>
      </c>
    </row>
    <row r="402" spans="1:15" x14ac:dyDescent="0.2">
      <c r="A402" t="s">
        <v>119</v>
      </c>
      <c r="B402" t="s">
        <v>120</v>
      </c>
      <c r="C402" t="s">
        <v>112</v>
      </c>
      <c r="D402" t="s">
        <v>121</v>
      </c>
      <c r="E402" t="s">
        <v>53</v>
      </c>
      <c r="F402" t="s">
        <v>114</v>
      </c>
      <c r="G402">
        <v>122639</v>
      </c>
      <c r="H402" s="75">
        <v>43925</v>
      </c>
      <c r="I402" t="s">
        <v>115</v>
      </c>
      <c r="J402">
        <v>5000</v>
      </c>
      <c r="K402">
        <v>123.64400000000001</v>
      </c>
      <c r="L402">
        <v>40.438699999999997</v>
      </c>
      <c r="M402">
        <v>16507.806</v>
      </c>
      <c r="N402" t="s">
        <v>15</v>
      </c>
    </row>
    <row r="403" spans="1:15" x14ac:dyDescent="0.2">
      <c r="A403" t="s">
        <v>119</v>
      </c>
      <c r="B403" t="s">
        <v>120</v>
      </c>
      <c r="C403" t="s">
        <v>112</v>
      </c>
      <c r="D403" t="s">
        <v>121</v>
      </c>
      <c r="E403" t="s">
        <v>53</v>
      </c>
      <c r="F403" t="s">
        <v>114</v>
      </c>
      <c r="G403">
        <v>122639</v>
      </c>
      <c r="H403" s="75">
        <v>43955</v>
      </c>
      <c r="I403" t="s">
        <v>115</v>
      </c>
      <c r="J403">
        <v>5000</v>
      </c>
      <c r="K403">
        <v>120.86799999999999</v>
      </c>
      <c r="L403">
        <v>41.3673</v>
      </c>
      <c r="M403">
        <v>16628.674999999999</v>
      </c>
      <c r="N403" t="s">
        <v>15</v>
      </c>
    </row>
    <row r="404" spans="1:15" x14ac:dyDescent="0.2">
      <c r="A404" t="s">
        <v>119</v>
      </c>
      <c r="B404" t="s">
        <v>120</v>
      </c>
      <c r="C404" t="s">
        <v>112</v>
      </c>
      <c r="D404" t="s">
        <v>121</v>
      </c>
      <c r="E404" t="s">
        <v>53</v>
      </c>
      <c r="F404" t="s">
        <v>114</v>
      </c>
      <c r="G404">
        <v>122639</v>
      </c>
      <c r="H404" s="75">
        <v>43985</v>
      </c>
      <c r="I404" t="s">
        <v>115</v>
      </c>
      <c r="J404">
        <v>5000</v>
      </c>
      <c r="K404">
        <v>120.524</v>
      </c>
      <c r="L404">
        <v>41.485399999999998</v>
      </c>
      <c r="M404">
        <v>16749.199000000001</v>
      </c>
      <c r="N404" t="s">
        <v>15</v>
      </c>
    </row>
    <row r="405" spans="1:15" x14ac:dyDescent="0.2">
      <c r="A405" t="s">
        <v>119</v>
      </c>
      <c r="B405" t="s">
        <v>120</v>
      </c>
      <c r="C405" t="s">
        <v>112</v>
      </c>
      <c r="D405" t="s">
        <v>121</v>
      </c>
      <c r="E405" t="s">
        <v>53</v>
      </c>
      <c r="F405" t="s">
        <v>114</v>
      </c>
      <c r="G405">
        <v>122639</v>
      </c>
      <c r="H405" s="75">
        <v>44015</v>
      </c>
      <c r="I405" t="s">
        <v>115</v>
      </c>
      <c r="J405">
        <v>5000</v>
      </c>
      <c r="K405">
        <v>121.61799999999999</v>
      </c>
      <c r="L405">
        <v>41.112299999999998</v>
      </c>
      <c r="M405">
        <v>16870.816999999999</v>
      </c>
      <c r="N405" t="s">
        <v>15</v>
      </c>
    </row>
    <row r="406" spans="1:15" x14ac:dyDescent="0.2">
      <c r="A406" t="s">
        <v>119</v>
      </c>
      <c r="B406" t="s">
        <v>120</v>
      </c>
      <c r="C406" t="s">
        <v>112</v>
      </c>
      <c r="D406" t="s">
        <v>121</v>
      </c>
      <c r="E406" t="s">
        <v>53</v>
      </c>
      <c r="F406" t="s">
        <v>114</v>
      </c>
      <c r="G406">
        <v>122639</v>
      </c>
      <c r="H406" s="75">
        <v>44045</v>
      </c>
      <c r="I406" t="s">
        <v>115</v>
      </c>
      <c r="J406">
        <v>5000</v>
      </c>
      <c r="K406">
        <v>118.33199999999999</v>
      </c>
      <c r="L406">
        <v>42.254100000000001</v>
      </c>
      <c r="M406">
        <v>16989.149000000001</v>
      </c>
      <c r="N406" t="s">
        <v>15</v>
      </c>
    </row>
    <row r="407" spans="1:15" x14ac:dyDescent="0.2">
      <c r="A407" t="s">
        <v>119</v>
      </c>
      <c r="B407" t="s">
        <v>120</v>
      </c>
      <c r="C407" t="s">
        <v>112</v>
      </c>
      <c r="D407" t="s">
        <v>121</v>
      </c>
      <c r="E407" t="s">
        <v>53</v>
      </c>
      <c r="F407" t="s">
        <v>114</v>
      </c>
      <c r="G407">
        <v>122639</v>
      </c>
      <c r="H407" s="75">
        <v>44075</v>
      </c>
      <c r="I407" t="s">
        <v>115</v>
      </c>
      <c r="J407">
        <v>5000</v>
      </c>
      <c r="K407">
        <v>116.032</v>
      </c>
      <c r="L407">
        <v>43.0914</v>
      </c>
      <c r="M407">
        <v>17105.181</v>
      </c>
      <c r="N407" t="s">
        <v>15</v>
      </c>
    </row>
    <row r="408" spans="1:15" x14ac:dyDescent="0.2">
      <c r="A408" t="s">
        <v>119</v>
      </c>
      <c r="B408" t="s">
        <v>120</v>
      </c>
      <c r="C408" t="s">
        <v>112</v>
      </c>
      <c r="D408" t="s">
        <v>121</v>
      </c>
      <c r="E408" t="s">
        <v>53</v>
      </c>
      <c r="F408" t="s">
        <v>114</v>
      </c>
      <c r="G408">
        <v>122639</v>
      </c>
      <c r="H408" s="75">
        <v>44105</v>
      </c>
      <c r="I408" t="s">
        <v>115</v>
      </c>
      <c r="J408">
        <v>5000</v>
      </c>
      <c r="K408">
        <v>113.535</v>
      </c>
      <c r="L408">
        <v>44.039400000000001</v>
      </c>
      <c r="M408">
        <v>17218.716</v>
      </c>
      <c r="N408" t="s">
        <v>15</v>
      </c>
    </row>
    <row r="409" spans="1:15" x14ac:dyDescent="0.2">
      <c r="A409" t="s">
        <v>119</v>
      </c>
      <c r="B409" t="s">
        <v>120</v>
      </c>
      <c r="C409" t="s">
        <v>112</v>
      </c>
      <c r="D409" t="s">
        <v>121</v>
      </c>
      <c r="E409" t="s">
        <v>53</v>
      </c>
      <c r="F409" t="s">
        <v>114</v>
      </c>
      <c r="G409">
        <v>122639</v>
      </c>
      <c r="H409" s="75">
        <v>44135</v>
      </c>
      <c r="I409" t="s">
        <v>115</v>
      </c>
      <c r="J409">
        <v>5000</v>
      </c>
      <c r="K409">
        <v>114.05200000000001</v>
      </c>
      <c r="L409">
        <v>43.839500000000001</v>
      </c>
      <c r="M409">
        <v>17332.769</v>
      </c>
      <c r="N409" t="s">
        <v>15</v>
      </c>
    </row>
    <row r="410" spans="1:15" x14ac:dyDescent="0.2">
      <c r="A410" t="s">
        <v>119</v>
      </c>
      <c r="B410" t="s">
        <v>120</v>
      </c>
      <c r="C410" t="s">
        <v>112</v>
      </c>
      <c r="D410" t="s">
        <v>121</v>
      </c>
      <c r="E410" t="s">
        <v>53</v>
      </c>
      <c r="F410" t="s">
        <v>114</v>
      </c>
      <c r="G410">
        <v>122639</v>
      </c>
      <c r="H410" s="75">
        <v>44165</v>
      </c>
      <c r="I410" t="s">
        <v>115</v>
      </c>
      <c r="J410">
        <v>5000</v>
      </c>
      <c r="K410">
        <v>111.339</v>
      </c>
      <c r="L410">
        <v>44.907899999999998</v>
      </c>
      <c r="M410">
        <v>17444.107</v>
      </c>
      <c r="N410" t="s">
        <v>15</v>
      </c>
    </row>
    <row r="411" spans="1:15" x14ac:dyDescent="0.2">
      <c r="A411" t="s">
        <v>119</v>
      </c>
      <c r="B411" t="s">
        <v>120</v>
      </c>
      <c r="C411" t="s">
        <v>112</v>
      </c>
      <c r="D411" t="s">
        <v>121</v>
      </c>
      <c r="E411" t="s">
        <v>53</v>
      </c>
      <c r="F411" t="s">
        <v>114</v>
      </c>
      <c r="G411">
        <v>122639</v>
      </c>
      <c r="H411" s="75">
        <v>44195</v>
      </c>
      <c r="I411" t="s">
        <v>115</v>
      </c>
      <c r="J411">
        <v>5000</v>
      </c>
      <c r="K411">
        <v>112.455</v>
      </c>
      <c r="L411">
        <v>44.462000000000003</v>
      </c>
      <c r="M411">
        <v>17556.562999999998</v>
      </c>
      <c r="N411" t="s">
        <v>15</v>
      </c>
    </row>
    <row r="412" spans="1:15" x14ac:dyDescent="0.2">
      <c r="A412" t="s">
        <v>119</v>
      </c>
      <c r="B412" t="s">
        <v>120</v>
      </c>
      <c r="C412" t="s">
        <v>112</v>
      </c>
      <c r="D412" t="s">
        <v>121</v>
      </c>
      <c r="E412" t="s">
        <v>53</v>
      </c>
      <c r="F412" t="s">
        <v>114</v>
      </c>
      <c r="G412">
        <v>122639</v>
      </c>
      <c r="H412" s="75">
        <v>44225</v>
      </c>
      <c r="I412" t="s">
        <v>115</v>
      </c>
      <c r="J412">
        <v>5000</v>
      </c>
      <c r="K412">
        <v>109.389</v>
      </c>
      <c r="L412">
        <v>45.708199999999998</v>
      </c>
      <c r="M412">
        <v>17665.952000000001</v>
      </c>
      <c r="N412" t="s">
        <v>15</v>
      </c>
    </row>
    <row r="413" spans="1:15" x14ac:dyDescent="0.2">
      <c r="A413" t="s">
        <v>119</v>
      </c>
      <c r="B413" t="s">
        <v>120</v>
      </c>
      <c r="C413" t="s">
        <v>112</v>
      </c>
      <c r="D413" t="s">
        <v>121</v>
      </c>
      <c r="E413" t="s">
        <v>53</v>
      </c>
      <c r="F413" t="s">
        <v>114</v>
      </c>
      <c r="G413">
        <v>122639</v>
      </c>
      <c r="H413" s="75">
        <v>44255</v>
      </c>
      <c r="I413" t="s">
        <v>115</v>
      </c>
      <c r="J413">
        <v>5000</v>
      </c>
      <c r="K413">
        <v>107.056</v>
      </c>
      <c r="L413">
        <v>46.704300000000003</v>
      </c>
      <c r="M413">
        <v>17773.008999999998</v>
      </c>
      <c r="N413" t="s">
        <v>15</v>
      </c>
    </row>
    <row r="414" spans="1:15" x14ac:dyDescent="0.2">
      <c r="A414" t="s">
        <v>119</v>
      </c>
      <c r="B414" t="s">
        <v>120</v>
      </c>
      <c r="C414" t="s">
        <v>112</v>
      </c>
      <c r="D414" t="s">
        <v>121</v>
      </c>
      <c r="E414" t="s">
        <v>53</v>
      </c>
      <c r="F414" t="s">
        <v>114</v>
      </c>
      <c r="G414">
        <v>122639</v>
      </c>
      <c r="H414" s="75">
        <v>44285</v>
      </c>
      <c r="I414" t="s">
        <v>115</v>
      </c>
      <c r="J414">
        <v>5000</v>
      </c>
      <c r="K414">
        <v>106.42700000000001</v>
      </c>
      <c r="L414">
        <v>46.980699999999999</v>
      </c>
      <c r="M414">
        <v>17879.436000000002</v>
      </c>
      <c r="N414" t="s">
        <v>15</v>
      </c>
    </row>
    <row r="415" spans="1:15" x14ac:dyDescent="0.2">
      <c r="A415" t="s">
        <v>119</v>
      </c>
      <c r="B415" t="s">
        <v>120</v>
      </c>
      <c r="C415" t="s">
        <v>112</v>
      </c>
      <c r="D415" t="s">
        <v>121</v>
      </c>
      <c r="E415" t="s">
        <v>53</v>
      </c>
      <c r="F415" t="s">
        <v>114</v>
      </c>
      <c r="G415">
        <v>122639</v>
      </c>
      <c r="H415" s="75">
        <v>44285</v>
      </c>
      <c r="I415" t="s">
        <v>116</v>
      </c>
      <c r="J415">
        <v>2.5</v>
      </c>
      <c r="K415">
        <v>0</v>
      </c>
      <c r="M415">
        <v>17879.436000000002</v>
      </c>
      <c r="N415" t="s">
        <v>17</v>
      </c>
    </row>
    <row r="416" spans="1:15" x14ac:dyDescent="0.2">
      <c r="A416" t="s">
        <v>119</v>
      </c>
      <c r="B416" t="s">
        <v>120</v>
      </c>
      <c r="C416" t="s">
        <v>112</v>
      </c>
      <c r="D416" t="s">
        <v>121</v>
      </c>
      <c r="E416" t="s">
        <v>53</v>
      </c>
      <c r="F416" t="s">
        <v>114</v>
      </c>
      <c r="G416">
        <v>122639</v>
      </c>
      <c r="H416" s="75">
        <v>44315</v>
      </c>
      <c r="I416" t="s">
        <v>115</v>
      </c>
      <c r="J416">
        <v>5000</v>
      </c>
      <c r="K416">
        <v>107.11499999999999</v>
      </c>
      <c r="L416">
        <v>46.678699999999999</v>
      </c>
      <c r="M416">
        <v>17986.550999999999</v>
      </c>
      <c r="N416" t="s">
        <v>15</v>
      </c>
    </row>
    <row r="417" spans="1:14" x14ac:dyDescent="0.2">
      <c r="A417" t="s">
        <v>119</v>
      </c>
      <c r="B417" t="s">
        <v>120</v>
      </c>
      <c r="C417" t="s">
        <v>112</v>
      </c>
      <c r="D417" t="s">
        <v>121</v>
      </c>
      <c r="E417" t="s">
        <v>53</v>
      </c>
      <c r="F417" t="s">
        <v>114</v>
      </c>
      <c r="G417">
        <v>122639</v>
      </c>
      <c r="H417" s="75">
        <v>44345</v>
      </c>
      <c r="I417" t="s">
        <v>115</v>
      </c>
      <c r="J417">
        <v>5000</v>
      </c>
      <c r="K417">
        <v>107.55200000000001</v>
      </c>
      <c r="L417">
        <v>46.489199999999997</v>
      </c>
      <c r="M417">
        <v>18094.102999999999</v>
      </c>
      <c r="N417" t="s">
        <v>15</v>
      </c>
    </row>
    <row r="418" spans="1:14" x14ac:dyDescent="0.2">
      <c r="A418" t="s">
        <v>119</v>
      </c>
      <c r="B418" t="s">
        <v>120</v>
      </c>
      <c r="C418" t="s">
        <v>112</v>
      </c>
      <c r="D418" t="s">
        <v>121</v>
      </c>
      <c r="E418" t="s">
        <v>53</v>
      </c>
      <c r="F418" t="s">
        <v>114</v>
      </c>
      <c r="G418">
        <v>122639</v>
      </c>
      <c r="H418" s="75">
        <v>44375</v>
      </c>
      <c r="I418" t="s">
        <v>115</v>
      </c>
      <c r="J418">
        <v>5000</v>
      </c>
      <c r="K418">
        <v>104.75</v>
      </c>
      <c r="L418">
        <v>47.732900000000001</v>
      </c>
      <c r="M418">
        <v>18198.851999999999</v>
      </c>
      <c r="N418" t="s">
        <v>15</v>
      </c>
    </row>
    <row r="419" spans="1:14" x14ac:dyDescent="0.2">
      <c r="A419" t="s">
        <v>119</v>
      </c>
      <c r="B419" t="s">
        <v>120</v>
      </c>
      <c r="C419" t="s">
        <v>112</v>
      </c>
      <c r="D419" t="s">
        <v>121</v>
      </c>
      <c r="E419" t="s">
        <v>53</v>
      </c>
      <c r="F419" t="s">
        <v>114</v>
      </c>
      <c r="G419">
        <v>122639</v>
      </c>
      <c r="H419" s="75">
        <v>44405</v>
      </c>
      <c r="I419" t="s">
        <v>115</v>
      </c>
      <c r="J419">
        <v>5000</v>
      </c>
      <c r="K419">
        <v>102.199</v>
      </c>
      <c r="L419">
        <v>48.924100000000003</v>
      </c>
      <c r="M419">
        <v>18301.050999999999</v>
      </c>
      <c r="N419" t="s">
        <v>15</v>
      </c>
    </row>
    <row r="420" spans="1:14" x14ac:dyDescent="0.2">
      <c r="A420" t="s">
        <v>119</v>
      </c>
      <c r="B420" t="s">
        <v>120</v>
      </c>
      <c r="C420" t="s">
        <v>112</v>
      </c>
      <c r="D420" t="s">
        <v>121</v>
      </c>
      <c r="E420" t="s">
        <v>53</v>
      </c>
      <c r="F420" t="s">
        <v>114</v>
      </c>
      <c r="G420">
        <v>122639</v>
      </c>
      <c r="H420" s="75">
        <v>44405</v>
      </c>
      <c r="I420" t="s">
        <v>116</v>
      </c>
      <c r="J420">
        <v>2.5</v>
      </c>
      <c r="K420">
        <v>0</v>
      </c>
      <c r="M420">
        <v>18301.050999999999</v>
      </c>
      <c r="N420" t="s">
        <v>17</v>
      </c>
    </row>
    <row r="421" spans="1:14" x14ac:dyDescent="0.2">
      <c r="A421" t="s">
        <v>119</v>
      </c>
      <c r="B421" t="s">
        <v>120</v>
      </c>
      <c r="C421" t="s">
        <v>112</v>
      </c>
      <c r="D421" t="s">
        <v>121</v>
      </c>
      <c r="E421" t="s">
        <v>53</v>
      </c>
      <c r="F421" t="s">
        <v>114</v>
      </c>
      <c r="G421">
        <v>122639</v>
      </c>
      <c r="H421" s="75">
        <v>44435</v>
      </c>
      <c r="I421" t="s">
        <v>115</v>
      </c>
      <c r="J421">
        <v>5000</v>
      </c>
      <c r="K421">
        <v>99.704999999999998</v>
      </c>
      <c r="L421">
        <v>50.1477</v>
      </c>
      <c r="M421">
        <v>18400.757000000001</v>
      </c>
      <c r="N421" t="s">
        <v>15</v>
      </c>
    </row>
    <row r="422" spans="1:14" x14ac:dyDescent="0.2">
      <c r="A422" t="s">
        <v>119</v>
      </c>
      <c r="B422" t="s">
        <v>120</v>
      </c>
      <c r="C422" t="s">
        <v>112</v>
      </c>
      <c r="D422" t="s">
        <v>121</v>
      </c>
      <c r="E422" t="s">
        <v>53</v>
      </c>
      <c r="F422" t="s">
        <v>114</v>
      </c>
      <c r="G422">
        <v>122639</v>
      </c>
      <c r="H422" s="75">
        <v>44465</v>
      </c>
      <c r="I422" t="s">
        <v>115</v>
      </c>
      <c r="J422">
        <v>5000</v>
      </c>
      <c r="K422">
        <v>98.846000000000004</v>
      </c>
      <c r="L422">
        <v>50.5837</v>
      </c>
      <c r="M422">
        <v>18499.602999999999</v>
      </c>
      <c r="N422" t="s">
        <v>15</v>
      </c>
    </row>
    <row r="423" spans="1:14" x14ac:dyDescent="0.2">
      <c r="A423" t="s">
        <v>119</v>
      </c>
      <c r="B423" t="s">
        <v>120</v>
      </c>
      <c r="C423" t="s">
        <v>112</v>
      </c>
      <c r="D423" t="s">
        <v>121</v>
      </c>
      <c r="E423" t="s">
        <v>53</v>
      </c>
      <c r="F423" t="s">
        <v>114</v>
      </c>
      <c r="G423">
        <v>122639</v>
      </c>
      <c r="H423" s="75">
        <v>44495</v>
      </c>
      <c r="I423" t="s">
        <v>115</v>
      </c>
      <c r="J423">
        <v>5000</v>
      </c>
      <c r="K423">
        <v>96.412000000000006</v>
      </c>
      <c r="L423">
        <v>51.860599999999998</v>
      </c>
      <c r="M423">
        <v>18596.014999999999</v>
      </c>
      <c r="N423" t="s">
        <v>15</v>
      </c>
    </row>
    <row r="424" spans="1:14" x14ac:dyDescent="0.2">
      <c r="A424" t="s">
        <v>119</v>
      </c>
      <c r="B424" t="s">
        <v>120</v>
      </c>
      <c r="C424" t="s">
        <v>112</v>
      </c>
      <c r="D424" t="s">
        <v>121</v>
      </c>
      <c r="E424" t="s">
        <v>53</v>
      </c>
      <c r="F424" t="s">
        <v>114</v>
      </c>
      <c r="G424">
        <v>122639</v>
      </c>
      <c r="H424" s="75">
        <v>44525</v>
      </c>
      <c r="I424" t="s">
        <v>115</v>
      </c>
      <c r="J424">
        <v>5000</v>
      </c>
      <c r="K424">
        <v>94.888000000000005</v>
      </c>
      <c r="L424">
        <v>52.693800000000003</v>
      </c>
      <c r="M424">
        <v>18690.902999999998</v>
      </c>
      <c r="N424" t="s">
        <v>15</v>
      </c>
    </row>
    <row r="425" spans="1:14" x14ac:dyDescent="0.2">
      <c r="A425" t="s">
        <v>119</v>
      </c>
      <c r="B425" t="s">
        <v>120</v>
      </c>
      <c r="C425" t="s">
        <v>112</v>
      </c>
      <c r="D425" t="s">
        <v>121</v>
      </c>
      <c r="E425" t="s">
        <v>53</v>
      </c>
      <c r="F425" t="s">
        <v>114</v>
      </c>
      <c r="G425">
        <v>122639</v>
      </c>
      <c r="H425" s="75">
        <v>44555</v>
      </c>
      <c r="I425" t="s">
        <v>115</v>
      </c>
      <c r="J425">
        <v>5000</v>
      </c>
      <c r="K425">
        <v>94.418999999999997</v>
      </c>
      <c r="L425">
        <v>52.9557</v>
      </c>
      <c r="M425">
        <v>18785.321</v>
      </c>
      <c r="N425" t="s">
        <v>15</v>
      </c>
    </row>
    <row r="426" spans="1:14" x14ac:dyDescent="0.2">
      <c r="A426" t="s">
        <v>119</v>
      </c>
      <c r="B426" t="s">
        <v>120</v>
      </c>
      <c r="C426" t="s">
        <v>112</v>
      </c>
      <c r="D426" t="s">
        <v>121</v>
      </c>
      <c r="E426" t="s">
        <v>53</v>
      </c>
      <c r="F426" t="s">
        <v>114</v>
      </c>
      <c r="G426">
        <v>122639</v>
      </c>
      <c r="H426" s="75">
        <v>44555</v>
      </c>
      <c r="I426" t="s">
        <v>116</v>
      </c>
      <c r="J426">
        <v>2.5</v>
      </c>
      <c r="K426">
        <v>0</v>
      </c>
      <c r="M426">
        <v>18785.321</v>
      </c>
      <c r="N426" t="s">
        <v>17</v>
      </c>
    </row>
    <row r="427" spans="1:14" x14ac:dyDescent="0.2">
      <c r="A427" t="s">
        <v>119</v>
      </c>
      <c r="B427" t="s">
        <v>120</v>
      </c>
      <c r="C427" t="s">
        <v>112</v>
      </c>
      <c r="D427" t="s">
        <v>121</v>
      </c>
      <c r="E427" t="s">
        <v>53</v>
      </c>
      <c r="F427" t="s">
        <v>114</v>
      </c>
      <c r="G427">
        <v>122639</v>
      </c>
      <c r="H427" s="75">
        <v>44585</v>
      </c>
      <c r="I427" t="s">
        <v>115</v>
      </c>
      <c r="J427">
        <v>5000</v>
      </c>
      <c r="K427">
        <v>96.224999999999994</v>
      </c>
      <c r="L427">
        <v>51.9617</v>
      </c>
      <c r="M427">
        <v>18881.545999999998</v>
      </c>
      <c r="N427" t="s">
        <v>15</v>
      </c>
    </row>
    <row r="428" spans="1:14" x14ac:dyDescent="0.2">
      <c r="A428" t="s">
        <v>119</v>
      </c>
      <c r="B428" t="s">
        <v>120</v>
      </c>
      <c r="C428" t="s">
        <v>112</v>
      </c>
      <c r="D428" t="s">
        <v>121</v>
      </c>
      <c r="E428" t="s">
        <v>53</v>
      </c>
      <c r="F428" t="s">
        <v>114</v>
      </c>
      <c r="G428">
        <v>122639</v>
      </c>
      <c r="H428" s="75">
        <v>44615</v>
      </c>
      <c r="I428" t="s">
        <v>115</v>
      </c>
      <c r="J428">
        <v>5000</v>
      </c>
      <c r="K428">
        <v>97.879000000000005</v>
      </c>
      <c r="L428">
        <v>51.083399999999997</v>
      </c>
      <c r="M428">
        <v>18979.424999999999</v>
      </c>
      <c r="N428" t="s">
        <v>15</v>
      </c>
    </row>
    <row r="429" spans="1:14" x14ac:dyDescent="0.2">
      <c r="A429" t="s">
        <v>119</v>
      </c>
      <c r="B429" t="s">
        <v>120</v>
      </c>
      <c r="C429" t="s">
        <v>112</v>
      </c>
      <c r="D429" t="s">
        <v>121</v>
      </c>
      <c r="E429" t="s">
        <v>53</v>
      </c>
      <c r="F429" t="s">
        <v>114</v>
      </c>
      <c r="G429">
        <v>122639</v>
      </c>
      <c r="H429" s="75">
        <v>44645</v>
      </c>
      <c r="I429" t="s">
        <v>115</v>
      </c>
      <c r="J429">
        <v>5000</v>
      </c>
      <c r="K429">
        <v>99.631</v>
      </c>
      <c r="L429">
        <v>50.185000000000002</v>
      </c>
      <c r="M429">
        <v>19079.057000000001</v>
      </c>
      <c r="N429" t="s">
        <v>15</v>
      </c>
    </row>
    <row r="430" spans="1:14" x14ac:dyDescent="0.2">
      <c r="A430" t="s">
        <v>119</v>
      </c>
      <c r="B430" t="s">
        <v>120</v>
      </c>
      <c r="C430" t="s">
        <v>112</v>
      </c>
      <c r="D430" t="s">
        <v>121</v>
      </c>
      <c r="E430" t="s">
        <v>53</v>
      </c>
      <c r="F430" t="s">
        <v>114</v>
      </c>
      <c r="G430">
        <v>122639</v>
      </c>
      <c r="H430" s="75">
        <v>44675</v>
      </c>
      <c r="I430" t="s">
        <v>115</v>
      </c>
      <c r="J430">
        <v>5000</v>
      </c>
      <c r="K430">
        <v>97.072000000000003</v>
      </c>
      <c r="L430">
        <v>51.508400000000002</v>
      </c>
      <c r="M430">
        <v>19176.128000000001</v>
      </c>
      <c r="N430" t="s">
        <v>15</v>
      </c>
    </row>
    <row r="431" spans="1:14" x14ac:dyDescent="0.2">
      <c r="A431" t="s">
        <v>119</v>
      </c>
      <c r="B431" t="s">
        <v>120</v>
      </c>
      <c r="C431" t="s">
        <v>112</v>
      </c>
      <c r="D431" t="s">
        <v>121</v>
      </c>
      <c r="E431" t="s">
        <v>53</v>
      </c>
      <c r="F431" t="s">
        <v>114</v>
      </c>
      <c r="G431">
        <v>122639</v>
      </c>
      <c r="H431" s="75">
        <v>44705</v>
      </c>
      <c r="I431" t="s">
        <v>115</v>
      </c>
      <c r="J431">
        <v>5000</v>
      </c>
      <c r="K431">
        <v>95.64</v>
      </c>
      <c r="L431">
        <v>52.279499999999999</v>
      </c>
      <c r="M431">
        <v>19271.768</v>
      </c>
      <c r="N431" t="s">
        <v>15</v>
      </c>
    </row>
    <row r="432" spans="1:14" x14ac:dyDescent="0.2">
      <c r="A432" t="s">
        <v>119</v>
      </c>
      <c r="B432" t="s">
        <v>120</v>
      </c>
      <c r="C432" t="s">
        <v>112</v>
      </c>
      <c r="D432" t="s">
        <v>121</v>
      </c>
      <c r="E432" t="s">
        <v>53</v>
      </c>
      <c r="F432" t="s">
        <v>114</v>
      </c>
      <c r="G432">
        <v>122639</v>
      </c>
      <c r="H432" s="75">
        <v>44705</v>
      </c>
      <c r="I432" t="s">
        <v>117</v>
      </c>
      <c r="J432">
        <v>2.5</v>
      </c>
      <c r="K432">
        <v>0</v>
      </c>
      <c r="M432">
        <v>19271.768</v>
      </c>
      <c r="N432" t="s">
        <v>46</v>
      </c>
    </row>
    <row r="433" spans="1:14" x14ac:dyDescent="0.2">
      <c r="A433" t="s">
        <v>119</v>
      </c>
      <c r="B433" t="s">
        <v>120</v>
      </c>
      <c r="C433" t="s">
        <v>112</v>
      </c>
      <c r="D433" t="s">
        <v>121</v>
      </c>
      <c r="E433" t="s">
        <v>53</v>
      </c>
      <c r="F433" t="s">
        <v>114</v>
      </c>
      <c r="G433">
        <v>122639</v>
      </c>
      <c r="H433" s="75">
        <v>44735</v>
      </c>
      <c r="I433" t="s">
        <v>115</v>
      </c>
      <c r="J433">
        <v>5000</v>
      </c>
      <c r="K433">
        <v>93.198999999999998</v>
      </c>
      <c r="L433">
        <v>53.648400000000002</v>
      </c>
      <c r="M433">
        <v>19364.967000000001</v>
      </c>
      <c r="N433" t="s">
        <v>15</v>
      </c>
    </row>
    <row r="434" spans="1:14" x14ac:dyDescent="0.2">
      <c r="A434" t="s">
        <v>119</v>
      </c>
      <c r="B434" t="s">
        <v>120</v>
      </c>
      <c r="C434" t="s">
        <v>112</v>
      </c>
      <c r="D434" t="s">
        <v>121</v>
      </c>
      <c r="E434" t="s">
        <v>53</v>
      </c>
      <c r="F434" t="s">
        <v>114</v>
      </c>
      <c r="G434">
        <v>122639</v>
      </c>
      <c r="H434" s="75">
        <v>44765</v>
      </c>
      <c r="I434" t="s">
        <v>115</v>
      </c>
      <c r="J434">
        <v>5000</v>
      </c>
      <c r="K434">
        <v>91.453000000000003</v>
      </c>
      <c r="L434">
        <v>54.672800000000002</v>
      </c>
      <c r="M434">
        <v>19456.420999999998</v>
      </c>
      <c r="N434" t="s">
        <v>15</v>
      </c>
    </row>
    <row r="435" spans="1:14" x14ac:dyDescent="0.2">
      <c r="A435" t="s">
        <v>119</v>
      </c>
      <c r="B435" t="s">
        <v>120</v>
      </c>
      <c r="C435" t="s">
        <v>112</v>
      </c>
      <c r="D435" t="s">
        <v>121</v>
      </c>
      <c r="E435" t="s">
        <v>53</v>
      </c>
      <c r="F435" t="s">
        <v>114</v>
      </c>
      <c r="G435">
        <v>122639</v>
      </c>
      <c r="H435" s="75">
        <v>44795</v>
      </c>
      <c r="I435" t="s">
        <v>115</v>
      </c>
      <c r="J435">
        <v>5000</v>
      </c>
      <c r="K435">
        <v>92.981999999999999</v>
      </c>
      <c r="L435">
        <v>53.773899999999998</v>
      </c>
      <c r="M435">
        <v>19549.402999999998</v>
      </c>
      <c r="N435" t="s">
        <v>15</v>
      </c>
    </row>
    <row r="436" spans="1:14" x14ac:dyDescent="0.2">
      <c r="A436" t="s">
        <v>119</v>
      </c>
      <c r="B436" t="s">
        <v>120</v>
      </c>
      <c r="C436" t="s">
        <v>112</v>
      </c>
      <c r="D436" t="s">
        <v>121</v>
      </c>
      <c r="E436" t="s">
        <v>53</v>
      </c>
      <c r="F436" t="s">
        <v>114</v>
      </c>
      <c r="G436">
        <v>122639</v>
      </c>
      <c r="H436" s="75">
        <v>44825</v>
      </c>
      <c r="I436" t="s">
        <v>115</v>
      </c>
      <c r="J436">
        <v>5000</v>
      </c>
      <c r="K436">
        <v>94.058999999999997</v>
      </c>
      <c r="L436">
        <v>53.157899999999998</v>
      </c>
      <c r="M436">
        <v>19643.462</v>
      </c>
      <c r="N436" t="s">
        <v>15</v>
      </c>
    </row>
    <row r="437" spans="1:14" x14ac:dyDescent="0.2">
      <c r="A437" t="s">
        <v>119</v>
      </c>
      <c r="B437" t="s">
        <v>120</v>
      </c>
      <c r="C437" t="s">
        <v>112</v>
      </c>
      <c r="D437" t="s">
        <v>121</v>
      </c>
      <c r="E437" t="s">
        <v>53</v>
      </c>
      <c r="F437" t="s">
        <v>114</v>
      </c>
      <c r="G437">
        <v>122639</v>
      </c>
      <c r="H437" s="75">
        <v>44855</v>
      </c>
      <c r="I437" t="s">
        <v>115</v>
      </c>
      <c r="J437">
        <v>5000</v>
      </c>
      <c r="K437">
        <v>92.89</v>
      </c>
      <c r="L437">
        <v>53.827100000000002</v>
      </c>
      <c r="M437">
        <v>19736.351999999999</v>
      </c>
      <c r="N437" t="s">
        <v>15</v>
      </c>
    </row>
    <row r="438" spans="1:14" x14ac:dyDescent="0.2">
      <c r="A438" t="s">
        <v>119</v>
      </c>
      <c r="B438" t="s">
        <v>120</v>
      </c>
      <c r="C438" t="s">
        <v>112</v>
      </c>
      <c r="D438" t="s">
        <v>121</v>
      </c>
      <c r="E438" t="s">
        <v>53</v>
      </c>
      <c r="F438" t="s">
        <v>114</v>
      </c>
      <c r="G438">
        <v>122639</v>
      </c>
      <c r="H438" s="75">
        <v>44855</v>
      </c>
      <c r="I438" t="s">
        <v>117</v>
      </c>
      <c r="J438">
        <v>2.5</v>
      </c>
      <c r="K438">
        <v>0</v>
      </c>
      <c r="M438">
        <v>19736.351999999999</v>
      </c>
      <c r="N438" t="s">
        <v>46</v>
      </c>
    </row>
    <row r="439" spans="1:14" x14ac:dyDescent="0.2">
      <c r="A439" t="s">
        <v>119</v>
      </c>
      <c r="B439" t="s">
        <v>120</v>
      </c>
      <c r="C439" t="s">
        <v>112</v>
      </c>
      <c r="D439" t="s">
        <v>121</v>
      </c>
      <c r="E439" t="s">
        <v>53</v>
      </c>
      <c r="F439" t="s">
        <v>114</v>
      </c>
      <c r="G439">
        <v>122639</v>
      </c>
      <c r="H439" s="75">
        <v>44885</v>
      </c>
      <c r="I439" t="s">
        <v>115</v>
      </c>
      <c r="J439">
        <v>5000</v>
      </c>
      <c r="K439">
        <v>94.66</v>
      </c>
      <c r="L439">
        <v>52.820500000000003</v>
      </c>
      <c r="M439">
        <v>19831.011999999999</v>
      </c>
      <c r="N439" t="s">
        <v>15</v>
      </c>
    </row>
    <row r="440" spans="1:14" x14ac:dyDescent="0.2">
      <c r="A440" t="s">
        <v>119</v>
      </c>
      <c r="B440" t="s">
        <v>120</v>
      </c>
      <c r="C440" t="s">
        <v>112</v>
      </c>
      <c r="D440" t="s">
        <v>121</v>
      </c>
      <c r="E440" t="s">
        <v>53</v>
      </c>
      <c r="F440" t="s">
        <v>114</v>
      </c>
      <c r="G440">
        <v>122639</v>
      </c>
      <c r="H440" s="75">
        <v>44915</v>
      </c>
      <c r="I440" t="s">
        <v>115</v>
      </c>
      <c r="J440">
        <v>5000</v>
      </c>
      <c r="K440">
        <v>92.277000000000001</v>
      </c>
      <c r="L440">
        <v>54.184800000000003</v>
      </c>
      <c r="M440">
        <v>19923.289000000001</v>
      </c>
      <c r="N440" t="s">
        <v>15</v>
      </c>
    </row>
    <row r="441" spans="1:14" x14ac:dyDescent="0.2">
      <c r="A441" t="s">
        <v>119</v>
      </c>
      <c r="B441" t="s">
        <v>120</v>
      </c>
      <c r="C441" t="s">
        <v>112</v>
      </c>
      <c r="D441" t="s">
        <v>121</v>
      </c>
      <c r="E441" t="s">
        <v>53</v>
      </c>
      <c r="F441" t="s">
        <v>114</v>
      </c>
      <c r="G441">
        <v>122639</v>
      </c>
      <c r="H441" s="75">
        <v>44915</v>
      </c>
      <c r="I441" t="s">
        <v>116</v>
      </c>
      <c r="J441">
        <v>2.5</v>
      </c>
      <c r="K441">
        <v>0</v>
      </c>
      <c r="M441">
        <v>19923.289000000001</v>
      </c>
      <c r="N441" t="s">
        <v>17</v>
      </c>
    </row>
    <row r="442" spans="1:14" x14ac:dyDescent="0.2">
      <c r="A442" t="s">
        <v>119</v>
      </c>
      <c r="B442" t="s">
        <v>120</v>
      </c>
      <c r="C442" t="s">
        <v>112</v>
      </c>
      <c r="D442" t="s">
        <v>121</v>
      </c>
      <c r="E442" t="s">
        <v>53</v>
      </c>
      <c r="F442" t="s">
        <v>114</v>
      </c>
      <c r="G442">
        <v>122639</v>
      </c>
      <c r="H442" s="75">
        <v>44945</v>
      </c>
      <c r="I442" t="s">
        <v>115</v>
      </c>
      <c r="J442">
        <v>5000</v>
      </c>
      <c r="K442">
        <v>92.084000000000003</v>
      </c>
      <c r="L442">
        <v>54.298400000000001</v>
      </c>
      <c r="M442">
        <v>20015.373</v>
      </c>
      <c r="N442" t="s">
        <v>15</v>
      </c>
    </row>
    <row r="443" spans="1:14" x14ac:dyDescent="0.2">
      <c r="A443" t="s">
        <v>119</v>
      </c>
      <c r="B443" t="s">
        <v>120</v>
      </c>
      <c r="C443" t="s">
        <v>112</v>
      </c>
      <c r="D443" t="s">
        <v>121</v>
      </c>
      <c r="E443" t="s">
        <v>53</v>
      </c>
      <c r="F443" t="s">
        <v>114</v>
      </c>
      <c r="G443">
        <v>122639</v>
      </c>
      <c r="H443" s="75">
        <v>44975</v>
      </c>
      <c r="I443" t="s">
        <v>115</v>
      </c>
      <c r="J443">
        <v>5000</v>
      </c>
      <c r="K443">
        <v>89.935000000000002</v>
      </c>
      <c r="L443">
        <v>55.595500000000001</v>
      </c>
      <c r="M443">
        <v>20105.308000000001</v>
      </c>
      <c r="N443" t="s">
        <v>15</v>
      </c>
    </row>
    <row r="444" spans="1:14" x14ac:dyDescent="0.2">
      <c r="A444" t="s">
        <v>119</v>
      </c>
      <c r="B444" t="s">
        <v>120</v>
      </c>
      <c r="C444" t="s">
        <v>112</v>
      </c>
      <c r="D444" t="s">
        <v>121</v>
      </c>
      <c r="E444" t="s">
        <v>53</v>
      </c>
      <c r="F444" t="s">
        <v>114</v>
      </c>
      <c r="G444">
        <v>122639</v>
      </c>
      <c r="H444" s="75">
        <v>45005</v>
      </c>
      <c r="I444" t="s">
        <v>115</v>
      </c>
      <c r="J444">
        <v>5000</v>
      </c>
      <c r="K444">
        <v>90.111999999999995</v>
      </c>
      <c r="L444">
        <v>55.486600000000003</v>
      </c>
      <c r="M444">
        <v>20195.419999999998</v>
      </c>
      <c r="N444" t="s">
        <v>15</v>
      </c>
    </row>
    <row r="445" spans="1:14" x14ac:dyDescent="0.2">
      <c r="A445" t="s">
        <v>119</v>
      </c>
      <c r="B445" t="s">
        <v>120</v>
      </c>
      <c r="C445" t="s">
        <v>112</v>
      </c>
      <c r="D445" t="s">
        <v>121</v>
      </c>
      <c r="E445" t="s">
        <v>53</v>
      </c>
      <c r="F445" t="s">
        <v>114</v>
      </c>
      <c r="G445">
        <v>122639</v>
      </c>
      <c r="H445" s="75">
        <v>45035</v>
      </c>
      <c r="I445" t="s">
        <v>115</v>
      </c>
      <c r="J445">
        <v>5000</v>
      </c>
      <c r="K445">
        <v>89.944000000000003</v>
      </c>
      <c r="L445">
        <v>55.5901</v>
      </c>
      <c r="M445">
        <v>20285.364000000001</v>
      </c>
      <c r="N445" t="s">
        <v>15</v>
      </c>
    </row>
    <row r="446" spans="1:14" x14ac:dyDescent="0.2">
      <c r="A446" t="s">
        <v>119</v>
      </c>
      <c r="B446" t="s">
        <v>120</v>
      </c>
      <c r="C446" t="s">
        <v>112</v>
      </c>
      <c r="D446" t="s">
        <v>121</v>
      </c>
      <c r="E446" t="s">
        <v>53</v>
      </c>
      <c r="F446" t="s">
        <v>114</v>
      </c>
      <c r="G446">
        <v>122639</v>
      </c>
      <c r="H446" s="75">
        <v>45065</v>
      </c>
      <c r="I446" t="s">
        <v>115</v>
      </c>
      <c r="J446">
        <v>5000</v>
      </c>
      <c r="K446">
        <v>88.39</v>
      </c>
      <c r="L446">
        <v>56.5672</v>
      </c>
      <c r="M446">
        <v>20373.754000000001</v>
      </c>
      <c r="N446" t="s">
        <v>15</v>
      </c>
    </row>
    <row r="447" spans="1:14" x14ac:dyDescent="0.2">
      <c r="A447" t="s">
        <v>119</v>
      </c>
      <c r="B447" t="s">
        <v>120</v>
      </c>
      <c r="C447" t="s">
        <v>112</v>
      </c>
      <c r="D447" t="s">
        <v>121</v>
      </c>
      <c r="E447" t="s">
        <v>53</v>
      </c>
      <c r="F447" t="s">
        <v>114</v>
      </c>
      <c r="G447">
        <v>122639</v>
      </c>
      <c r="H447" s="75">
        <v>45095</v>
      </c>
      <c r="I447" t="s">
        <v>115</v>
      </c>
      <c r="J447">
        <v>5000</v>
      </c>
      <c r="K447">
        <v>87.093000000000004</v>
      </c>
      <c r="L447">
        <v>57.410200000000003</v>
      </c>
      <c r="M447">
        <v>20460.847000000002</v>
      </c>
      <c r="N447" t="s">
        <v>15</v>
      </c>
    </row>
    <row r="448" spans="1:14" x14ac:dyDescent="0.2">
      <c r="A448" t="s">
        <v>119</v>
      </c>
      <c r="B448" t="s">
        <v>120</v>
      </c>
      <c r="C448" t="s">
        <v>112</v>
      </c>
      <c r="D448" t="s">
        <v>121</v>
      </c>
      <c r="E448" t="s">
        <v>53</v>
      </c>
      <c r="F448" t="s">
        <v>114</v>
      </c>
      <c r="G448">
        <v>122639</v>
      </c>
      <c r="H448" s="75">
        <v>45125</v>
      </c>
      <c r="I448" t="s">
        <v>115</v>
      </c>
      <c r="J448">
        <v>5000</v>
      </c>
      <c r="K448">
        <v>88.486000000000004</v>
      </c>
      <c r="L448">
        <v>56.506300000000003</v>
      </c>
      <c r="M448">
        <v>20549.332999999999</v>
      </c>
      <c r="N448" t="s">
        <v>15</v>
      </c>
    </row>
    <row r="449" spans="1:15" x14ac:dyDescent="0.2">
      <c r="A449" t="s">
        <v>119</v>
      </c>
      <c r="B449" t="s">
        <v>120</v>
      </c>
      <c r="C449" t="s">
        <v>112</v>
      </c>
      <c r="D449" t="s">
        <v>121</v>
      </c>
      <c r="E449" t="s">
        <v>53</v>
      </c>
      <c r="F449" t="s">
        <v>114</v>
      </c>
      <c r="G449">
        <v>122639</v>
      </c>
      <c r="H449" s="75">
        <v>45155</v>
      </c>
      <c r="I449" t="s">
        <v>115</v>
      </c>
      <c r="J449">
        <v>5000</v>
      </c>
      <c r="K449">
        <v>89.45</v>
      </c>
      <c r="L449">
        <v>55.897300000000001</v>
      </c>
      <c r="M449">
        <v>20638.781999999999</v>
      </c>
      <c r="N449" t="s">
        <v>15</v>
      </c>
    </row>
    <row r="450" spans="1:15" x14ac:dyDescent="0.2">
      <c r="A450" t="s">
        <v>119</v>
      </c>
      <c r="B450" t="s">
        <v>120</v>
      </c>
      <c r="C450" t="s">
        <v>112</v>
      </c>
      <c r="D450" t="s">
        <v>121</v>
      </c>
      <c r="E450" t="s">
        <v>53</v>
      </c>
      <c r="F450" t="s">
        <v>114</v>
      </c>
      <c r="G450">
        <v>122639</v>
      </c>
      <c r="H450" s="75">
        <v>45155</v>
      </c>
      <c r="I450" t="s">
        <v>117</v>
      </c>
      <c r="J450">
        <v>2.5</v>
      </c>
      <c r="K450">
        <v>0</v>
      </c>
      <c r="M450">
        <v>20638.781999999999</v>
      </c>
      <c r="N450" t="s">
        <v>46</v>
      </c>
    </row>
    <row r="451" spans="1:15" x14ac:dyDescent="0.2">
      <c r="A451" t="s">
        <v>119</v>
      </c>
      <c r="B451" t="s">
        <v>120</v>
      </c>
      <c r="C451" t="s">
        <v>112</v>
      </c>
      <c r="D451" t="s">
        <v>121</v>
      </c>
      <c r="E451" t="s">
        <v>53</v>
      </c>
      <c r="F451" t="s">
        <v>114</v>
      </c>
      <c r="G451">
        <v>122639</v>
      </c>
      <c r="H451" s="75">
        <v>45185</v>
      </c>
      <c r="I451" t="s">
        <v>115</v>
      </c>
      <c r="J451">
        <v>5000</v>
      </c>
      <c r="K451">
        <v>88.344999999999999</v>
      </c>
      <c r="L451">
        <v>56.595999999999997</v>
      </c>
      <c r="M451">
        <v>20727.128000000001</v>
      </c>
      <c r="N451" t="s">
        <v>15</v>
      </c>
    </row>
    <row r="452" spans="1:15" x14ac:dyDescent="0.2">
      <c r="A452" t="s">
        <v>119</v>
      </c>
      <c r="B452" t="s">
        <v>120</v>
      </c>
      <c r="C452" t="s">
        <v>112</v>
      </c>
      <c r="D452" t="s">
        <v>121</v>
      </c>
      <c r="E452" t="s">
        <v>53</v>
      </c>
      <c r="F452" t="s">
        <v>114</v>
      </c>
      <c r="G452">
        <v>122639</v>
      </c>
      <c r="H452" s="75">
        <v>45215</v>
      </c>
      <c r="I452" t="s">
        <v>115</v>
      </c>
      <c r="J452">
        <v>5000</v>
      </c>
      <c r="K452">
        <v>88.037999999999997</v>
      </c>
      <c r="L452">
        <v>56.793700000000001</v>
      </c>
      <c r="M452">
        <v>20815.166000000001</v>
      </c>
      <c r="N452" t="s">
        <v>15</v>
      </c>
    </row>
    <row r="453" spans="1:15" x14ac:dyDescent="0.2">
      <c r="A453" t="s">
        <v>119</v>
      </c>
      <c r="B453" t="s">
        <v>120</v>
      </c>
      <c r="C453" t="s">
        <v>112</v>
      </c>
      <c r="D453" t="s">
        <v>121</v>
      </c>
      <c r="E453" t="s">
        <v>53</v>
      </c>
      <c r="F453" t="s">
        <v>114</v>
      </c>
      <c r="G453">
        <v>122639</v>
      </c>
      <c r="H453" s="75">
        <v>45245</v>
      </c>
      <c r="I453" t="s">
        <v>115</v>
      </c>
      <c r="J453">
        <v>5000</v>
      </c>
      <c r="K453">
        <v>89.484999999999999</v>
      </c>
      <c r="L453">
        <v>55.875100000000003</v>
      </c>
      <c r="M453">
        <v>20904.651000000002</v>
      </c>
      <c r="N453" t="s">
        <v>15</v>
      </c>
    </row>
    <row r="454" spans="1:15" x14ac:dyDescent="0.2">
      <c r="A454" t="s">
        <v>119</v>
      </c>
      <c r="B454" t="s">
        <v>120</v>
      </c>
      <c r="C454" t="s">
        <v>112</v>
      </c>
      <c r="D454" t="s">
        <v>121</v>
      </c>
      <c r="E454" t="s">
        <v>53</v>
      </c>
      <c r="F454" t="s">
        <v>114</v>
      </c>
      <c r="G454">
        <v>122639</v>
      </c>
      <c r="H454" s="75">
        <v>45245</v>
      </c>
      <c r="I454" t="s">
        <v>117</v>
      </c>
      <c r="J454">
        <v>2.5</v>
      </c>
      <c r="K454">
        <v>0</v>
      </c>
      <c r="M454">
        <v>20904.651000000002</v>
      </c>
      <c r="N454" t="s">
        <v>46</v>
      </c>
    </row>
    <row r="455" spans="1:15" x14ac:dyDescent="0.2">
      <c r="A455" t="s">
        <v>119</v>
      </c>
      <c r="B455" t="s">
        <v>120</v>
      </c>
      <c r="C455" t="s">
        <v>112</v>
      </c>
      <c r="D455" t="s">
        <v>121</v>
      </c>
      <c r="E455" t="s">
        <v>53</v>
      </c>
      <c r="F455" t="s">
        <v>114</v>
      </c>
      <c r="G455">
        <v>122639</v>
      </c>
      <c r="H455" s="75">
        <v>45275</v>
      </c>
      <c r="I455" t="s">
        <v>115</v>
      </c>
      <c r="J455">
        <v>5000</v>
      </c>
      <c r="K455">
        <v>89.82</v>
      </c>
      <c r="L455">
        <v>55.667000000000002</v>
      </c>
      <c r="M455">
        <v>20994.471000000001</v>
      </c>
      <c r="N455" t="s">
        <v>15</v>
      </c>
    </row>
    <row r="456" spans="1:15" x14ac:dyDescent="0.2">
      <c r="A456" t="s">
        <v>119</v>
      </c>
      <c r="B456" t="s">
        <v>120</v>
      </c>
      <c r="C456" t="s">
        <v>112</v>
      </c>
      <c r="D456" t="s">
        <v>121</v>
      </c>
      <c r="E456" t="s">
        <v>53</v>
      </c>
      <c r="F456" t="s">
        <v>114</v>
      </c>
      <c r="G456">
        <v>122639</v>
      </c>
      <c r="H456" s="75">
        <v>45275</v>
      </c>
      <c r="I456" t="s">
        <v>118</v>
      </c>
      <c r="J456">
        <v>10497.24</v>
      </c>
      <c r="K456">
        <v>0</v>
      </c>
      <c r="M456">
        <v>20994.471000000001</v>
      </c>
      <c r="N456" t="s">
        <v>19</v>
      </c>
      <c r="O456">
        <v>10497.24</v>
      </c>
    </row>
    <row r="457" spans="1:15" x14ac:dyDescent="0.2">
      <c r="A457" t="s">
        <v>119</v>
      </c>
      <c r="B457" t="s">
        <v>120</v>
      </c>
      <c r="C457" t="s">
        <v>112</v>
      </c>
      <c r="D457" t="s">
        <v>121</v>
      </c>
      <c r="E457" t="s">
        <v>53</v>
      </c>
      <c r="F457" t="s">
        <v>114</v>
      </c>
      <c r="G457">
        <v>122639</v>
      </c>
      <c r="H457" s="75">
        <v>45305</v>
      </c>
      <c r="I457" t="s">
        <v>115</v>
      </c>
      <c r="J457">
        <v>5000</v>
      </c>
      <c r="K457">
        <v>90.885000000000005</v>
      </c>
      <c r="L457">
        <v>55.014499999999998</v>
      </c>
      <c r="M457">
        <v>21085.356</v>
      </c>
      <c r="N457" t="s">
        <v>15</v>
      </c>
    </row>
    <row r="458" spans="1:15" x14ac:dyDescent="0.2">
      <c r="A458" t="s">
        <v>119</v>
      </c>
      <c r="B458" t="s">
        <v>120</v>
      </c>
      <c r="C458" t="s">
        <v>112</v>
      </c>
      <c r="D458" t="s">
        <v>121</v>
      </c>
      <c r="E458" t="s">
        <v>53</v>
      </c>
      <c r="F458" t="s">
        <v>114</v>
      </c>
      <c r="G458">
        <v>122639</v>
      </c>
      <c r="H458" s="75">
        <v>45305</v>
      </c>
      <c r="I458" t="s">
        <v>118</v>
      </c>
      <c r="J458">
        <v>10542.68</v>
      </c>
      <c r="K458">
        <v>0</v>
      </c>
      <c r="M458">
        <v>21085.356</v>
      </c>
      <c r="N458" t="s">
        <v>19</v>
      </c>
      <c r="O458">
        <v>10542.68</v>
      </c>
    </row>
    <row r="459" spans="1:15" x14ac:dyDescent="0.2">
      <c r="A459" t="s">
        <v>119</v>
      </c>
      <c r="B459" t="s">
        <v>120</v>
      </c>
      <c r="C459" t="s">
        <v>112</v>
      </c>
      <c r="D459" t="s">
        <v>121</v>
      </c>
      <c r="E459" t="s">
        <v>53</v>
      </c>
      <c r="F459" t="s">
        <v>114</v>
      </c>
      <c r="G459">
        <v>122639</v>
      </c>
      <c r="H459" s="75">
        <v>45335</v>
      </c>
      <c r="I459" t="s">
        <v>115</v>
      </c>
      <c r="J459">
        <v>5000</v>
      </c>
      <c r="K459">
        <v>91.128</v>
      </c>
      <c r="L459">
        <v>54.867600000000003</v>
      </c>
      <c r="M459">
        <v>21176.484</v>
      </c>
      <c r="N459" t="s">
        <v>15</v>
      </c>
    </row>
    <row r="460" spans="1:15" x14ac:dyDescent="0.2">
      <c r="A460" t="s">
        <v>119</v>
      </c>
      <c r="B460" t="s">
        <v>120</v>
      </c>
      <c r="C460" t="s">
        <v>112</v>
      </c>
      <c r="D460" t="s">
        <v>121</v>
      </c>
      <c r="E460" t="s">
        <v>53</v>
      </c>
      <c r="F460" t="s">
        <v>114</v>
      </c>
      <c r="G460">
        <v>122639</v>
      </c>
      <c r="H460" s="75">
        <v>45365</v>
      </c>
      <c r="I460" t="s">
        <v>115</v>
      </c>
      <c r="J460">
        <v>5000</v>
      </c>
      <c r="K460">
        <v>91.692999999999998</v>
      </c>
      <c r="L460">
        <v>54.529600000000002</v>
      </c>
      <c r="M460">
        <v>21268.178</v>
      </c>
      <c r="N460" t="s">
        <v>15</v>
      </c>
    </row>
    <row r="461" spans="1:15" x14ac:dyDescent="0.2">
      <c r="A461" t="s">
        <v>119</v>
      </c>
      <c r="B461" t="s">
        <v>120</v>
      </c>
      <c r="C461" t="s">
        <v>112</v>
      </c>
      <c r="D461" t="s">
        <v>121</v>
      </c>
      <c r="E461" t="s">
        <v>53</v>
      </c>
      <c r="F461" t="s">
        <v>114</v>
      </c>
      <c r="G461">
        <v>122639</v>
      </c>
      <c r="H461" s="75">
        <v>45365</v>
      </c>
      <c r="I461" t="s">
        <v>116</v>
      </c>
      <c r="J461">
        <v>2.5</v>
      </c>
      <c r="K461">
        <v>0</v>
      </c>
      <c r="M461">
        <v>21268.178</v>
      </c>
      <c r="N461" t="s">
        <v>17</v>
      </c>
    </row>
    <row r="462" spans="1:15" x14ac:dyDescent="0.2">
      <c r="A462" t="s">
        <v>119</v>
      </c>
      <c r="B462" t="s">
        <v>120</v>
      </c>
      <c r="C462" t="s">
        <v>112</v>
      </c>
      <c r="D462" t="s">
        <v>121</v>
      </c>
      <c r="E462" t="s">
        <v>53</v>
      </c>
      <c r="F462" t="s">
        <v>114</v>
      </c>
      <c r="G462">
        <v>122639</v>
      </c>
      <c r="H462" s="75">
        <v>45395</v>
      </c>
      <c r="I462" t="s">
        <v>115</v>
      </c>
      <c r="J462">
        <v>5000</v>
      </c>
      <c r="K462">
        <v>92.108999999999995</v>
      </c>
      <c r="L462">
        <v>54.283499999999997</v>
      </c>
      <c r="M462">
        <v>21360.287</v>
      </c>
      <c r="N462" t="s">
        <v>15</v>
      </c>
    </row>
    <row r="463" spans="1:15" x14ac:dyDescent="0.2">
      <c r="A463" t="s">
        <v>119</v>
      </c>
      <c r="B463" t="s">
        <v>120</v>
      </c>
      <c r="C463" t="s">
        <v>112</v>
      </c>
      <c r="D463" t="s">
        <v>121</v>
      </c>
      <c r="E463" t="s">
        <v>53</v>
      </c>
      <c r="F463" t="s">
        <v>114</v>
      </c>
      <c r="G463">
        <v>122639</v>
      </c>
      <c r="H463" s="75">
        <v>45425</v>
      </c>
      <c r="I463" t="s">
        <v>115</v>
      </c>
      <c r="J463">
        <v>5000</v>
      </c>
      <c r="K463">
        <v>90.781999999999996</v>
      </c>
      <c r="L463">
        <v>55.076700000000002</v>
      </c>
      <c r="M463">
        <v>21451.069</v>
      </c>
      <c r="N463" t="s">
        <v>15</v>
      </c>
    </row>
    <row r="464" spans="1:15" x14ac:dyDescent="0.2">
      <c r="A464" t="s">
        <v>119</v>
      </c>
      <c r="B464" t="s">
        <v>120</v>
      </c>
      <c r="C464" t="s">
        <v>112</v>
      </c>
      <c r="D464" t="s">
        <v>121</v>
      </c>
      <c r="E464" t="s">
        <v>53</v>
      </c>
      <c r="F464" t="s">
        <v>114</v>
      </c>
      <c r="G464">
        <v>122639</v>
      </c>
      <c r="H464" s="75">
        <v>45455</v>
      </c>
      <c r="I464" t="s">
        <v>115</v>
      </c>
      <c r="J464">
        <v>5000</v>
      </c>
      <c r="K464">
        <v>89.692999999999998</v>
      </c>
      <c r="L464">
        <v>55.745699999999999</v>
      </c>
      <c r="M464">
        <v>21540.761999999999</v>
      </c>
      <c r="N464" t="s">
        <v>15</v>
      </c>
    </row>
    <row r="465" spans="1:14" x14ac:dyDescent="0.2">
      <c r="A465" t="s">
        <v>119</v>
      </c>
      <c r="B465" t="s">
        <v>120</v>
      </c>
      <c r="C465" t="s">
        <v>112</v>
      </c>
      <c r="D465" t="s">
        <v>121</v>
      </c>
      <c r="E465" t="s">
        <v>53</v>
      </c>
      <c r="F465" t="s">
        <v>114</v>
      </c>
      <c r="G465">
        <v>122639</v>
      </c>
      <c r="H465" s="75">
        <v>45455</v>
      </c>
      <c r="I465" t="s">
        <v>117</v>
      </c>
      <c r="J465">
        <v>2.5</v>
      </c>
      <c r="K465">
        <v>0</v>
      </c>
      <c r="M465">
        <v>21540.761999999999</v>
      </c>
      <c r="N465" t="s">
        <v>46</v>
      </c>
    </row>
    <row r="466" spans="1:14" x14ac:dyDescent="0.2">
      <c r="A466" t="s">
        <v>119</v>
      </c>
      <c r="B466" t="s">
        <v>120</v>
      </c>
      <c r="C466" t="s">
        <v>112</v>
      </c>
      <c r="D466" t="s">
        <v>121</v>
      </c>
      <c r="E466" t="s">
        <v>53</v>
      </c>
      <c r="F466" t="s">
        <v>114</v>
      </c>
      <c r="G466">
        <v>122639</v>
      </c>
      <c r="H466" s="75">
        <v>45485</v>
      </c>
      <c r="I466" t="s">
        <v>115</v>
      </c>
      <c r="J466">
        <v>5000</v>
      </c>
      <c r="K466">
        <v>89.971999999999994</v>
      </c>
      <c r="L466">
        <v>55.573099999999997</v>
      </c>
      <c r="M466">
        <v>21630.734</v>
      </c>
      <c r="N466" t="s">
        <v>15</v>
      </c>
    </row>
    <row r="467" spans="1:14" x14ac:dyDescent="0.2">
      <c r="A467" t="s">
        <v>119</v>
      </c>
      <c r="B467" t="s">
        <v>120</v>
      </c>
      <c r="C467" t="s">
        <v>112</v>
      </c>
      <c r="D467" t="s">
        <v>121</v>
      </c>
      <c r="E467" t="s">
        <v>53</v>
      </c>
      <c r="F467" t="s">
        <v>114</v>
      </c>
      <c r="G467">
        <v>122639</v>
      </c>
      <c r="H467" s="75">
        <v>45485</v>
      </c>
      <c r="I467" t="s">
        <v>117</v>
      </c>
      <c r="J467">
        <v>2.5</v>
      </c>
      <c r="K467">
        <v>0</v>
      </c>
      <c r="M467">
        <v>21630.734</v>
      </c>
      <c r="N467" t="s">
        <v>46</v>
      </c>
    </row>
    <row r="468" spans="1:14" x14ac:dyDescent="0.2">
      <c r="A468" t="s">
        <v>119</v>
      </c>
      <c r="B468" t="s">
        <v>120</v>
      </c>
      <c r="C468" t="s">
        <v>112</v>
      </c>
      <c r="D468" t="s">
        <v>121</v>
      </c>
      <c r="E468" t="s">
        <v>53</v>
      </c>
      <c r="F468" t="s">
        <v>114</v>
      </c>
      <c r="G468">
        <v>122639</v>
      </c>
      <c r="H468" s="75">
        <v>45515</v>
      </c>
      <c r="I468" t="s">
        <v>115</v>
      </c>
      <c r="J468">
        <v>5000</v>
      </c>
      <c r="K468">
        <v>89.251999999999995</v>
      </c>
      <c r="L468">
        <v>56.0212</v>
      </c>
      <c r="M468">
        <v>21719.986000000001</v>
      </c>
      <c r="N468" t="s">
        <v>15</v>
      </c>
    </row>
    <row r="469" spans="1:14" x14ac:dyDescent="0.2">
      <c r="A469" t="s">
        <v>119</v>
      </c>
      <c r="B469" t="s">
        <v>120</v>
      </c>
      <c r="C469" t="s">
        <v>112</v>
      </c>
      <c r="D469" t="s">
        <v>121</v>
      </c>
      <c r="E469" t="s">
        <v>53</v>
      </c>
      <c r="F469" t="s">
        <v>114</v>
      </c>
      <c r="G469">
        <v>122639</v>
      </c>
      <c r="H469" s="75">
        <v>45545</v>
      </c>
      <c r="I469" t="s">
        <v>115</v>
      </c>
      <c r="J469">
        <v>5000</v>
      </c>
      <c r="K469">
        <v>87.248000000000005</v>
      </c>
      <c r="L469">
        <v>57.307699999999997</v>
      </c>
      <c r="M469">
        <v>21807.234</v>
      </c>
      <c r="N469" t="s">
        <v>15</v>
      </c>
    </row>
    <row r="470" spans="1:14" x14ac:dyDescent="0.2">
      <c r="A470" t="s">
        <v>119</v>
      </c>
      <c r="B470" t="s">
        <v>120</v>
      </c>
      <c r="C470" t="s">
        <v>112</v>
      </c>
      <c r="D470" t="s">
        <v>121</v>
      </c>
      <c r="E470" t="s">
        <v>53</v>
      </c>
      <c r="F470" t="s">
        <v>114</v>
      </c>
      <c r="G470">
        <v>122639</v>
      </c>
      <c r="H470" s="75">
        <v>45575</v>
      </c>
      <c r="I470" t="s">
        <v>115</v>
      </c>
      <c r="J470">
        <v>5000</v>
      </c>
      <c r="K470">
        <v>86.227999999999994</v>
      </c>
      <c r="L470">
        <v>57.985900000000001</v>
      </c>
      <c r="M470">
        <v>21893.462</v>
      </c>
      <c r="N470" t="s">
        <v>15</v>
      </c>
    </row>
    <row r="471" spans="1:14" x14ac:dyDescent="0.2">
      <c r="A471" t="s">
        <v>119</v>
      </c>
      <c r="B471" t="s">
        <v>120</v>
      </c>
      <c r="C471" t="s">
        <v>112</v>
      </c>
      <c r="D471" t="s">
        <v>121</v>
      </c>
      <c r="E471" t="s">
        <v>53</v>
      </c>
      <c r="F471" t="s">
        <v>114</v>
      </c>
      <c r="G471">
        <v>122639</v>
      </c>
      <c r="H471" s="75">
        <v>45605</v>
      </c>
      <c r="I471" t="s">
        <v>115</v>
      </c>
      <c r="J471">
        <v>5000</v>
      </c>
      <c r="K471">
        <v>87.117999999999995</v>
      </c>
      <c r="L471">
        <v>57.393099999999997</v>
      </c>
      <c r="M471">
        <v>21980.58</v>
      </c>
      <c r="N471" t="s">
        <v>15</v>
      </c>
    </row>
    <row r="472" spans="1:14" x14ac:dyDescent="0.2">
      <c r="A472" t="s">
        <v>119</v>
      </c>
      <c r="B472" t="s">
        <v>120</v>
      </c>
      <c r="C472" t="s">
        <v>112</v>
      </c>
      <c r="D472" t="s">
        <v>121</v>
      </c>
      <c r="E472" t="s">
        <v>53</v>
      </c>
      <c r="F472" t="s">
        <v>114</v>
      </c>
      <c r="G472">
        <v>122639</v>
      </c>
      <c r="H472" s="75">
        <v>45605</v>
      </c>
      <c r="I472" t="s">
        <v>117</v>
      </c>
      <c r="J472">
        <v>2.5</v>
      </c>
      <c r="K472">
        <v>0</v>
      </c>
      <c r="M472">
        <v>21980.58</v>
      </c>
      <c r="N472" t="s">
        <v>46</v>
      </c>
    </row>
    <row r="473" spans="1:14" x14ac:dyDescent="0.2">
      <c r="A473" t="s">
        <v>119</v>
      </c>
      <c r="B473" t="s">
        <v>120</v>
      </c>
      <c r="C473" t="s">
        <v>112</v>
      </c>
      <c r="D473" t="s">
        <v>121</v>
      </c>
      <c r="E473" t="s">
        <v>53</v>
      </c>
      <c r="F473" t="s">
        <v>114</v>
      </c>
      <c r="G473">
        <v>122639</v>
      </c>
      <c r="H473" s="75">
        <v>45635</v>
      </c>
      <c r="I473" t="s">
        <v>115</v>
      </c>
      <c r="J473">
        <v>5000</v>
      </c>
      <c r="K473">
        <v>85.686000000000007</v>
      </c>
      <c r="L473">
        <v>58.352899999999998</v>
      </c>
      <c r="M473">
        <v>22066.266</v>
      </c>
      <c r="N473" t="s">
        <v>15</v>
      </c>
    </row>
    <row r="474" spans="1:14" x14ac:dyDescent="0.2">
      <c r="A474" t="s">
        <v>119</v>
      </c>
      <c r="B474" t="s">
        <v>120</v>
      </c>
      <c r="C474" t="s">
        <v>112</v>
      </c>
      <c r="D474" t="s">
        <v>121</v>
      </c>
      <c r="E474" t="s">
        <v>53</v>
      </c>
      <c r="F474" t="s">
        <v>114</v>
      </c>
      <c r="G474">
        <v>122639</v>
      </c>
      <c r="H474" s="75">
        <v>45665</v>
      </c>
      <c r="I474" t="s">
        <v>115</v>
      </c>
      <c r="J474">
        <v>5000</v>
      </c>
      <c r="K474">
        <v>83.647999999999996</v>
      </c>
      <c r="L474">
        <v>59.773899999999998</v>
      </c>
      <c r="M474">
        <v>22149.914000000001</v>
      </c>
      <c r="N474" t="s">
        <v>15</v>
      </c>
    </row>
    <row r="475" spans="1:14" x14ac:dyDescent="0.2">
      <c r="A475" t="s">
        <v>119</v>
      </c>
      <c r="B475" t="s">
        <v>120</v>
      </c>
      <c r="C475" t="s">
        <v>112</v>
      </c>
      <c r="D475" t="s">
        <v>121</v>
      </c>
      <c r="E475" t="s">
        <v>53</v>
      </c>
      <c r="F475" t="s">
        <v>114</v>
      </c>
      <c r="G475">
        <v>122639</v>
      </c>
      <c r="H475" s="75">
        <v>45695</v>
      </c>
      <c r="I475" t="s">
        <v>115</v>
      </c>
      <c r="J475">
        <v>5000</v>
      </c>
      <c r="K475">
        <v>81.447000000000003</v>
      </c>
      <c r="L475">
        <v>61.389400000000002</v>
      </c>
      <c r="M475">
        <v>22231.362000000001</v>
      </c>
      <c r="N475" t="s">
        <v>15</v>
      </c>
    </row>
    <row r="476" spans="1:14" x14ac:dyDescent="0.2">
      <c r="A476" t="s">
        <v>119</v>
      </c>
      <c r="B476" t="s">
        <v>120</v>
      </c>
      <c r="C476" t="s">
        <v>112</v>
      </c>
      <c r="D476" t="s">
        <v>121</v>
      </c>
      <c r="E476" t="s">
        <v>53</v>
      </c>
      <c r="F476" t="s">
        <v>114</v>
      </c>
      <c r="G476">
        <v>122639</v>
      </c>
      <c r="H476" s="75">
        <v>45725</v>
      </c>
      <c r="I476" t="s">
        <v>115</v>
      </c>
      <c r="J476">
        <v>5000</v>
      </c>
      <c r="K476">
        <v>79.445999999999998</v>
      </c>
      <c r="L476">
        <v>62.935600000000001</v>
      </c>
      <c r="M476">
        <v>22310.808000000001</v>
      </c>
      <c r="N476" t="s">
        <v>15</v>
      </c>
    </row>
    <row r="477" spans="1:14" x14ac:dyDescent="0.2">
      <c r="A477" t="s">
        <v>119</v>
      </c>
      <c r="B477" t="s">
        <v>120</v>
      </c>
      <c r="C477" t="s">
        <v>112</v>
      </c>
      <c r="D477" t="s">
        <v>121</v>
      </c>
      <c r="E477" t="s">
        <v>53</v>
      </c>
      <c r="F477" t="s">
        <v>114</v>
      </c>
      <c r="G477">
        <v>122639</v>
      </c>
      <c r="H477" s="75">
        <v>45755</v>
      </c>
      <c r="I477" t="s">
        <v>115</v>
      </c>
      <c r="J477">
        <v>5000</v>
      </c>
      <c r="K477">
        <v>78.480999999999995</v>
      </c>
      <c r="L477">
        <v>63.709400000000002</v>
      </c>
      <c r="M477">
        <v>22389.289000000001</v>
      </c>
      <c r="N477" t="s">
        <v>15</v>
      </c>
    </row>
    <row r="478" spans="1:14" x14ac:dyDescent="0.2">
      <c r="A478" t="s">
        <v>119</v>
      </c>
      <c r="B478" t="s">
        <v>120</v>
      </c>
      <c r="C478" t="s">
        <v>112</v>
      </c>
      <c r="D478" t="s">
        <v>121</v>
      </c>
      <c r="E478" t="s">
        <v>53</v>
      </c>
      <c r="F478" t="s">
        <v>114</v>
      </c>
      <c r="G478">
        <v>122639</v>
      </c>
      <c r="H478" s="75">
        <v>45785</v>
      </c>
      <c r="I478" t="s">
        <v>115</v>
      </c>
      <c r="J478">
        <v>5000</v>
      </c>
      <c r="K478">
        <v>76.233999999999995</v>
      </c>
      <c r="L478">
        <v>65.587299999999999</v>
      </c>
      <c r="M478">
        <v>22465.524000000001</v>
      </c>
      <c r="N478" t="s">
        <v>15</v>
      </c>
    </row>
    <row r="479" spans="1:14" x14ac:dyDescent="0.2">
      <c r="A479" t="s">
        <v>119</v>
      </c>
      <c r="B479" t="s">
        <v>120</v>
      </c>
      <c r="C479" t="s">
        <v>112</v>
      </c>
      <c r="D479" t="s">
        <v>121</v>
      </c>
      <c r="E479" t="s">
        <v>53</v>
      </c>
      <c r="F479" t="s">
        <v>114</v>
      </c>
      <c r="G479">
        <v>122639</v>
      </c>
      <c r="H479" s="75">
        <v>45815</v>
      </c>
      <c r="I479" t="s">
        <v>115</v>
      </c>
      <c r="J479">
        <v>5000</v>
      </c>
      <c r="K479">
        <v>75.168000000000006</v>
      </c>
      <c r="L479">
        <v>66.517700000000005</v>
      </c>
      <c r="M479">
        <v>22540.691999999999</v>
      </c>
      <c r="N479" t="s">
        <v>15</v>
      </c>
    </row>
    <row r="480" spans="1:14" x14ac:dyDescent="0.2">
      <c r="A480" t="s">
        <v>119</v>
      </c>
      <c r="B480" t="s">
        <v>120</v>
      </c>
      <c r="C480" t="s">
        <v>112</v>
      </c>
      <c r="D480" t="s">
        <v>121</v>
      </c>
      <c r="E480" t="s">
        <v>53</v>
      </c>
      <c r="F480" t="s">
        <v>114</v>
      </c>
      <c r="G480">
        <v>122639</v>
      </c>
      <c r="H480" s="75">
        <v>45845</v>
      </c>
      <c r="I480" t="s">
        <v>115</v>
      </c>
      <c r="J480">
        <v>5000</v>
      </c>
      <c r="K480">
        <v>74.534999999999997</v>
      </c>
      <c r="L480">
        <v>67.082800000000006</v>
      </c>
      <c r="M480">
        <v>22615.225999999999</v>
      </c>
      <c r="N480" t="s">
        <v>15</v>
      </c>
    </row>
    <row r="481" spans="1:15" x14ac:dyDescent="0.2">
      <c r="A481" t="s">
        <v>119</v>
      </c>
      <c r="B481" t="s">
        <v>120</v>
      </c>
      <c r="C481" t="s">
        <v>112</v>
      </c>
      <c r="D481" t="s">
        <v>121</v>
      </c>
      <c r="E481" t="s">
        <v>53</v>
      </c>
      <c r="F481" t="s">
        <v>114</v>
      </c>
      <c r="G481">
        <v>122639</v>
      </c>
      <c r="H481" s="75">
        <v>45875</v>
      </c>
      <c r="I481" t="s">
        <v>115</v>
      </c>
      <c r="J481">
        <v>5000</v>
      </c>
      <c r="K481">
        <v>75.2</v>
      </c>
      <c r="L481">
        <v>66.489699999999999</v>
      </c>
      <c r="M481">
        <v>22690.425999999999</v>
      </c>
      <c r="N481" t="s">
        <v>15</v>
      </c>
    </row>
    <row r="482" spans="1:15" x14ac:dyDescent="0.2">
      <c r="A482" t="s">
        <v>119</v>
      </c>
      <c r="B482" t="s">
        <v>120</v>
      </c>
      <c r="C482" t="s">
        <v>112</v>
      </c>
      <c r="D482" t="s">
        <v>121</v>
      </c>
      <c r="E482" t="s">
        <v>53</v>
      </c>
      <c r="F482" t="s">
        <v>114</v>
      </c>
      <c r="G482">
        <v>122639</v>
      </c>
      <c r="H482" s="75">
        <v>45905</v>
      </c>
      <c r="I482" t="s">
        <v>115</v>
      </c>
      <c r="J482">
        <v>5000</v>
      </c>
      <c r="K482">
        <v>74.989000000000004</v>
      </c>
      <c r="L482">
        <v>66.676699999999997</v>
      </c>
      <c r="M482">
        <v>22765.415000000001</v>
      </c>
      <c r="N482" t="s">
        <v>15</v>
      </c>
    </row>
    <row r="483" spans="1:15" x14ac:dyDescent="0.2">
      <c r="A483" t="s">
        <v>119</v>
      </c>
      <c r="B483" t="s">
        <v>120</v>
      </c>
      <c r="C483" t="s">
        <v>112</v>
      </c>
      <c r="D483" t="s">
        <v>121</v>
      </c>
      <c r="E483" t="s">
        <v>53</v>
      </c>
      <c r="F483" t="s">
        <v>114</v>
      </c>
      <c r="G483">
        <v>122639</v>
      </c>
      <c r="H483" s="75">
        <v>45935</v>
      </c>
      <c r="I483" t="s">
        <v>115</v>
      </c>
      <c r="J483">
        <v>5000</v>
      </c>
      <c r="K483">
        <v>75.427000000000007</v>
      </c>
      <c r="L483">
        <v>66.289699999999996</v>
      </c>
      <c r="M483">
        <v>22840.841</v>
      </c>
      <c r="N483" t="s">
        <v>15</v>
      </c>
    </row>
    <row r="484" spans="1:15" x14ac:dyDescent="0.2">
      <c r="A484" t="s">
        <v>119</v>
      </c>
      <c r="B484" t="s">
        <v>120</v>
      </c>
      <c r="C484" t="s">
        <v>112</v>
      </c>
      <c r="D484" t="s">
        <v>121</v>
      </c>
      <c r="E484" t="s">
        <v>53</v>
      </c>
      <c r="F484" t="s">
        <v>114</v>
      </c>
      <c r="G484">
        <v>122639</v>
      </c>
      <c r="H484" s="75">
        <v>45935</v>
      </c>
      <c r="I484" t="s">
        <v>116</v>
      </c>
      <c r="J484">
        <v>2.5</v>
      </c>
      <c r="K484">
        <v>0</v>
      </c>
      <c r="M484">
        <v>22840.841</v>
      </c>
      <c r="N484" t="s">
        <v>17</v>
      </c>
    </row>
    <row r="485" spans="1:15" x14ac:dyDescent="0.2">
      <c r="A485" t="s">
        <v>119</v>
      </c>
      <c r="B485" t="s">
        <v>120</v>
      </c>
      <c r="C485" t="s">
        <v>112</v>
      </c>
      <c r="D485" t="s">
        <v>121</v>
      </c>
      <c r="E485" t="s">
        <v>53</v>
      </c>
      <c r="F485" t="s">
        <v>114</v>
      </c>
      <c r="G485">
        <v>122639</v>
      </c>
      <c r="H485" s="75">
        <v>45935</v>
      </c>
      <c r="I485" t="s">
        <v>118</v>
      </c>
      <c r="J485">
        <v>11420.42</v>
      </c>
      <c r="K485">
        <v>0</v>
      </c>
      <c r="M485">
        <v>22840.841</v>
      </c>
      <c r="N485" t="s">
        <v>19</v>
      </c>
      <c r="O485">
        <v>11420.42</v>
      </c>
    </row>
    <row r="486" spans="1:15" x14ac:dyDescent="0.2">
      <c r="A486" t="s">
        <v>119</v>
      </c>
      <c r="B486" t="s">
        <v>120</v>
      </c>
      <c r="C486" t="s">
        <v>112</v>
      </c>
      <c r="D486" t="s">
        <v>121</v>
      </c>
      <c r="E486" t="s">
        <v>53</v>
      </c>
      <c r="F486" t="s">
        <v>114</v>
      </c>
      <c r="G486">
        <v>122639</v>
      </c>
      <c r="H486" s="75">
        <v>45965</v>
      </c>
      <c r="I486" t="s">
        <v>115</v>
      </c>
      <c r="J486">
        <v>5000</v>
      </c>
      <c r="K486">
        <v>76.504999999999995</v>
      </c>
      <c r="L486">
        <v>65.355199999999996</v>
      </c>
      <c r="M486">
        <v>22917.346000000001</v>
      </c>
      <c r="N486" t="s">
        <v>15</v>
      </c>
    </row>
    <row r="487" spans="1:15" x14ac:dyDescent="0.2">
      <c r="A487" t="s">
        <v>119</v>
      </c>
      <c r="B487" t="s">
        <v>120</v>
      </c>
      <c r="C487" t="s">
        <v>112</v>
      </c>
      <c r="D487" t="s">
        <v>121</v>
      </c>
      <c r="E487" t="s">
        <v>53</v>
      </c>
      <c r="F487" t="s">
        <v>114</v>
      </c>
      <c r="G487">
        <v>122639</v>
      </c>
      <c r="H487" s="75">
        <v>45995</v>
      </c>
      <c r="I487" t="s">
        <v>115</v>
      </c>
      <c r="J487">
        <v>5000</v>
      </c>
      <c r="K487">
        <v>76.093000000000004</v>
      </c>
      <c r="L487">
        <v>65.709500000000006</v>
      </c>
      <c r="M487">
        <v>22993.438999999998</v>
      </c>
      <c r="N487" t="s">
        <v>15</v>
      </c>
    </row>
    <row r="488" spans="1:15" x14ac:dyDescent="0.2">
      <c r="A488" t="s">
        <v>119</v>
      </c>
      <c r="B488" t="s">
        <v>120</v>
      </c>
      <c r="C488" t="s">
        <v>112</v>
      </c>
      <c r="D488" t="s">
        <v>121</v>
      </c>
      <c r="E488" t="s">
        <v>53</v>
      </c>
      <c r="F488" t="s">
        <v>114</v>
      </c>
      <c r="G488">
        <v>122639</v>
      </c>
      <c r="H488" s="75">
        <v>46025</v>
      </c>
      <c r="I488" t="s">
        <v>115</v>
      </c>
      <c r="J488">
        <v>5000</v>
      </c>
      <c r="K488">
        <v>75.671000000000006</v>
      </c>
      <c r="L488">
        <v>66.075900000000004</v>
      </c>
      <c r="M488">
        <v>23069.109</v>
      </c>
      <c r="N488" t="s">
        <v>15</v>
      </c>
    </row>
    <row r="489" spans="1:15" x14ac:dyDescent="0.2">
      <c r="A489" t="s">
        <v>119</v>
      </c>
      <c r="B489" t="s">
        <v>120</v>
      </c>
      <c r="C489" t="s">
        <v>112</v>
      </c>
      <c r="D489" t="s">
        <v>121</v>
      </c>
      <c r="E489" t="s">
        <v>53</v>
      </c>
      <c r="F489" t="s">
        <v>114</v>
      </c>
      <c r="G489">
        <v>122639</v>
      </c>
      <c r="H489" s="75">
        <v>46025</v>
      </c>
      <c r="I489" t="s">
        <v>117</v>
      </c>
      <c r="J489">
        <v>2.5</v>
      </c>
      <c r="K489">
        <v>0</v>
      </c>
      <c r="M489">
        <v>23069.109</v>
      </c>
      <c r="N489" t="s">
        <v>46</v>
      </c>
    </row>
    <row r="490" spans="1:15" x14ac:dyDescent="0.2">
      <c r="A490" t="s">
        <v>119</v>
      </c>
      <c r="B490" t="s">
        <v>120</v>
      </c>
      <c r="C490" t="s">
        <v>112</v>
      </c>
      <c r="D490" t="s">
        <v>121</v>
      </c>
      <c r="E490" t="s">
        <v>53</v>
      </c>
      <c r="F490" t="s">
        <v>114</v>
      </c>
      <c r="G490">
        <v>122639</v>
      </c>
      <c r="H490" s="75">
        <v>46055</v>
      </c>
      <c r="I490" t="s">
        <v>115</v>
      </c>
      <c r="J490">
        <v>5000</v>
      </c>
      <c r="K490">
        <v>75.695999999999998</v>
      </c>
      <c r="L490">
        <v>66.053899999999999</v>
      </c>
      <c r="M490">
        <v>23144.805</v>
      </c>
      <c r="N490" t="s">
        <v>15</v>
      </c>
    </row>
    <row r="491" spans="1:15" x14ac:dyDescent="0.2">
      <c r="A491" t="s">
        <v>119</v>
      </c>
      <c r="B491" t="s">
        <v>120</v>
      </c>
      <c r="C491" t="s">
        <v>112</v>
      </c>
      <c r="D491" t="s">
        <v>121</v>
      </c>
      <c r="E491" t="s">
        <v>53</v>
      </c>
      <c r="F491" t="s">
        <v>114</v>
      </c>
      <c r="G491">
        <v>122639</v>
      </c>
      <c r="H491" s="75">
        <v>46085</v>
      </c>
      <c r="I491" t="s">
        <v>115</v>
      </c>
      <c r="J491">
        <v>5000</v>
      </c>
      <c r="K491">
        <v>75.826999999999998</v>
      </c>
      <c r="L491">
        <v>65.939800000000005</v>
      </c>
      <c r="M491">
        <v>23220.632000000001</v>
      </c>
      <c r="N491" t="s">
        <v>15</v>
      </c>
    </row>
    <row r="492" spans="1:15" x14ac:dyDescent="0.2">
      <c r="A492" t="s">
        <v>119</v>
      </c>
      <c r="B492" t="s">
        <v>120</v>
      </c>
      <c r="C492" t="s">
        <v>112</v>
      </c>
      <c r="D492" t="s">
        <v>121</v>
      </c>
      <c r="E492" t="s">
        <v>53</v>
      </c>
      <c r="F492" t="s">
        <v>114</v>
      </c>
      <c r="G492">
        <v>122639</v>
      </c>
      <c r="H492" s="75">
        <v>46085</v>
      </c>
      <c r="I492" t="s">
        <v>116</v>
      </c>
      <c r="J492">
        <v>2.5</v>
      </c>
      <c r="K492">
        <v>0</v>
      </c>
      <c r="M492">
        <v>23220.632000000001</v>
      </c>
      <c r="N492" t="s">
        <v>17</v>
      </c>
    </row>
    <row r="493" spans="1:15" x14ac:dyDescent="0.2">
      <c r="A493" t="s">
        <v>119</v>
      </c>
      <c r="B493" t="s">
        <v>120</v>
      </c>
      <c r="C493" t="s">
        <v>112</v>
      </c>
      <c r="D493" t="s">
        <v>121</v>
      </c>
      <c r="E493" t="s">
        <v>53</v>
      </c>
      <c r="F493" t="s">
        <v>114</v>
      </c>
      <c r="G493">
        <v>122639</v>
      </c>
      <c r="H493" s="75">
        <v>46115</v>
      </c>
      <c r="I493" t="s">
        <v>115</v>
      </c>
      <c r="J493">
        <v>5000</v>
      </c>
      <c r="K493">
        <v>73.912999999999997</v>
      </c>
      <c r="L493">
        <v>67.646900000000002</v>
      </c>
      <c r="M493">
        <v>23294.544999999998</v>
      </c>
      <c r="N493" t="s">
        <v>15</v>
      </c>
    </row>
    <row r="494" spans="1:15" x14ac:dyDescent="0.2">
      <c r="A494" t="s">
        <v>119</v>
      </c>
      <c r="B494" t="s">
        <v>120</v>
      </c>
      <c r="C494" t="s">
        <v>112</v>
      </c>
      <c r="D494" t="s">
        <v>121</v>
      </c>
      <c r="E494" t="s">
        <v>53</v>
      </c>
      <c r="F494" t="s">
        <v>114</v>
      </c>
      <c r="G494">
        <v>122639</v>
      </c>
      <c r="H494" s="75">
        <v>46115</v>
      </c>
      <c r="I494" t="s">
        <v>116</v>
      </c>
      <c r="J494">
        <v>2.5</v>
      </c>
      <c r="K494">
        <v>0</v>
      </c>
      <c r="M494">
        <v>23294.544999999998</v>
      </c>
      <c r="N494" t="s">
        <v>17</v>
      </c>
    </row>
    <row r="495" spans="1:15" x14ac:dyDescent="0.2">
      <c r="A495" t="s">
        <v>119</v>
      </c>
      <c r="B495" t="s">
        <v>120</v>
      </c>
      <c r="C495" t="s">
        <v>112</v>
      </c>
      <c r="D495" t="s">
        <v>121</v>
      </c>
      <c r="E495" t="s">
        <v>53</v>
      </c>
      <c r="F495" t="s">
        <v>114</v>
      </c>
      <c r="G495">
        <v>122639</v>
      </c>
      <c r="H495" s="75">
        <v>46145</v>
      </c>
      <c r="I495" t="s">
        <v>115</v>
      </c>
      <c r="J495">
        <v>5000</v>
      </c>
      <c r="K495">
        <v>72.518000000000001</v>
      </c>
      <c r="L495">
        <v>68.948700000000002</v>
      </c>
      <c r="M495">
        <v>23367.062999999998</v>
      </c>
      <c r="N495" t="s">
        <v>15</v>
      </c>
    </row>
    <row r="496" spans="1:15" x14ac:dyDescent="0.2">
      <c r="A496" t="s">
        <v>119</v>
      </c>
      <c r="B496" t="s">
        <v>120</v>
      </c>
      <c r="C496" t="s">
        <v>112</v>
      </c>
      <c r="D496" t="s">
        <v>121</v>
      </c>
      <c r="E496" t="s">
        <v>53</v>
      </c>
      <c r="F496" t="s">
        <v>114</v>
      </c>
      <c r="G496">
        <v>122639</v>
      </c>
      <c r="H496" s="75">
        <v>46175</v>
      </c>
      <c r="I496" t="s">
        <v>115</v>
      </c>
      <c r="J496">
        <v>5000</v>
      </c>
      <c r="K496">
        <v>73.021000000000001</v>
      </c>
      <c r="L496">
        <v>68.473200000000006</v>
      </c>
      <c r="M496">
        <v>23440.083999999999</v>
      </c>
      <c r="N496" t="s">
        <v>15</v>
      </c>
    </row>
    <row r="497" spans="1:14" x14ac:dyDescent="0.2">
      <c r="A497" t="s">
        <v>56</v>
      </c>
      <c r="B497" t="s">
        <v>122</v>
      </c>
      <c r="C497" t="s">
        <v>112</v>
      </c>
      <c r="D497" t="s">
        <v>57</v>
      </c>
      <c r="E497" t="s">
        <v>53</v>
      </c>
      <c r="F497" t="s">
        <v>114</v>
      </c>
      <c r="G497">
        <v>119598</v>
      </c>
      <c r="H497" s="75">
        <v>40473</v>
      </c>
      <c r="I497" t="s">
        <v>115</v>
      </c>
      <c r="J497">
        <v>5000</v>
      </c>
      <c r="K497">
        <v>246.7</v>
      </c>
      <c r="L497">
        <v>20.267499999999998</v>
      </c>
      <c r="M497">
        <v>246.7</v>
      </c>
      <c r="N497" t="s">
        <v>15</v>
      </c>
    </row>
    <row r="498" spans="1:14" x14ac:dyDescent="0.2">
      <c r="A498" t="s">
        <v>56</v>
      </c>
      <c r="B498" t="s">
        <v>122</v>
      </c>
      <c r="C498" t="s">
        <v>112</v>
      </c>
      <c r="D498" t="s">
        <v>57</v>
      </c>
      <c r="E498" t="s">
        <v>53</v>
      </c>
      <c r="F498" t="s">
        <v>114</v>
      </c>
      <c r="G498">
        <v>119598</v>
      </c>
      <c r="H498" s="75">
        <v>40503</v>
      </c>
      <c r="I498" t="s">
        <v>115</v>
      </c>
      <c r="J498">
        <v>5000</v>
      </c>
      <c r="K498">
        <v>241.74100000000001</v>
      </c>
      <c r="L498">
        <v>20.683299999999999</v>
      </c>
      <c r="M498">
        <v>488.44099999999997</v>
      </c>
      <c r="N498" t="s">
        <v>15</v>
      </c>
    </row>
    <row r="499" spans="1:14" x14ac:dyDescent="0.2">
      <c r="A499" t="s">
        <v>56</v>
      </c>
      <c r="B499" t="s">
        <v>122</v>
      </c>
      <c r="C499" t="s">
        <v>112</v>
      </c>
      <c r="D499" t="s">
        <v>57</v>
      </c>
      <c r="E499" t="s">
        <v>53</v>
      </c>
      <c r="F499" t="s">
        <v>114</v>
      </c>
      <c r="G499">
        <v>119598</v>
      </c>
      <c r="H499" s="75">
        <v>40503</v>
      </c>
      <c r="I499" t="s">
        <v>116</v>
      </c>
      <c r="J499">
        <v>2.5</v>
      </c>
      <c r="K499">
        <v>0</v>
      </c>
      <c r="M499">
        <v>488.44099999999997</v>
      </c>
      <c r="N499" t="s">
        <v>17</v>
      </c>
    </row>
    <row r="500" spans="1:14" x14ac:dyDescent="0.2">
      <c r="A500" t="s">
        <v>56</v>
      </c>
      <c r="B500" t="s">
        <v>122</v>
      </c>
      <c r="C500" t="s">
        <v>112</v>
      </c>
      <c r="D500" t="s">
        <v>57</v>
      </c>
      <c r="E500" t="s">
        <v>53</v>
      </c>
      <c r="F500" t="s">
        <v>114</v>
      </c>
      <c r="G500">
        <v>119598</v>
      </c>
      <c r="H500" s="75">
        <v>40533</v>
      </c>
      <c r="I500" t="s">
        <v>115</v>
      </c>
      <c r="J500">
        <v>5000</v>
      </c>
      <c r="K500">
        <v>235.47499999999999</v>
      </c>
      <c r="L500">
        <v>21.233699999999999</v>
      </c>
      <c r="M500">
        <v>723.91600000000005</v>
      </c>
      <c r="N500" t="s">
        <v>15</v>
      </c>
    </row>
    <row r="501" spans="1:14" x14ac:dyDescent="0.2">
      <c r="A501" t="s">
        <v>56</v>
      </c>
      <c r="B501" t="s">
        <v>122</v>
      </c>
      <c r="C501" t="s">
        <v>112</v>
      </c>
      <c r="D501" t="s">
        <v>57</v>
      </c>
      <c r="E501" t="s">
        <v>53</v>
      </c>
      <c r="F501" t="s">
        <v>114</v>
      </c>
      <c r="G501">
        <v>119598</v>
      </c>
      <c r="H501" s="75">
        <v>40533</v>
      </c>
      <c r="I501" t="s">
        <v>117</v>
      </c>
      <c r="J501">
        <v>2.5</v>
      </c>
      <c r="K501">
        <v>0</v>
      </c>
      <c r="M501">
        <v>723.91600000000005</v>
      </c>
      <c r="N501" t="s">
        <v>46</v>
      </c>
    </row>
    <row r="502" spans="1:14" x14ac:dyDescent="0.2">
      <c r="A502" t="s">
        <v>56</v>
      </c>
      <c r="B502" t="s">
        <v>122</v>
      </c>
      <c r="C502" t="s">
        <v>112</v>
      </c>
      <c r="D502" t="s">
        <v>57</v>
      </c>
      <c r="E502" t="s">
        <v>53</v>
      </c>
      <c r="F502" t="s">
        <v>114</v>
      </c>
      <c r="G502">
        <v>119598</v>
      </c>
      <c r="H502" s="75">
        <v>40563</v>
      </c>
      <c r="I502" t="s">
        <v>115</v>
      </c>
      <c r="J502">
        <v>5000</v>
      </c>
      <c r="K502">
        <v>235.952</v>
      </c>
      <c r="L502">
        <v>21.190799999999999</v>
      </c>
      <c r="M502">
        <v>959.86800000000005</v>
      </c>
      <c r="N502" t="s">
        <v>15</v>
      </c>
    </row>
    <row r="503" spans="1:14" x14ac:dyDescent="0.2">
      <c r="A503" t="s">
        <v>56</v>
      </c>
      <c r="B503" t="s">
        <v>122</v>
      </c>
      <c r="C503" t="s">
        <v>112</v>
      </c>
      <c r="D503" t="s">
        <v>57</v>
      </c>
      <c r="E503" t="s">
        <v>53</v>
      </c>
      <c r="F503" t="s">
        <v>114</v>
      </c>
      <c r="G503">
        <v>119598</v>
      </c>
      <c r="H503" s="75">
        <v>40593</v>
      </c>
      <c r="I503" t="s">
        <v>115</v>
      </c>
      <c r="J503">
        <v>5000</v>
      </c>
      <c r="K503">
        <v>240.38399999999999</v>
      </c>
      <c r="L503">
        <v>20.8001</v>
      </c>
      <c r="M503">
        <v>1200.252</v>
      </c>
      <c r="N503" t="s">
        <v>15</v>
      </c>
    </row>
    <row r="504" spans="1:14" x14ac:dyDescent="0.2">
      <c r="A504" t="s">
        <v>56</v>
      </c>
      <c r="B504" t="s">
        <v>122</v>
      </c>
      <c r="C504" t="s">
        <v>112</v>
      </c>
      <c r="D504" t="s">
        <v>57</v>
      </c>
      <c r="E504" t="s">
        <v>53</v>
      </c>
      <c r="F504" t="s">
        <v>114</v>
      </c>
      <c r="G504">
        <v>119598</v>
      </c>
      <c r="H504" s="75">
        <v>40623</v>
      </c>
      <c r="I504" t="s">
        <v>115</v>
      </c>
      <c r="J504">
        <v>5000</v>
      </c>
      <c r="K504">
        <v>235.02600000000001</v>
      </c>
      <c r="L504">
        <v>21.2742</v>
      </c>
      <c r="M504">
        <v>1435.278</v>
      </c>
      <c r="N504" t="s">
        <v>15</v>
      </c>
    </row>
    <row r="505" spans="1:14" x14ac:dyDescent="0.2">
      <c r="A505" t="s">
        <v>56</v>
      </c>
      <c r="B505" t="s">
        <v>122</v>
      </c>
      <c r="C505" t="s">
        <v>112</v>
      </c>
      <c r="D505" t="s">
        <v>57</v>
      </c>
      <c r="E505" t="s">
        <v>53</v>
      </c>
      <c r="F505" t="s">
        <v>114</v>
      </c>
      <c r="G505">
        <v>119598</v>
      </c>
      <c r="H505" s="75">
        <v>40653</v>
      </c>
      <c r="I505" t="s">
        <v>115</v>
      </c>
      <c r="J505">
        <v>5000</v>
      </c>
      <c r="K505">
        <v>233.977</v>
      </c>
      <c r="L505">
        <v>21.369599999999998</v>
      </c>
      <c r="M505">
        <v>1669.2550000000001</v>
      </c>
      <c r="N505" t="s">
        <v>15</v>
      </c>
    </row>
    <row r="506" spans="1:14" x14ac:dyDescent="0.2">
      <c r="A506" t="s">
        <v>56</v>
      </c>
      <c r="B506" t="s">
        <v>122</v>
      </c>
      <c r="C506" t="s">
        <v>112</v>
      </c>
      <c r="D506" t="s">
        <v>57</v>
      </c>
      <c r="E506" t="s">
        <v>53</v>
      </c>
      <c r="F506" t="s">
        <v>114</v>
      </c>
      <c r="G506">
        <v>119598</v>
      </c>
      <c r="H506" s="75">
        <v>40683</v>
      </c>
      <c r="I506" t="s">
        <v>115</v>
      </c>
      <c r="J506">
        <v>5000</v>
      </c>
      <c r="K506">
        <v>231.98400000000001</v>
      </c>
      <c r="L506">
        <v>21.5532</v>
      </c>
      <c r="M506">
        <v>1901.2380000000001</v>
      </c>
      <c r="N506" t="s">
        <v>15</v>
      </c>
    </row>
    <row r="507" spans="1:14" x14ac:dyDescent="0.2">
      <c r="A507" t="s">
        <v>56</v>
      </c>
      <c r="B507" t="s">
        <v>122</v>
      </c>
      <c r="C507" t="s">
        <v>112</v>
      </c>
      <c r="D507" t="s">
        <v>57</v>
      </c>
      <c r="E507" t="s">
        <v>53</v>
      </c>
      <c r="F507" t="s">
        <v>114</v>
      </c>
      <c r="G507">
        <v>119598</v>
      </c>
      <c r="H507" s="75">
        <v>40713</v>
      </c>
      <c r="I507" t="s">
        <v>115</v>
      </c>
      <c r="J507">
        <v>5000</v>
      </c>
      <c r="K507">
        <v>228.184</v>
      </c>
      <c r="L507">
        <v>21.912099999999999</v>
      </c>
      <c r="M507">
        <v>2129.4229999999998</v>
      </c>
      <c r="N507" t="s">
        <v>15</v>
      </c>
    </row>
    <row r="508" spans="1:14" x14ac:dyDescent="0.2">
      <c r="A508" t="s">
        <v>56</v>
      </c>
      <c r="B508" t="s">
        <v>122</v>
      </c>
      <c r="C508" t="s">
        <v>112</v>
      </c>
      <c r="D508" t="s">
        <v>57</v>
      </c>
      <c r="E508" t="s">
        <v>53</v>
      </c>
      <c r="F508" t="s">
        <v>114</v>
      </c>
      <c r="G508">
        <v>119598</v>
      </c>
      <c r="H508" s="75">
        <v>40743</v>
      </c>
      <c r="I508" t="s">
        <v>115</v>
      </c>
      <c r="J508">
        <v>5000</v>
      </c>
      <c r="K508">
        <v>231.18</v>
      </c>
      <c r="L508">
        <v>21.6281</v>
      </c>
      <c r="M508">
        <v>2360.6030000000001</v>
      </c>
      <c r="N508" t="s">
        <v>15</v>
      </c>
    </row>
    <row r="509" spans="1:14" x14ac:dyDescent="0.2">
      <c r="A509" t="s">
        <v>56</v>
      </c>
      <c r="B509" t="s">
        <v>122</v>
      </c>
      <c r="C509" t="s">
        <v>112</v>
      </c>
      <c r="D509" t="s">
        <v>57</v>
      </c>
      <c r="E509" t="s">
        <v>53</v>
      </c>
      <c r="F509" t="s">
        <v>114</v>
      </c>
      <c r="G509">
        <v>119598</v>
      </c>
      <c r="H509" s="75">
        <v>40773</v>
      </c>
      <c r="I509" t="s">
        <v>115</v>
      </c>
      <c r="J509">
        <v>5000</v>
      </c>
      <c r="K509">
        <v>235.65</v>
      </c>
      <c r="L509">
        <v>21.2179</v>
      </c>
      <c r="M509">
        <v>2596.2530000000002</v>
      </c>
      <c r="N509" t="s">
        <v>15</v>
      </c>
    </row>
    <row r="510" spans="1:14" x14ac:dyDescent="0.2">
      <c r="A510" t="s">
        <v>56</v>
      </c>
      <c r="B510" t="s">
        <v>122</v>
      </c>
      <c r="C510" t="s">
        <v>112</v>
      </c>
      <c r="D510" t="s">
        <v>57</v>
      </c>
      <c r="E510" t="s">
        <v>53</v>
      </c>
      <c r="F510" t="s">
        <v>114</v>
      </c>
      <c r="G510">
        <v>119598</v>
      </c>
      <c r="H510" s="75">
        <v>40803</v>
      </c>
      <c r="I510" t="s">
        <v>115</v>
      </c>
      <c r="J510">
        <v>5000</v>
      </c>
      <c r="K510">
        <v>238.51599999999999</v>
      </c>
      <c r="L510">
        <v>20.962900000000001</v>
      </c>
      <c r="M510">
        <v>2834.77</v>
      </c>
      <c r="N510" t="s">
        <v>15</v>
      </c>
    </row>
    <row r="511" spans="1:14" x14ac:dyDescent="0.2">
      <c r="A511" t="s">
        <v>56</v>
      </c>
      <c r="B511" t="s">
        <v>122</v>
      </c>
      <c r="C511" t="s">
        <v>112</v>
      </c>
      <c r="D511" t="s">
        <v>57</v>
      </c>
      <c r="E511" t="s">
        <v>53</v>
      </c>
      <c r="F511" t="s">
        <v>114</v>
      </c>
      <c r="G511">
        <v>119598</v>
      </c>
      <c r="H511" s="75">
        <v>40833</v>
      </c>
      <c r="I511" t="s">
        <v>115</v>
      </c>
      <c r="J511">
        <v>5000</v>
      </c>
      <c r="K511">
        <v>233.69</v>
      </c>
      <c r="L511">
        <v>21.395900000000001</v>
      </c>
      <c r="M511">
        <v>3068.4589999999998</v>
      </c>
      <c r="N511" t="s">
        <v>15</v>
      </c>
    </row>
    <row r="512" spans="1:14" x14ac:dyDescent="0.2">
      <c r="A512" t="s">
        <v>56</v>
      </c>
      <c r="B512" t="s">
        <v>122</v>
      </c>
      <c r="C512" t="s">
        <v>112</v>
      </c>
      <c r="D512" t="s">
        <v>57</v>
      </c>
      <c r="E512" t="s">
        <v>53</v>
      </c>
      <c r="F512" t="s">
        <v>114</v>
      </c>
      <c r="G512">
        <v>119598</v>
      </c>
      <c r="H512" s="75">
        <v>40833</v>
      </c>
      <c r="I512" t="s">
        <v>117</v>
      </c>
      <c r="J512">
        <v>2.5</v>
      </c>
      <c r="K512">
        <v>0</v>
      </c>
      <c r="M512">
        <v>3068.4589999999998</v>
      </c>
      <c r="N512" t="s">
        <v>46</v>
      </c>
    </row>
    <row r="513" spans="1:14" x14ac:dyDescent="0.2">
      <c r="A513" t="s">
        <v>56</v>
      </c>
      <c r="B513" t="s">
        <v>122</v>
      </c>
      <c r="C513" t="s">
        <v>112</v>
      </c>
      <c r="D513" t="s">
        <v>57</v>
      </c>
      <c r="E513" t="s">
        <v>53</v>
      </c>
      <c r="F513" t="s">
        <v>114</v>
      </c>
      <c r="G513">
        <v>119598</v>
      </c>
      <c r="H513" s="75">
        <v>40863</v>
      </c>
      <c r="I513" t="s">
        <v>115</v>
      </c>
      <c r="J513">
        <v>5000</v>
      </c>
      <c r="K513">
        <v>234.75299999999999</v>
      </c>
      <c r="L513">
        <v>21.298999999999999</v>
      </c>
      <c r="M513">
        <v>3303.212</v>
      </c>
      <c r="N513" t="s">
        <v>15</v>
      </c>
    </row>
    <row r="514" spans="1:14" x14ac:dyDescent="0.2">
      <c r="A514" t="s">
        <v>56</v>
      </c>
      <c r="B514" t="s">
        <v>122</v>
      </c>
      <c r="C514" t="s">
        <v>112</v>
      </c>
      <c r="D514" t="s">
        <v>57</v>
      </c>
      <c r="E514" t="s">
        <v>53</v>
      </c>
      <c r="F514" t="s">
        <v>114</v>
      </c>
      <c r="G514">
        <v>119598</v>
      </c>
      <c r="H514" s="75">
        <v>40863</v>
      </c>
      <c r="I514" t="s">
        <v>116</v>
      </c>
      <c r="J514">
        <v>2.5</v>
      </c>
      <c r="K514">
        <v>0</v>
      </c>
      <c r="M514">
        <v>3303.212</v>
      </c>
      <c r="N514" t="s">
        <v>17</v>
      </c>
    </row>
    <row r="515" spans="1:14" x14ac:dyDescent="0.2">
      <c r="A515" t="s">
        <v>56</v>
      </c>
      <c r="B515" t="s">
        <v>122</v>
      </c>
      <c r="C515" t="s">
        <v>112</v>
      </c>
      <c r="D515" t="s">
        <v>57</v>
      </c>
      <c r="E515" t="s">
        <v>53</v>
      </c>
      <c r="F515" t="s">
        <v>114</v>
      </c>
      <c r="G515">
        <v>119598</v>
      </c>
      <c r="H515" s="75">
        <v>40893</v>
      </c>
      <c r="I515" t="s">
        <v>115</v>
      </c>
      <c r="J515">
        <v>5000</v>
      </c>
      <c r="K515">
        <v>237.16499999999999</v>
      </c>
      <c r="L515">
        <v>21.0823</v>
      </c>
      <c r="M515">
        <v>3540.377</v>
      </c>
      <c r="N515" t="s">
        <v>15</v>
      </c>
    </row>
    <row r="516" spans="1:14" x14ac:dyDescent="0.2">
      <c r="A516" t="s">
        <v>56</v>
      </c>
      <c r="B516" t="s">
        <v>122</v>
      </c>
      <c r="C516" t="s">
        <v>112</v>
      </c>
      <c r="D516" t="s">
        <v>57</v>
      </c>
      <c r="E516" t="s">
        <v>53</v>
      </c>
      <c r="F516" t="s">
        <v>114</v>
      </c>
      <c r="G516">
        <v>119598</v>
      </c>
      <c r="H516" s="75">
        <v>40923</v>
      </c>
      <c r="I516" t="s">
        <v>115</v>
      </c>
      <c r="J516">
        <v>5000</v>
      </c>
      <c r="K516">
        <v>238.143</v>
      </c>
      <c r="L516">
        <v>20.995799999999999</v>
      </c>
      <c r="M516">
        <v>3778.5210000000002</v>
      </c>
      <c r="N516" t="s">
        <v>15</v>
      </c>
    </row>
    <row r="517" spans="1:14" x14ac:dyDescent="0.2">
      <c r="A517" t="s">
        <v>56</v>
      </c>
      <c r="B517" t="s">
        <v>122</v>
      </c>
      <c r="C517" t="s">
        <v>112</v>
      </c>
      <c r="D517" t="s">
        <v>57</v>
      </c>
      <c r="E517" t="s">
        <v>53</v>
      </c>
      <c r="F517" t="s">
        <v>114</v>
      </c>
      <c r="G517">
        <v>119598</v>
      </c>
      <c r="H517" s="75">
        <v>40953</v>
      </c>
      <c r="I517" t="s">
        <v>115</v>
      </c>
      <c r="J517">
        <v>5000</v>
      </c>
      <c r="K517">
        <v>237.99100000000001</v>
      </c>
      <c r="L517">
        <v>21.0092</v>
      </c>
      <c r="M517">
        <v>4016.511</v>
      </c>
      <c r="N517" t="s">
        <v>15</v>
      </c>
    </row>
    <row r="518" spans="1:14" x14ac:dyDescent="0.2">
      <c r="A518" t="s">
        <v>56</v>
      </c>
      <c r="B518" t="s">
        <v>122</v>
      </c>
      <c r="C518" t="s">
        <v>112</v>
      </c>
      <c r="D518" t="s">
        <v>57</v>
      </c>
      <c r="E518" t="s">
        <v>53</v>
      </c>
      <c r="F518" t="s">
        <v>114</v>
      </c>
      <c r="G518">
        <v>119598</v>
      </c>
      <c r="H518" s="75">
        <v>40983</v>
      </c>
      <c r="I518" t="s">
        <v>115</v>
      </c>
      <c r="J518">
        <v>5000</v>
      </c>
      <c r="K518">
        <v>242.714</v>
      </c>
      <c r="L518">
        <v>20.6004</v>
      </c>
      <c r="M518">
        <v>4259.2250000000004</v>
      </c>
      <c r="N518" t="s">
        <v>15</v>
      </c>
    </row>
    <row r="519" spans="1:14" x14ac:dyDescent="0.2">
      <c r="A519" t="s">
        <v>56</v>
      </c>
      <c r="B519" t="s">
        <v>122</v>
      </c>
      <c r="C519" t="s">
        <v>112</v>
      </c>
      <c r="D519" t="s">
        <v>57</v>
      </c>
      <c r="E519" t="s">
        <v>53</v>
      </c>
      <c r="F519" t="s">
        <v>114</v>
      </c>
      <c r="G519">
        <v>119598</v>
      </c>
      <c r="H519" s="75">
        <v>41013</v>
      </c>
      <c r="I519" t="s">
        <v>115</v>
      </c>
      <c r="J519">
        <v>5000</v>
      </c>
      <c r="K519">
        <v>240.15700000000001</v>
      </c>
      <c r="L519">
        <v>20.819700000000001</v>
      </c>
      <c r="M519">
        <v>4499.3819999999996</v>
      </c>
      <c r="N519" t="s">
        <v>15</v>
      </c>
    </row>
    <row r="520" spans="1:14" x14ac:dyDescent="0.2">
      <c r="A520" t="s">
        <v>56</v>
      </c>
      <c r="B520" t="s">
        <v>122</v>
      </c>
      <c r="C520" t="s">
        <v>112</v>
      </c>
      <c r="D520" t="s">
        <v>57</v>
      </c>
      <c r="E520" t="s">
        <v>53</v>
      </c>
      <c r="F520" t="s">
        <v>114</v>
      </c>
      <c r="G520">
        <v>119598</v>
      </c>
      <c r="H520" s="75">
        <v>41043</v>
      </c>
      <c r="I520" t="s">
        <v>115</v>
      </c>
      <c r="J520">
        <v>5000</v>
      </c>
      <c r="K520">
        <v>239.33699999999999</v>
      </c>
      <c r="L520">
        <v>20.890999999999998</v>
      </c>
      <c r="M520">
        <v>4738.7190000000001</v>
      </c>
      <c r="N520" t="s">
        <v>15</v>
      </c>
    </row>
    <row r="521" spans="1:14" x14ac:dyDescent="0.2">
      <c r="A521" t="s">
        <v>56</v>
      </c>
      <c r="B521" t="s">
        <v>122</v>
      </c>
      <c r="C521" t="s">
        <v>112</v>
      </c>
      <c r="D521" t="s">
        <v>57</v>
      </c>
      <c r="E521" t="s">
        <v>53</v>
      </c>
      <c r="F521" t="s">
        <v>114</v>
      </c>
      <c r="G521">
        <v>119598</v>
      </c>
      <c r="H521" s="75">
        <v>41073</v>
      </c>
      <c r="I521" t="s">
        <v>115</v>
      </c>
      <c r="J521">
        <v>5000</v>
      </c>
      <c r="K521">
        <v>234.28</v>
      </c>
      <c r="L521">
        <v>21.341899999999999</v>
      </c>
      <c r="M521">
        <v>4972.9989999999998</v>
      </c>
      <c r="N521" t="s">
        <v>15</v>
      </c>
    </row>
    <row r="522" spans="1:14" x14ac:dyDescent="0.2">
      <c r="A522" t="s">
        <v>56</v>
      </c>
      <c r="B522" t="s">
        <v>122</v>
      </c>
      <c r="C522" t="s">
        <v>112</v>
      </c>
      <c r="D522" t="s">
        <v>57</v>
      </c>
      <c r="E522" t="s">
        <v>53</v>
      </c>
      <c r="F522" t="s">
        <v>114</v>
      </c>
      <c r="G522">
        <v>119598</v>
      </c>
      <c r="H522" s="75">
        <v>41103</v>
      </c>
      <c r="I522" t="s">
        <v>115</v>
      </c>
      <c r="J522">
        <v>5000</v>
      </c>
      <c r="K522">
        <v>230.49799999999999</v>
      </c>
      <c r="L522">
        <v>21.6922</v>
      </c>
      <c r="M522">
        <v>5203.4970000000003</v>
      </c>
      <c r="N522" t="s">
        <v>15</v>
      </c>
    </row>
    <row r="523" spans="1:14" x14ac:dyDescent="0.2">
      <c r="A523" t="s">
        <v>56</v>
      </c>
      <c r="B523" t="s">
        <v>122</v>
      </c>
      <c r="C523" t="s">
        <v>112</v>
      </c>
      <c r="D523" t="s">
        <v>57</v>
      </c>
      <c r="E523" t="s">
        <v>53</v>
      </c>
      <c r="F523" t="s">
        <v>114</v>
      </c>
      <c r="G523">
        <v>119598</v>
      </c>
      <c r="H523" s="75">
        <v>41133</v>
      </c>
      <c r="I523" t="s">
        <v>115</v>
      </c>
      <c r="J523">
        <v>5000</v>
      </c>
      <c r="K523">
        <v>233.24600000000001</v>
      </c>
      <c r="L523">
        <v>21.436599999999999</v>
      </c>
      <c r="M523">
        <v>5436.7430000000004</v>
      </c>
      <c r="N523" t="s">
        <v>15</v>
      </c>
    </row>
    <row r="524" spans="1:14" x14ac:dyDescent="0.2">
      <c r="A524" t="s">
        <v>56</v>
      </c>
      <c r="B524" t="s">
        <v>122</v>
      </c>
      <c r="C524" t="s">
        <v>112</v>
      </c>
      <c r="D524" t="s">
        <v>57</v>
      </c>
      <c r="E524" t="s">
        <v>53</v>
      </c>
      <c r="F524" t="s">
        <v>114</v>
      </c>
      <c r="G524">
        <v>119598</v>
      </c>
      <c r="H524" s="75">
        <v>41163</v>
      </c>
      <c r="I524" t="s">
        <v>115</v>
      </c>
      <c r="J524">
        <v>5000</v>
      </c>
      <c r="K524">
        <v>226.90199999999999</v>
      </c>
      <c r="L524">
        <v>22.035900000000002</v>
      </c>
      <c r="M524">
        <v>5663.6450000000004</v>
      </c>
      <c r="N524" t="s">
        <v>15</v>
      </c>
    </row>
    <row r="525" spans="1:14" x14ac:dyDescent="0.2">
      <c r="A525" t="s">
        <v>56</v>
      </c>
      <c r="B525" t="s">
        <v>122</v>
      </c>
      <c r="C525" t="s">
        <v>112</v>
      </c>
      <c r="D525" t="s">
        <v>57</v>
      </c>
      <c r="E525" t="s">
        <v>53</v>
      </c>
      <c r="F525" t="s">
        <v>114</v>
      </c>
      <c r="G525">
        <v>119598</v>
      </c>
      <c r="H525" s="75">
        <v>41193</v>
      </c>
      <c r="I525" t="s">
        <v>115</v>
      </c>
      <c r="J525">
        <v>5000</v>
      </c>
      <c r="K525">
        <v>227.095</v>
      </c>
      <c r="L525">
        <v>22.017199999999999</v>
      </c>
      <c r="M525">
        <v>5890.74</v>
      </c>
      <c r="N525" t="s">
        <v>15</v>
      </c>
    </row>
    <row r="526" spans="1:14" x14ac:dyDescent="0.2">
      <c r="A526" t="s">
        <v>56</v>
      </c>
      <c r="B526" t="s">
        <v>122</v>
      </c>
      <c r="C526" t="s">
        <v>112</v>
      </c>
      <c r="D526" t="s">
        <v>57</v>
      </c>
      <c r="E526" t="s">
        <v>53</v>
      </c>
      <c r="F526" t="s">
        <v>114</v>
      </c>
      <c r="G526">
        <v>119598</v>
      </c>
      <c r="H526" s="75">
        <v>41223</v>
      </c>
      <c r="I526" t="s">
        <v>115</v>
      </c>
      <c r="J526">
        <v>5000</v>
      </c>
      <c r="K526">
        <v>225.886</v>
      </c>
      <c r="L526">
        <v>22.135000000000002</v>
      </c>
      <c r="M526">
        <v>6116.6260000000002</v>
      </c>
      <c r="N526" t="s">
        <v>15</v>
      </c>
    </row>
    <row r="527" spans="1:14" x14ac:dyDescent="0.2">
      <c r="A527" t="s">
        <v>56</v>
      </c>
      <c r="B527" t="s">
        <v>122</v>
      </c>
      <c r="C527" t="s">
        <v>112</v>
      </c>
      <c r="D527" t="s">
        <v>57</v>
      </c>
      <c r="E527" t="s">
        <v>53</v>
      </c>
      <c r="F527" t="s">
        <v>114</v>
      </c>
      <c r="G527">
        <v>119598</v>
      </c>
      <c r="H527" s="75">
        <v>41253</v>
      </c>
      <c r="I527" t="s">
        <v>115</v>
      </c>
      <c r="J527">
        <v>5000</v>
      </c>
      <c r="K527">
        <v>220.065</v>
      </c>
      <c r="L527">
        <v>22.720600000000001</v>
      </c>
      <c r="M527">
        <v>6336.6909999999998</v>
      </c>
      <c r="N527" t="s">
        <v>15</v>
      </c>
    </row>
    <row r="528" spans="1:14" x14ac:dyDescent="0.2">
      <c r="A528" t="s">
        <v>56</v>
      </c>
      <c r="B528" t="s">
        <v>122</v>
      </c>
      <c r="C528" t="s">
        <v>112</v>
      </c>
      <c r="D528" t="s">
        <v>57</v>
      </c>
      <c r="E528" t="s">
        <v>53</v>
      </c>
      <c r="F528" t="s">
        <v>114</v>
      </c>
      <c r="G528">
        <v>119598</v>
      </c>
      <c r="H528" s="75">
        <v>41283</v>
      </c>
      <c r="I528" t="s">
        <v>115</v>
      </c>
      <c r="J528">
        <v>5000</v>
      </c>
      <c r="K528">
        <v>220.12799999999999</v>
      </c>
      <c r="L528">
        <v>22.713999999999999</v>
      </c>
      <c r="M528">
        <v>6556.82</v>
      </c>
      <c r="N528" t="s">
        <v>15</v>
      </c>
    </row>
    <row r="529" spans="1:14" x14ac:dyDescent="0.2">
      <c r="A529" t="s">
        <v>56</v>
      </c>
      <c r="B529" t="s">
        <v>122</v>
      </c>
      <c r="C529" t="s">
        <v>112</v>
      </c>
      <c r="D529" t="s">
        <v>57</v>
      </c>
      <c r="E529" t="s">
        <v>53</v>
      </c>
      <c r="F529" t="s">
        <v>114</v>
      </c>
      <c r="G529">
        <v>119598</v>
      </c>
      <c r="H529" s="75">
        <v>41313</v>
      </c>
      <c r="I529" t="s">
        <v>115</v>
      </c>
      <c r="J529">
        <v>5000</v>
      </c>
      <c r="K529">
        <v>219.96199999999999</v>
      </c>
      <c r="L529">
        <v>22.731200000000001</v>
      </c>
      <c r="M529">
        <v>6776.7809999999999</v>
      </c>
      <c r="N529" t="s">
        <v>15</v>
      </c>
    </row>
    <row r="530" spans="1:14" x14ac:dyDescent="0.2">
      <c r="A530" t="s">
        <v>56</v>
      </c>
      <c r="B530" t="s">
        <v>122</v>
      </c>
      <c r="C530" t="s">
        <v>112</v>
      </c>
      <c r="D530" t="s">
        <v>57</v>
      </c>
      <c r="E530" t="s">
        <v>53</v>
      </c>
      <c r="F530" t="s">
        <v>114</v>
      </c>
      <c r="G530">
        <v>119598</v>
      </c>
      <c r="H530" s="75">
        <v>41343</v>
      </c>
      <c r="I530" t="s">
        <v>115</v>
      </c>
      <c r="J530">
        <v>5000</v>
      </c>
      <c r="K530">
        <v>218.79300000000001</v>
      </c>
      <c r="L530">
        <v>22.852699999999999</v>
      </c>
      <c r="M530">
        <v>6995.5739999999996</v>
      </c>
      <c r="N530" t="s">
        <v>15</v>
      </c>
    </row>
    <row r="531" spans="1:14" x14ac:dyDescent="0.2">
      <c r="A531" t="s">
        <v>56</v>
      </c>
      <c r="B531" t="s">
        <v>122</v>
      </c>
      <c r="C531" t="s">
        <v>112</v>
      </c>
      <c r="D531" t="s">
        <v>57</v>
      </c>
      <c r="E531" t="s">
        <v>53</v>
      </c>
      <c r="F531" t="s">
        <v>114</v>
      </c>
      <c r="G531">
        <v>119598</v>
      </c>
      <c r="H531" s="75">
        <v>41373</v>
      </c>
      <c r="I531" t="s">
        <v>115</v>
      </c>
      <c r="J531">
        <v>5000</v>
      </c>
      <c r="K531">
        <v>216.48699999999999</v>
      </c>
      <c r="L531">
        <v>23.0961</v>
      </c>
      <c r="M531">
        <v>7212.0609999999997</v>
      </c>
      <c r="N531" t="s">
        <v>15</v>
      </c>
    </row>
    <row r="532" spans="1:14" x14ac:dyDescent="0.2">
      <c r="A532" t="s">
        <v>56</v>
      </c>
      <c r="B532" t="s">
        <v>122</v>
      </c>
      <c r="C532" t="s">
        <v>112</v>
      </c>
      <c r="D532" t="s">
        <v>57</v>
      </c>
      <c r="E532" t="s">
        <v>53</v>
      </c>
      <c r="F532" t="s">
        <v>114</v>
      </c>
      <c r="G532">
        <v>119598</v>
      </c>
      <c r="H532" s="75">
        <v>41403</v>
      </c>
      <c r="I532" t="s">
        <v>115</v>
      </c>
      <c r="J532">
        <v>5000</v>
      </c>
      <c r="K532">
        <v>214.429</v>
      </c>
      <c r="L532">
        <v>23.317699999999999</v>
      </c>
      <c r="M532">
        <v>7426.491</v>
      </c>
      <c r="N532" t="s">
        <v>15</v>
      </c>
    </row>
    <row r="533" spans="1:14" x14ac:dyDescent="0.2">
      <c r="A533" t="s">
        <v>56</v>
      </c>
      <c r="B533" t="s">
        <v>122</v>
      </c>
      <c r="C533" t="s">
        <v>112</v>
      </c>
      <c r="D533" t="s">
        <v>57</v>
      </c>
      <c r="E533" t="s">
        <v>53</v>
      </c>
      <c r="F533" t="s">
        <v>114</v>
      </c>
      <c r="G533">
        <v>119598</v>
      </c>
      <c r="H533" s="75">
        <v>41433</v>
      </c>
      <c r="I533" t="s">
        <v>115</v>
      </c>
      <c r="J533">
        <v>5000</v>
      </c>
      <c r="K533">
        <v>211.881</v>
      </c>
      <c r="L533">
        <v>23.598199999999999</v>
      </c>
      <c r="M533">
        <v>7638.3720000000003</v>
      </c>
      <c r="N533" t="s">
        <v>15</v>
      </c>
    </row>
    <row r="534" spans="1:14" x14ac:dyDescent="0.2">
      <c r="A534" t="s">
        <v>56</v>
      </c>
      <c r="B534" t="s">
        <v>122</v>
      </c>
      <c r="C534" t="s">
        <v>112</v>
      </c>
      <c r="D534" t="s">
        <v>57</v>
      </c>
      <c r="E534" t="s">
        <v>53</v>
      </c>
      <c r="F534" t="s">
        <v>114</v>
      </c>
      <c r="G534">
        <v>119598</v>
      </c>
      <c r="H534" s="75">
        <v>41433</v>
      </c>
      <c r="I534" t="s">
        <v>117</v>
      </c>
      <c r="J534">
        <v>2.5</v>
      </c>
      <c r="K534">
        <v>0</v>
      </c>
      <c r="M534">
        <v>7638.3720000000003</v>
      </c>
      <c r="N534" t="s">
        <v>46</v>
      </c>
    </row>
    <row r="535" spans="1:14" x14ac:dyDescent="0.2">
      <c r="A535" t="s">
        <v>56</v>
      </c>
      <c r="B535" t="s">
        <v>122</v>
      </c>
      <c r="C535" t="s">
        <v>112</v>
      </c>
      <c r="D535" t="s">
        <v>57</v>
      </c>
      <c r="E535" t="s">
        <v>53</v>
      </c>
      <c r="F535" t="s">
        <v>114</v>
      </c>
      <c r="G535">
        <v>119598</v>
      </c>
      <c r="H535" s="75">
        <v>41463</v>
      </c>
      <c r="I535" t="s">
        <v>115</v>
      </c>
      <c r="J535">
        <v>5000</v>
      </c>
      <c r="K535">
        <v>207.036</v>
      </c>
      <c r="L535">
        <v>24.150400000000001</v>
      </c>
      <c r="M535">
        <v>7845.4070000000002</v>
      </c>
      <c r="N535" t="s">
        <v>15</v>
      </c>
    </row>
    <row r="536" spans="1:14" x14ac:dyDescent="0.2">
      <c r="A536" t="s">
        <v>56</v>
      </c>
      <c r="B536" t="s">
        <v>122</v>
      </c>
      <c r="C536" t="s">
        <v>112</v>
      </c>
      <c r="D536" t="s">
        <v>57</v>
      </c>
      <c r="E536" t="s">
        <v>53</v>
      </c>
      <c r="F536" t="s">
        <v>114</v>
      </c>
      <c r="G536">
        <v>119598</v>
      </c>
      <c r="H536" s="75">
        <v>41463</v>
      </c>
      <c r="I536" t="s">
        <v>116</v>
      </c>
      <c r="J536">
        <v>2.5</v>
      </c>
      <c r="K536">
        <v>0</v>
      </c>
      <c r="M536">
        <v>7845.4070000000002</v>
      </c>
      <c r="N536" t="s">
        <v>17</v>
      </c>
    </row>
    <row r="537" spans="1:14" x14ac:dyDescent="0.2">
      <c r="A537" t="s">
        <v>56</v>
      </c>
      <c r="B537" t="s">
        <v>122</v>
      </c>
      <c r="C537" t="s">
        <v>112</v>
      </c>
      <c r="D537" t="s">
        <v>57</v>
      </c>
      <c r="E537" t="s">
        <v>53</v>
      </c>
      <c r="F537" t="s">
        <v>114</v>
      </c>
      <c r="G537">
        <v>119598</v>
      </c>
      <c r="H537" s="75">
        <v>41493</v>
      </c>
      <c r="I537" t="s">
        <v>115</v>
      </c>
      <c r="J537">
        <v>5000</v>
      </c>
      <c r="K537">
        <v>207.60900000000001</v>
      </c>
      <c r="L537">
        <v>24.0837</v>
      </c>
      <c r="M537">
        <v>8053.0169999999998</v>
      </c>
      <c r="N537" t="s">
        <v>15</v>
      </c>
    </row>
    <row r="538" spans="1:14" x14ac:dyDescent="0.2">
      <c r="A538" t="s">
        <v>56</v>
      </c>
      <c r="B538" t="s">
        <v>122</v>
      </c>
      <c r="C538" t="s">
        <v>112</v>
      </c>
      <c r="D538" t="s">
        <v>57</v>
      </c>
      <c r="E538" t="s">
        <v>53</v>
      </c>
      <c r="F538" t="s">
        <v>114</v>
      </c>
      <c r="G538">
        <v>119598</v>
      </c>
      <c r="H538" s="75">
        <v>41493</v>
      </c>
      <c r="I538" t="s">
        <v>117</v>
      </c>
      <c r="J538">
        <v>2.5</v>
      </c>
      <c r="K538">
        <v>0</v>
      </c>
      <c r="M538">
        <v>8053.0169999999998</v>
      </c>
      <c r="N538" t="s">
        <v>46</v>
      </c>
    </row>
    <row r="539" spans="1:14" x14ac:dyDescent="0.2">
      <c r="A539" t="s">
        <v>56</v>
      </c>
      <c r="B539" t="s">
        <v>122</v>
      </c>
      <c r="C539" t="s">
        <v>112</v>
      </c>
      <c r="D539" t="s">
        <v>57</v>
      </c>
      <c r="E539" t="s">
        <v>53</v>
      </c>
      <c r="F539" t="s">
        <v>114</v>
      </c>
      <c r="G539">
        <v>119598</v>
      </c>
      <c r="H539" s="75">
        <v>41523</v>
      </c>
      <c r="I539" t="s">
        <v>115</v>
      </c>
      <c r="J539">
        <v>5000</v>
      </c>
      <c r="K539">
        <v>211.17599999999999</v>
      </c>
      <c r="L539">
        <v>23.6769</v>
      </c>
      <c r="M539">
        <v>8264.1929999999993</v>
      </c>
      <c r="N539" t="s">
        <v>15</v>
      </c>
    </row>
    <row r="540" spans="1:14" x14ac:dyDescent="0.2">
      <c r="A540" t="s">
        <v>56</v>
      </c>
      <c r="B540" t="s">
        <v>122</v>
      </c>
      <c r="C540" t="s">
        <v>112</v>
      </c>
      <c r="D540" t="s">
        <v>57</v>
      </c>
      <c r="E540" t="s">
        <v>53</v>
      </c>
      <c r="F540" t="s">
        <v>114</v>
      </c>
      <c r="G540">
        <v>119598</v>
      </c>
      <c r="H540" s="75">
        <v>41553</v>
      </c>
      <c r="I540" t="s">
        <v>115</v>
      </c>
      <c r="J540">
        <v>5000</v>
      </c>
      <c r="K540">
        <v>206.34299999999999</v>
      </c>
      <c r="L540">
        <v>24.2315</v>
      </c>
      <c r="M540">
        <v>8470.5360000000001</v>
      </c>
      <c r="N540" t="s">
        <v>15</v>
      </c>
    </row>
    <row r="541" spans="1:14" x14ac:dyDescent="0.2">
      <c r="A541" t="s">
        <v>56</v>
      </c>
      <c r="B541" t="s">
        <v>122</v>
      </c>
      <c r="C541" t="s">
        <v>112</v>
      </c>
      <c r="D541" t="s">
        <v>57</v>
      </c>
      <c r="E541" t="s">
        <v>53</v>
      </c>
      <c r="F541" t="s">
        <v>114</v>
      </c>
      <c r="G541">
        <v>119598</v>
      </c>
      <c r="H541" s="75">
        <v>41583</v>
      </c>
      <c r="I541" t="s">
        <v>115</v>
      </c>
      <c r="J541">
        <v>5000</v>
      </c>
      <c r="K541">
        <v>206.21</v>
      </c>
      <c r="L541">
        <v>24.2471</v>
      </c>
      <c r="M541">
        <v>8676.7459999999992</v>
      </c>
      <c r="N541" t="s">
        <v>15</v>
      </c>
    </row>
    <row r="542" spans="1:14" x14ac:dyDescent="0.2">
      <c r="A542" t="s">
        <v>56</v>
      </c>
      <c r="B542" t="s">
        <v>122</v>
      </c>
      <c r="C542" t="s">
        <v>112</v>
      </c>
      <c r="D542" t="s">
        <v>57</v>
      </c>
      <c r="E542" t="s">
        <v>53</v>
      </c>
      <c r="F542" t="s">
        <v>114</v>
      </c>
      <c r="G542">
        <v>119598</v>
      </c>
      <c r="H542" s="75">
        <v>41583</v>
      </c>
      <c r="I542" t="s">
        <v>117</v>
      </c>
      <c r="J542">
        <v>2.5</v>
      </c>
      <c r="K542">
        <v>0</v>
      </c>
      <c r="M542">
        <v>8676.7459999999992</v>
      </c>
      <c r="N542" t="s">
        <v>46</v>
      </c>
    </row>
    <row r="543" spans="1:14" x14ac:dyDescent="0.2">
      <c r="A543" t="s">
        <v>56</v>
      </c>
      <c r="B543" t="s">
        <v>122</v>
      </c>
      <c r="C543" t="s">
        <v>112</v>
      </c>
      <c r="D543" t="s">
        <v>57</v>
      </c>
      <c r="E543" t="s">
        <v>53</v>
      </c>
      <c r="F543" t="s">
        <v>114</v>
      </c>
      <c r="G543">
        <v>119598</v>
      </c>
      <c r="H543" s="75">
        <v>41613</v>
      </c>
      <c r="I543" t="s">
        <v>115</v>
      </c>
      <c r="J543">
        <v>5000</v>
      </c>
      <c r="K543">
        <v>201.29400000000001</v>
      </c>
      <c r="L543">
        <v>24.839300000000001</v>
      </c>
      <c r="M543">
        <v>8878.0390000000007</v>
      </c>
      <c r="N543" t="s">
        <v>15</v>
      </c>
    </row>
    <row r="544" spans="1:14" x14ac:dyDescent="0.2">
      <c r="A544" t="s">
        <v>56</v>
      </c>
      <c r="B544" t="s">
        <v>122</v>
      </c>
      <c r="C544" t="s">
        <v>112</v>
      </c>
      <c r="D544" t="s">
        <v>57</v>
      </c>
      <c r="E544" t="s">
        <v>53</v>
      </c>
      <c r="F544" t="s">
        <v>114</v>
      </c>
      <c r="G544">
        <v>119598</v>
      </c>
      <c r="H544" s="75">
        <v>41643</v>
      </c>
      <c r="I544" t="s">
        <v>115</v>
      </c>
      <c r="J544">
        <v>5000</v>
      </c>
      <c r="K544">
        <v>200.09399999999999</v>
      </c>
      <c r="L544">
        <v>24.988199999999999</v>
      </c>
      <c r="M544">
        <v>9078.134</v>
      </c>
      <c r="N544" t="s">
        <v>15</v>
      </c>
    </row>
    <row r="545" spans="1:14" x14ac:dyDescent="0.2">
      <c r="A545" t="s">
        <v>56</v>
      </c>
      <c r="B545" t="s">
        <v>122</v>
      </c>
      <c r="C545" t="s">
        <v>112</v>
      </c>
      <c r="D545" t="s">
        <v>57</v>
      </c>
      <c r="E545" t="s">
        <v>53</v>
      </c>
      <c r="F545" t="s">
        <v>114</v>
      </c>
      <c r="G545">
        <v>119598</v>
      </c>
      <c r="H545" s="75">
        <v>41673</v>
      </c>
      <c r="I545" t="s">
        <v>115</v>
      </c>
      <c r="J545">
        <v>5000</v>
      </c>
      <c r="K545">
        <v>203.14400000000001</v>
      </c>
      <c r="L545">
        <v>24.613099999999999</v>
      </c>
      <c r="M545">
        <v>9281.2780000000002</v>
      </c>
      <c r="N545" t="s">
        <v>15</v>
      </c>
    </row>
    <row r="546" spans="1:14" x14ac:dyDescent="0.2">
      <c r="A546" t="s">
        <v>56</v>
      </c>
      <c r="B546" t="s">
        <v>122</v>
      </c>
      <c r="C546" t="s">
        <v>112</v>
      </c>
      <c r="D546" t="s">
        <v>57</v>
      </c>
      <c r="E546" t="s">
        <v>53</v>
      </c>
      <c r="F546" t="s">
        <v>114</v>
      </c>
      <c r="G546">
        <v>119598</v>
      </c>
      <c r="H546" s="75">
        <v>41673</v>
      </c>
      <c r="I546" t="s">
        <v>116</v>
      </c>
      <c r="J546">
        <v>2.5</v>
      </c>
      <c r="K546">
        <v>0</v>
      </c>
      <c r="M546">
        <v>9281.2780000000002</v>
      </c>
      <c r="N546" t="s">
        <v>17</v>
      </c>
    </row>
    <row r="547" spans="1:14" x14ac:dyDescent="0.2">
      <c r="A547" t="s">
        <v>56</v>
      </c>
      <c r="B547" t="s">
        <v>122</v>
      </c>
      <c r="C547" t="s">
        <v>112</v>
      </c>
      <c r="D547" t="s">
        <v>57</v>
      </c>
      <c r="E547" t="s">
        <v>53</v>
      </c>
      <c r="F547" t="s">
        <v>114</v>
      </c>
      <c r="G547">
        <v>119598</v>
      </c>
      <c r="H547" s="75">
        <v>41703</v>
      </c>
      <c r="I547" t="s">
        <v>115</v>
      </c>
      <c r="J547">
        <v>5000</v>
      </c>
      <c r="K547">
        <v>201.23</v>
      </c>
      <c r="L547">
        <v>24.847200000000001</v>
      </c>
      <c r="M547">
        <v>9482.5079999999998</v>
      </c>
      <c r="N547" t="s">
        <v>15</v>
      </c>
    </row>
    <row r="548" spans="1:14" x14ac:dyDescent="0.2">
      <c r="A548" t="s">
        <v>56</v>
      </c>
      <c r="B548" t="s">
        <v>122</v>
      </c>
      <c r="C548" t="s">
        <v>112</v>
      </c>
      <c r="D548" t="s">
        <v>57</v>
      </c>
      <c r="E548" t="s">
        <v>53</v>
      </c>
      <c r="F548" t="s">
        <v>114</v>
      </c>
      <c r="G548">
        <v>119598</v>
      </c>
      <c r="H548" s="75">
        <v>41703</v>
      </c>
      <c r="I548" t="s">
        <v>117</v>
      </c>
      <c r="J548">
        <v>2.5</v>
      </c>
      <c r="K548">
        <v>0</v>
      </c>
      <c r="M548">
        <v>9482.5079999999998</v>
      </c>
      <c r="N548" t="s">
        <v>46</v>
      </c>
    </row>
    <row r="549" spans="1:14" x14ac:dyDescent="0.2">
      <c r="A549" t="s">
        <v>56</v>
      </c>
      <c r="B549" t="s">
        <v>122</v>
      </c>
      <c r="C549" t="s">
        <v>112</v>
      </c>
      <c r="D549" t="s">
        <v>57</v>
      </c>
      <c r="E549" t="s">
        <v>53</v>
      </c>
      <c r="F549" t="s">
        <v>114</v>
      </c>
      <c r="G549">
        <v>119598</v>
      </c>
      <c r="H549" s="75">
        <v>41733</v>
      </c>
      <c r="I549" t="s">
        <v>115</v>
      </c>
      <c r="J549">
        <v>5000</v>
      </c>
      <c r="K549">
        <v>195.446</v>
      </c>
      <c r="L549">
        <v>25.5825</v>
      </c>
      <c r="M549">
        <v>9677.9539999999997</v>
      </c>
      <c r="N549" t="s">
        <v>15</v>
      </c>
    </row>
    <row r="550" spans="1:14" x14ac:dyDescent="0.2">
      <c r="A550" t="s">
        <v>56</v>
      </c>
      <c r="B550" t="s">
        <v>122</v>
      </c>
      <c r="C550" t="s">
        <v>112</v>
      </c>
      <c r="D550" t="s">
        <v>57</v>
      </c>
      <c r="E550" t="s">
        <v>53</v>
      </c>
      <c r="F550" t="s">
        <v>114</v>
      </c>
      <c r="G550">
        <v>119598</v>
      </c>
      <c r="H550" s="75">
        <v>41763</v>
      </c>
      <c r="I550" t="s">
        <v>115</v>
      </c>
      <c r="J550">
        <v>5000</v>
      </c>
      <c r="K550">
        <v>191.81</v>
      </c>
      <c r="L550">
        <v>26.067399999999999</v>
      </c>
      <c r="M550">
        <v>9869.7639999999992</v>
      </c>
      <c r="N550" t="s">
        <v>15</v>
      </c>
    </row>
    <row r="551" spans="1:14" x14ac:dyDescent="0.2">
      <c r="A551" t="s">
        <v>56</v>
      </c>
      <c r="B551" t="s">
        <v>122</v>
      </c>
      <c r="C551" t="s">
        <v>112</v>
      </c>
      <c r="D551" t="s">
        <v>57</v>
      </c>
      <c r="E551" t="s">
        <v>53</v>
      </c>
      <c r="F551" t="s">
        <v>114</v>
      </c>
      <c r="G551">
        <v>119598</v>
      </c>
      <c r="H551" s="75">
        <v>41793</v>
      </c>
      <c r="I551" t="s">
        <v>115</v>
      </c>
      <c r="J551">
        <v>5000</v>
      </c>
      <c r="K551">
        <v>192.3</v>
      </c>
      <c r="L551">
        <v>26.001000000000001</v>
      </c>
      <c r="M551">
        <v>10062.064</v>
      </c>
      <c r="N551" t="s">
        <v>15</v>
      </c>
    </row>
    <row r="552" spans="1:14" x14ac:dyDescent="0.2">
      <c r="A552" t="s">
        <v>56</v>
      </c>
      <c r="B552" t="s">
        <v>122</v>
      </c>
      <c r="C552" t="s">
        <v>112</v>
      </c>
      <c r="D552" t="s">
        <v>57</v>
      </c>
      <c r="E552" t="s">
        <v>53</v>
      </c>
      <c r="F552" t="s">
        <v>114</v>
      </c>
      <c r="G552">
        <v>119598</v>
      </c>
      <c r="H552" s="75">
        <v>41823</v>
      </c>
      <c r="I552" t="s">
        <v>115</v>
      </c>
      <c r="J552">
        <v>5000</v>
      </c>
      <c r="K552">
        <v>194.02699999999999</v>
      </c>
      <c r="L552">
        <v>25.769600000000001</v>
      </c>
      <c r="M552">
        <v>10256.091</v>
      </c>
      <c r="N552" t="s">
        <v>15</v>
      </c>
    </row>
    <row r="553" spans="1:14" x14ac:dyDescent="0.2">
      <c r="A553" t="s">
        <v>56</v>
      </c>
      <c r="B553" t="s">
        <v>122</v>
      </c>
      <c r="C553" t="s">
        <v>112</v>
      </c>
      <c r="D553" t="s">
        <v>57</v>
      </c>
      <c r="E553" t="s">
        <v>53</v>
      </c>
      <c r="F553" t="s">
        <v>114</v>
      </c>
      <c r="G553">
        <v>119598</v>
      </c>
      <c r="H553" s="75">
        <v>41853</v>
      </c>
      <c r="I553" t="s">
        <v>115</v>
      </c>
      <c r="J553">
        <v>5000</v>
      </c>
      <c r="K553">
        <v>188.77600000000001</v>
      </c>
      <c r="L553">
        <v>26.4864</v>
      </c>
      <c r="M553">
        <v>10444.868</v>
      </c>
      <c r="N553" t="s">
        <v>15</v>
      </c>
    </row>
    <row r="554" spans="1:14" x14ac:dyDescent="0.2">
      <c r="A554" t="s">
        <v>56</v>
      </c>
      <c r="B554" t="s">
        <v>122</v>
      </c>
      <c r="C554" t="s">
        <v>112</v>
      </c>
      <c r="D554" t="s">
        <v>57</v>
      </c>
      <c r="E554" t="s">
        <v>53</v>
      </c>
      <c r="F554" t="s">
        <v>114</v>
      </c>
      <c r="G554">
        <v>119598</v>
      </c>
      <c r="H554" s="75">
        <v>41883</v>
      </c>
      <c r="I554" t="s">
        <v>115</v>
      </c>
      <c r="J554">
        <v>5000</v>
      </c>
      <c r="K554">
        <v>189.56299999999999</v>
      </c>
      <c r="L554">
        <v>26.3764</v>
      </c>
      <c r="M554">
        <v>10634.431</v>
      </c>
      <c r="N554" t="s">
        <v>15</v>
      </c>
    </row>
    <row r="555" spans="1:14" x14ac:dyDescent="0.2">
      <c r="A555" t="s">
        <v>56</v>
      </c>
      <c r="B555" t="s">
        <v>122</v>
      </c>
      <c r="C555" t="s">
        <v>112</v>
      </c>
      <c r="D555" t="s">
        <v>57</v>
      </c>
      <c r="E555" t="s">
        <v>53</v>
      </c>
      <c r="F555" t="s">
        <v>114</v>
      </c>
      <c r="G555">
        <v>119598</v>
      </c>
      <c r="H555" s="75">
        <v>41883</v>
      </c>
      <c r="I555" t="s">
        <v>116</v>
      </c>
      <c r="J555">
        <v>2.5</v>
      </c>
      <c r="K555">
        <v>0</v>
      </c>
      <c r="M555">
        <v>10634.431</v>
      </c>
      <c r="N555" t="s">
        <v>17</v>
      </c>
    </row>
    <row r="556" spans="1:14" x14ac:dyDescent="0.2">
      <c r="A556" t="s">
        <v>56</v>
      </c>
      <c r="B556" t="s">
        <v>122</v>
      </c>
      <c r="C556" t="s">
        <v>112</v>
      </c>
      <c r="D556" t="s">
        <v>57</v>
      </c>
      <c r="E556" t="s">
        <v>53</v>
      </c>
      <c r="F556" t="s">
        <v>114</v>
      </c>
      <c r="G556">
        <v>119598</v>
      </c>
      <c r="H556" s="75">
        <v>41913</v>
      </c>
      <c r="I556" t="s">
        <v>115</v>
      </c>
      <c r="J556">
        <v>5000</v>
      </c>
      <c r="K556">
        <v>190.36099999999999</v>
      </c>
      <c r="L556">
        <v>26.265899999999998</v>
      </c>
      <c r="M556">
        <v>10824.791999999999</v>
      </c>
      <c r="N556" t="s">
        <v>15</v>
      </c>
    </row>
    <row r="557" spans="1:14" x14ac:dyDescent="0.2">
      <c r="A557" t="s">
        <v>56</v>
      </c>
      <c r="B557" t="s">
        <v>122</v>
      </c>
      <c r="C557" t="s">
        <v>112</v>
      </c>
      <c r="D557" t="s">
        <v>57</v>
      </c>
      <c r="E557" t="s">
        <v>53</v>
      </c>
      <c r="F557" t="s">
        <v>114</v>
      </c>
      <c r="G557">
        <v>119598</v>
      </c>
      <c r="H557" s="75">
        <v>41943</v>
      </c>
      <c r="I557" t="s">
        <v>115</v>
      </c>
      <c r="J557">
        <v>5000</v>
      </c>
      <c r="K557">
        <v>192.351</v>
      </c>
      <c r="L557">
        <v>25.9941</v>
      </c>
      <c r="M557">
        <v>11017.144</v>
      </c>
      <c r="N557" t="s">
        <v>15</v>
      </c>
    </row>
    <row r="558" spans="1:14" x14ac:dyDescent="0.2">
      <c r="A558" t="s">
        <v>56</v>
      </c>
      <c r="B558" t="s">
        <v>122</v>
      </c>
      <c r="C558" t="s">
        <v>112</v>
      </c>
      <c r="D558" t="s">
        <v>57</v>
      </c>
      <c r="E558" t="s">
        <v>53</v>
      </c>
      <c r="F558" t="s">
        <v>114</v>
      </c>
      <c r="G558">
        <v>119598</v>
      </c>
      <c r="H558" s="75">
        <v>41973</v>
      </c>
      <c r="I558" t="s">
        <v>115</v>
      </c>
      <c r="J558">
        <v>5000</v>
      </c>
      <c r="K558">
        <v>191.13800000000001</v>
      </c>
      <c r="L558">
        <v>26.159099999999999</v>
      </c>
      <c r="M558">
        <v>11208.281000000001</v>
      </c>
      <c r="N558" t="s">
        <v>15</v>
      </c>
    </row>
    <row r="559" spans="1:14" x14ac:dyDescent="0.2">
      <c r="A559" t="s">
        <v>56</v>
      </c>
      <c r="B559" t="s">
        <v>122</v>
      </c>
      <c r="C559" t="s">
        <v>112</v>
      </c>
      <c r="D559" t="s">
        <v>57</v>
      </c>
      <c r="E559" t="s">
        <v>53</v>
      </c>
      <c r="F559" t="s">
        <v>114</v>
      </c>
      <c r="G559">
        <v>119598</v>
      </c>
      <c r="H559" s="75">
        <v>42003</v>
      </c>
      <c r="I559" t="s">
        <v>115</v>
      </c>
      <c r="J559">
        <v>5000</v>
      </c>
      <c r="K559">
        <v>194.37799999999999</v>
      </c>
      <c r="L559">
        <v>25.723099999999999</v>
      </c>
      <c r="M559">
        <v>11402.659</v>
      </c>
      <c r="N559" t="s">
        <v>15</v>
      </c>
    </row>
    <row r="560" spans="1:14" x14ac:dyDescent="0.2">
      <c r="A560" t="s">
        <v>56</v>
      </c>
      <c r="B560" t="s">
        <v>122</v>
      </c>
      <c r="C560" t="s">
        <v>112</v>
      </c>
      <c r="D560" t="s">
        <v>57</v>
      </c>
      <c r="E560" t="s">
        <v>53</v>
      </c>
      <c r="F560" t="s">
        <v>114</v>
      </c>
      <c r="G560">
        <v>119598</v>
      </c>
      <c r="H560" s="75">
        <v>42003</v>
      </c>
      <c r="I560" t="s">
        <v>117</v>
      </c>
      <c r="J560">
        <v>2.5</v>
      </c>
      <c r="K560">
        <v>0</v>
      </c>
      <c r="M560">
        <v>11402.659</v>
      </c>
      <c r="N560" t="s">
        <v>46</v>
      </c>
    </row>
    <row r="561" spans="1:14" x14ac:dyDescent="0.2">
      <c r="A561" t="s">
        <v>56</v>
      </c>
      <c r="B561" t="s">
        <v>122</v>
      </c>
      <c r="C561" t="s">
        <v>112</v>
      </c>
      <c r="D561" t="s">
        <v>57</v>
      </c>
      <c r="E561" t="s">
        <v>53</v>
      </c>
      <c r="F561" t="s">
        <v>114</v>
      </c>
      <c r="G561">
        <v>119598</v>
      </c>
      <c r="H561" s="75">
        <v>42033</v>
      </c>
      <c r="I561" t="s">
        <v>115</v>
      </c>
      <c r="J561">
        <v>5000</v>
      </c>
      <c r="K561">
        <v>188.977</v>
      </c>
      <c r="L561">
        <v>26.458300000000001</v>
      </c>
      <c r="M561">
        <v>11591.636</v>
      </c>
      <c r="N561" t="s">
        <v>15</v>
      </c>
    </row>
    <row r="562" spans="1:14" x14ac:dyDescent="0.2">
      <c r="A562" t="s">
        <v>56</v>
      </c>
      <c r="B562" t="s">
        <v>122</v>
      </c>
      <c r="C562" t="s">
        <v>112</v>
      </c>
      <c r="D562" t="s">
        <v>57</v>
      </c>
      <c r="E562" t="s">
        <v>53</v>
      </c>
      <c r="F562" t="s">
        <v>114</v>
      </c>
      <c r="G562">
        <v>119598</v>
      </c>
      <c r="H562" s="75">
        <v>42033</v>
      </c>
      <c r="I562" t="s">
        <v>117</v>
      </c>
      <c r="J562">
        <v>2.5</v>
      </c>
      <c r="K562">
        <v>0</v>
      </c>
      <c r="M562">
        <v>11591.636</v>
      </c>
      <c r="N562" t="s">
        <v>46</v>
      </c>
    </row>
    <row r="563" spans="1:14" x14ac:dyDescent="0.2">
      <c r="A563" t="s">
        <v>56</v>
      </c>
      <c r="B563" t="s">
        <v>122</v>
      </c>
      <c r="C563" t="s">
        <v>112</v>
      </c>
      <c r="D563" t="s">
        <v>57</v>
      </c>
      <c r="E563" t="s">
        <v>53</v>
      </c>
      <c r="F563" t="s">
        <v>114</v>
      </c>
      <c r="G563">
        <v>119598</v>
      </c>
      <c r="H563" s="75">
        <v>42063</v>
      </c>
      <c r="I563" t="s">
        <v>115</v>
      </c>
      <c r="J563">
        <v>5000</v>
      </c>
      <c r="K563">
        <v>189.73699999999999</v>
      </c>
      <c r="L563">
        <v>26.3522</v>
      </c>
      <c r="M563">
        <v>11781.373</v>
      </c>
      <c r="N563" t="s">
        <v>15</v>
      </c>
    </row>
    <row r="564" spans="1:14" x14ac:dyDescent="0.2">
      <c r="A564" t="s">
        <v>56</v>
      </c>
      <c r="B564" t="s">
        <v>122</v>
      </c>
      <c r="C564" t="s">
        <v>112</v>
      </c>
      <c r="D564" t="s">
        <v>57</v>
      </c>
      <c r="E564" t="s">
        <v>53</v>
      </c>
      <c r="F564" t="s">
        <v>114</v>
      </c>
      <c r="G564">
        <v>119598</v>
      </c>
      <c r="H564" s="75">
        <v>42093</v>
      </c>
      <c r="I564" t="s">
        <v>115</v>
      </c>
      <c r="J564">
        <v>5000</v>
      </c>
      <c r="K564">
        <v>187.821</v>
      </c>
      <c r="L564">
        <v>26.621099999999998</v>
      </c>
      <c r="M564">
        <v>11969.194</v>
      </c>
      <c r="N564" t="s">
        <v>15</v>
      </c>
    </row>
    <row r="565" spans="1:14" x14ac:dyDescent="0.2">
      <c r="A565" t="s">
        <v>56</v>
      </c>
      <c r="B565" t="s">
        <v>122</v>
      </c>
      <c r="C565" t="s">
        <v>112</v>
      </c>
      <c r="D565" t="s">
        <v>57</v>
      </c>
      <c r="E565" t="s">
        <v>53</v>
      </c>
      <c r="F565" t="s">
        <v>114</v>
      </c>
      <c r="G565">
        <v>119598</v>
      </c>
      <c r="H565" s="75">
        <v>42093</v>
      </c>
      <c r="I565" t="s">
        <v>116</v>
      </c>
      <c r="J565">
        <v>2.5</v>
      </c>
      <c r="K565">
        <v>0</v>
      </c>
      <c r="M565">
        <v>11969.194</v>
      </c>
      <c r="N565" t="s">
        <v>17</v>
      </c>
    </row>
    <row r="566" spans="1:14" x14ac:dyDescent="0.2">
      <c r="A566" t="s">
        <v>56</v>
      </c>
      <c r="B566" t="s">
        <v>122</v>
      </c>
      <c r="C566" t="s">
        <v>112</v>
      </c>
      <c r="D566" t="s">
        <v>57</v>
      </c>
      <c r="E566" t="s">
        <v>53</v>
      </c>
      <c r="F566" t="s">
        <v>114</v>
      </c>
      <c r="G566">
        <v>119598</v>
      </c>
      <c r="H566" s="75">
        <v>42123</v>
      </c>
      <c r="I566" t="s">
        <v>115</v>
      </c>
      <c r="J566">
        <v>5000</v>
      </c>
      <c r="K566">
        <v>188.22800000000001</v>
      </c>
      <c r="L566">
        <v>26.563600000000001</v>
      </c>
      <c r="M566">
        <v>12157.422</v>
      </c>
      <c r="N566" t="s">
        <v>15</v>
      </c>
    </row>
    <row r="567" spans="1:14" x14ac:dyDescent="0.2">
      <c r="A567" t="s">
        <v>56</v>
      </c>
      <c r="B567" t="s">
        <v>122</v>
      </c>
      <c r="C567" t="s">
        <v>112</v>
      </c>
      <c r="D567" t="s">
        <v>57</v>
      </c>
      <c r="E567" t="s">
        <v>53</v>
      </c>
      <c r="F567" t="s">
        <v>114</v>
      </c>
      <c r="G567">
        <v>119598</v>
      </c>
      <c r="H567" s="75">
        <v>42153</v>
      </c>
      <c r="I567" t="s">
        <v>115</v>
      </c>
      <c r="J567">
        <v>5000</v>
      </c>
      <c r="K567">
        <v>189.87799999999999</v>
      </c>
      <c r="L567">
        <v>26.332699999999999</v>
      </c>
      <c r="M567">
        <v>12347.3</v>
      </c>
      <c r="N567" t="s">
        <v>15</v>
      </c>
    </row>
    <row r="568" spans="1:14" x14ac:dyDescent="0.2">
      <c r="A568" t="s">
        <v>56</v>
      </c>
      <c r="B568" t="s">
        <v>122</v>
      </c>
      <c r="C568" t="s">
        <v>112</v>
      </c>
      <c r="D568" t="s">
        <v>57</v>
      </c>
      <c r="E568" t="s">
        <v>53</v>
      </c>
      <c r="F568" t="s">
        <v>114</v>
      </c>
      <c r="G568">
        <v>119598</v>
      </c>
      <c r="H568" s="75">
        <v>42183</v>
      </c>
      <c r="I568" t="s">
        <v>115</v>
      </c>
      <c r="J568">
        <v>5000</v>
      </c>
      <c r="K568">
        <v>191.95599999999999</v>
      </c>
      <c r="L568">
        <v>26.047599999999999</v>
      </c>
      <c r="M568">
        <v>12539.255999999999</v>
      </c>
      <c r="N568" t="s">
        <v>15</v>
      </c>
    </row>
    <row r="569" spans="1:14" x14ac:dyDescent="0.2">
      <c r="A569" t="s">
        <v>56</v>
      </c>
      <c r="B569" t="s">
        <v>122</v>
      </c>
      <c r="C569" t="s">
        <v>112</v>
      </c>
      <c r="D569" t="s">
        <v>57</v>
      </c>
      <c r="E569" t="s">
        <v>53</v>
      </c>
      <c r="F569" t="s">
        <v>114</v>
      </c>
      <c r="G569">
        <v>119598</v>
      </c>
      <c r="H569" s="75">
        <v>42213</v>
      </c>
      <c r="I569" t="s">
        <v>115</v>
      </c>
      <c r="J569">
        <v>5000</v>
      </c>
      <c r="K569">
        <v>189.417</v>
      </c>
      <c r="L569">
        <v>26.396799999999999</v>
      </c>
      <c r="M569">
        <v>12728.673000000001</v>
      </c>
      <c r="N569" t="s">
        <v>15</v>
      </c>
    </row>
    <row r="570" spans="1:14" x14ac:dyDescent="0.2">
      <c r="A570" t="s">
        <v>56</v>
      </c>
      <c r="B570" t="s">
        <v>122</v>
      </c>
      <c r="C570" t="s">
        <v>112</v>
      </c>
      <c r="D570" t="s">
        <v>57</v>
      </c>
      <c r="E570" t="s">
        <v>53</v>
      </c>
      <c r="F570" t="s">
        <v>114</v>
      </c>
      <c r="G570">
        <v>119598</v>
      </c>
      <c r="H570" s="75">
        <v>42213</v>
      </c>
      <c r="I570" t="s">
        <v>116</v>
      </c>
      <c r="J570">
        <v>2.5</v>
      </c>
      <c r="K570">
        <v>0</v>
      </c>
      <c r="M570">
        <v>12728.673000000001</v>
      </c>
      <c r="N570" t="s">
        <v>17</v>
      </c>
    </row>
    <row r="571" spans="1:14" x14ac:dyDescent="0.2">
      <c r="A571" t="s">
        <v>56</v>
      </c>
      <c r="B571" t="s">
        <v>122</v>
      </c>
      <c r="C571" t="s">
        <v>112</v>
      </c>
      <c r="D571" t="s">
        <v>57</v>
      </c>
      <c r="E571" t="s">
        <v>53</v>
      </c>
      <c r="F571" t="s">
        <v>114</v>
      </c>
      <c r="G571">
        <v>119598</v>
      </c>
      <c r="H571" s="75">
        <v>42243</v>
      </c>
      <c r="I571" t="s">
        <v>115</v>
      </c>
      <c r="J571">
        <v>5000</v>
      </c>
      <c r="K571">
        <v>185.98599999999999</v>
      </c>
      <c r="L571">
        <v>26.883800000000001</v>
      </c>
      <c r="M571">
        <v>12914.659</v>
      </c>
      <c r="N571" t="s">
        <v>15</v>
      </c>
    </row>
    <row r="572" spans="1:14" x14ac:dyDescent="0.2">
      <c r="A572" t="s">
        <v>56</v>
      </c>
      <c r="B572" t="s">
        <v>122</v>
      </c>
      <c r="C572" t="s">
        <v>112</v>
      </c>
      <c r="D572" t="s">
        <v>57</v>
      </c>
      <c r="E572" t="s">
        <v>53</v>
      </c>
      <c r="F572" t="s">
        <v>114</v>
      </c>
      <c r="G572">
        <v>119598</v>
      </c>
      <c r="H572" s="75">
        <v>42273</v>
      </c>
      <c r="I572" t="s">
        <v>115</v>
      </c>
      <c r="J572">
        <v>5000</v>
      </c>
      <c r="K572">
        <v>182.66499999999999</v>
      </c>
      <c r="L572">
        <v>27.372599999999998</v>
      </c>
      <c r="M572">
        <v>13097.323</v>
      </c>
      <c r="N572" t="s">
        <v>15</v>
      </c>
    </row>
    <row r="573" spans="1:14" x14ac:dyDescent="0.2">
      <c r="A573" t="s">
        <v>56</v>
      </c>
      <c r="B573" t="s">
        <v>122</v>
      </c>
      <c r="C573" t="s">
        <v>112</v>
      </c>
      <c r="D573" t="s">
        <v>57</v>
      </c>
      <c r="E573" t="s">
        <v>53</v>
      </c>
      <c r="F573" t="s">
        <v>114</v>
      </c>
      <c r="G573">
        <v>119598</v>
      </c>
      <c r="H573" s="75">
        <v>42273</v>
      </c>
      <c r="I573" t="s">
        <v>116</v>
      </c>
      <c r="J573">
        <v>2.5</v>
      </c>
      <c r="K573">
        <v>0</v>
      </c>
      <c r="M573">
        <v>13097.323</v>
      </c>
      <c r="N573" t="s">
        <v>17</v>
      </c>
    </row>
    <row r="574" spans="1:14" x14ac:dyDescent="0.2">
      <c r="A574" t="s">
        <v>56</v>
      </c>
      <c r="B574" t="s">
        <v>122</v>
      </c>
      <c r="C574" t="s">
        <v>112</v>
      </c>
      <c r="D574" t="s">
        <v>57</v>
      </c>
      <c r="E574" t="s">
        <v>53</v>
      </c>
      <c r="F574" t="s">
        <v>114</v>
      </c>
      <c r="G574">
        <v>119598</v>
      </c>
      <c r="H574" s="75">
        <v>42303</v>
      </c>
      <c r="I574" t="s">
        <v>115</v>
      </c>
      <c r="J574">
        <v>5000</v>
      </c>
      <c r="K574">
        <v>184.83799999999999</v>
      </c>
      <c r="L574">
        <v>27.050699999999999</v>
      </c>
      <c r="M574">
        <v>13282.161</v>
      </c>
      <c r="N574" t="s">
        <v>15</v>
      </c>
    </row>
    <row r="575" spans="1:14" x14ac:dyDescent="0.2">
      <c r="A575" t="s">
        <v>56</v>
      </c>
      <c r="B575" t="s">
        <v>122</v>
      </c>
      <c r="C575" t="s">
        <v>112</v>
      </c>
      <c r="D575" t="s">
        <v>57</v>
      </c>
      <c r="E575" t="s">
        <v>53</v>
      </c>
      <c r="F575" t="s">
        <v>114</v>
      </c>
      <c r="G575">
        <v>119598</v>
      </c>
      <c r="H575" s="75">
        <v>42333</v>
      </c>
      <c r="I575" t="s">
        <v>115</v>
      </c>
      <c r="J575">
        <v>5000</v>
      </c>
      <c r="K575">
        <v>184.77</v>
      </c>
      <c r="L575">
        <v>27.060600000000001</v>
      </c>
      <c r="M575">
        <v>13466.932000000001</v>
      </c>
      <c r="N575" t="s">
        <v>15</v>
      </c>
    </row>
    <row r="576" spans="1:14" x14ac:dyDescent="0.2">
      <c r="A576" t="s">
        <v>56</v>
      </c>
      <c r="B576" t="s">
        <v>122</v>
      </c>
      <c r="C576" t="s">
        <v>112</v>
      </c>
      <c r="D576" t="s">
        <v>57</v>
      </c>
      <c r="E576" t="s">
        <v>53</v>
      </c>
      <c r="F576" t="s">
        <v>114</v>
      </c>
      <c r="G576">
        <v>119598</v>
      </c>
      <c r="H576" s="75">
        <v>42363</v>
      </c>
      <c r="I576" t="s">
        <v>115</v>
      </c>
      <c r="J576">
        <v>5000</v>
      </c>
      <c r="K576">
        <v>180.166</v>
      </c>
      <c r="L576">
        <v>27.752199999999998</v>
      </c>
      <c r="M576">
        <v>13647.098</v>
      </c>
      <c r="N576" t="s">
        <v>15</v>
      </c>
    </row>
    <row r="577" spans="1:14" x14ac:dyDescent="0.2">
      <c r="A577" t="s">
        <v>56</v>
      </c>
      <c r="B577" t="s">
        <v>122</v>
      </c>
      <c r="C577" t="s">
        <v>112</v>
      </c>
      <c r="D577" t="s">
        <v>57</v>
      </c>
      <c r="E577" t="s">
        <v>53</v>
      </c>
      <c r="F577" t="s">
        <v>114</v>
      </c>
      <c r="G577">
        <v>119598</v>
      </c>
      <c r="H577" s="75">
        <v>42393</v>
      </c>
      <c r="I577" t="s">
        <v>115</v>
      </c>
      <c r="J577">
        <v>5000</v>
      </c>
      <c r="K577">
        <v>181.631</v>
      </c>
      <c r="L577">
        <v>27.528400000000001</v>
      </c>
      <c r="M577">
        <v>13828.728999999999</v>
      </c>
      <c r="N577" t="s">
        <v>15</v>
      </c>
    </row>
    <row r="578" spans="1:14" x14ac:dyDescent="0.2">
      <c r="A578" t="s">
        <v>56</v>
      </c>
      <c r="B578" t="s">
        <v>122</v>
      </c>
      <c r="C578" t="s">
        <v>112</v>
      </c>
      <c r="D578" t="s">
        <v>57</v>
      </c>
      <c r="E578" t="s">
        <v>53</v>
      </c>
      <c r="F578" t="s">
        <v>114</v>
      </c>
      <c r="G578">
        <v>119598</v>
      </c>
      <c r="H578" s="75">
        <v>42423</v>
      </c>
      <c r="I578" t="s">
        <v>115</v>
      </c>
      <c r="J578">
        <v>5000</v>
      </c>
      <c r="K578">
        <v>181.96299999999999</v>
      </c>
      <c r="L578">
        <v>27.478200000000001</v>
      </c>
      <c r="M578">
        <v>14010.691000000001</v>
      </c>
      <c r="N578" t="s">
        <v>15</v>
      </c>
    </row>
    <row r="579" spans="1:14" x14ac:dyDescent="0.2">
      <c r="A579" t="s">
        <v>56</v>
      </c>
      <c r="B579" t="s">
        <v>122</v>
      </c>
      <c r="C579" t="s">
        <v>112</v>
      </c>
      <c r="D579" t="s">
        <v>57</v>
      </c>
      <c r="E579" t="s">
        <v>53</v>
      </c>
      <c r="F579" t="s">
        <v>114</v>
      </c>
      <c r="G579">
        <v>119598</v>
      </c>
      <c r="H579" s="75">
        <v>42453</v>
      </c>
      <c r="I579" t="s">
        <v>115</v>
      </c>
      <c r="J579">
        <v>5000</v>
      </c>
      <c r="K579">
        <v>179.11799999999999</v>
      </c>
      <c r="L579">
        <v>27.9145</v>
      </c>
      <c r="M579">
        <v>14189.808999999999</v>
      </c>
      <c r="N579" t="s">
        <v>15</v>
      </c>
    </row>
    <row r="580" spans="1:14" x14ac:dyDescent="0.2">
      <c r="A580" t="s">
        <v>56</v>
      </c>
      <c r="B580" t="s">
        <v>122</v>
      </c>
      <c r="C580" t="s">
        <v>112</v>
      </c>
      <c r="D580" t="s">
        <v>57</v>
      </c>
      <c r="E580" t="s">
        <v>53</v>
      </c>
      <c r="F580" t="s">
        <v>114</v>
      </c>
      <c r="G580">
        <v>119598</v>
      </c>
      <c r="H580" s="75">
        <v>42483</v>
      </c>
      <c r="I580" t="s">
        <v>115</v>
      </c>
      <c r="J580">
        <v>5000</v>
      </c>
      <c r="K580">
        <v>175.69</v>
      </c>
      <c r="L580">
        <v>28.459299999999999</v>
      </c>
      <c r="M580">
        <v>14365.499</v>
      </c>
      <c r="N580" t="s">
        <v>15</v>
      </c>
    </row>
    <row r="581" spans="1:14" x14ac:dyDescent="0.2">
      <c r="A581" t="s">
        <v>56</v>
      </c>
      <c r="B581" t="s">
        <v>122</v>
      </c>
      <c r="C581" t="s">
        <v>112</v>
      </c>
      <c r="D581" t="s">
        <v>57</v>
      </c>
      <c r="E581" t="s">
        <v>53</v>
      </c>
      <c r="F581" t="s">
        <v>114</v>
      </c>
      <c r="G581">
        <v>119598</v>
      </c>
      <c r="H581" s="75">
        <v>42513</v>
      </c>
      <c r="I581" t="s">
        <v>115</v>
      </c>
      <c r="J581">
        <v>5000</v>
      </c>
      <c r="K581">
        <v>173.119</v>
      </c>
      <c r="L581">
        <v>28.881900000000002</v>
      </c>
      <c r="M581">
        <v>14538.617</v>
      </c>
      <c r="N581" t="s">
        <v>15</v>
      </c>
    </row>
    <row r="582" spans="1:14" x14ac:dyDescent="0.2">
      <c r="A582" t="s">
        <v>56</v>
      </c>
      <c r="B582" t="s">
        <v>122</v>
      </c>
      <c r="C582" t="s">
        <v>112</v>
      </c>
      <c r="D582" t="s">
        <v>57</v>
      </c>
      <c r="E582" t="s">
        <v>53</v>
      </c>
      <c r="F582" t="s">
        <v>114</v>
      </c>
      <c r="G582">
        <v>119598</v>
      </c>
      <c r="H582" s="75">
        <v>42543</v>
      </c>
      <c r="I582" t="s">
        <v>115</v>
      </c>
      <c r="J582">
        <v>5000</v>
      </c>
      <c r="K582">
        <v>175.14500000000001</v>
      </c>
      <c r="L582">
        <v>28.547699999999999</v>
      </c>
      <c r="M582">
        <v>14713.763000000001</v>
      </c>
      <c r="N582" t="s">
        <v>15</v>
      </c>
    </row>
    <row r="583" spans="1:14" x14ac:dyDescent="0.2">
      <c r="A583" t="s">
        <v>56</v>
      </c>
      <c r="B583" t="s">
        <v>122</v>
      </c>
      <c r="C583" t="s">
        <v>112</v>
      </c>
      <c r="D583" t="s">
        <v>57</v>
      </c>
      <c r="E583" t="s">
        <v>53</v>
      </c>
      <c r="F583" t="s">
        <v>114</v>
      </c>
      <c r="G583">
        <v>119598</v>
      </c>
      <c r="H583" s="75">
        <v>42543</v>
      </c>
      <c r="I583" t="s">
        <v>117</v>
      </c>
      <c r="J583">
        <v>2.5</v>
      </c>
      <c r="K583">
        <v>0</v>
      </c>
      <c r="M583">
        <v>14713.763000000001</v>
      </c>
      <c r="N583" t="s">
        <v>46</v>
      </c>
    </row>
    <row r="584" spans="1:14" x14ac:dyDescent="0.2">
      <c r="A584" t="s">
        <v>56</v>
      </c>
      <c r="B584" t="s">
        <v>122</v>
      </c>
      <c r="C584" t="s">
        <v>112</v>
      </c>
      <c r="D584" t="s">
        <v>57</v>
      </c>
      <c r="E584" t="s">
        <v>53</v>
      </c>
      <c r="F584" t="s">
        <v>114</v>
      </c>
      <c r="G584">
        <v>119598</v>
      </c>
      <c r="H584" s="75">
        <v>42573</v>
      </c>
      <c r="I584" t="s">
        <v>115</v>
      </c>
      <c r="J584">
        <v>5000</v>
      </c>
      <c r="K584">
        <v>176.79599999999999</v>
      </c>
      <c r="L584">
        <v>28.281199999999998</v>
      </c>
      <c r="M584">
        <v>14890.558000000001</v>
      </c>
      <c r="N584" t="s">
        <v>15</v>
      </c>
    </row>
    <row r="585" spans="1:14" x14ac:dyDescent="0.2">
      <c r="A585" t="s">
        <v>56</v>
      </c>
      <c r="B585" t="s">
        <v>122</v>
      </c>
      <c r="C585" t="s">
        <v>112</v>
      </c>
      <c r="D585" t="s">
        <v>57</v>
      </c>
      <c r="E585" t="s">
        <v>53</v>
      </c>
      <c r="F585" t="s">
        <v>114</v>
      </c>
      <c r="G585">
        <v>119598</v>
      </c>
      <c r="H585" s="75">
        <v>42603</v>
      </c>
      <c r="I585" t="s">
        <v>115</v>
      </c>
      <c r="J585">
        <v>5000</v>
      </c>
      <c r="K585">
        <v>176.66300000000001</v>
      </c>
      <c r="L585">
        <v>28.302399999999999</v>
      </c>
      <c r="M585">
        <v>15067.222</v>
      </c>
      <c r="N585" t="s">
        <v>15</v>
      </c>
    </row>
    <row r="586" spans="1:14" x14ac:dyDescent="0.2">
      <c r="A586" t="s">
        <v>56</v>
      </c>
      <c r="B586" t="s">
        <v>122</v>
      </c>
      <c r="C586" t="s">
        <v>112</v>
      </c>
      <c r="D586" t="s">
        <v>57</v>
      </c>
      <c r="E586" t="s">
        <v>53</v>
      </c>
      <c r="F586" t="s">
        <v>114</v>
      </c>
      <c r="G586">
        <v>119598</v>
      </c>
      <c r="H586" s="75">
        <v>42633</v>
      </c>
      <c r="I586" t="s">
        <v>115</v>
      </c>
      <c r="J586">
        <v>5000</v>
      </c>
      <c r="K586">
        <v>171.554</v>
      </c>
      <c r="L586">
        <v>29.145399999999999</v>
      </c>
      <c r="M586">
        <v>15238.775</v>
      </c>
      <c r="N586" t="s">
        <v>15</v>
      </c>
    </row>
    <row r="587" spans="1:14" x14ac:dyDescent="0.2">
      <c r="A587" t="s">
        <v>56</v>
      </c>
      <c r="B587" t="s">
        <v>122</v>
      </c>
      <c r="C587" t="s">
        <v>112</v>
      </c>
      <c r="D587" t="s">
        <v>57</v>
      </c>
      <c r="E587" t="s">
        <v>53</v>
      </c>
      <c r="F587" t="s">
        <v>114</v>
      </c>
      <c r="G587">
        <v>119598</v>
      </c>
      <c r="H587" s="75">
        <v>42633</v>
      </c>
      <c r="I587" t="s">
        <v>117</v>
      </c>
      <c r="J587">
        <v>2.5</v>
      </c>
      <c r="K587">
        <v>0</v>
      </c>
      <c r="M587">
        <v>15238.775</v>
      </c>
      <c r="N587" t="s">
        <v>46</v>
      </c>
    </row>
    <row r="588" spans="1:14" x14ac:dyDescent="0.2">
      <c r="A588" t="s">
        <v>56</v>
      </c>
      <c r="B588" t="s">
        <v>122</v>
      </c>
      <c r="C588" t="s">
        <v>112</v>
      </c>
      <c r="D588" t="s">
        <v>57</v>
      </c>
      <c r="E588" t="s">
        <v>53</v>
      </c>
      <c r="F588" t="s">
        <v>114</v>
      </c>
      <c r="G588">
        <v>119598</v>
      </c>
      <c r="H588" s="75">
        <v>42663</v>
      </c>
      <c r="I588" t="s">
        <v>115</v>
      </c>
      <c r="J588">
        <v>5000</v>
      </c>
      <c r="K588">
        <v>171.428</v>
      </c>
      <c r="L588">
        <v>29.166699999999999</v>
      </c>
      <c r="M588">
        <v>15410.204</v>
      </c>
      <c r="N588" t="s">
        <v>15</v>
      </c>
    </row>
    <row r="589" spans="1:14" x14ac:dyDescent="0.2">
      <c r="A589" t="s">
        <v>56</v>
      </c>
      <c r="B589" t="s">
        <v>122</v>
      </c>
      <c r="C589" t="s">
        <v>112</v>
      </c>
      <c r="D589" t="s">
        <v>57</v>
      </c>
      <c r="E589" t="s">
        <v>53</v>
      </c>
      <c r="F589" t="s">
        <v>114</v>
      </c>
      <c r="G589">
        <v>119598</v>
      </c>
      <c r="H589" s="75">
        <v>42693</v>
      </c>
      <c r="I589" t="s">
        <v>115</v>
      </c>
      <c r="J589">
        <v>5000</v>
      </c>
      <c r="K589">
        <v>169.065</v>
      </c>
      <c r="L589">
        <v>29.5745</v>
      </c>
      <c r="M589">
        <v>15579.268</v>
      </c>
      <c r="N589" t="s">
        <v>15</v>
      </c>
    </row>
    <row r="590" spans="1:14" x14ac:dyDescent="0.2">
      <c r="A590" t="s">
        <v>56</v>
      </c>
      <c r="B590" t="s">
        <v>122</v>
      </c>
      <c r="C590" t="s">
        <v>112</v>
      </c>
      <c r="D590" t="s">
        <v>57</v>
      </c>
      <c r="E590" t="s">
        <v>53</v>
      </c>
      <c r="F590" t="s">
        <v>114</v>
      </c>
      <c r="G590">
        <v>119598</v>
      </c>
      <c r="H590" s="75">
        <v>42723</v>
      </c>
      <c r="I590" t="s">
        <v>115</v>
      </c>
      <c r="J590">
        <v>5000</v>
      </c>
      <c r="K590">
        <v>165.179</v>
      </c>
      <c r="L590">
        <v>30.270099999999999</v>
      </c>
      <c r="M590">
        <v>15744.448</v>
      </c>
      <c r="N590" t="s">
        <v>15</v>
      </c>
    </row>
    <row r="591" spans="1:14" x14ac:dyDescent="0.2">
      <c r="A591" t="s">
        <v>56</v>
      </c>
      <c r="B591" t="s">
        <v>122</v>
      </c>
      <c r="C591" t="s">
        <v>112</v>
      </c>
      <c r="D591" t="s">
        <v>57</v>
      </c>
      <c r="E591" t="s">
        <v>53</v>
      </c>
      <c r="F591" t="s">
        <v>114</v>
      </c>
      <c r="G591">
        <v>119598</v>
      </c>
      <c r="H591" s="75">
        <v>42723</v>
      </c>
      <c r="I591" t="s">
        <v>116</v>
      </c>
      <c r="J591">
        <v>2.5</v>
      </c>
      <c r="K591">
        <v>0</v>
      </c>
      <c r="M591">
        <v>15744.448</v>
      </c>
      <c r="N591" t="s">
        <v>17</v>
      </c>
    </row>
    <row r="592" spans="1:14" x14ac:dyDescent="0.2">
      <c r="A592" t="s">
        <v>56</v>
      </c>
      <c r="B592" t="s">
        <v>122</v>
      </c>
      <c r="C592" t="s">
        <v>112</v>
      </c>
      <c r="D592" t="s">
        <v>57</v>
      </c>
      <c r="E592" t="s">
        <v>53</v>
      </c>
      <c r="F592" t="s">
        <v>114</v>
      </c>
      <c r="G592">
        <v>119598</v>
      </c>
      <c r="H592" s="75">
        <v>42753</v>
      </c>
      <c r="I592" t="s">
        <v>115</v>
      </c>
      <c r="J592">
        <v>5000</v>
      </c>
      <c r="K592">
        <v>168.36799999999999</v>
      </c>
      <c r="L592">
        <v>29.6968</v>
      </c>
      <c r="M592">
        <v>15912.816000000001</v>
      </c>
      <c r="N592" t="s">
        <v>15</v>
      </c>
    </row>
    <row r="593" spans="1:14" x14ac:dyDescent="0.2">
      <c r="A593" t="s">
        <v>56</v>
      </c>
      <c r="B593" t="s">
        <v>122</v>
      </c>
      <c r="C593" t="s">
        <v>112</v>
      </c>
      <c r="D593" t="s">
        <v>57</v>
      </c>
      <c r="E593" t="s">
        <v>53</v>
      </c>
      <c r="F593" t="s">
        <v>114</v>
      </c>
      <c r="G593">
        <v>119598</v>
      </c>
      <c r="H593" s="75">
        <v>42783</v>
      </c>
      <c r="I593" t="s">
        <v>115</v>
      </c>
      <c r="J593">
        <v>5000</v>
      </c>
      <c r="K593">
        <v>169.773</v>
      </c>
      <c r="L593">
        <v>29.4511</v>
      </c>
      <c r="M593">
        <v>16082.589</v>
      </c>
      <c r="N593" t="s">
        <v>15</v>
      </c>
    </row>
    <row r="594" spans="1:14" x14ac:dyDescent="0.2">
      <c r="A594" t="s">
        <v>56</v>
      </c>
      <c r="B594" t="s">
        <v>122</v>
      </c>
      <c r="C594" t="s">
        <v>112</v>
      </c>
      <c r="D594" t="s">
        <v>57</v>
      </c>
      <c r="E594" t="s">
        <v>53</v>
      </c>
      <c r="F594" t="s">
        <v>114</v>
      </c>
      <c r="G594">
        <v>119598</v>
      </c>
      <c r="H594" s="75">
        <v>42783</v>
      </c>
      <c r="I594" t="s">
        <v>117</v>
      </c>
      <c r="J594">
        <v>2.5</v>
      </c>
      <c r="K594">
        <v>0</v>
      </c>
      <c r="M594">
        <v>16082.589</v>
      </c>
      <c r="N594" t="s">
        <v>46</v>
      </c>
    </row>
    <row r="595" spans="1:14" x14ac:dyDescent="0.2">
      <c r="A595" t="s">
        <v>56</v>
      </c>
      <c r="B595" t="s">
        <v>122</v>
      </c>
      <c r="C595" t="s">
        <v>112</v>
      </c>
      <c r="D595" t="s">
        <v>57</v>
      </c>
      <c r="E595" t="s">
        <v>53</v>
      </c>
      <c r="F595" t="s">
        <v>114</v>
      </c>
      <c r="G595">
        <v>119598</v>
      </c>
      <c r="H595" s="75">
        <v>42813</v>
      </c>
      <c r="I595" t="s">
        <v>115</v>
      </c>
      <c r="J595">
        <v>5000</v>
      </c>
      <c r="K595">
        <v>169.86099999999999</v>
      </c>
      <c r="L595">
        <v>29.4359</v>
      </c>
      <c r="M595">
        <v>16252.45</v>
      </c>
      <c r="N595" t="s">
        <v>15</v>
      </c>
    </row>
    <row r="596" spans="1:14" x14ac:dyDescent="0.2">
      <c r="A596" t="s">
        <v>56</v>
      </c>
      <c r="B596" t="s">
        <v>122</v>
      </c>
      <c r="C596" t="s">
        <v>112</v>
      </c>
      <c r="D596" t="s">
        <v>57</v>
      </c>
      <c r="E596" t="s">
        <v>53</v>
      </c>
      <c r="F596" t="s">
        <v>114</v>
      </c>
      <c r="G596">
        <v>119598</v>
      </c>
      <c r="H596" s="75">
        <v>42843</v>
      </c>
      <c r="I596" t="s">
        <v>115</v>
      </c>
      <c r="J596">
        <v>5000</v>
      </c>
      <c r="K596">
        <v>169.37</v>
      </c>
      <c r="L596">
        <v>29.521100000000001</v>
      </c>
      <c r="M596">
        <v>16421.82</v>
      </c>
      <c r="N596" t="s">
        <v>15</v>
      </c>
    </row>
    <row r="597" spans="1:14" x14ac:dyDescent="0.2">
      <c r="A597" t="s">
        <v>56</v>
      </c>
      <c r="B597" t="s">
        <v>122</v>
      </c>
      <c r="C597" t="s">
        <v>112</v>
      </c>
      <c r="D597" t="s">
        <v>57</v>
      </c>
      <c r="E597" t="s">
        <v>53</v>
      </c>
      <c r="F597" t="s">
        <v>114</v>
      </c>
      <c r="G597">
        <v>119598</v>
      </c>
      <c r="H597" s="75">
        <v>42873</v>
      </c>
      <c r="I597" t="s">
        <v>115</v>
      </c>
      <c r="J597">
        <v>5000</v>
      </c>
      <c r="K597">
        <v>169.148</v>
      </c>
      <c r="L597">
        <v>29.559799999999999</v>
      </c>
      <c r="M597">
        <v>16590.969000000001</v>
      </c>
      <c r="N597" t="s">
        <v>15</v>
      </c>
    </row>
    <row r="598" spans="1:14" x14ac:dyDescent="0.2">
      <c r="A598" t="s">
        <v>56</v>
      </c>
      <c r="B598" t="s">
        <v>122</v>
      </c>
      <c r="C598" t="s">
        <v>112</v>
      </c>
      <c r="D598" t="s">
        <v>57</v>
      </c>
      <c r="E598" t="s">
        <v>53</v>
      </c>
      <c r="F598" t="s">
        <v>114</v>
      </c>
      <c r="G598">
        <v>119598</v>
      </c>
      <c r="H598" s="75">
        <v>42903</v>
      </c>
      <c r="I598" t="s">
        <v>115</v>
      </c>
      <c r="J598">
        <v>5000</v>
      </c>
      <c r="K598">
        <v>170.18100000000001</v>
      </c>
      <c r="L598">
        <v>29.380500000000001</v>
      </c>
      <c r="M598">
        <v>16761.149000000001</v>
      </c>
      <c r="N598" t="s">
        <v>15</v>
      </c>
    </row>
    <row r="599" spans="1:14" x14ac:dyDescent="0.2">
      <c r="A599" t="s">
        <v>56</v>
      </c>
      <c r="B599" t="s">
        <v>122</v>
      </c>
      <c r="C599" t="s">
        <v>112</v>
      </c>
      <c r="D599" t="s">
        <v>57</v>
      </c>
      <c r="E599" t="s">
        <v>53</v>
      </c>
      <c r="F599" t="s">
        <v>114</v>
      </c>
      <c r="G599">
        <v>119598</v>
      </c>
      <c r="H599" s="75">
        <v>42933</v>
      </c>
      <c r="I599" t="s">
        <v>115</v>
      </c>
      <c r="J599">
        <v>5000</v>
      </c>
      <c r="K599">
        <v>167.31</v>
      </c>
      <c r="L599">
        <v>29.884699999999999</v>
      </c>
      <c r="M599">
        <v>16928.458999999999</v>
      </c>
      <c r="N599" t="s">
        <v>15</v>
      </c>
    </row>
    <row r="600" spans="1:14" x14ac:dyDescent="0.2">
      <c r="A600" t="s">
        <v>56</v>
      </c>
      <c r="B600" t="s">
        <v>122</v>
      </c>
      <c r="C600" t="s">
        <v>112</v>
      </c>
      <c r="D600" t="s">
        <v>57</v>
      </c>
      <c r="E600" t="s">
        <v>53</v>
      </c>
      <c r="F600" t="s">
        <v>114</v>
      </c>
      <c r="G600">
        <v>119598</v>
      </c>
      <c r="H600" s="75">
        <v>42963</v>
      </c>
      <c r="I600" t="s">
        <v>115</v>
      </c>
      <c r="J600">
        <v>5000</v>
      </c>
      <c r="K600">
        <v>169.65299999999999</v>
      </c>
      <c r="L600">
        <v>29.471900000000002</v>
      </c>
      <c r="M600">
        <v>17098.112000000001</v>
      </c>
      <c r="N600" t="s">
        <v>15</v>
      </c>
    </row>
    <row r="601" spans="1:14" x14ac:dyDescent="0.2">
      <c r="A601" t="s">
        <v>56</v>
      </c>
      <c r="B601" t="s">
        <v>122</v>
      </c>
      <c r="C601" t="s">
        <v>112</v>
      </c>
      <c r="D601" t="s">
        <v>57</v>
      </c>
      <c r="E601" t="s">
        <v>53</v>
      </c>
      <c r="F601" t="s">
        <v>114</v>
      </c>
      <c r="G601">
        <v>119598</v>
      </c>
      <c r="H601" s="75">
        <v>42993</v>
      </c>
      <c r="I601" t="s">
        <v>115</v>
      </c>
      <c r="J601">
        <v>5000</v>
      </c>
      <c r="K601">
        <v>172.916</v>
      </c>
      <c r="L601">
        <v>28.915700000000001</v>
      </c>
      <c r="M601">
        <v>17271.028999999999</v>
      </c>
      <c r="N601" t="s">
        <v>15</v>
      </c>
    </row>
    <row r="602" spans="1:14" x14ac:dyDescent="0.2">
      <c r="A602" t="s">
        <v>56</v>
      </c>
      <c r="B602" t="s">
        <v>122</v>
      </c>
      <c r="C602" t="s">
        <v>112</v>
      </c>
      <c r="D602" t="s">
        <v>57</v>
      </c>
      <c r="E602" t="s">
        <v>53</v>
      </c>
      <c r="F602" t="s">
        <v>114</v>
      </c>
      <c r="G602">
        <v>119598</v>
      </c>
      <c r="H602" s="75">
        <v>43023</v>
      </c>
      <c r="I602" t="s">
        <v>115</v>
      </c>
      <c r="J602">
        <v>5000</v>
      </c>
      <c r="K602">
        <v>170.82599999999999</v>
      </c>
      <c r="L602">
        <v>29.269500000000001</v>
      </c>
      <c r="M602">
        <v>17441.855</v>
      </c>
      <c r="N602" t="s">
        <v>15</v>
      </c>
    </row>
    <row r="603" spans="1:14" x14ac:dyDescent="0.2">
      <c r="A603" t="s">
        <v>56</v>
      </c>
      <c r="B603" t="s">
        <v>122</v>
      </c>
      <c r="C603" t="s">
        <v>112</v>
      </c>
      <c r="D603" t="s">
        <v>57</v>
      </c>
      <c r="E603" t="s">
        <v>53</v>
      </c>
      <c r="F603" t="s">
        <v>114</v>
      </c>
      <c r="G603">
        <v>119598</v>
      </c>
      <c r="H603" s="75">
        <v>43053</v>
      </c>
      <c r="I603" t="s">
        <v>115</v>
      </c>
      <c r="J603">
        <v>5000</v>
      </c>
      <c r="K603">
        <v>173.364</v>
      </c>
      <c r="L603">
        <v>28.841000000000001</v>
      </c>
      <c r="M603">
        <v>17615.219000000001</v>
      </c>
      <c r="N603" t="s">
        <v>15</v>
      </c>
    </row>
    <row r="604" spans="1:14" x14ac:dyDescent="0.2">
      <c r="A604" t="s">
        <v>56</v>
      </c>
      <c r="B604" t="s">
        <v>122</v>
      </c>
      <c r="C604" t="s">
        <v>112</v>
      </c>
      <c r="D604" t="s">
        <v>57</v>
      </c>
      <c r="E604" t="s">
        <v>53</v>
      </c>
      <c r="F604" t="s">
        <v>114</v>
      </c>
      <c r="G604">
        <v>119598</v>
      </c>
      <c r="H604" s="75">
        <v>43083</v>
      </c>
      <c r="I604" t="s">
        <v>115</v>
      </c>
      <c r="J604">
        <v>5000</v>
      </c>
      <c r="K604">
        <v>171.626</v>
      </c>
      <c r="L604">
        <v>29.133099999999999</v>
      </c>
      <c r="M604">
        <v>17786.845000000001</v>
      </c>
      <c r="N604" t="s">
        <v>15</v>
      </c>
    </row>
    <row r="605" spans="1:14" x14ac:dyDescent="0.2">
      <c r="A605" t="s">
        <v>56</v>
      </c>
      <c r="B605" t="s">
        <v>122</v>
      </c>
      <c r="C605" t="s">
        <v>112</v>
      </c>
      <c r="D605" t="s">
        <v>57</v>
      </c>
      <c r="E605" t="s">
        <v>53</v>
      </c>
      <c r="F605" t="s">
        <v>114</v>
      </c>
      <c r="G605">
        <v>119598</v>
      </c>
      <c r="H605" s="75">
        <v>43113</v>
      </c>
      <c r="I605" t="s">
        <v>115</v>
      </c>
      <c r="J605">
        <v>5000</v>
      </c>
      <c r="K605">
        <v>172.262</v>
      </c>
      <c r="L605">
        <v>29.025600000000001</v>
      </c>
      <c r="M605">
        <v>17959.107</v>
      </c>
      <c r="N605" t="s">
        <v>15</v>
      </c>
    </row>
    <row r="606" spans="1:14" x14ac:dyDescent="0.2">
      <c r="A606" t="s">
        <v>56</v>
      </c>
      <c r="B606" t="s">
        <v>122</v>
      </c>
      <c r="C606" t="s">
        <v>112</v>
      </c>
      <c r="D606" t="s">
        <v>57</v>
      </c>
      <c r="E606" t="s">
        <v>53</v>
      </c>
      <c r="F606" t="s">
        <v>114</v>
      </c>
      <c r="G606">
        <v>119598</v>
      </c>
      <c r="H606" s="75">
        <v>43143</v>
      </c>
      <c r="I606" t="s">
        <v>115</v>
      </c>
      <c r="J606">
        <v>5000</v>
      </c>
      <c r="K606">
        <v>168.23699999999999</v>
      </c>
      <c r="L606">
        <v>29.719899999999999</v>
      </c>
      <c r="M606">
        <v>18127.344000000001</v>
      </c>
      <c r="N606" t="s">
        <v>15</v>
      </c>
    </row>
    <row r="607" spans="1:14" x14ac:dyDescent="0.2">
      <c r="A607" t="s">
        <v>56</v>
      </c>
      <c r="B607" t="s">
        <v>122</v>
      </c>
      <c r="C607" t="s">
        <v>112</v>
      </c>
      <c r="D607" t="s">
        <v>57</v>
      </c>
      <c r="E607" t="s">
        <v>53</v>
      </c>
      <c r="F607" t="s">
        <v>114</v>
      </c>
      <c r="G607">
        <v>119598</v>
      </c>
      <c r="H607" s="75">
        <v>43173</v>
      </c>
      <c r="I607" t="s">
        <v>115</v>
      </c>
      <c r="J607">
        <v>5000</v>
      </c>
      <c r="K607">
        <v>168.785</v>
      </c>
      <c r="L607">
        <v>29.6235</v>
      </c>
      <c r="M607">
        <v>18296.129000000001</v>
      </c>
      <c r="N607" t="s">
        <v>15</v>
      </c>
    </row>
    <row r="608" spans="1:14" x14ac:dyDescent="0.2">
      <c r="A608" t="s">
        <v>56</v>
      </c>
      <c r="B608" t="s">
        <v>122</v>
      </c>
      <c r="C608" t="s">
        <v>112</v>
      </c>
      <c r="D608" t="s">
        <v>57</v>
      </c>
      <c r="E608" t="s">
        <v>53</v>
      </c>
      <c r="F608" t="s">
        <v>114</v>
      </c>
      <c r="G608">
        <v>119598</v>
      </c>
      <c r="H608" s="75">
        <v>43203</v>
      </c>
      <c r="I608" t="s">
        <v>115</v>
      </c>
      <c r="J608">
        <v>5000</v>
      </c>
      <c r="K608">
        <v>169.67699999999999</v>
      </c>
      <c r="L608">
        <v>29.4678</v>
      </c>
      <c r="M608">
        <v>18465.806</v>
      </c>
      <c r="N608" t="s">
        <v>15</v>
      </c>
    </row>
    <row r="609" spans="1:14" x14ac:dyDescent="0.2">
      <c r="A609" t="s">
        <v>56</v>
      </c>
      <c r="B609" t="s">
        <v>122</v>
      </c>
      <c r="C609" t="s">
        <v>112</v>
      </c>
      <c r="D609" t="s">
        <v>57</v>
      </c>
      <c r="E609" t="s">
        <v>53</v>
      </c>
      <c r="F609" t="s">
        <v>114</v>
      </c>
      <c r="G609">
        <v>119598</v>
      </c>
      <c r="H609" s="75">
        <v>43233</v>
      </c>
      <c r="I609" t="s">
        <v>115</v>
      </c>
      <c r="J609">
        <v>5000</v>
      </c>
      <c r="K609">
        <v>171.83199999999999</v>
      </c>
      <c r="L609">
        <v>29.098299999999998</v>
      </c>
      <c r="M609">
        <v>18637.637999999999</v>
      </c>
      <c r="N609" t="s">
        <v>15</v>
      </c>
    </row>
    <row r="610" spans="1:14" x14ac:dyDescent="0.2">
      <c r="A610" t="s">
        <v>56</v>
      </c>
      <c r="B610" t="s">
        <v>122</v>
      </c>
      <c r="C610" t="s">
        <v>112</v>
      </c>
      <c r="D610" t="s">
        <v>57</v>
      </c>
      <c r="E610" t="s">
        <v>53</v>
      </c>
      <c r="F610" t="s">
        <v>114</v>
      </c>
      <c r="G610">
        <v>119598</v>
      </c>
      <c r="H610" s="75">
        <v>43233</v>
      </c>
      <c r="I610" t="s">
        <v>116</v>
      </c>
      <c r="J610">
        <v>2.5</v>
      </c>
      <c r="K610">
        <v>0</v>
      </c>
      <c r="M610">
        <v>18637.637999999999</v>
      </c>
      <c r="N610" t="s">
        <v>17</v>
      </c>
    </row>
    <row r="611" spans="1:14" x14ac:dyDescent="0.2">
      <c r="A611" t="s">
        <v>56</v>
      </c>
      <c r="B611" t="s">
        <v>122</v>
      </c>
      <c r="C611" t="s">
        <v>112</v>
      </c>
      <c r="D611" t="s">
        <v>57</v>
      </c>
      <c r="E611" t="s">
        <v>53</v>
      </c>
      <c r="F611" t="s">
        <v>114</v>
      </c>
      <c r="G611">
        <v>119598</v>
      </c>
      <c r="H611" s="75">
        <v>43263</v>
      </c>
      <c r="I611" t="s">
        <v>115</v>
      </c>
      <c r="J611">
        <v>5000</v>
      </c>
      <c r="K611">
        <v>172.904</v>
      </c>
      <c r="L611">
        <v>28.9177</v>
      </c>
      <c r="M611">
        <v>18810.542000000001</v>
      </c>
      <c r="N611" t="s">
        <v>15</v>
      </c>
    </row>
    <row r="612" spans="1:14" x14ac:dyDescent="0.2">
      <c r="A612" t="s">
        <v>56</v>
      </c>
      <c r="B612" t="s">
        <v>122</v>
      </c>
      <c r="C612" t="s">
        <v>112</v>
      </c>
      <c r="D612" t="s">
        <v>57</v>
      </c>
      <c r="E612" t="s">
        <v>53</v>
      </c>
      <c r="F612" t="s">
        <v>114</v>
      </c>
      <c r="G612">
        <v>119598</v>
      </c>
      <c r="H612" s="75">
        <v>43293</v>
      </c>
      <c r="I612" t="s">
        <v>115</v>
      </c>
      <c r="J612">
        <v>5000</v>
      </c>
      <c r="K612">
        <v>168.4</v>
      </c>
      <c r="L612">
        <v>29.691199999999998</v>
      </c>
      <c r="M612">
        <v>18978.941999999999</v>
      </c>
      <c r="N612" t="s">
        <v>15</v>
      </c>
    </row>
    <row r="613" spans="1:14" x14ac:dyDescent="0.2">
      <c r="A613" t="s">
        <v>56</v>
      </c>
      <c r="B613" t="s">
        <v>122</v>
      </c>
      <c r="C613" t="s">
        <v>112</v>
      </c>
      <c r="D613" t="s">
        <v>57</v>
      </c>
      <c r="E613" t="s">
        <v>53</v>
      </c>
      <c r="F613" t="s">
        <v>114</v>
      </c>
      <c r="G613">
        <v>119598</v>
      </c>
      <c r="H613" s="75">
        <v>43323</v>
      </c>
      <c r="I613" t="s">
        <v>115</v>
      </c>
      <c r="J613">
        <v>5000</v>
      </c>
      <c r="K613">
        <v>170.495</v>
      </c>
      <c r="L613">
        <v>29.3264</v>
      </c>
      <c r="M613">
        <v>19149.437999999998</v>
      </c>
      <c r="N613" t="s">
        <v>15</v>
      </c>
    </row>
    <row r="614" spans="1:14" x14ac:dyDescent="0.2">
      <c r="A614" t="s">
        <v>56</v>
      </c>
      <c r="B614" t="s">
        <v>122</v>
      </c>
      <c r="C614" t="s">
        <v>112</v>
      </c>
      <c r="D614" t="s">
        <v>57</v>
      </c>
      <c r="E614" t="s">
        <v>53</v>
      </c>
      <c r="F614" t="s">
        <v>114</v>
      </c>
      <c r="G614">
        <v>119598</v>
      </c>
      <c r="H614" s="75">
        <v>43323</v>
      </c>
      <c r="I614" t="s">
        <v>116</v>
      </c>
      <c r="J614">
        <v>2.5</v>
      </c>
      <c r="K614">
        <v>0</v>
      </c>
      <c r="M614">
        <v>19149.437999999998</v>
      </c>
      <c r="N614" t="s">
        <v>17</v>
      </c>
    </row>
    <row r="615" spans="1:14" x14ac:dyDescent="0.2">
      <c r="A615" t="s">
        <v>56</v>
      </c>
      <c r="B615" t="s">
        <v>122</v>
      </c>
      <c r="C615" t="s">
        <v>112</v>
      </c>
      <c r="D615" t="s">
        <v>57</v>
      </c>
      <c r="E615" t="s">
        <v>53</v>
      </c>
      <c r="F615" t="s">
        <v>114</v>
      </c>
      <c r="G615">
        <v>119598</v>
      </c>
      <c r="H615" s="75">
        <v>43353</v>
      </c>
      <c r="I615" t="s">
        <v>115</v>
      </c>
      <c r="J615">
        <v>5000</v>
      </c>
      <c r="K615">
        <v>167.04300000000001</v>
      </c>
      <c r="L615">
        <v>29.932400000000001</v>
      </c>
      <c r="M615">
        <v>19316.481</v>
      </c>
      <c r="N615" t="s">
        <v>15</v>
      </c>
    </row>
    <row r="616" spans="1:14" x14ac:dyDescent="0.2">
      <c r="A616" t="s">
        <v>56</v>
      </c>
      <c r="B616" t="s">
        <v>122</v>
      </c>
      <c r="C616" t="s">
        <v>112</v>
      </c>
      <c r="D616" t="s">
        <v>57</v>
      </c>
      <c r="E616" t="s">
        <v>53</v>
      </c>
      <c r="F616" t="s">
        <v>114</v>
      </c>
      <c r="G616">
        <v>119598</v>
      </c>
      <c r="H616" s="75">
        <v>43353</v>
      </c>
      <c r="I616" t="s">
        <v>116</v>
      </c>
      <c r="J616">
        <v>2.5</v>
      </c>
      <c r="K616">
        <v>0</v>
      </c>
      <c r="M616">
        <v>19316.481</v>
      </c>
      <c r="N616" t="s">
        <v>17</v>
      </c>
    </row>
    <row r="617" spans="1:14" x14ac:dyDescent="0.2">
      <c r="A617" t="s">
        <v>56</v>
      </c>
      <c r="B617" t="s">
        <v>122</v>
      </c>
      <c r="C617" t="s">
        <v>112</v>
      </c>
      <c r="D617" t="s">
        <v>57</v>
      </c>
      <c r="E617" t="s">
        <v>53</v>
      </c>
      <c r="F617" t="s">
        <v>114</v>
      </c>
      <c r="G617">
        <v>119598</v>
      </c>
      <c r="H617" s="75">
        <v>43383</v>
      </c>
      <c r="I617" t="s">
        <v>115</v>
      </c>
      <c r="J617">
        <v>5000</v>
      </c>
      <c r="K617">
        <v>169.309</v>
      </c>
      <c r="L617">
        <v>29.5318</v>
      </c>
      <c r="M617">
        <v>19485.79</v>
      </c>
      <c r="N617" t="s">
        <v>15</v>
      </c>
    </row>
    <row r="618" spans="1:14" x14ac:dyDescent="0.2">
      <c r="A618" t="s">
        <v>56</v>
      </c>
      <c r="B618" t="s">
        <v>122</v>
      </c>
      <c r="C618" t="s">
        <v>112</v>
      </c>
      <c r="D618" t="s">
        <v>57</v>
      </c>
      <c r="E618" t="s">
        <v>53</v>
      </c>
      <c r="F618" t="s">
        <v>114</v>
      </c>
      <c r="G618">
        <v>119598</v>
      </c>
      <c r="H618" s="75">
        <v>43413</v>
      </c>
      <c r="I618" t="s">
        <v>115</v>
      </c>
      <c r="J618">
        <v>5000</v>
      </c>
      <c r="K618">
        <v>165.51599999999999</v>
      </c>
      <c r="L618">
        <v>30.208600000000001</v>
      </c>
      <c r="M618">
        <v>19651.305</v>
      </c>
      <c r="N618" t="s">
        <v>15</v>
      </c>
    </row>
    <row r="619" spans="1:14" x14ac:dyDescent="0.2">
      <c r="A619" t="s">
        <v>56</v>
      </c>
      <c r="B619" t="s">
        <v>122</v>
      </c>
      <c r="C619" t="s">
        <v>112</v>
      </c>
      <c r="D619" t="s">
        <v>57</v>
      </c>
      <c r="E619" t="s">
        <v>53</v>
      </c>
      <c r="F619" t="s">
        <v>114</v>
      </c>
      <c r="G619">
        <v>119598</v>
      </c>
      <c r="H619" s="75">
        <v>43413</v>
      </c>
      <c r="I619" t="s">
        <v>117</v>
      </c>
      <c r="J619">
        <v>2.5</v>
      </c>
      <c r="K619">
        <v>0</v>
      </c>
      <c r="M619">
        <v>19651.305</v>
      </c>
      <c r="N619" t="s">
        <v>46</v>
      </c>
    </row>
    <row r="620" spans="1:14" x14ac:dyDescent="0.2">
      <c r="A620" t="s">
        <v>56</v>
      </c>
      <c r="B620" t="s">
        <v>122</v>
      </c>
      <c r="C620" t="s">
        <v>112</v>
      </c>
      <c r="D620" t="s">
        <v>57</v>
      </c>
      <c r="E620" t="s">
        <v>53</v>
      </c>
      <c r="F620" t="s">
        <v>114</v>
      </c>
      <c r="G620">
        <v>119598</v>
      </c>
      <c r="H620" s="75">
        <v>43413</v>
      </c>
      <c r="I620" t="s">
        <v>25</v>
      </c>
      <c r="J620">
        <v>-118727.77</v>
      </c>
      <c r="K620">
        <v>-3930.261</v>
      </c>
      <c r="L620">
        <v>30.208600000000001</v>
      </c>
      <c r="M620">
        <v>15721.044</v>
      </c>
      <c r="N620" t="s">
        <v>16</v>
      </c>
    </row>
    <row r="621" spans="1:14" x14ac:dyDescent="0.2">
      <c r="A621" t="s">
        <v>56</v>
      </c>
      <c r="B621" t="s">
        <v>122</v>
      </c>
      <c r="C621" t="s">
        <v>112</v>
      </c>
      <c r="D621" t="s">
        <v>57</v>
      </c>
      <c r="E621" t="s">
        <v>53</v>
      </c>
      <c r="F621" t="s">
        <v>114</v>
      </c>
      <c r="G621">
        <v>119598</v>
      </c>
      <c r="H621" s="75">
        <v>43443</v>
      </c>
      <c r="I621" t="s">
        <v>115</v>
      </c>
      <c r="J621">
        <v>5000</v>
      </c>
      <c r="K621">
        <v>164.68700000000001</v>
      </c>
      <c r="L621">
        <v>30.360700000000001</v>
      </c>
      <c r="M621">
        <v>15885.731</v>
      </c>
      <c r="N621" t="s">
        <v>15</v>
      </c>
    </row>
    <row r="622" spans="1:14" x14ac:dyDescent="0.2">
      <c r="A622" t="s">
        <v>56</v>
      </c>
      <c r="B622" t="s">
        <v>122</v>
      </c>
      <c r="C622" t="s">
        <v>112</v>
      </c>
      <c r="D622" t="s">
        <v>57</v>
      </c>
      <c r="E622" t="s">
        <v>53</v>
      </c>
      <c r="F622" t="s">
        <v>114</v>
      </c>
      <c r="G622">
        <v>119598</v>
      </c>
      <c r="H622" s="75">
        <v>43473</v>
      </c>
      <c r="I622" t="s">
        <v>115</v>
      </c>
      <c r="J622">
        <v>5000</v>
      </c>
      <c r="K622">
        <v>162.36000000000001</v>
      </c>
      <c r="L622">
        <v>30.7958</v>
      </c>
      <c r="M622">
        <v>16048.091</v>
      </c>
      <c r="N622" t="s">
        <v>15</v>
      </c>
    </row>
    <row r="623" spans="1:14" x14ac:dyDescent="0.2">
      <c r="A623" t="s">
        <v>56</v>
      </c>
      <c r="B623" t="s">
        <v>122</v>
      </c>
      <c r="C623" t="s">
        <v>112</v>
      </c>
      <c r="D623" t="s">
        <v>57</v>
      </c>
      <c r="E623" t="s">
        <v>53</v>
      </c>
      <c r="F623" t="s">
        <v>114</v>
      </c>
      <c r="G623">
        <v>119598</v>
      </c>
      <c r="H623" s="75">
        <v>43503</v>
      </c>
      <c r="I623" t="s">
        <v>115</v>
      </c>
      <c r="J623">
        <v>5000</v>
      </c>
      <c r="K623">
        <v>160.327</v>
      </c>
      <c r="L623">
        <v>31.186199999999999</v>
      </c>
      <c r="M623">
        <v>16208.418</v>
      </c>
      <c r="N623" t="s">
        <v>15</v>
      </c>
    </row>
    <row r="624" spans="1:14" x14ac:dyDescent="0.2">
      <c r="A624" t="s">
        <v>56</v>
      </c>
      <c r="B624" t="s">
        <v>122</v>
      </c>
      <c r="C624" t="s">
        <v>112</v>
      </c>
      <c r="D624" t="s">
        <v>57</v>
      </c>
      <c r="E624" t="s">
        <v>53</v>
      </c>
      <c r="F624" t="s">
        <v>114</v>
      </c>
      <c r="G624">
        <v>119598</v>
      </c>
      <c r="H624" s="75">
        <v>43503</v>
      </c>
      <c r="I624" t="s">
        <v>117</v>
      </c>
      <c r="J624">
        <v>2.5</v>
      </c>
      <c r="K624">
        <v>0</v>
      </c>
      <c r="M624">
        <v>16208.418</v>
      </c>
      <c r="N624" t="s">
        <v>46</v>
      </c>
    </row>
    <row r="625" spans="1:14" x14ac:dyDescent="0.2">
      <c r="A625" t="s">
        <v>56</v>
      </c>
      <c r="B625" t="s">
        <v>122</v>
      </c>
      <c r="C625" t="s">
        <v>112</v>
      </c>
      <c r="D625" t="s">
        <v>57</v>
      </c>
      <c r="E625" t="s">
        <v>53</v>
      </c>
      <c r="F625" t="s">
        <v>114</v>
      </c>
      <c r="G625">
        <v>119598</v>
      </c>
      <c r="H625" s="75">
        <v>43533</v>
      </c>
      <c r="I625" t="s">
        <v>115</v>
      </c>
      <c r="J625">
        <v>5000</v>
      </c>
      <c r="K625">
        <v>160.636</v>
      </c>
      <c r="L625">
        <v>31.126300000000001</v>
      </c>
      <c r="M625">
        <v>16369.054</v>
      </c>
      <c r="N625" t="s">
        <v>15</v>
      </c>
    </row>
    <row r="626" spans="1:14" x14ac:dyDescent="0.2">
      <c r="A626" t="s">
        <v>56</v>
      </c>
      <c r="B626" t="s">
        <v>122</v>
      </c>
      <c r="C626" t="s">
        <v>112</v>
      </c>
      <c r="D626" t="s">
        <v>57</v>
      </c>
      <c r="E626" t="s">
        <v>53</v>
      </c>
      <c r="F626" t="s">
        <v>114</v>
      </c>
      <c r="G626">
        <v>119598</v>
      </c>
      <c r="H626" s="75">
        <v>43563</v>
      </c>
      <c r="I626" t="s">
        <v>115</v>
      </c>
      <c r="J626">
        <v>5000</v>
      </c>
      <c r="K626">
        <v>161.435</v>
      </c>
      <c r="L626">
        <v>30.972200000000001</v>
      </c>
      <c r="M626">
        <v>16530.489000000001</v>
      </c>
      <c r="N626" t="s">
        <v>15</v>
      </c>
    </row>
    <row r="627" spans="1:14" x14ac:dyDescent="0.2">
      <c r="A627" t="s">
        <v>56</v>
      </c>
      <c r="B627" t="s">
        <v>122</v>
      </c>
      <c r="C627" t="s">
        <v>112</v>
      </c>
      <c r="D627" t="s">
        <v>57</v>
      </c>
      <c r="E627" t="s">
        <v>53</v>
      </c>
      <c r="F627" t="s">
        <v>114</v>
      </c>
      <c r="G627">
        <v>119598</v>
      </c>
      <c r="H627" s="75">
        <v>43593</v>
      </c>
      <c r="I627" t="s">
        <v>115</v>
      </c>
      <c r="J627">
        <v>5000</v>
      </c>
      <c r="K627">
        <v>160.82499999999999</v>
      </c>
      <c r="L627">
        <v>31.089600000000001</v>
      </c>
      <c r="M627">
        <v>16691.313999999998</v>
      </c>
      <c r="N627" t="s">
        <v>15</v>
      </c>
    </row>
    <row r="628" spans="1:14" x14ac:dyDescent="0.2">
      <c r="A628" t="s">
        <v>56</v>
      </c>
      <c r="B628" t="s">
        <v>122</v>
      </c>
      <c r="C628" t="s">
        <v>112</v>
      </c>
      <c r="D628" t="s">
        <v>57</v>
      </c>
      <c r="E628" t="s">
        <v>53</v>
      </c>
      <c r="F628" t="s">
        <v>114</v>
      </c>
      <c r="G628">
        <v>119598</v>
      </c>
      <c r="H628" s="75">
        <v>43593</v>
      </c>
      <c r="I628" t="s">
        <v>117</v>
      </c>
      <c r="J628">
        <v>2.5</v>
      </c>
      <c r="K628">
        <v>0</v>
      </c>
      <c r="M628">
        <v>16691.313999999998</v>
      </c>
      <c r="N628" t="s">
        <v>46</v>
      </c>
    </row>
    <row r="629" spans="1:14" x14ac:dyDescent="0.2">
      <c r="A629" t="s">
        <v>56</v>
      </c>
      <c r="B629" t="s">
        <v>122</v>
      </c>
      <c r="C629" t="s">
        <v>112</v>
      </c>
      <c r="D629" t="s">
        <v>57</v>
      </c>
      <c r="E629" t="s">
        <v>53</v>
      </c>
      <c r="F629" t="s">
        <v>114</v>
      </c>
      <c r="G629">
        <v>119598</v>
      </c>
      <c r="H629" s="75">
        <v>43623</v>
      </c>
      <c r="I629" t="s">
        <v>115</v>
      </c>
      <c r="J629">
        <v>5000</v>
      </c>
      <c r="K629">
        <v>162.77199999999999</v>
      </c>
      <c r="L629">
        <v>30.7178</v>
      </c>
      <c r="M629">
        <v>16854.085999999999</v>
      </c>
      <c r="N629" t="s">
        <v>15</v>
      </c>
    </row>
    <row r="630" spans="1:14" x14ac:dyDescent="0.2">
      <c r="A630" t="s">
        <v>56</v>
      </c>
      <c r="B630" t="s">
        <v>122</v>
      </c>
      <c r="C630" t="s">
        <v>112</v>
      </c>
      <c r="D630" t="s">
        <v>57</v>
      </c>
      <c r="E630" t="s">
        <v>53</v>
      </c>
      <c r="F630" t="s">
        <v>114</v>
      </c>
      <c r="G630">
        <v>119598</v>
      </c>
      <c r="H630" s="75">
        <v>43653</v>
      </c>
      <c r="I630" t="s">
        <v>115</v>
      </c>
      <c r="J630">
        <v>5000</v>
      </c>
      <c r="K630">
        <v>162.01900000000001</v>
      </c>
      <c r="L630">
        <v>30.860600000000002</v>
      </c>
      <c r="M630">
        <v>17016.105</v>
      </c>
      <c r="N630" t="s">
        <v>15</v>
      </c>
    </row>
    <row r="631" spans="1:14" x14ac:dyDescent="0.2">
      <c r="A631" t="s">
        <v>56</v>
      </c>
      <c r="B631" t="s">
        <v>122</v>
      </c>
      <c r="C631" t="s">
        <v>112</v>
      </c>
      <c r="D631" t="s">
        <v>57</v>
      </c>
      <c r="E631" t="s">
        <v>53</v>
      </c>
      <c r="F631" t="s">
        <v>114</v>
      </c>
      <c r="G631">
        <v>119598</v>
      </c>
      <c r="H631" s="75">
        <v>43683</v>
      </c>
      <c r="I631" t="s">
        <v>115</v>
      </c>
      <c r="J631">
        <v>5000</v>
      </c>
      <c r="K631">
        <v>157.30799999999999</v>
      </c>
      <c r="L631">
        <v>31.784800000000001</v>
      </c>
      <c r="M631">
        <v>17173.413</v>
      </c>
      <c r="N631" t="s">
        <v>15</v>
      </c>
    </row>
    <row r="632" spans="1:14" x14ac:dyDescent="0.2">
      <c r="A632" t="s">
        <v>56</v>
      </c>
      <c r="B632" t="s">
        <v>122</v>
      </c>
      <c r="C632" t="s">
        <v>112</v>
      </c>
      <c r="D632" t="s">
        <v>57</v>
      </c>
      <c r="E632" t="s">
        <v>53</v>
      </c>
      <c r="F632" t="s">
        <v>114</v>
      </c>
      <c r="G632">
        <v>119598</v>
      </c>
      <c r="H632" s="75">
        <v>43713</v>
      </c>
      <c r="I632" t="s">
        <v>115</v>
      </c>
      <c r="J632">
        <v>5000</v>
      </c>
      <c r="K632">
        <v>159.21799999999999</v>
      </c>
      <c r="L632">
        <v>31.403400000000001</v>
      </c>
      <c r="M632">
        <v>17332.632000000001</v>
      </c>
      <c r="N632" t="s">
        <v>15</v>
      </c>
    </row>
    <row r="633" spans="1:14" x14ac:dyDescent="0.2">
      <c r="A633" t="s">
        <v>56</v>
      </c>
      <c r="B633" t="s">
        <v>122</v>
      </c>
      <c r="C633" t="s">
        <v>112</v>
      </c>
      <c r="D633" t="s">
        <v>57</v>
      </c>
      <c r="E633" t="s">
        <v>53</v>
      </c>
      <c r="F633" t="s">
        <v>114</v>
      </c>
      <c r="G633">
        <v>119598</v>
      </c>
      <c r="H633" s="75">
        <v>43743</v>
      </c>
      <c r="I633" t="s">
        <v>115</v>
      </c>
      <c r="J633">
        <v>5000</v>
      </c>
      <c r="K633">
        <v>160.566</v>
      </c>
      <c r="L633">
        <v>31.139800000000001</v>
      </c>
      <c r="M633">
        <v>17493.198</v>
      </c>
      <c r="N633" t="s">
        <v>15</v>
      </c>
    </row>
    <row r="634" spans="1:14" x14ac:dyDescent="0.2">
      <c r="A634" t="s">
        <v>56</v>
      </c>
      <c r="B634" t="s">
        <v>122</v>
      </c>
      <c r="C634" t="s">
        <v>112</v>
      </c>
      <c r="D634" t="s">
        <v>57</v>
      </c>
      <c r="E634" t="s">
        <v>53</v>
      </c>
      <c r="F634" t="s">
        <v>114</v>
      </c>
      <c r="G634">
        <v>119598</v>
      </c>
      <c r="H634" s="75">
        <v>43773</v>
      </c>
      <c r="I634" t="s">
        <v>115</v>
      </c>
      <c r="J634">
        <v>5000</v>
      </c>
      <c r="K634">
        <v>161.012</v>
      </c>
      <c r="L634">
        <v>31.053599999999999</v>
      </c>
      <c r="M634">
        <v>17654.21</v>
      </c>
      <c r="N634" t="s">
        <v>15</v>
      </c>
    </row>
    <row r="635" spans="1:14" x14ac:dyDescent="0.2">
      <c r="A635" t="s">
        <v>56</v>
      </c>
      <c r="B635" t="s">
        <v>122</v>
      </c>
      <c r="C635" t="s">
        <v>112</v>
      </c>
      <c r="D635" t="s">
        <v>57</v>
      </c>
      <c r="E635" t="s">
        <v>53</v>
      </c>
      <c r="F635" t="s">
        <v>114</v>
      </c>
      <c r="G635">
        <v>119598</v>
      </c>
      <c r="H635" s="75">
        <v>43773</v>
      </c>
      <c r="I635" t="s">
        <v>117</v>
      </c>
      <c r="J635">
        <v>2.5</v>
      </c>
      <c r="K635">
        <v>0</v>
      </c>
      <c r="M635">
        <v>17654.21</v>
      </c>
      <c r="N635" t="s">
        <v>46</v>
      </c>
    </row>
    <row r="636" spans="1:14" x14ac:dyDescent="0.2">
      <c r="A636" t="s">
        <v>56</v>
      </c>
      <c r="B636" t="s">
        <v>122</v>
      </c>
      <c r="C636" t="s">
        <v>112</v>
      </c>
      <c r="D636" t="s">
        <v>57</v>
      </c>
      <c r="E636" t="s">
        <v>53</v>
      </c>
      <c r="F636" t="s">
        <v>114</v>
      </c>
      <c r="G636">
        <v>119598</v>
      </c>
      <c r="H636" s="75">
        <v>43803</v>
      </c>
      <c r="I636" t="s">
        <v>115</v>
      </c>
      <c r="J636">
        <v>5000</v>
      </c>
      <c r="K636">
        <v>163.60499999999999</v>
      </c>
      <c r="L636">
        <v>30.561299999999999</v>
      </c>
      <c r="M636">
        <v>17817.814999999999</v>
      </c>
      <c r="N636" t="s">
        <v>15</v>
      </c>
    </row>
    <row r="637" spans="1:14" x14ac:dyDescent="0.2">
      <c r="A637" t="s">
        <v>56</v>
      </c>
      <c r="B637" t="s">
        <v>122</v>
      </c>
      <c r="C637" t="s">
        <v>112</v>
      </c>
      <c r="D637" t="s">
        <v>57</v>
      </c>
      <c r="E637" t="s">
        <v>53</v>
      </c>
      <c r="F637" t="s">
        <v>114</v>
      </c>
      <c r="G637">
        <v>119598</v>
      </c>
      <c r="H637" s="75">
        <v>43803</v>
      </c>
      <c r="I637" t="s">
        <v>117</v>
      </c>
      <c r="J637">
        <v>2.5</v>
      </c>
      <c r="K637">
        <v>0</v>
      </c>
      <c r="M637">
        <v>17817.814999999999</v>
      </c>
      <c r="N637" t="s">
        <v>46</v>
      </c>
    </row>
    <row r="638" spans="1:14" x14ac:dyDescent="0.2">
      <c r="A638" t="s">
        <v>56</v>
      </c>
      <c r="B638" t="s">
        <v>122</v>
      </c>
      <c r="C638" t="s">
        <v>112</v>
      </c>
      <c r="D638" t="s">
        <v>57</v>
      </c>
      <c r="E638" t="s">
        <v>53</v>
      </c>
      <c r="F638" t="s">
        <v>114</v>
      </c>
      <c r="G638">
        <v>119598</v>
      </c>
      <c r="H638" s="75">
        <v>43833</v>
      </c>
      <c r="I638" t="s">
        <v>115</v>
      </c>
      <c r="J638">
        <v>5000</v>
      </c>
      <c r="K638">
        <v>160.489</v>
      </c>
      <c r="L638">
        <v>31.154800000000002</v>
      </c>
      <c r="M638">
        <v>17978.304</v>
      </c>
      <c r="N638" t="s">
        <v>15</v>
      </c>
    </row>
    <row r="639" spans="1:14" x14ac:dyDescent="0.2">
      <c r="A639" t="s">
        <v>56</v>
      </c>
      <c r="B639" t="s">
        <v>122</v>
      </c>
      <c r="C639" t="s">
        <v>112</v>
      </c>
      <c r="D639" t="s">
        <v>57</v>
      </c>
      <c r="E639" t="s">
        <v>53</v>
      </c>
      <c r="F639" t="s">
        <v>114</v>
      </c>
      <c r="G639">
        <v>119598</v>
      </c>
      <c r="H639" s="75">
        <v>43863</v>
      </c>
      <c r="I639" t="s">
        <v>115</v>
      </c>
      <c r="J639">
        <v>5000</v>
      </c>
      <c r="K639">
        <v>156.30600000000001</v>
      </c>
      <c r="L639">
        <v>31.988499999999998</v>
      </c>
      <c r="M639">
        <v>18134.611000000001</v>
      </c>
      <c r="N639" t="s">
        <v>15</v>
      </c>
    </row>
    <row r="640" spans="1:14" x14ac:dyDescent="0.2">
      <c r="A640" t="s">
        <v>56</v>
      </c>
      <c r="B640" t="s">
        <v>122</v>
      </c>
      <c r="C640" t="s">
        <v>112</v>
      </c>
      <c r="D640" t="s">
        <v>57</v>
      </c>
      <c r="E640" t="s">
        <v>53</v>
      </c>
      <c r="F640" t="s">
        <v>114</v>
      </c>
      <c r="G640">
        <v>119598</v>
      </c>
      <c r="H640" s="75">
        <v>43893</v>
      </c>
      <c r="I640" t="s">
        <v>115</v>
      </c>
      <c r="J640">
        <v>5000</v>
      </c>
      <c r="K640">
        <v>153.21299999999999</v>
      </c>
      <c r="L640">
        <v>32.634300000000003</v>
      </c>
      <c r="M640">
        <v>18287.824000000001</v>
      </c>
      <c r="N640" t="s">
        <v>15</v>
      </c>
    </row>
    <row r="641" spans="1:14" x14ac:dyDescent="0.2">
      <c r="A641" t="s">
        <v>56</v>
      </c>
      <c r="B641" t="s">
        <v>122</v>
      </c>
      <c r="C641" t="s">
        <v>112</v>
      </c>
      <c r="D641" t="s">
        <v>57</v>
      </c>
      <c r="E641" t="s">
        <v>53</v>
      </c>
      <c r="F641" t="s">
        <v>114</v>
      </c>
      <c r="G641">
        <v>119598</v>
      </c>
      <c r="H641" s="75">
        <v>43923</v>
      </c>
      <c r="I641" t="s">
        <v>115</v>
      </c>
      <c r="J641">
        <v>5000</v>
      </c>
      <c r="K641">
        <v>148.792</v>
      </c>
      <c r="L641">
        <v>33.603999999999999</v>
      </c>
      <c r="M641">
        <v>18436.616000000002</v>
      </c>
      <c r="N641" t="s">
        <v>15</v>
      </c>
    </row>
    <row r="642" spans="1:14" x14ac:dyDescent="0.2">
      <c r="A642" t="s">
        <v>56</v>
      </c>
      <c r="B642" t="s">
        <v>122</v>
      </c>
      <c r="C642" t="s">
        <v>112</v>
      </c>
      <c r="D642" t="s">
        <v>57</v>
      </c>
      <c r="E642" t="s">
        <v>53</v>
      </c>
      <c r="F642" t="s">
        <v>114</v>
      </c>
      <c r="G642">
        <v>119598</v>
      </c>
      <c r="H642" s="75">
        <v>43923</v>
      </c>
      <c r="I642" t="s">
        <v>116</v>
      </c>
      <c r="J642">
        <v>2.5</v>
      </c>
      <c r="K642">
        <v>0</v>
      </c>
      <c r="M642">
        <v>18436.616000000002</v>
      </c>
      <c r="N642" t="s">
        <v>17</v>
      </c>
    </row>
    <row r="643" spans="1:14" x14ac:dyDescent="0.2">
      <c r="A643" t="s">
        <v>56</v>
      </c>
      <c r="B643" t="s">
        <v>122</v>
      </c>
      <c r="C643" t="s">
        <v>112</v>
      </c>
      <c r="D643" t="s">
        <v>57</v>
      </c>
      <c r="E643" t="s">
        <v>53</v>
      </c>
      <c r="F643" t="s">
        <v>114</v>
      </c>
      <c r="G643">
        <v>119598</v>
      </c>
      <c r="H643" s="75">
        <v>43953</v>
      </c>
      <c r="I643" t="s">
        <v>115</v>
      </c>
      <c r="J643">
        <v>5000</v>
      </c>
      <c r="K643">
        <v>150.88999999999999</v>
      </c>
      <c r="L643">
        <v>33.136699999999998</v>
      </c>
      <c r="M643">
        <v>18587.506000000001</v>
      </c>
      <c r="N643" t="s">
        <v>15</v>
      </c>
    </row>
    <row r="644" spans="1:14" x14ac:dyDescent="0.2">
      <c r="A644" t="s">
        <v>56</v>
      </c>
      <c r="B644" t="s">
        <v>122</v>
      </c>
      <c r="C644" t="s">
        <v>112</v>
      </c>
      <c r="D644" t="s">
        <v>57</v>
      </c>
      <c r="E644" t="s">
        <v>53</v>
      </c>
      <c r="F644" t="s">
        <v>114</v>
      </c>
      <c r="G644">
        <v>119598</v>
      </c>
      <c r="H644" s="75">
        <v>43983</v>
      </c>
      <c r="I644" t="s">
        <v>115</v>
      </c>
      <c r="J644">
        <v>5000</v>
      </c>
      <c r="K644">
        <v>152.15100000000001</v>
      </c>
      <c r="L644">
        <v>32.862099999999998</v>
      </c>
      <c r="M644">
        <v>18739.656999999999</v>
      </c>
      <c r="N644" t="s">
        <v>15</v>
      </c>
    </row>
    <row r="645" spans="1:14" x14ac:dyDescent="0.2">
      <c r="A645" t="s">
        <v>56</v>
      </c>
      <c r="B645" t="s">
        <v>122</v>
      </c>
      <c r="C645" t="s">
        <v>112</v>
      </c>
      <c r="D645" t="s">
        <v>57</v>
      </c>
      <c r="E645" t="s">
        <v>53</v>
      </c>
      <c r="F645" t="s">
        <v>114</v>
      </c>
      <c r="G645">
        <v>119598</v>
      </c>
      <c r="H645" s="75">
        <v>44013</v>
      </c>
      <c r="I645" t="s">
        <v>115</v>
      </c>
      <c r="J645">
        <v>5000</v>
      </c>
      <c r="K645">
        <v>150.27799999999999</v>
      </c>
      <c r="L645">
        <v>33.271700000000003</v>
      </c>
      <c r="M645">
        <v>18889.935000000001</v>
      </c>
      <c r="N645" t="s">
        <v>15</v>
      </c>
    </row>
    <row r="646" spans="1:14" x14ac:dyDescent="0.2">
      <c r="A646" t="s">
        <v>56</v>
      </c>
      <c r="B646" t="s">
        <v>122</v>
      </c>
      <c r="C646" t="s">
        <v>112</v>
      </c>
      <c r="D646" t="s">
        <v>57</v>
      </c>
      <c r="E646" t="s">
        <v>53</v>
      </c>
      <c r="F646" t="s">
        <v>114</v>
      </c>
      <c r="G646">
        <v>119598</v>
      </c>
      <c r="H646" s="75">
        <v>44043</v>
      </c>
      <c r="I646" t="s">
        <v>115</v>
      </c>
      <c r="J646">
        <v>5000</v>
      </c>
      <c r="K646">
        <v>146.31800000000001</v>
      </c>
      <c r="L646">
        <v>34.1723</v>
      </c>
      <c r="M646">
        <v>19036.252</v>
      </c>
      <c r="N646" t="s">
        <v>15</v>
      </c>
    </row>
    <row r="647" spans="1:14" x14ac:dyDescent="0.2">
      <c r="A647" t="s">
        <v>56</v>
      </c>
      <c r="B647" t="s">
        <v>122</v>
      </c>
      <c r="C647" t="s">
        <v>112</v>
      </c>
      <c r="D647" t="s">
        <v>57</v>
      </c>
      <c r="E647" t="s">
        <v>53</v>
      </c>
      <c r="F647" t="s">
        <v>114</v>
      </c>
      <c r="G647">
        <v>119598</v>
      </c>
      <c r="H647" s="75">
        <v>44073</v>
      </c>
      <c r="I647" t="s">
        <v>115</v>
      </c>
      <c r="J647">
        <v>5000</v>
      </c>
      <c r="K647">
        <v>148.48400000000001</v>
      </c>
      <c r="L647">
        <v>33.673699999999997</v>
      </c>
      <c r="M647">
        <v>19184.736000000001</v>
      </c>
      <c r="N647" t="s">
        <v>15</v>
      </c>
    </row>
    <row r="648" spans="1:14" x14ac:dyDescent="0.2">
      <c r="A648" t="s">
        <v>56</v>
      </c>
      <c r="B648" t="s">
        <v>122</v>
      </c>
      <c r="C648" t="s">
        <v>112</v>
      </c>
      <c r="D648" t="s">
        <v>57</v>
      </c>
      <c r="E648" t="s">
        <v>53</v>
      </c>
      <c r="F648" t="s">
        <v>114</v>
      </c>
      <c r="G648">
        <v>119598</v>
      </c>
      <c r="H648" s="75">
        <v>44073</v>
      </c>
      <c r="I648" t="s">
        <v>116</v>
      </c>
      <c r="J648">
        <v>2.5</v>
      </c>
      <c r="K648">
        <v>0</v>
      </c>
      <c r="M648">
        <v>19184.736000000001</v>
      </c>
      <c r="N648" t="s">
        <v>17</v>
      </c>
    </row>
    <row r="649" spans="1:14" x14ac:dyDescent="0.2">
      <c r="A649" t="s">
        <v>56</v>
      </c>
      <c r="B649" t="s">
        <v>122</v>
      </c>
      <c r="C649" t="s">
        <v>112</v>
      </c>
      <c r="D649" t="s">
        <v>57</v>
      </c>
      <c r="E649" t="s">
        <v>53</v>
      </c>
      <c r="F649" t="s">
        <v>114</v>
      </c>
      <c r="G649">
        <v>119598</v>
      </c>
      <c r="H649" s="75">
        <v>44103</v>
      </c>
      <c r="I649" t="s">
        <v>115</v>
      </c>
      <c r="J649">
        <v>5000</v>
      </c>
      <c r="K649">
        <v>150.226</v>
      </c>
      <c r="L649">
        <v>33.283099999999997</v>
      </c>
      <c r="M649">
        <v>19334.963</v>
      </c>
      <c r="N649" t="s">
        <v>15</v>
      </c>
    </row>
    <row r="650" spans="1:14" x14ac:dyDescent="0.2">
      <c r="A650" t="s">
        <v>56</v>
      </c>
      <c r="B650" t="s">
        <v>122</v>
      </c>
      <c r="C650" t="s">
        <v>112</v>
      </c>
      <c r="D650" t="s">
        <v>57</v>
      </c>
      <c r="E650" t="s">
        <v>53</v>
      </c>
      <c r="F650" t="s">
        <v>114</v>
      </c>
      <c r="G650">
        <v>119598</v>
      </c>
      <c r="H650" s="75">
        <v>44133</v>
      </c>
      <c r="I650" t="s">
        <v>115</v>
      </c>
      <c r="J650">
        <v>5000</v>
      </c>
      <c r="K650">
        <v>151.29900000000001</v>
      </c>
      <c r="L650">
        <v>33.0473</v>
      </c>
      <c r="M650">
        <v>19486.260999999999</v>
      </c>
      <c r="N650" t="s">
        <v>15</v>
      </c>
    </row>
    <row r="651" spans="1:14" x14ac:dyDescent="0.2">
      <c r="A651" t="s">
        <v>56</v>
      </c>
      <c r="B651" t="s">
        <v>122</v>
      </c>
      <c r="C651" t="s">
        <v>112</v>
      </c>
      <c r="D651" t="s">
        <v>57</v>
      </c>
      <c r="E651" t="s">
        <v>53</v>
      </c>
      <c r="F651" t="s">
        <v>114</v>
      </c>
      <c r="G651">
        <v>119598</v>
      </c>
      <c r="H651" s="75">
        <v>44163</v>
      </c>
      <c r="I651" t="s">
        <v>115</v>
      </c>
      <c r="J651">
        <v>5000</v>
      </c>
      <c r="K651">
        <v>151.87100000000001</v>
      </c>
      <c r="L651">
        <v>32.922800000000002</v>
      </c>
      <c r="M651">
        <v>19638.132000000001</v>
      </c>
      <c r="N651" t="s">
        <v>15</v>
      </c>
    </row>
    <row r="652" spans="1:14" x14ac:dyDescent="0.2">
      <c r="A652" t="s">
        <v>56</v>
      </c>
      <c r="B652" t="s">
        <v>122</v>
      </c>
      <c r="C652" t="s">
        <v>112</v>
      </c>
      <c r="D652" t="s">
        <v>57</v>
      </c>
      <c r="E652" t="s">
        <v>53</v>
      </c>
      <c r="F652" t="s">
        <v>114</v>
      </c>
      <c r="G652">
        <v>119598</v>
      </c>
      <c r="H652" s="75">
        <v>44163</v>
      </c>
      <c r="I652" t="s">
        <v>116</v>
      </c>
      <c r="J652">
        <v>2.5</v>
      </c>
      <c r="K652">
        <v>0</v>
      </c>
      <c r="M652">
        <v>19638.132000000001</v>
      </c>
      <c r="N652" t="s">
        <v>17</v>
      </c>
    </row>
    <row r="653" spans="1:14" x14ac:dyDescent="0.2">
      <c r="A653" t="s">
        <v>56</v>
      </c>
      <c r="B653" t="s">
        <v>122</v>
      </c>
      <c r="C653" t="s">
        <v>112</v>
      </c>
      <c r="D653" t="s">
        <v>57</v>
      </c>
      <c r="E653" t="s">
        <v>53</v>
      </c>
      <c r="F653" t="s">
        <v>114</v>
      </c>
      <c r="G653">
        <v>119598</v>
      </c>
      <c r="H653" s="75">
        <v>44193</v>
      </c>
      <c r="I653" t="s">
        <v>115</v>
      </c>
      <c r="J653">
        <v>5000</v>
      </c>
      <c r="K653">
        <v>149.11500000000001</v>
      </c>
      <c r="L653">
        <v>33.531300000000002</v>
      </c>
      <c r="M653">
        <v>19787.245999999999</v>
      </c>
      <c r="N653" t="s">
        <v>15</v>
      </c>
    </row>
    <row r="654" spans="1:14" x14ac:dyDescent="0.2">
      <c r="A654" t="s">
        <v>56</v>
      </c>
      <c r="B654" t="s">
        <v>122</v>
      </c>
      <c r="C654" t="s">
        <v>112</v>
      </c>
      <c r="D654" t="s">
        <v>57</v>
      </c>
      <c r="E654" t="s">
        <v>53</v>
      </c>
      <c r="F654" t="s">
        <v>114</v>
      </c>
      <c r="G654">
        <v>119598</v>
      </c>
      <c r="H654" s="75">
        <v>44223</v>
      </c>
      <c r="I654" t="s">
        <v>115</v>
      </c>
      <c r="J654">
        <v>5000</v>
      </c>
      <c r="K654">
        <v>145.47200000000001</v>
      </c>
      <c r="L654">
        <v>34.371000000000002</v>
      </c>
      <c r="M654">
        <v>19932.718000000001</v>
      </c>
      <c r="N654" t="s">
        <v>15</v>
      </c>
    </row>
    <row r="655" spans="1:14" x14ac:dyDescent="0.2">
      <c r="A655" t="s">
        <v>56</v>
      </c>
      <c r="B655" t="s">
        <v>122</v>
      </c>
      <c r="C655" t="s">
        <v>112</v>
      </c>
      <c r="D655" t="s">
        <v>57</v>
      </c>
      <c r="E655" t="s">
        <v>53</v>
      </c>
      <c r="F655" t="s">
        <v>114</v>
      </c>
      <c r="G655">
        <v>119598</v>
      </c>
      <c r="H655" s="75">
        <v>44253</v>
      </c>
      <c r="I655" t="s">
        <v>115</v>
      </c>
      <c r="J655">
        <v>5000</v>
      </c>
      <c r="K655">
        <v>141.94499999999999</v>
      </c>
      <c r="L655">
        <v>35.225000000000001</v>
      </c>
      <c r="M655">
        <v>20074.663</v>
      </c>
      <c r="N655" t="s">
        <v>15</v>
      </c>
    </row>
    <row r="656" spans="1:14" x14ac:dyDescent="0.2">
      <c r="A656" t="s">
        <v>56</v>
      </c>
      <c r="B656" t="s">
        <v>122</v>
      </c>
      <c r="C656" t="s">
        <v>112</v>
      </c>
      <c r="D656" t="s">
        <v>57</v>
      </c>
      <c r="E656" t="s">
        <v>53</v>
      </c>
      <c r="F656" t="s">
        <v>114</v>
      </c>
      <c r="G656">
        <v>119598</v>
      </c>
      <c r="H656" s="75">
        <v>44283</v>
      </c>
      <c r="I656" t="s">
        <v>115</v>
      </c>
      <c r="J656">
        <v>5000</v>
      </c>
      <c r="K656">
        <v>138.233</v>
      </c>
      <c r="L656">
        <v>36.170900000000003</v>
      </c>
      <c r="M656">
        <v>20212.896000000001</v>
      </c>
      <c r="N656" t="s">
        <v>15</v>
      </c>
    </row>
    <row r="657" spans="1:14" x14ac:dyDescent="0.2">
      <c r="A657" t="s">
        <v>56</v>
      </c>
      <c r="B657" t="s">
        <v>122</v>
      </c>
      <c r="C657" t="s">
        <v>112</v>
      </c>
      <c r="D657" t="s">
        <v>57</v>
      </c>
      <c r="E657" t="s">
        <v>53</v>
      </c>
      <c r="F657" t="s">
        <v>114</v>
      </c>
      <c r="G657">
        <v>119598</v>
      </c>
      <c r="H657" s="75">
        <v>44313</v>
      </c>
      <c r="I657" t="s">
        <v>115</v>
      </c>
      <c r="J657">
        <v>5000</v>
      </c>
      <c r="K657">
        <v>137.965</v>
      </c>
      <c r="L657">
        <v>36.241199999999999</v>
      </c>
      <c r="M657">
        <v>20350.86</v>
      </c>
      <c r="N657" t="s">
        <v>15</v>
      </c>
    </row>
    <row r="658" spans="1:14" x14ac:dyDescent="0.2">
      <c r="A658" t="s">
        <v>56</v>
      </c>
      <c r="B658" t="s">
        <v>122</v>
      </c>
      <c r="C658" t="s">
        <v>112</v>
      </c>
      <c r="D658" t="s">
        <v>57</v>
      </c>
      <c r="E658" t="s">
        <v>53</v>
      </c>
      <c r="F658" t="s">
        <v>114</v>
      </c>
      <c r="G658">
        <v>119598</v>
      </c>
      <c r="H658" s="75">
        <v>44343</v>
      </c>
      <c r="I658" t="s">
        <v>115</v>
      </c>
      <c r="J658">
        <v>5000</v>
      </c>
      <c r="K658">
        <v>137.84200000000001</v>
      </c>
      <c r="L658">
        <v>36.273400000000002</v>
      </c>
      <c r="M658">
        <v>20488.702000000001</v>
      </c>
      <c r="N658" t="s">
        <v>15</v>
      </c>
    </row>
    <row r="659" spans="1:14" x14ac:dyDescent="0.2">
      <c r="A659" t="s">
        <v>56</v>
      </c>
      <c r="B659" t="s">
        <v>122</v>
      </c>
      <c r="C659" t="s">
        <v>112</v>
      </c>
      <c r="D659" t="s">
        <v>57</v>
      </c>
      <c r="E659" t="s">
        <v>53</v>
      </c>
      <c r="F659" t="s">
        <v>114</v>
      </c>
      <c r="G659">
        <v>119598</v>
      </c>
      <c r="H659" s="75">
        <v>44373</v>
      </c>
      <c r="I659" t="s">
        <v>115</v>
      </c>
      <c r="J659">
        <v>5000</v>
      </c>
      <c r="K659">
        <v>134.24100000000001</v>
      </c>
      <c r="L659">
        <v>37.246299999999998</v>
      </c>
      <c r="M659">
        <v>20622.942999999999</v>
      </c>
      <c r="N659" t="s">
        <v>15</v>
      </c>
    </row>
    <row r="660" spans="1:14" x14ac:dyDescent="0.2">
      <c r="A660" t="s">
        <v>56</v>
      </c>
      <c r="B660" t="s">
        <v>122</v>
      </c>
      <c r="C660" t="s">
        <v>112</v>
      </c>
      <c r="D660" t="s">
        <v>57</v>
      </c>
      <c r="E660" t="s">
        <v>53</v>
      </c>
      <c r="F660" t="s">
        <v>114</v>
      </c>
      <c r="G660">
        <v>119598</v>
      </c>
      <c r="H660" s="75">
        <v>44403</v>
      </c>
      <c r="I660" t="s">
        <v>115</v>
      </c>
      <c r="J660">
        <v>5000</v>
      </c>
      <c r="K660">
        <v>131.13900000000001</v>
      </c>
      <c r="L660">
        <v>38.127600000000001</v>
      </c>
      <c r="M660">
        <v>20754.081999999999</v>
      </c>
      <c r="N660" t="s">
        <v>15</v>
      </c>
    </row>
    <row r="661" spans="1:14" x14ac:dyDescent="0.2">
      <c r="A661" t="s">
        <v>56</v>
      </c>
      <c r="B661" t="s">
        <v>122</v>
      </c>
      <c r="C661" t="s">
        <v>112</v>
      </c>
      <c r="D661" t="s">
        <v>57</v>
      </c>
      <c r="E661" t="s">
        <v>53</v>
      </c>
      <c r="F661" t="s">
        <v>114</v>
      </c>
      <c r="G661">
        <v>119598</v>
      </c>
      <c r="H661" s="75">
        <v>44433</v>
      </c>
      <c r="I661" t="s">
        <v>115</v>
      </c>
      <c r="J661">
        <v>5000</v>
      </c>
      <c r="K661">
        <v>130.821</v>
      </c>
      <c r="L661">
        <v>38.220199999999998</v>
      </c>
      <c r="M661">
        <v>20884.902999999998</v>
      </c>
      <c r="N661" t="s">
        <v>15</v>
      </c>
    </row>
    <row r="662" spans="1:14" x14ac:dyDescent="0.2">
      <c r="A662" t="s">
        <v>56</v>
      </c>
      <c r="B662" t="s">
        <v>122</v>
      </c>
      <c r="C662" t="s">
        <v>112</v>
      </c>
      <c r="D662" t="s">
        <v>57</v>
      </c>
      <c r="E662" t="s">
        <v>53</v>
      </c>
      <c r="F662" t="s">
        <v>114</v>
      </c>
      <c r="G662">
        <v>119598</v>
      </c>
      <c r="H662" s="75">
        <v>44463</v>
      </c>
      <c r="I662" t="s">
        <v>115</v>
      </c>
      <c r="J662">
        <v>5000</v>
      </c>
      <c r="K662">
        <v>127.35599999999999</v>
      </c>
      <c r="L662">
        <v>39.26</v>
      </c>
      <c r="M662">
        <v>21012.258999999998</v>
      </c>
      <c r="N662" t="s">
        <v>15</v>
      </c>
    </row>
    <row r="663" spans="1:14" x14ac:dyDescent="0.2">
      <c r="A663" t="s">
        <v>56</v>
      </c>
      <c r="B663" t="s">
        <v>122</v>
      </c>
      <c r="C663" t="s">
        <v>112</v>
      </c>
      <c r="D663" t="s">
        <v>57</v>
      </c>
      <c r="E663" t="s">
        <v>53</v>
      </c>
      <c r="F663" t="s">
        <v>114</v>
      </c>
      <c r="G663">
        <v>119598</v>
      </c>
      <c r="H663" s="75">
        <v>44493</v>
      </c>
      <c r="I663" t="s">
        <v>115</v>
      </c>
      <c r="J663">
        <v>5000</v>
      </c>
      <c r="K663">
        <v>124.98099999999999</v>
      </c>
      <c r="L663">
        <v>40.0062</v>
      </c>
      <c r="M663">
        <v>21137.24</v>
      </c>
      <c r="N663" t="s">
        <v>15</v>
      </c>
    </row>
    <row r="664" spans="1:14" x14ac:dyDescent="0.2">
      <c r="A664" t="s">
        <v>56</v>
      </c>
      <c r="B664" t="s">
        <v>122</v>
      </c>
      <c r="C664" t="s">
        <v>112</v>
      </c>
      <c r="D664" t="s">
        <v>57</v>
      </c>
      <c r="E664" t="s">
        <v>53</v>
      </c>
      <c r="F664" t="s">
        <v>114</v>
      </c>
      <c r="G664">
        <v>119598</v>
      </c>
      <c r="H664" s="75">
        <v>44523</v>
      </c>
      <c r="I664" t="s">
        <v>115</v>
      </c>
      <c r="J664">
        <v>5000</v>
      </c>
      <c r="K664">
        <v>124.384</v>
      </c>
      <c r="L664">
        <v>40.1982</v>
      </c>
      <c r="M664">
        <v>21261.623</v>
      </c>
      <c r="N664" t="s">
        <v>15</v>
      </c>
    </row>
    <row r="665" spans="1:14" x14ac:dyDescent="0.2">
      <c r="A665" t="s">
        <v>56</v>
      </c>
      <c r="B665" t="s">
        <v>122</v>
      </c>
      <c r="C665" t="s">
        <v>112</v>
      </c>
      <c r="D665" t="s">
        <v>57</v>
      </c>
      <c r="E665" t="s">
        <v>53</v>
      </c>
      <c r="F665" t="s">
        <v>114</v>
      </c>
      <c r="G665">
        <v>119598</v>
      </c>
      <c r="H665" s="75">
        <v>44553</v>
      </c>
      <c r="I665" t="s">
        <v>115</v>
      </c>
      <c r="J665">
        <v>5000</v>
      </c>
      <c r="K665">
        <v>121.495</v>
      </c>
      <c r="L665">
        <v>41.154000000000003</v>
      </c>
      <c r="M665">
        <v>21383.117999999999</v>
      </c>
      <c r="N665" t="s">
        <v>15</v>
      </c>
    </row>
    <row r="666" spans="1:14" x14ac:dyDescent="0.2">
      <c r="A666" t="s">
        <v>56</v>
      </c>
      <c r="B666" t="s">
        <v>122</v>
      </c>
      <c r="C666" t="s">
        <v>112</v>
      </c>
      <c r="D666" t="s">
        <v>57</v>
      </c>
      <c r="E666" t="s">
        <v>53</v>
      </c>
      <c r="F666" t="s">
        <v>114</v>
      </c>
      <c r="G666">
        <v>119598</v>
      </c>
      <c r="H666" s="75">
        <v>44583</v>
      </c>
      <c r="I666" t="s">
        <v>115</v>
      </c>
      <c r="J666">
        <v>5000</v>
      </c>
      <c r="K666">
        <v>119.429</v>
      </c>
      <c r="L666">
        <v>41.865900000000003</v>
      </c>
      <c r="M666">
        <v>21502.546999999999</v>
      </c>
      <c r="N666" t="s">
        <v>15</v>
      </c>
    </row>
    <row r="667" spans="1:14" x14ac:dyDescent="0.2">
      <c r="A667" t="s">
        <v>56</v>
      </c>
      <c r="B667" t="s">
        <v>122</v>
      </c>
      <c r="C667" t="s">
        <v>112</v>
      </c>
      <c r="D667" t="s">
        <v>57</v>
      </c>
      <c r="E667" t="s">
        <v>53</v>
      </c>
      <c r="F667" t="s">
        <v>114</v>
      </c>
      <c r="G667">
        <v>119598</v>
      </c>
      <c r="H667" s="75">
        <v>44613</v>
      </c>
      <c r="I667" t="s">
        <v>115</v>
      </c>
      <c r="J667">
        <v>5000</v>
      </c>
      <c r="K667">
        <v>119.639</v>
      </c>
      <c r="L667">
        <v>41.792499999999997</v>
      </c>
      <c r="M667">
        <v>21622.186000000002</v>
      </c>
      <c r="N667" t="s">
        <v>15</v>
      </c>
    </row>
    <row r="668" spans="1:14" x14ac:dyDescent="0.2">
      <c r="A668" t="s">
        <v>56</v>
      </c>
      <c r="B668" t="s">
        <v>122</v>
      </c>
      <c r="C668" t="s">
        <v>112</v>
      </c>
      <c r="D668" t="s">
        <v>57</v>
      </c>
      <c r="E668" t="s">
        <v>53</v>
      </c>
      <c r="F668" t="s">
        <v>114</v>
      </c>
      <c r="G668">
        <v>119598</v>
      </c>
      <c r="H668" s="75">
        <v>44613</v>
      </c>
      <c r="I668" t="s">
        <v>117</v>
      </c>
      <c r="J668">
        <v>2.5</v>
      </c>
      <c r="K668">
        <v>0</v>
      </c>
      <c r="M668">
        <v>21622.186000000002</v>
      </c>
      <c r="N668" t="s">
        <v>46</v>
      </c>
    </row>
    <row r="669" spans="1:14" x14ac:dyDescent="0.2">
      <c r="A669" t="s">
        <v>56</v>
      </c>
      <c r="B669" t="s">
        <v>122</v>
      </c>
      <c r="C669" t="s">
        <v>112</v>
      </c>
      <c r="D669" t="s">
        <v>57</v>
      </c>
      <c r="E669" t="s">
        <v>53</v>
      </c>
      <c r="F669" t="s">
        <v>114</v>
      </c>
      <c r="G669">
        <v>119598</v>
      </c>
      <c r="H669" s="75">
        <v>44643</v>
      </c>
      <c r="I669" t="s">
        <v>115</v>
      </c>
      <c r="J669">
        <v>5000</v>
      </c>
      <c r="K669">
        <v>116.873</v>
      </c>
      <c r="L669">
        <v>42.781599999999997</v>
      </c>
      <c r="M669">
        <v>21739.058000000001</v>
      </c>
      <c r="N669" t="s">
        <v>15</v>
      </c>
    </row>
    <row r="670" spans="1:14" x14ac:dyDescent="0.2">
      <c r="A670" t="s">
        <v>56</v>
      </c>
      <c r="B670" t="s">
        <v>122</v>
      </c>
      <c r="C670" t="s">
        <v>112</v>
      </c>
      <c r="D670" t="s">
        <v>57</v>
      </c>
      <c r="E670" t="s">
        <v>53</v>
      </c>
      <c r="F670" t="s">
        <v>114</v>
      </c>
      <c r="G670">
        <v>119598</v>
      </c>
      <c r="H670" s="75">
        <v>44673</v>
      </c>
      <c r="I670" t="s">
        <v>115</v>
      </c>
      <c r="J670">
        <v>5000</v>
      </c>
      <c r="K670">
        <v>114.614</v>
      </c>
      <c r="L670">
        <v>43.624699999999997</v>
      </c>
      <c r="M670">
        <v>21853.671999999999</v>
      </c>
      <c r="N670" t="s">
        <v>15</v>
      </c>
    </row>
    <row r="671" spans="1:14" x14ac:dyDescent="0.2">
      <c r="A671" t="s">
        <v>56</v>
      </c>
      <c r="B671" t="s">
        <v>122</v>
      </c>
      <c r="C671" t="s">
        <v>112</v>
      </c>
      <c r="D671" t="s">
        <v>57</v>
      </c>
      <c r="E671" t="s">
        <v>53</v>
      </c>
      <c r="F671" t="s">
        <v>114</v>
      </c>
      <c r="G671">
        <v>119598</v>
      </c>
      <c r="H671" s="75">
        <v>44703</v>
      </c>
      <c r="I671" t="s">
        <v>115</v>
      </c>
      <c r="J671">
        <v>5000</v>
      </c>
      <c r="K671">
        <v>112.723</v>
      </c>
      <c r="L671">
        <v>44.356400000000001</v>
      </c>
      <c r="M671">
        <v>21966.395</v>
      </c>
      <c r="N671" t="s">
        <v>15</v>
      </c>
    </row>
    <row r="672" spans="1:14" x14ac:dyDescent="0.2">
      <c r="A672" t="s">
        <v>56</v>
      </c>
      <c r="B672" t="s">
        <v>122</v>
      </c>
      <c r="C672" t="s">
        <v>112</v>
      </c>
      <c r="D672" t="s">
        <v>57</v>
      </c>
      <c r="E672" t="s">
        <v>53</v>
      </c>
      <c r="F672" t="s">
        <v>114</v>
      </c>
      <c r="G672">
        <v>119598</v>
      </c>
      <c r="H672" s="75">
        <v>44733</v>
      </c>
      <c r="I672" t="s">
        <v>115</v>
      </c>
      <c r="J672">
        <v>5000</v>
      </c>
      <c r="K672">
        <v>112.21899999999999</v>
      </c>
      <c r="L672">
        <v>44.555799999999998</v>
      </c>
      <c r="M672">
        <v>22078.614000000001</v>
      </c>
      <c r="N672" t="s">
        <v>15</v>
      </c>
    </row>
    <row r="673" spans="1:14" x14ac:dyDescent="0.2">
      <c r="A673" t="s">
        <v>56</v>
      </c>
      <c r="B673" t="s">
        <v>122</v>
      </c>
      <c r="C673" t="s">
        <v>112</v>
      </c>
      <c r="D673" t="s">
        <v>57</v>
      </c>
      <c r="E673" t="s">
        <v>53</v>
      </c>
      <c r="F673" t="s">
        <v>114</v>
      </c>
      <c r="G673">
        <v>119598</v>
      </c>
      <c r="H673" s="75">
        <v>44733</v>
      </c>
      <c r="I673" t="s">
        <v>117</v>
      </c>
      <c r="J673">
        <v>2.5</v>
      </c>
      <c r="K673">
        <v>0</v>
      </c>
      <c r="M673">
        <v>22078.614000000001</v>
      </c>
      <c r="N673" t="s">
        <v>46</v>
      </c>
    </row>
    <row r="674" spans="1:14" x14ac:dyDescent="0.2">
      <c r="A674" t="s">
        <v>56</v>
      </c>
      <c r="B674" t="s">
        <v>122</v>
      </c>
      <c r="C674" t="s">
        <v>112</v>
      </c>
      <c r="D674" t="s">
        <v>57</v>
      </c>
      <c r="E674" t="s">
        <v>53</v>
      </c>
      <c r="F674" t="s">
        <v>114</v>
      </c>
      <c r="G674">
        <v>119598</v>
      </c>
      <c r="H674" s="75">
        <v>44763</v>
      </c>
      <c r="I674" t="s">
        <v>115</v>
      </c>
      <c r="J674">
        <v>5000</v>
      </c>
      <c r="K674">
        <v>109.054</v>
      </c>
      <c r="L674">
        <v>45.848700000000001</v>
      </c>
      <c r="M674">
        <v>22187.669000000002</v>
      </c>
      <c r="N674" t="s">
        <v>15</v>
      </c>
    </row>
    <row r="675" spans="1:14" x14ac:dyDescent="0.2">
      <c r="A675" t="s">
        <v>56</v>
      </c>
      <c r="B675" t="s">
        <v>122</v>
      </c>
      <c r="C675" t="s">
        <v>112</v>
      </c>
      <c r="D675" t="s">
        <v>57</v>
      </c>
      <c r="E675" t="s">
        <v>53</v>
      </c>
      <c r="F675" t="s">
        <v>114</v>
      </c>
      <c r="G675">
        <v>119598</v>
      </c>
      <c r="H675" s="75">
        <v>44793</v>
      </c>
      <c r="I675" t="s">
        <v>115</v>
      </c>
      <c r="J675">
        <v>5000</v>
      </c>
      <c r="K675">
        <v>109.361</v>
      </c>
      <c r="L675">
        <v>45.720300000000002</v>
      </c>
      <c r="M675">
        <v>22297.028999999999</v>
      </c>
      <c r="N675" t="s">
        <v>15</v>
      </c>
    </row>
    <row r="676" spans="1:14" x14ac:dyDescent="0.2">
      <c r="A676" t="s">
        <v>56</v>
      </c>
      <c r="B676" t="s">
        <v>122</v>
      </c>
      <c r="C676" t="s">
        <v>112</v>
      </c>
      <c r="D676" t="s">
        <v>57</v>
      </c>
      <c r="E676" t="s">
        <v>53</v>
      </c>
      <c r="F676" t="s">
        <v>114</v>
      </c>
      <c r="G676">
        <v>119598</v>
      </c>
      <c r="H676" s="75">
        <v>44823</v>
      </c>
      <c r="I676" t="s">
        <v>115</v>
      </c>
      <c r="J676">
        <v>5000</v>
      </c>
      <c r="K676">
        <v>108.297</v>
      </c>
      <c r="L676">
        <v>46.1693</v>
      </c>
      <c r="M676">
        <v>22405.326000000001</v>
      </c>
      <c r="N676" t="s">
        <v>15</v>
      </c>
    </row>
    <row r="677" spans="1:14" x14ac:dyDescent="0.2">
      <c r="A677" t="s">
        <v>56</v>
      </c>
      <c r="B677" t="s">
        <v>122</v>
      </c>
      <c r="C677" t="s">
        <v>112</v>
      </c>
      <c r="D677" t="s">
        <v>57</v>
      </c>
      <c r="E677" t="s">
        <v>53</v>
      </c>
      <c r="F677" t="s">
        <v>114</v>
      </c>
      <c r="G677">
        <v>119598</v>
      </c>
      <c r="H677" s="75">
        <v>44823</v>
      </c>
      <c r="I677" t="s">
        <v>116</v>
      </c>
      <c r="J677">
        <v>2.5</v>
      </c>
      <c r="K677">
        <v>0</v>
      </c>
      <c r="M677">
        <v>22405.326000000001</v>
      </c>
      <c r="N677" t="s">
        <v>17</v>
      </c>
    </row>
    <row r="678" spans="1:14" x14ac:dyDescent="0.2">
      <c r="A678" t="s">
        <v>56</v>
      </c>
      <c r="B678" t="s">
        <v>122</v>
      </c>
      <c r="C678" t="s">
        <v>112</v>
      </c>
      <c r="D678" t="s">
        <v>57</v>
      </c>
      <c r="E678" t="s">
        <v>53</v>
      </c>
      <c r="F678" t="s">
        <v>114</v>
      </c>
      <c r="G678">
        <v>119598</v>
      </c>
      <c r="H678" s="75">
        <v>44853</v>
      </c>
      <c r="I678" t="s">
        <v>115</v>
      </c>
      <c r="J678">
        <v>5000</v>
      </c>
      <c r="K678">
        <v>109.96899999999999</v>
      </c>
      <c r="L678">
        <v>45.467399999999998</v>
      </c>
      <c r="M678">
        <v>22515.294999999998</v>
      </c>
      <c r="N678" t="s">
        <v>15</v>
      </c>
    </row>
    <row r="679" spans="1:14" x14ac:dyDescent="0.2">
      <c r="A679" t="s">
        <v>56</v>
      </c>
      <c r="B679" t="s">
        <v>122</v>
      </c>
      <c r="C679" t="s">
        <v>112</v>
      </c>
      <c r="D679" t="s">
        <v>57</v>
      </c>
      <c r="E679" t="s">
        <v>53</v>
      </c>
      <c r="F679" t="s">
        <v>114</v>
      </c>
      <c r="G679">
        <v>119598</v>
      </c>
      <c r="H679" s="75">
        <v>44883</v>
      </c>
      <c r="I679" t="s">
        <v>115</v>
      </c>
      <c r="J679">
        <v>5000</v>
      </c>
      <c r="K679">
        <v>107.48699999999999</v>
      </c>
      <c r="L679">
        <v>46.517400000000002</v>
      </c>
      <c r="M679">
        <v>22622.781999999999</v>
      </c>
      <c r="N679" t="s">
        <v>15</v>
      </c>
    </row>
    <row r="680" spans="1:14" x14ac:dyDescent="0.2">
      <c r="A680" t="s">
        <v>56</v>
      </c>
      <c r="B680" t="s">
        <v>122</v>
      </c>
      <c r="C680" t="s">
        <v>112</v>
      </c>
      <c r="D680" t="s">
        <v>57</v>
      </c>
      <c r="E680" t="s">
        <v>53</v>
      </c>
      <c r="F680" t="s">
        <v>114</v>
      </c>
      <c r="G680">
        <v>119598</v>
      </c>
      <c r="H680" s="75">
        <v>44883</v>
      </c>
      <c r="I680" t="s">
        <v>117</v>
      </c>
      <c r="J680">
        <v>2.5</v>
      </c>
      <c r="K680">
        <v>0</v>
      </c>
      <c r="M680">
        <v>22622.781999999999</v>
      </c>
      <c r="N680" t="s">
        <v>46</v>
      </c>
    </row>
    <row r="681" spans="1:14" x14ac:dyDescent="0.2">
      <c r="A681" t="s">
        <v>56</v>
      </c>
      <c r="B681" t="s">
        <v>122</v>
      </c>
      <c r="C681" t="s">
        <v>112</v>
      </c>
      <c r="D681" t="s">
        <v>57</v>
      </c>
      <c r="E681" t="s">
        <v>53</v>
      </c>
      <c r="F681" t="s">
        <v>114</v>
      </c>
      <c r="G681">
        <v>119598</v>
      </c>
      <c r="H681" s="75">
        <v>44913</v>
      </c>
      <c r="I681" t="s">
        <v>115</v>
      </c>
      <c r="J681">
        <v>5000</v>
      </c>
      <c r="K681">
        <v>109.352</v>
      </c>
      <c r="L681">
        <v>45.723799999999997</v>
      </c>
      <c r="M681">
        <v>22732.133999999998</v>
      </c>
      <c r="N681" t="s">
        <v>15</v>
      </c>
    </row>
    <row r="682" spans="1:14" x14ac:dyDescent="0.2">
      <c r="A682" t="s">
        <v>56</v>
      </c>
      <c r="B682" t="s">
        <v>122</v>
      </c>
      <c r="C682" t="s">
        <v>112</v>
      </c>
      <c r="D682" t="s">
        <v>57</v>
      </c>
      <c r="E682" t="s">
        <v>53</v>
      </c>
      <c r="F682" t="s">
        <v>114</v>
      </c>
      <c r="G682">
        <v>119598</v>
      </c>
      <c r="H682" s="75">
        <v>44943</v>
      </c>
      <c r="I682" t="s">
        <v>115</v>
      </c>
      <c r="J682">
        <v>5000</v>
      </c>
      <c r="K682">
        <v>109.014</v>
      </c>
      <c r="L682">
        <v>45.8658</v>
      </c>
      <c r="M682">
        <v>22841.148000000001</v>
      </c>
      <c r="N682" t="s">
        <v>15</v>
      </c>
    </row>
    <row r="683" spans="1:14" x14ac:dyDescent="0.2">
      <c r="A683" t="s">
        <v>56</v>
      </c>
      <c r="B683" t="s">
        <v>122</v>
      </c>
      <c r="C683" t="s">
        <v>112</v>
      </c>
      <c r="D683" t="s">
        <v>57</v>
      </c>
      <c r="E683" t="s">
        <v>53</v>
      </c>
      <c r="F683" t="s">
        <v>114</v>
      </c>
      <c r="G683">
        <v>119598</v>
      </c>
      <c r="H683" s="75">
        <v>44973</v>
      </c>
      <c r="I683" t="s">
        <v>115</v>
      </c>
      <c r="J683">
        <v>5000</v>
      </c>
      <c r="K683">
        <v>108.072</v>
      </c>
      <c r="L683">
        <v>46.265500000000003</v>
      </c>
      <c r="M683">
        <v>22949.22</v>
      </c>
      <c r="N683" t="s">
        <v>15</v>
      </c>
    </row>
    <row r="684" spans="1:14" x14ac:dyDescent="0.2">
      <c r="A684" t="s">
        <v>56</v>
      </c>
      <c r="B684" t="s">
        <v>122</v>
      </c>
      <c r="C684" t="s">
        <v>112</v>
      </c>
      <c r="D684" t="s">
        <v>57</v>
      </c>
      <c r="E684" t="s">
        <v>53</v>
      </c>
      <c r="F684" t="s">
        <v>114</v>
      </c>
      <c r="G684">
        <v>119598</v>
      </c>
      <c r="H684" s="75">
        <v>45003</v>
      </c>
      <c r="I684" t="s">
        <v>115</v>
      </c>
      <c r="J684">
        <v>5000</v>
      </c>
      <c r="K684">
        <v>106.075</v>
      </c>
      <c r="L684">
        <v>47.136400000000002</v>
      </c>
      <c r="M684">
        <v>23055.294999999998</v>
      </c>
      <c r="N684" t="s">
        <v>15</v>
      </c>
    </row>
    <row r="685" spans="1:14" x14ac:dyDescent="0.2">
      <c r="A685" t="s">
        <v>56</v>
      </c>
      <c r="B685" t="s">
        <v>122</v>
      </c>
      <c r="C685" t="s">
        <v>112</v>
      </c>
      <c r="D685" t="s">
        <v>57</v>
      </c>
      <c r="E685" t="s">
        <v>53</v>
      </c>
      <c r="F685" t="s">
        <v>114</v>
      </c>
      <c r="G685">
        <v>119598</v>
      </c>
      <c r="H685" s="75">
        <v>45033</v>
      </c>
      <c r="I685" t="s">
        <v>115</v>
      </c>
      <c r="J685">
        <v>5000</v>
      </c>
      <c r="K685">
        <v>106.756</v>
      </c>
      <c r="L685">
        <v>46.835900000000002</v>
      </c>
      <c r="M685">
        <v>23162.050999999999</v>
      </c>
      <c r="N685" t="s">
        <v>15</v>
      </c>
    </row>
    <row r="686" spans="1:14" x14ac:dyDescent="0.2">
      <c r="A686" t="s">
        <v>56</v>
      </c>
      <c r="B686" t="s">
        <v>122</v>
      </c>
      <c r="C686" t="s">
        <v>112</v>
      </c>
      <c r="D686" t="s">
        <v>57</v>
      </c>
      <c r="E686" t="s">
        <v>53</v>
      </c>
      <c r="F686" t="s">
        <v>114</v>
      </c>
      <c r="G686">
        <v>119598</v>
      </c>
      <c r="H686" s="75">
        <v>45063</v>
      </c>
      <c r="I686" t="s">
        <v>115</v>
      </c>
      <c r="J686">
        <v>5000</v>
      </c>
      <c r="K686">
        <v>105.43300000000001</v>
      </c>
      <c r="L686">
        <v>47.423299999999998</v>
      </c>
      <c r="M686">
        <v>23267.484</v>
      </c>
      <c r="N686" t="s">
        <v>15</v>
      </c>
    </row>
    <row r="687" spans="1:14" x14ac:dyDescent="0.2">
      <c r="A687" t="s">
        <v>56</v>
      </c>
      <c r="B687" t="s">
        <v>122</v>
      </c>
      <c r="C687" t="s">
        <v>112</v>
      </c>
      <c r="D687" t="s">
        <v>57</v>
      </c>
      <c r="E687" t="s">
        <v>53</v>
      </c>
      <c r="F687" t="s">
        <v>114</v>
      </c>
      <c r="G687">
        <v>119598</v>
      </c>
      <c r="H687" s="75">
        <v>45093</v>
      </c>
      <c r="I687" t="s">
        <v>115</v>
      </c>
      <c r="J687">
        <v>5000</v>
      </c>
      <c r="K687">
        <v>103.58</v>
      </c>
      <c r="L687">
        <v>48.271799999999999</v>
      </c>
      <c r="M687">
        <v>23371.063999999998</v>
      </c>
      <c r="N687" t="s">
        <v>15</v>
      </c>
    </row>
    <row r="688" spans="1:14" x14ac:dyDescent="0.2">
      <c r="A688" t="s">
        <v>56</v>
      </c>
      <c r="B688" t="s">
        <v>122</v>
      </c>
      <c r="C688" t="s">
        <v>112</v>
      </c>
      <c r="D688" t="s">
        <v>57</v>
      </c>
      <c r="E688" t="s">
        <v>53</v>
      </c>
      <c r="F688" t="s">
        <v>114</v>
      </c>
      <c r="G688">
        <v>119598</v>
      </c>
      <c r="H688" s="75">
        <v>45123</v>
      </c>
      <c r="I688" t="s">
        <v>115</v>
      </c>
      <c r="J688">
        <v>5000</v>
      </c>
      <c r="K688">
        <v>100.771</v>
      </c>
      <c r="L688">
        <v>49.6175</v>
      </c>
      <c r="M688">
        <v>23471.834999999999</v>
      </c>
      <c r="N688" t="s">
        <v>15</v>
      </c>
    </row>
    <row r="689" spans="1:14" x14ac:dyDescent="0.2">
      <c r="A689" t="s">
        <v>56</v>
      </c>
      <c r="B689" t="s">
        <v>122</v>
      </c>
      <c r="C689" t="s">
        <v>112</v>
      </c>
      <c r="D689" t="s">
        <v>57</v>
      </c>
      <c r="E689" t="s">
        <v>53</v>
      </c>
      <c r="F689" t="s">
        <v>114</v>
      </c>
      <c r="G689">
        <v>119598</v>
      </c>
      <c r="H689" s="75">
        <v>45153</v>
      </c>
      <c r="I689" t="s">
        <v>115</v>
      </c>
      <c r="J689">
        <v>5000</v>
      </c>
      <c r="K689">
        <v>101.611</v>
      </c>
      <c r="L689">
        <v>49.207500000000003</v>
      </c>
      <c r="M689">
        <v>23573.446</v>
      </c>
      <c r="N689" t="s">
        <v>15</v>
      </c>
    </row>
    <row r="690" spans="1:14" x14ac:dyDescent="0.2">
      <c r="A690" t="s">
        <v>56</v>
      </c>
      <c r="B690" t="s">
        <v>122</v>
      </c>
      <c r="C690" t="s">
        <v>112</v>
      </c>
      <c r="D690" t="s">
        <v>57</v>
      </c>
      <c r="E690" t="s">
        <v>53</v>
      </c>
      <c r="F690" t="s">
        <v>114</v>
      </c>
      <c r="G690">
        <v>119598</v>
      </c>
      <c r="H690" s="75">
        <v>45183</v>
      </c>
      <c r="I690" t="s">
        <v>115</v>
      </c>
      <c r="J690">
        <v>5000</v>
      </c>
      <c r="K690">
        <v>99.593999999999994</v>
      </c>
      <c r="L690">
        <v>50.204000000000001</v>
      </c>
      <c r="M690">
        <v>23673.040000000001</v>
      </c>
      <c r="N690" t="s">
        <v>15</v>
      </c>
    </row>
    <row r="691" spans="1:14" x14ac:dyDescent="0.2">
      <c r="A691" t="s">
        <v>56</v>
      </c>
      <c r="B691" t="s">
        <v>122</v>
      </c>
      <c r="C691" t="s">
        <v>112</v>
      </c>
      <c r="D691" t="s">
        <v>57</v>
      </c>
      <c r="E691" t="s">
        <v>53</v>
      </c>
      <c r="F691" t="s">
        <v>114</v>
      </c>
      <c r="G691">
        <v>119598</v>
      </c>
      <c r="H691" s="75">
        <v>45213</v>
      </c>
      <c r="I691" t="s">
        <v>115</v>
      </c>
      <c r="J691">
        <v>5000</v>
      </c>
      <c r="K691">
        <v>100.602</v>
      </c>
      <c r="L691">
        <v>49.700800000000001</v>
      </c>
      <c r="M691">
        <v>23773.642</v>
      </c>
      <c r="N691" t="s">
        <v>15</v>
      </c>
    </row>
    <row r="692" spans="1:14" x14ac:dyDescent="0.2">
      <c r="A692" t="s">
        <v>56</v>
      </c>
      <c r="B692" t="s">
        <v>122</v>
      </c>
      <c r="C692" t="s">
        <v>112</v>
      </c>
      <c r="D692" t="s">
        <v>57</v>
      </c>
      <c r="E692" t="s">
        <v>53</v>
      </c>
      <c r="F692" t="s">
        <v>114</v>
      </c>
      <c r="G692">
        <v>119598</v>
      </c>
      <c r="H692" s="75">
        <v>45213</v>
      </c>
      <c r="I692" t="s">
        <v>116</v>
      </c>
      <c r="J692">
        <v>2.5</v>
      </c>
      <c r="K692">
        <v>0</v>
      </c>
      <c r="M692">
        <v>23773.642</v>
      </c>
      <c r="N692" t="s">
        <v>17</v>
      </c>
    </row>
    <row r="693" spans="1:14" x14ac:dyDescent="0.2">
      <c r="A693" t="s">
        <v>56</v>
      </c>
      <c r="B693" t="s">
        <v>122</v>
      </c>
      <c r="C693" t="s">
        <v>112</v>
      </c>
      <c r="D693" t="s">
        <v>57</v>
      </c>
      <c r="E693" t="s">
        <v>53</v>
      </c>
      <c r="F693" t="s">
        <v>114</v>
      </c>
      <c r="G693">
        <v>119598</v>
      </c>
      <c r="H693" s="75">
        <v>45243</v>
      </c>
      <c r="I693" t="s">
        <v>115</v>
      </c>
      <c r="J693">
        <v>5000</v>
      </c>
      <c r="K693">
        <v>100.10599999999999</v>
      </c>
      <c r="L693">
        <v>49.946899999999999</v>
      </c>
      <c r="M693">
        <v>23873.748</v>
      </c>
      <c r="N693" t="s">
        <v>15</v>
      </c>
    </row>
    <row r="694" spans="1:14" x14ac:dyDescent="0.2">
      <c r="A694" t="s">
        <v>56</v>
      </c>
      <c r="B694" t="s">
        <v>122</v>
      </c>
      <c r="C694" t="s">
        <v>112</v>
      </c>
      <c r="D694" t="s">
        <v>57</v>
      </c>
      <c r="E694" t="s">
        <v>53</v>
      </c>
      <c r="F694" t="s">
        <v>114</v>
      </c>
      <c r="G694">
        <v>119598</v>
      </c>
      <c r="H694" s="75">
        <v>45273</v>
      </c>
      <c r="I694" t="s">
        <v>115</v>
      </c>
      <c r="J694">
        <v>5000</v>
      </c>
      <c r="K694">
        <v>97.356999999999999</v>
      </c>
      <c r="L694">
        <v>51.357500000000002</v>
      </c>
      <c r="M694">
        <v>23971.105</v>
      </c>
      <c r="N694" t="s">
        <v>15</v>
      </c>
    </row>
    <row r="695" spans="1:14" x14ac:dyDescent="0.2">
      <c r="A695" t="s">
        <v>56</v>
      </c>
      <c r="B695" t="s">
        <v>122</v>
      </c>
      <c r="C695" t="s">
        <v>112</v>
      </c>
      <c r="D695" t="s">
        <v>57</v>
      </c>
      <c r="E695" t="s">
        <v>53</v>
      </c>
      <c r="F695" t="s">
        <v>114</v>
      </c>
      <c r="G695">
        <v>119598</v>
      </c>
      <c r="H695" s="75">
        <v>45273</v>
      </c>
      <c r="I695" t="s">
        <v>116</v>
      </c>
      <c r="J695">
        <v>2.5</v>
      </c>
      <c r="K695">
        <v>0</v>
      </c>
      <c r="M695">
        <v>23971.105</v>
      </c>
      <c r="N695" t="s">
        <v>17</v>
      </c>
    </row>
    <row r="696" spans="1:14" x14ac:dyDescent="0.2">
      <c r="A696" t="s">
        <v>56</v>
      </c>
      <c r="B696" t="s">
        <v>122</v>
      </c>
      <c r="C696" t="s">
        <v>112</v>
      </c>
      <c r="D696" t="s">
        <v>57</v>
      </c>
      <c r="E696" t="s">
        <v>53</v>
      </c>
      <c r="F696" t="s">
        <v>114</v>
      </c>
      <c r="G696">
        <v>119598</v>
      </c>
      <c r="H696" s="75">
        <v>45303</v>
      </c>
      <c r="I696" t="s">
        <v>115</v>
      </c>
      <c r="J696">
        <v>5000</v>
      </c>
      <c r="K696">
        <v>97.584000000000003</v>
      </c>
      <c r="L696">
        <v>51.237900000000003</v>
      </c>
      <c r="M696">
        <v>24068.688999999998</v>
      </c>
      <c r="N696" t="s">
        <v>15</v>
      </c>
    </row>
    <row r="697" spans="1:14" x14ac:dyDescent="0.2">
      <c r="A697" t="s">
        <v>56</v>
      </c>
      <c r="B697" t="s">
        <v>122</v>
      </c>
      <c r="C697" t="s">
        <v>112</v>
      </c>
      <c r="D697" t="s">
        <v>57</v>
      </c>
      <c r="E697" t="s">
        <v>53</v>
      </c>
      <c r="F697" t="s">
        <v>114</v>
      </c>
      <c r="G697">
        <v>119598</v>
      </c>
      <c r="H697" s="75">
        <v>45333</v>
      </c>
      <c r="I697" t="s">
        <v>115</v>
      </c>
      <c r="J697">
        <v>5000</v>
      </c>
      <c r="K697">
        <v>99.004000000000005</v>
      </c>
      <c r="L697">
        <v>50.502800000000001</v>
      </c>
      <c r="M697">
        <v>24167.692999999999</v>
      </c>
      <c r="N697" t="s">
        <v>15</v>
      </c>
    </row>
    <row r="698" spans="1:14" x14ac:dyDescent="0.2">
      <c r="A698" t="s">
        <v>56</v>
      </c>
      <c r="B698" t="s">
        <v>122</v>
      </c>
      <c r="C698" t="s">
        <v>112</v>
      </c>
      <c r="D698" t="s">
        <v>57</v>
      </c>
      <c r="E698" t="s">
        <v>53</v>
      </c>
      <c r="F698" t="s">
        <v>114</v>
      </c>
      <c r="G698">
        <v>119598</v>
      </c>
      <c r="H698" s="75">
        <v>45363</v>
      </c>
      <c r="I698" t="s">
        <v>115</v>
      </c>
      <c r="J698">
        <v>5000</v>
      </c>
      <c r="K698">
        <v>98.85</v>
      </c>
      <c r="L698">
        <v>50.581899999999997</v>
      </c>
      <c r="M698">
        <v>24266.543000000001</v>
      </c>
      <c r="N698" t="s">
        <v>15</v>
      </c>
    </row>
    <row r="699" spans="1:14" x14ac:dyDescent="0.2">
      <c r="A699" t="s">
        <v>56</v>
      </c>
      <c r="B699" t="s">
        <v>122</v>
      </c>
      <c r="C699" t="s">
        <v>112</v>
      </c>
      <c r="D699" t="s">
        <v>57</v>
      </c>
      <c r="E699" t="s">
        <v>53</v>
      </c>
      <c r="F699" t="s">
        <v>114</v>
      </c>
      <c r="G699">
        <v>119598</v>
      </c>
      <c r="H699" s="75">
        <v>45363</v>
      </c>
      <c r="I699" t="s">
        <v>116</v>
      </c>
      <c r="J699">
        <v>2.5</v>
      </c>
      <c r="K699">
        <v>0</v>
      </c>
      <c r="M699">
        <v>24266.543000000001</v>
      </c>
      <c r="N699" t="s">
        <v>17</v>
      </c>
    </row>
    <row r="700" spans="1:14" x14ac:dyDescent="0.2">
      <c r="A700" t="s">
        <v>56</v>
      </c>
      <c r="B700" t="s">
        <v>122</v>
      </c>
      <c r="C700" t="s">
        <v>112</v>
      </c>
      <c r="D700" t="s">
        <v>57</v>
      </c>
      <c r="E700" t="s">
        <v>53</v>
      </c>
      <c r="F700" t="s">
        <v>114</v>
      </c>
      <c r="G700">
        <v>119598</v>
      </c>
      <c r="H700" s="75">
        <v>45393</v>
      </c>
      <c r="I700" t="s">
        <v>115</v>
      </c>
      <c r="J700">
        <v>5000</v>
      </c>
      <c r="K700">
        <v>96.876000000000005</v>
      </c>
      <c r="L700">
        <v>51.612499999999997</v>
      </c>
      <c r="M700">
        <v>24363.419000000002</v>
      </c>
      <c r="N700" t="s">
        <v>15</v>
      </c>
    </row>
    <row r="701" spans="1:14" x14ac:dyDescent="0.2">
      <c r="A701" t="s">
        <v>56</v>
      </c>
      <c r="B701" t="s">
        <v>122</v>
      </c>
      <c r="C701" t="s">
        <v>112</v>
      </c>
      <c r="D701" t="s">
        <v>57</v>
      </c>
      <c r="E701" t="s">
        <v>53</v>
      </c>
      <c r="F701" t="s">
        <v>114</v>
      </c>
      <c r="G701">
        <v>119598</v>
      </c>
      <c r="H701" s="75">
        <v>45423</v>
      </c>
      <c r="I701" t="s">
        <v>115</v>
      </c>
      <c r="J701">
        <v>5000</v>
      </c>
      <c r="K701">
        <v>98.316000000000003</v>
      </c>
      <c r="L701">
        <v>50.856499999999997</v>
      </c>
      <c r="M701">
        <v>24461.734</v>
      </c>
      <c r="N701" t="s">
        <v>15</v>
      </c>
    </row>
    <row r="702" spans="1:14" x14ac:dyDescent="0.2">
      <c r="A702" t="s">
        <v>56</v>
      </c>
      <c r="B702" t="s">
        <v>122</v>
      </c>
      <c r="C702" t="s">
        <v>112</v>
      </c>
      <c r="D702" t="s">
        <v>57</v>
      </c>
      <c r="E702" t="s">
        <v>53</v>
      </c>
      <c r="F702" t="s">
        <v>114</v>
      </c>
      <c r="G702">
        <v>119598</v>
      </c>
      <c r="H702" s="75">
        <v>45453</v>
      </c>
      <c r="I702" t="s">
        <v>115</v>
      </c>
      <c r="J702">
        <v>5000</v>
      </c>
      <c r="K702">
        <v>99.736000000000004</v>
      </c>
      <c r="L702">
        <v>50.132300000000001</v>
      </c>
      <c r="M702">
        <v>24561.471000000001</v>
      </c>
      <c r="N702" t="s">
        <v>15</v>
      </c>
    </row>
    <row r="703" spans="1:14" x14ac:dyDescent="0.2">
      <c r="A703" t="s">
        <v>56</v>
      </c>
      <c r="B703" t="s">
        <v>122</v>
      </c>
      <c r="C703" t="s">
        <v>112</v>
      </c>
      <c r="D703" t="s">
        <v>57</v>
      </c>
      <c r="E703" t="s">
        <v>53</v>
      </c>
      <c r="F703" t="s">
        <v>114</v>
      </c>
      <c r="G703">
        <v>119598</v>
      </c>
      <c r="H703" s="75">
        <v>45483</v>
      </c>
      <c r="I703" t="s">
        <v>115</v>
      </c>
      <c r="J703">
        <v>5000</v>
      </c>
      <c r="K703">
        <v>97.064999999999998</v>
      </c>
      <c r="L703">
        <v>51.512</v>
      </c>
      <c r="M703">
        <v>24658.535</v>
      </c>
      <c r="N703" t="s">
        <v>15</v>
      </c>
    </row>
    <row r="704" spans="1:14" x14ac:dyDescent="0.2">
      <c r="A704" t="s">
        <v>56</v>
      </c>
      <c r="B704" t="s">
        <v>122</v>
      </c>
      <c r="C704" t="s">
        <v>112</v>
      </c>
      <c r="D704" t="s">
        <v>57</v>
      </c>
      <c r="E704" t="s">
        <v>53</v>
      </c>
      <c r="F704" t="s">
        <v>114</v>
      </c>
      <c r="G704">
        <v>119598</v>
      </c>
      <c r="H704" s="75">
        <v>45513</v>
      </c>
      <c r="I704" t="s">
        <v>115</v>
      </c>
      <c r="J704">
        <v>5000</v>
      </c>
      <c r="K704">
        <v>97.957999999999998</v>
      </c>
      <c r="L704">
        <v>51.042099999999998</v>
      </c>
      <c r="M704">
        <v>24756.493999999999</v>
      </c>
      <c r="N704" t="s">
        <v>15</v>
      </c>
    </row>
    <row r="705" spans="1:14" x14ac:dyDescent="0.2">
      <c r="A705" t="s">
        <v>56</v>
      </c>
      <c r="B705" t="s">
        <v>122</v>
      </c>
      <c r="C705" t="s">
        <v>112</v>
      </c>
      <c r="D705" t="s">
        <v>57</v>
      </c>
      <c r="E705" t="s">
        <v>53</v>
      </c>
      <c r="F705" t="s">
        <v>114</v>
      </c>
      <c r="G705">
        <v>119598</v>
      </c>
      <c r="H705" s="75">
        <v>45543</v>
      </c>
      <c r="I705" t="s">
        <v>115</v>
      </c>
      <c r="J705">
        <v>5000</v>
      </c>
      <c r="K705">
        <v>96.242000000000004</v>
      </c>
      <c r="L705">
        <v>51.952599999999997</v>
      </c>
      <c r="M705">
        <v>24852.735000000001</v>
      </c>
      <c r="N705" t="s">
        <v>15</v>
      </c>
    </row>
    <row r="706" spans="1:14" x14ac:dyDescent="0.2">
      <c r="A706" t="s">
        <v>56</v>
      </c>
      <c r="B706" t="s">
        <v>122</v>
      </c>
      <c r="C706" t="s">
        <v>112</v>
      </c>
      <c r="D706" t="s">
        <v>57</v>
      </c>
      <c r="E706" t="s">
        <v>53</v>
      </c>
      <c r="F706" t="s">
        <v>114</v>
      </c>
      <c r="G706">
        <v>119598</v>
      </c>
      <c r="H706" s="75">
        <v>45573</v>
      </c>
      <c r="I706" t="s">
        <v>115</v>
      </c>
      <c r="J706">
        <v>5000</v>
      </c>
      <c r="K706">
        <v>95.010999999999996</v>
      </c>
      <c r="L706">
        <v>52.6252</v>
      </c>
      <c r="M706">
        <v>24947.746999999999</v>
      </c>
      <c r="N706" t="s">
        <v>15</v>
      </c>
    </row>
    <row r="707" spans="1:14" x14ac:dyDescent="0.2">
      <c r="A707" t="s">
        <v>56</v>
      </c>
      <c r="B707" t="s">
        <v>122</v>
      </c>
      <c r="C707" t="s">
        <v>112</v>
      </c>
      <c r="D707" t="s">
        <v>57</v>
      </c>
      <c r="E707" t="s">
        <v>53</v>
      </c>
      <c r="F707" t="s">
        <v>114</v>
      </c>
      <c r="G707">
        <v>119598</v>
      </c>
      <c r="H707" s="75">
        <v>45603</v>
      </c>
      <c r="I707" t="s">
        <v>115</v>
      </c>
      <c r="J707">
        <v>5000</v>
      </c>
      <c r="K707">
        <v>96.025999999999996</v>
      </c>
      <c r="L707">
        <v>52.069400000000002</v>
      </c>
      <c r="M707">
        <v>25043.773000000001</v>
      </c>
      <c r="N707" t="s">
        <v>15</v>
      </c>
    </row>
    <row r="708" spans="1:14" x14ac:dyDescent="0.2">
      <c r="A708" t="s">
        <v>56</v>
      </c>
      <c r="B708" t="s">
        <v>122</v>
      </c>
      <c r="C708" t="s">
        <v>112</v>
      </c>
      <c r="D708" t="s">
        <v>57</v>
      </c>
      <c r="E708" t="s">
        <v>53</v>
      </c>
      <c r="F708" t="s">
        <v>114</v>
      </c>
      <c r="G708">
        <v>119598</v>
      </c>
      <c r="H708" s="75">
        <v>45633</v>
      </c>
      <c r="I708" t="s">
        <v>115</v>
      </c>
      <c r="J708">
        <v>5000</v>
      </c>
      <c r="K708">
        <v>95.308000000000007</v>
      </c>
      <c r="L708">
        <v>52.461799999999997</v>
      </c>
      <c r="M708">
        <v>25139.08</v>
      </c>
      <c r="N708" t="s">
        <v>15</v>
      </c>
    </row>
    <row r="709" spans="1:14" x14ac:dyDescent="0.2">
      <c r="A709" t="s">
        <v>56</v>
      </c>
      <c r="B709" t="s">
        <v>122</v>
      </c>
      <c r="C709" t="s">
        <v>112</v>
      </c>
      <c r="D709" t="s">
        <v>57</v>
      </c>
      <c r="E709" t="s">
        <v>53</v>
      </c>
      <c r="F709" t="s">
        <v>114</v>
      </c>
      <c r="G709">
        <v>119598</v>
      </c>
      <c r="H709" s="75">
        <v>45663</v>
      </c>
      <c r="I709" t="s">
        <v>115</v>
      </c>
      <c r="J709">
        <v>5000</v>
      </c>
      <c r="K709">
        <v>96.397999999999996</v>
      </c>
      <c r="L709">
        <v>51.868400000000001</v>
      </c>
      <c r="M709">
        <v>25235.477999999999</v>
      </c>
      <c r="N709" t="s">
        <v>15</v>
      </c>
    </row>
    <row r="710" spans="1:14" x14ac:dyDescent="0.2">
      <c r="A710" t="s">
        <v>56</v>
      </c>
      <c r="B710" t="s">
        <v>122</v>
      </c>
      <c r="C710" t="s">
        <v>112</v>
      </c>
      <c r="D710" t="s">
        <v>57</v>
      </c>
      <c r="E710" t="s">
        <v>53</v>
      </c>
      <c r="F710" t="s">
        <v>114</v>
      </c>
      <c r="G710">
        <v>119598</v>
      </c>
      <c r="H710" s="75">
        <v>45693</v>
      </c>
      <c r="I710" t="s">
        <v>115</v>
      </c>
      <c r="J710">
        <v>5000</v>
      </c>
      <c r="K710">
        <v>96.707999999999998</v>
      </c>
      <c r="L710">
        <v>51.701799999999999</v>
      </c>
      <c r="M710">
        <v>25332.186000000002</v>
      </c>
      <c r="N710" t="s">
        <v>15</v>
      </c>
    </row>
    <row r="711" spans="1:14" x14ac:dyDescent="0.2">
      <c r="A711" t="s">
        <v>56</v>
      </c>
      <c r="B711" t="s">
        <v>122</v>
      </c>
      <c r="C711" t="s">
        <v>112</v>
      </c>
      <c r="D711" t="s">
        <v>57</v>
      </c>
      <c r="E711" t="s">
        <v>53</v>
      </c>
      <c r="F711" t="s">
        <v>114</v>
      </c>
      <c r="G711">
        <v>119598</v>
      </c>
      <c r="H711" s="75">
        <v>45723</v>
      </c>
      <c r="I711" t="s">
        <v>115</v>
      </c>
      <c r="J711">
        <v>5000</v>
      </c>
      <c r="K711">
        <v>96.256</v>
      </c>
      <c r="L711">
        <v>51.944899999999997</v>
      </c>
      <c r="M711">
        <v>25428.441999999999</v>
      </c>
      <c r="N711" t="s">
        <v>15</v>
      </c>
    </row>
    <row r="712" spans="1:14" x14ac:dyDescent="0.2">
      <c r="A712" t="s">
        <v>56</v>
      </c>
      <c r="B712" t="s">
        <v>122</v>
      </c>
      <c r="C712" t="s">
        <v>112</v>
      </c>
      <c r="D712" t="s">
        <v>57</v>
      </c>
      <c r="E712" t="s">
        <v>53</v>
      </c>
      <c r="F712" t="s">
        <v>114</v>
      </c>
      <c r="G712">
        <v>119598</v>
      </c>
      <c r="H712" s="75">
        <v>45723</v>
      </c>
      <c r="I712" t="s">
        <v>117</v>
      </c>
      <c r="J712">
        <v>2.5</v>
      </c>
      <c r="K712">
        <v>0</v>
      </c>
      <c r="M712">
        <v>25428.441999999999</v>
      </c>
      <c r="N712" t="s">
        <v>46</v>
      </c>
    </row>
    <row r="713" spans="1:14" x14ac:dyDescent="0.2">
      <c r="A713" t="s">
        <v>56</v>
      </c>
      <c r="B713" t="s">
        <v>122</v>
      </c>
      <c r="C713" t="s">
        <v>112</v>
      </c>
      <c r="D713" t="s">
        <v>57</v>
      </c>
      <c r="E713" t="s">
        <v>53</v>
      </c>
      <c r="F713" t="s">
        <v>114</v>
      </c>
      <c r="G713">
        <v>119598</v>
      </c>
      <c r="H713" s="75">
        <v>45753</v>
      </c>
      <c r="I713" t="s">
        <v>115</v>
      </c>
      <c r="J713">
        <v>5000</v>
      </c>
      <c r="K713">
        <v>95.700999999999993</v>
      </c>
      <c r="L713">
        <v>52.246099999999998</v>
      </c>
      <c r="M713">
        <v>25524.143</v>
      </c>
      <c r="N713" t="s">
        <v>15</v>
      </c>
    </row>
    <row r="714" spans="1:14" x14ac:dyDescent="0.2">
      <c r="A714" t="s">
        <v>56</v>
      </c>
      <c r="B714" t="s">
        <v>122</v>
      </c>
      <c r="C714" t="s">
        <v>112</v>
      </c>
      <c r="D714" t="s">
        <v>57</v>
      </c>
      <c r="E714" t="s">
        <v>53</v>
      </c>
      <c r="F714" t="s">
        <v>114</v>
      </c>
      <c r="G714">
        <v>119598</v>
      </c>
      <c r="H714" s="75">
        <v>45783</v>
      </c>
      <c r="I714" t="s">
        <v>115</v>
      </c>
      <c r="J714">
        <v>5000</v>
      </c>
      <c r="K714">
        <v>93.515000000000001</v>
      </c>
      <c r="L714">
        <v>53.467399999999998</v>
      </c>
      <c r="M714">
        <v>25617.657999999999</v>
      </c>
      <c r="N714" t="s">
        <v>15</v>
      </c>
    </row>
    <row r="715" spans="1:14" x14ac:dyDescent="0.2">
      <c r="A715" t="s">
        <v>56</v>
      </c>
      <c r="B715" t="s">
        <v>122</v>
      </c>
      <c r="C715" t="s">
        <v>112</v>
      </c>
      <c r="D715" t="s">
        <v>57</v>
      </c>
      <c r="E715" t="s">
        <v>53</v>
      </c>
      <c r="F715" t="s">
        <v>114</v>
      </c>
      <c r="G715">
        <v>119598</v>
      </c>
      <c r="H715" s="75">
        <v>45813</v>
      </c>
      <c r="I715" t="s">
        <v>115</v>
      </c>
      <c r="J715">
        <v>5000</v>
      </c>
      <c r="K715">
        <v>93.325000000000003</v>
      </c>
      <c r="L715">
        <v>53.576000000000001</v>
      </c>
      <c r="M715">
        <v>25710.983</v>
      </c>
      <c r="N715" t="s">
        <v>15</v>
      </c>
    </row>
    <row r="716" spans="1:14" x14ac:dyDescent="0.2">
      <c r="A716" t="s">
        <v>56</v>
      </c>
      <c r="B716" t="s">
        <v>122</v>
      </c>
      <c r="C716" t="s">
        <v>112</v>
      </c>
      <c r="D716" t="s">
        <v>57</v>
      </c>
      <c r="E716" t="s">
        <v>53</v>
      </c>
      <c r="F716" t="s">
        <v>114</v>
      </c>
      <c r="G716">
        <v>119598</v>
      </c>
      <c r="H716" s="75">
        <v>45813</v>
      </c>
      <c r="I716" t="s">
        <v>117</v>
      </c>
      <c r="J716">
        <v>2.5</v>
      </c>
      <c r="K716">
        <v>0</v>
      </c>
      <c r="M716">
        <v>25710.983</v>
      </c>
      <c r="N716" t="s">
        <v>46</v>
      </c>
    </row>
    <row r="717" spans="1:14" x14ac:dyDescent="0.2">
      <c r="A717" t="s">
        <v>56</v>
      </c>
      <c r="B717" t="s">
        <v>122</v>
      </c>
      <c r="C717" t="s">
        <v>112</v>
      </c>
      <c r="D717" t="s">
        <v>57</v>
      </c>
      <c r="E717" t="s">
        <v>53</v>
      </c>
      <c r="F717" t="s">
        <v>114</v>
      </c>
      <c r="G717">
        <v>119598</v>
      </c>
      <c r="H717" s="75">
        <v>45843</v>
      </c>
      <c r="I717" t="s">
        <v>115</v>
      </c>
      <c r="J717">
        <v>5000</v>
      </c>
      <c r="K717">
        <v>93.102000000000004</v>
      </c>
      <c r="L717">
        <v>53.704300000000003</v>
      </c>
      <c r="M717">
        <v>25804.085999999999</v>
      </c>
      <c r="N717" t="s">
        <v>15</v>
      </c>
    </row>
    <row r="718" spans="1:14" x14ac:dyDescent="0.2">
      <c r="A718" t="s">
        <v>56</v>
      </c>
      <c r="B718" t="s">
        <v>122</v>
      </c>
      <c r="C718" t="s">
        <v>112</v>
      </c>
      <c r="D718" t="s">
        <v>57</v>
      </c>
      <c r="E718" t="s">
        <v>53</v>
      </c>
      <c r="F718" t="s">
        <v>114</v>
      </c>
      <c r="G718">
        <v>119598</v>
      </c>
      <c r="H718" s="75">
        <v>45843</v>
      </c>
      <c r="I718" t="s">
        <v>117</v>
      </c>
      <c r="J718">
        <v>2.5</v>
      </c>
      <c r="K718">
        <v>0</v>
      </c>
      <c r="M718">
        <v>25804.085999999999</v>
      </c>
      <c r="N718" t="s">
        <v>46</v>
      </c>
    </row>
    <row r="719" spans="1:14" x14ac:dyDescent="0.2">
      <c r="A719" t="s">
        <v>56</v>
      </c>
      <c r="B719" t="s">
        <v>122</v>
      </c>
      <c r="C719" t="s">
        <v>112</v>
      </c>
      <c r="D719" t="s">
        <v>57</v>
      </c>
      <c r="E719" t="s">
        <v>53</v>
      </c>
      <c r="F719" t="s">
        <v>114</v>
      </c>
      <c r="G719">
        <v>119598</v>
      </c>
      <c r="H719" s="75">
        <v>45873</v>
      </c>
      <c r="I719" t="s">
        <v>115</v>
      </c>
      <c r="J719">
        <v>5000</v>
      </c>
      <c r="K719">
        <v>93.926000000000002</v>
      </c>
      <c r="L719">
        <v>53.233499999999999</v>
      </c>
      <c r="M719">
        <v>25898.010999999999</v>
      </c>
      <c r="N719" t="s">
        <v>15</v>
      </c>
    </row>
    <row r="720" spans="1:14" x14ac:dyDescent="0.2">
      <c r="A720" t="s">
        <v>56</v>
      </c>
      <c r="B720" t="s">
        <v>122</v>
      </c>
      <c r="C720" t="s">
        <v>112</v>
      </c>
      <c r="D720" t="s">
        <v>57</v>
      </c>
      <c r="E720" t="s">
        <v>53</v>
      </c>
      <c r="F720" t="s">
        <v>114</v>
      </c>
      <c r="G720">
        <v>119598</v>
      </c>
      <c r="H720" s="75">
        <v>45873</v>
      </c>
      <c r="I720" t="s">
        <v>117</v>
      </c>
      <c r="J720">
        <v>2.5</v>
      </c>
      <c r="K720">
        <v>0</v>
      </c>
      <c r="M720">
        <v>25898.010999999999</v>
      </c>
      <c r="N720" t="s">
        <v>46</v>
      </c>
    </row>
    <row r="721" spans="1:14" x14ac:dyDescent="0.2">
      <c r="A721" t="s">
        <v>56</v>
      </c>
      <c r="B721" t="s">
        <v>122</v>
      </c>
      <c r="C721" t="s">
        <v>112</v>
      </c>
      <c r="D721" t="s">
        <v>57</v>
      </c>
      <c r="E721" t="s">
        <v>53</v>
      </c>
      <c r="F721" t="s">
        <v>114</v>
      </c>
      <c r="G721">
        <v>119598</v>
      </c>
      <c r="H721" s="75">
        <v>45903</v>
      </c>
      <c r="I721" t="s">
        <v>115</v>
      </c>
      <c r="J721">
        <v>5000</v>
      </c>
      <c r="K721">
        <v>93.796999999999997</v>
      </c>
      <c r="L721">
        <v>53.306800000000003</v>
      </c>
      <c r="M721">
        <v>25991.808000000001</v>
      </c>
      <c r="N721" t="s">
        <v>15</v>
      </c>
    </row>
    <row r="722" spans="1:14" x14ac:dyDescent="0.2">
      <c r="A722" t="s">
        <v>56</v>
      </c>
      <c r="B722" t="s">
        <v>122</v>
      </c>
      <c r="C722" t="s">
        <v>112</v>
      </c>
      <c r="D722" t="s">
        <v>57</v>
      </c>
      <c r="E722" t="s">
        <v>53</v>
      </c>
      <c r="F722" t="s">
        <v>114</v>
      </c>
      <c r="G722">
        <v>119598</v>
      </c>
      <c r="H722" s="75">
        <v>45933</v>
      </c>
      <c r="I722" t="s">
        <v>115</v>
      </c>
      <c r="J722">
        <v>5000</v>
      </c>
      <c r="K722">
        <v>94.131</v>
      </c>
      <c r="L722">
        <v>53.117400000000004</v>
      </c>
      <c r="M722">
        <v>26085.938999999998</v>
      </c>
      <c r="N722" t="s">
        <v>15</v>
      </c>
    </row>
    <row r="723" spans="1:14" x14ac:dyDescent="0.2">
      <c r="A723" t="s">
        <v>56</v>
      </c>
      <c r="B723" t="s">
        <v>122</v>
      </c>
      <c r="C723" t="s">
        <v>112</v>
      </c>
      <c r="D723" t="s">
        <v>57</v>
      </c>
      <c r="E723" t="s">
        <v>53</v>
      </c>
      <c r="F723" t="s">
        <v>114</v>
      </c>
      <c r="G723">
        <v>119598</v>
      </c>
      <c r="H723" s="75">
        <v>45963</v>
      </c>
      <c r="I723" t="s">
        <v>115</v>
      </c>
      <c r="J723">
        <v>5000</v>
      </c>
      <c r="K723">
        <v>94.878</v>
      </c>
      <c r="L723">
        <v>52.699300000000001</v>
      </c>
      <c r="M723">
        <v>26180.816999999999</v>
      </c>
      <c r="N723" t="s">
        <v>15</v>
      </c>
    </row>
    <row r="724" spans="1:14" x14ac:dyDescent="0.2">
      <c r="A724" t="s">
        <v>56</v>
      </c>
      <c r="B724" t="s">
        <v>122</v>
      </c>
      <c r="C724" t="s">
        <v>112</v>
      </c>
      <c r="D724" t="s">
        <v>57</v>
      </c>
      <c r="E724" t="s">
        <v>53</v>
      </c>
      <c r="F724" t="s">
        <v>114</v>
      </c>
      <c r="G724">
        <v>119598</v>
      </c>
      <c r="H724" s="75">
        <v>45993</v>
      </c>
      <c r="I724" t="s">
        <v>115</v>
      </c>
      <c r="J724">
        <v>5000</v>
      </c>
      <c r="K724">
        <v>92.869</v>
      </c>
      <c r="L724">
        <v>53.839199999999998</v>
      </c>
      <c r="M724">
        <v>26273.686000000002</v>
      </c>
      <c r="N724" t="s">
        <v>15</v>
      </c>
    </row>
    <row r="725" spans="1:14" x14ac:dyDescent="0.2">
      <c r="A725" t="s">
        <v>56</v>
      </c>
      <c r="B725" t="s">
        <v>122</v>
      </c>
      <c r="C725" t="s">
        <v>112</v>
      </c>
      <c r="D725" t="s">
        <v>57</v>
      </c>
      <c r="E725" t="s">
        <v>53</v>
      </c>
      <c r="F725" t="s">
        <v>114</v>
      </c>
      <c r="G725">
        <v>119598</v>
      </c>
      <c r="H725" s="75">
        <v>46023</v>
      </c>
      <c r="I725" t="s">
        <v>115</v>
      </c>
      <c r="J725">
        <v>5000</v>
      </c>
      <c r="K725">
        <v>91.227999999999994</v>
      </c>
      <c r="L725">
        <v>54.807600000000001</v>
      </c>
      <c r="M725">
        <v>26364.914000000001</v>
      </c>
      <c r="N725" t="s">
        <v>15</v>
      </c>
    </row>
    <row r="726" spans="1:14" x14ac:dyDescent="0.2">
      <c r="A726" t="s">
        <v>56</v>
      </c>
      <c r="B726" t="s">
        <v>122</v>
      </c>
      <c r="C726" t="s">
        <v>112</v>
      </c>
      <c r="D726" t="s">
        <v>57</v>
      </c>
      <c r="E726" t="s">
        <v>53</v>
      </c>
      <c r="F726" t="s">
        <v>114</v>
      </c>
      <c r="G726">
        <v>119598</v>
      </c>
      <c r="H726" s="75">
        <v>46023</v>
      </c>
      <c r="I726" t="s">
        <v>116</v>
      </c>
      <c r="J726">
        <v>2.5</v>
      </c>
      <c r="K726">
        <v>0</v>
      </c>
      <c r="M726">
        <v>26364.914000000001</v>
      </c>
      <c r="N726" t="s">
        <v>17</v>
      </c>
    </row>
    <row r="727" spans="1:14" x14ac:dyDescent="0.2">
      <c r="A727" t="s">
        <v>56</v>
      </c>
      <c r="B727" t="s">
        <v>122</v>
      </c>
      <c r="C727" t="s">
        <v>112</v>
      </c>
      <c r="D727" t="s">
        <v>57</v>
      </c>
      <c r="E727" t="s">
        <v>53</v>
      </c>
      <c r="F727" t="s">
        <v>114</v>
      </c>
      <c r="G727">
        <v>119598</v>
      </c>
      <c r="H727" s="75">
        <v>46053</v>
      </c>
      <c r="I727" t="s">
        <v>115</v>
      </c>
      <c r="J727">
        <v>5000</v>
      </c>
      <c r="K727">
        <v>90.55</v>
      </c>
      <c r="L727">
        <v>55.218200000000003</v>
      </c>
      <c r="M727">
        <v>26455.464</v>
      </c>
      <c r="N727" t="s">
        <v>15</v>
      </c>
    </row>
    <row r="728" spans="1:14" x14ac:dyDescent="0.2">
      <c r="A728" t="s">
        <v>56</v>
      </c>
      <c r="B728" t="s">
        <v>122</v>
      </c>
      <c r="C728" t="s">
        <v>112</v>
      </c>
      <c r="D728" t="s">
        <v>57</v>
      </c>
      <c r="E728" t="s">
        <v>53</v>
      </c>
      <c r="F728" t="s">
        <v>114</v>
      </c>
      <c r="G728">
        <v>119598</v>
      </c>
      <c r="H728" s="75">
        <v>46083</v>
      </c>
      <c r="I728" t="s">
        <v>115</v>
      </c>
      <c r="J728">
        <v>5000</v>
      </c>
      <c r="K728">
        <v>88.111000000000004</v>
      </c>
      <c r="L728">
        <v>56.746400000000001</v>
      </c>
      <c r="M728">
        <v>26543.576000000001</v>
      </c>
      <c r="N728" t="s">
        <v>15</v>
      </c>
    </row>
    <row r="729" spans="1:14" x14ac:dyDescent="0.2">
      <c r="A729" t="s">
        <v>56</v>
      </c>
      <c r="B729" t="s">
        <v>122</v>
      </c>
      <c r="C729" t="s">
        <v>112</v>
      </c>
      <c r="D729" t="s">
        <v>57</v>
      </c>
      <c r="E729" t="s">
        <v>53</v>
      </c>
      <c r="F729" t="s">
        <v>114</v>
      </c>
      <c r="G729">
        <v>119598</v>
      </c>
      <c r="H729" s="75">
        <v>46113</v>
      </c>
      <c r="I729" t="s">
        <v>115</v>
      </c>
      <c r="J729">
        <v>5000</v>
      </c>
      <c r="K729">
        <v>89.811999999999998</v>
      </c>
      <c r="L729">
        <v>55.671500000000002</v>
      </c>
      <c r="M729">
        <v>26633.387999999999</v>
      </c>
      <c r="N729" t="s">
        <v>15</v>
      </c>
    </row>
    <row r="730" spans="1:14" x14ac:dyDescent="0.2">
      <c r="A730" t="s">
        <v>56</v>
      </c>
      <c r="B730" t="s">
        <v>122</v>
      </c>
      <c r="C730" t="s">
        <v>112</v>
      </c>
      <c r="D730" t="s">
        <v>57</v>
      </c>
      <c r="E730" t="s">
        <v>53</v>
      </c>
      <c r="F730" t="s">
        <v>114</v>
      </c>
      <c r="G730">
        <v>119598</v>
      </c>
      <c r="H730" s="75">
        <v>46143</v>
      </c>
      <c r="I730" t="s">
        <v>115</v>
      </c>
      <c r="J730">
        <v>5000</v>
      </c>
      <c r="K730">
        <v>88.796999999999997</v>
      </c>
      <c r="L730">
        <v>56.308199999999999</v>
      </c>
      <c r="M730">
        <v>26722.185000000001</v>
      </c>
      <c r="N730" t="s">
        <v>15</v>
      </c>
    </row>
    <row r="731" spans="1:14" x14ac:dyDescent="0.2">
      <c r="A731" t="s">
        <v>56</v>
      </c>
      <c r="B731" t="s">
        <v>122</v>
      </c>
      <c r="C731" t="s">
        <v>112</v>
      </c>
      <c r="D731" t="s">
        <v>57</v>
      </c>
      <c r="E731" t="s">
        <v>53</v>
      </c>
      <c r="F731" t="s">
        <v>114</v>
      </c>
      <c r="G731">
        <v>119598</v>
      </c>
      <c r="H731" s="75">
        <v>46173</v>
      </c>
      <c r="I731" t="s">
        <v>115</v>
      </c>
      <c r="J731">
        <v>5000</v>
      </c>
      <c r="K731">
        <v>86.54</v>
      </c>
      <c r="L731">
        <v>57.777000000000001</v>
      </c>
      <c r="M731">
        <v>26808.724999999999</v>
      </c>
      <c r="N731" t="s">
        <v>15</v>
      </c>
    </row>
    <row r="732" spans="1:14" x14ac:dyDescent="0.2">
      <c r="A732" t="s">
        <v>56</v>
      </c>
      <c r="B732" t="s">
        <v>122</v>
      </c>
      <c r="C732" t="s">
        <v>112</v>
      </c>
      <c r="D732" t="s">
        <v>57</v>
      </c>
      <c r="E732" t="s">
        <v>53</v>
      </c>
      <c r="F732" t="s">
        <v>114</v>
      </c>
      <c r="G732">
        <v>119598</v>
      </c>
      <c r="H732" s="75">
        <v>46203</v>
      </c>
      <c r="I732" t="s">
        <v>115</v>
      </c>
      <c r="J732">
        <v>5000</v>
      </c>
      <c r="K732">
        <v>85.667000000000002</v>
      </c>
      <c r="L732">
        <v>58.365600000000001</v>
      </c>
      <c r="M732">
        <v>26894.392</v>
      </c>
      <c r="N732" t="s">
        <v>15</v>
      </c>
    </row>
    <row r="733" spans="1:14" x14ac:dyDescent="0.2">
      <c r="A733" t="s">
        <v>56</v>
      </c>
      <c r="B733" t="s">
        <v>122</v>
      </c>
      <c r="C733" t="s">
        <v>112</v>
      </c>
      <c r="D733" t="s">
        <v>57</v>
      </c>
      <c r="E733" t="s">
        <v>53</v>
      </c>
      <c r="F733" t="s">
        <v>114</v>
      </c>
      <c r="G733">
        <v>119598</v>
      </c>
      <c r="H733" s="75">
        <v>46203</v>
      </c>
      <c r="I733" t="s">
        <v>117</v>
      </c>
      <c r="J733">
        <v>2.5</v>
      </c>
      <c r="K733">
        <v>0</v>
      </c>
      <c r="M733">
        <v>26894.392</v>
      </c>
      <c r="N733" t="s">
        <v>46</v>
      </c>
    </row>
    <row r="734" spans="1:14" x14ac:dyDescent="0.2">
      <c r="A734" t="s">
        <v>23</v>
      </c>
      <c r="B734" t="s">
        <v>123</v>
      </c>
      <c r="C734" t="s">
        <v>112</v>
      </c>
      <c r="D734" t="s">
        <v>124</v>
      </c>
      <c r="E734" t="s">
        <v>53</v>
      </c>
      <c r="F734" t="s">
        <v>114</v>
      </c>
      <c r="G734">
        <v>120664</v>
      </c>
      <c r="H734" s="75">
        <v>40536</v>
      </c>
      <c r="I734" t="s">
        <v>115</v>
      </c>
      <c r="J734">
        <v>5000</v>
      </c>
      <c r="K734">
        <v>250.798</v>
      </c>
      <c r="L734">
        <v>19.936399999999999</v>
      </c>
      <c r="M734">
        <v>250.798</v>
      </c>
      <c r="N734" t="s">
        <v>15</v>
      </c>
    </row>
    <row r="735" spans="1:14" x14ac:dyDescent="0.2">
      <c r="A735" t="s">
        <v>23</v>
      </c>
      <c r="B735" t="s">
        <v>123</v>
      </c>
      <c r="C735" t="s">
        <v>112</v>
      </c>
      <c r="D735" t="s">
        <v>124</v>
      </c>
      <c r="E735" t="s">
        <v>53</v>
      </c>
      <c r="F735" t="s">
        <v>114</v>
      </c>
      <c r="G735">
        <v>120664</v>
      </c>
      <c r="H735" s="75">
        <v>40566</v>
      </c>
      <c r="I735" t="s">
        <v>115</v>
      </c>
      <c r="J735">
        <v>5000</v>
      </c>
      <c r="K735">
        <v>255.46199999999999</v>
      </c>
      <c r="L735">
        <v>19.572399999999998</v>
      </c>
      <c r="M735">
        <v>506.26</v>
      </c>
      <c r="N735" t="s">
        <v>15</v>
      </c>
    </row>
    <row r="736" spans="1:14" x14ac:dyDescent="0.2">
      <c r="A736" t="s">
        <v>23</v>
      </c>
      <c r="B736" t="s">
        <v>123</v>
      </c>
      <c r="C736" t="s">
        <v>112</v>
      </c>
      <c r="D736" t="s">
        <v>124</v>
      </c>
      <c r="E736" t="s">
        <v>53</v>
      </c>
      <c r="F736" t="s">
        <v>114</v>
      </c>
      <c r="G736">
        <v>120664</v>
      </c>
      <c r="H736" s="75">
        <v>40566</v>
      </c>
      <c r="I736" t="s">
        <v>116</v>
      </c>
      <c r="J736">
        <v>2.5</v>
      </c>
      <c r="K736">
        <v>0</v>
      </c>
      <c r="M736">
        <v>506.26</v>
      </c>
      <c r="N736" t="s">
        <v>17</v>
      </c>
    </row>
    <row r="737" spans="1:14" x14ac:dyDescent="0.2">
      <c r="A737" t="s">
        <v>23</v>
      </c>
      <c r="B737" t="s">
        <v>123</v>
      </c>
      <c r="C737" t="s">
        <v>112</v>
      </c>
      <c r="D737" t="s">
        <v>124</v>
      </c>
      <c r="E737" t="s">
        <v>53</v>
      </c>
      <c r="F737" t="s">
        <v>114</v>
      </c>
      <c r="G737">
        <v>120664</v>
      </c>
      <c r="H737" s="75">
        <v>40596</v>
      </c>
      <c r="I737" t="s">
        <v>115</v>
      </c>
      <c r="J737">
        <v>5000</v>
      </c>
      <c r="K737">
        <v>257.31900000000002</v>
      </c>
      <c r="L737">
        <v>19.431100000000001</v>
      </c>
      <c r="M737">
        <v>763.57899999999995</v>
      </c>
      <c r="N737" t="s">
        <v>15</v>
      </c>
    </row>
    <row r="738" spans="1:14" x14ac:dyDescent="0.2">
      <c r="A738" t="s">
        <v>23</v>
      </c>
      <c r="B738" t="s">
        <v>123</v>
      </c>
      <c r="C738" t="s">
        <v>112</v>
      </c>
      <c r="D738" t="s">
        <v>124</v>
      </c>
      <c r="E738" t="s">
        <v>53</v>
      </c>
      <c r="F738" t="s">
        <v>114</v>
      </c>
      <c r="G738">
        <v>120664</v>
      </c>
      <c r="H738" s="75">
        <v>40626</v>
      </c>
      <c r="I738" t="s">
        <v>115</v>
      </c>
      <c r="J738">
        <v>5000</v>
      </c>
      <c r="K738">
        <v>262.29500000000002</v>
      </c>
      <c r="L738">
        <v>19.0625</v>
      </c>
      <c r="M738">
        <v>1025.875</v>
      </c>
      <c r="N738" t="s">
        <v>15</v>
      </c>
    </row>
    <row r="739" spans="1:14" x14ac:dyDescent="0.2">
      <c r="A739" t="s">
        <v>23</v>
      </c>
      <c r="B739" t="s">
        <v>123</v>
      </c>
      <c r="C739" t="s">
        <v>112</v>
      </c>
      <c r="D739" t="s">
        <v>124</v>
      </c>
      <c r="E739" t="s">
        <v>53</v>
      </c>
      <c r="F739" t="s">
        <v>114</v>
      </c>
      <c r="G739">
        <v>120664</v>
      </c>
      <c r="H739" s="75">
        <v>40656</v>
      </c>
      <c r="I739" t="s">
        <v>115</v>
      </c>
      <c r="J739">
        <v>5000</v>
      </c>
      <c r="K739">
        <v>267.351</v>
      </c>
      <c r="L739">
        <v>18.702000000000002</v>
      </c>
      <c r="M739">
        <v>1293.2260000000001</v>
      </c>
      <c r="N739" t="s">
        <v>15</v>
      </c>
    </row>
    <row r="740" spans="1:14" x14ac:dyDescent="0.2">
      <c r="A740" t="s">
        <v>23</v>
      </c>
      <c r="B740" t="s">
        <v>123</v>
      </c>
      <c r="C740" t="s">
        <v>112</v>
      </c>
      <c r="D740" t="s">
        <v>124</v>
      </c>
      <c r="E740" t="s">
        <v>53</v>
      </c>
      <c r="F740" t="s">
        <v>114</v>
      </c>
      <c r="G740">
        <v>120664</v>
      </c>
      <c r="H740" s="75">
        <v>40686</v>
      </c>
      <c r="I740" t="s">
        <v>115</v>
      </c>
      <c r="J740">
        <v>5000</v>
      </c>
      <c r="K740">
        <v>263.565</v>
      </c>
      <c r="L740">
        <v>18.970600000000001</v>
      </c>
      <c r="M740">
        <v>1556.7919999999999</v>
      </c>
      <c r="N740" t="s">
        <v>15</v>
      </c>
    </row>
    <row r="741" spans="1:14" x14ac:dyDescent="0.2">
      <c r="A741" t="s">
        <v>23</v>
      </c>
      <c r="B741" t="s">
        <v>123</v>
      </c>
      <c r="C741" t="s">
        <v>112</v>
      </c>
      <c r="D741" t="s">
        <v>124</v>
      </c>
      <c r="E741" t="s">
        <v>53</v>
      </c>
      <c r="F741" t="s">
        <v>114</v>
      </c>
      <c r="G741">
        <v>120664</v>
      </c>
      <c r="H741" s="75">
        <v>40716</v>
      </c>
      <c r="I741" t="s">
        <v>115</v>
      </c>
      <c r="J741">
        <v>5000</v>
      </c>
      <c r="K741">
        <v>263.44200000000001</v>
      </c>
      <c r="L741">
        <v>18.979500000000002</v>
      </c>
      <c r="M741">
        <v>1820.2339999999999</v>
      </c>
      <c r="N741" t="s">
        <v>15</v>
      </c>
    </row>
    <row r="742" spans="1:14" x14ac:dyDescent="0.2">
      <c r="A742" t="s">
        <v>23</v>
      </c>
      <c r="B742" t="s">
        <v>123</v>
      </c>
      <c r="C742" t="s">
        <v>112</v>
      </c>
      <c r="D742" t="s">
        <v>124</v>
      </c>
      <c r="E742" t="s">
        <v>53</v>
      </c>
      <c r="F742" t="s">
        <v>114</v>
      </c>
      <c r="G742">
        <v>120664</v>
      </c>
      <c r="H742" s="75">
        <v>40746</v>
      </c>
      <c r="I742" t="s">
        <v>115</v>
      </c>
      <c r="J742">
        <v>5000</v>
      </c>
      <c r="K742">
        <v>268.24400000000003</v>
      </c>
      <c r="L742">
        <v>18.639700000000001</v>
      </c>
      <c r="M742">
        <v>2088.4780000000001</v>
      </c>
      <c r="N742" t="s">
        <v>15</v>
      </c>
    </row>
    <row r="743" spans="1:14" x14ac:dyDescent="0.2">
      <c r="A743" t="s">
        <v>23</v>
      </c>
      <c r="B743" t="s">
        <v>123</v>
      </c>
      <c r="C743" t="s">
        <v>112</v>
      </c>
      <c r="D743" t="s">
        <v>124</v>
      </c>
      <c r="E743" t="s">
        <v>53</v>
      </c>
      <c r="F743" t="s">
        <v>114</v>
      </c>
      <c r="G743">
        <v>120664</v>
      </c>
      <c r="H743" s="75">
        <v>40776</v>
      </c>
      <c r="I743" t="s">
        <v>115</v>
      </c>
      <c r="J743">
        <v>5000</v>
      </c>
      <c r="K743">
        <v>273.279</v>
      </c>
      <c r="L743">
        <v>18.296299999999999</v>
      </c>
      <c r="M743">
        <v>2361.7570000000001</v>
      </c>
      <c r="N743" t="s">
        <v>15</v>
      </c>
    </row>
    <row r="744" spans="1:14" x14ac:dyDescent="0.2">
      <c r="A744" t="s">
        <v>23</v>
      </c>
      <c r="B744" t="s">
        <v>123</v>
      </c>
      <c r="C744" t="s">
        <v>112</v>
      </c>
      <c r="D744" t="s">
        <v>124</v>
      </c>
      <c r="E744" t="s">
        <v>53</v>
      </c>
      <c r="F744" t="s">
        <v>114</v>
      </c>
      <c r="G744">
        <v>120664</v>
      </c>
      <c r="H744" s="75">
        <v>40806</v>
      </c>
      <c r="I744" t="s">
        <v>115</v>
      </c>
      <c r="J744">
        <v>5000</v>
      </c>
      <c r="K744">
        <v>273.06700000000001</v>
      </c>
      <c r="L744">
        <v>18.310500000000001</v>
      </c>
      <c r="M744">
        <v>2634.8240000000001</v>
      </c>
      <c r="N744" t="s">
        <v>15</v>
      </c>
    </row>
    <row r="745" spans="1:14" x14ac:dyDescent="0.2">
      <c r="A745" t="s">
        <v>23</v>
      </c>
      <c r="B745" t="s">
        <v>123</v>
      </c>
      <c r="C745" t="s">
        <v>112</v>
      </c>
      <c r="D745" t="s">
        <v>124</v>
      </c>
      <c r="E745" t="s">
        <v>53</v>
      </c>
      <c r="F745" t="s">
        <v>114</v>
      </c>
      <c r="G745">
        <v>120664</v>
      </c>
      <c r="H745" s="75">
        <v>40806</v>
      </c>
      <c r="I745" t="s">
        <v>116</v>
      </c>
      <c r="J745">
        <v>2.5</v>
      </c>
      <c r="K745">
        <v>0</v>
      </c>
      <c r="M745">
        <v>2634.8240000000001</v>
      </c>
      <c r="N745" t="s">
        <v>17</v>
      </c>
    </row>
    <row r="746" spans="1:14" x14ac:dyDescent="0.2">
      <c r="A746" t="s">
        <v>23</v>
      </c>
      <c r="B746" t="s">
        <v>123</v>
      </c>
      <c r="C746" t="s">
        <v>112</v>
      </c>
      <c r="D746" t="s">
        <v>124</v>
      </c>
      <c r="E746" t="s">
        <v>53</v>
      </c>
      <c r="F746" t="s">
        <v>114</v>
      </c>
      <c r="G746">
        <v>120664</v>
      </c>
      <c r="H746" s="75">
        <v>40836</v>
      </c>
      <c r="I746" t="s">
        <v>115</v>
      </c>
      <c r="J746">
        <v>5000</v>
      </c>
      <c r="K746">
        <v>266.89400000000001</v>
      </c>
      <c r="L746">
        <v>18.734000000000002</v>
      </c>
      <c r="M746">
        <v>2901.7179999999998</v>
      </c>
      <c r="N746" t="s">
        <v>15</v>
      </c>
    </row>
    <row r="747" spans="1:14" x14ac:dyDescent="0.2">
      <c r="A747" t="s">
        <v>23</v>
      </c>
      <c r="B747" t="s">
        <v>123</v>
      </c>
      <c r="C747" t="s">
        <v>112</v>
      </c>
      <c r="D747" t="s">
        <v>124</v>
      </c>
      <c r="E747" t="s">
        <v>53</v>
      </c>
      <c r="F747" t="s">
        <v>114</v>
      </c>
      <c r="G747">
        <v>120664</v>
      </c>
      <c r="H747" s="75">
        <v>40866</v>
      </c>
      <c r="I747" t="s">
        <v>115</v>
      </c>
      <c r="J747">
        <v>5000</v>
      </c>
      <c r="K747">
        <v>267.07600000000002</v>
      </c>
      <c r="L747">
        <v>18.721299999999999</v>
      </c>
      <c r="M747">
        <v>3168.7939999999999</v>
      </c>
      <c r="N747" t="s">
        <v>15</v>
      </c>
    </row>
    <row r="748" spans="1:14" x14ac:dyDescent="0.2">
      <c r="A748" t="s">
        <v>23</v>
      </c>
      <c r="B748" t="s">
        <v>123</v>
      </c>
      <c r="C748" t="s">
        <v>112</v>
      </c>
      <c r="D748" t="s">
        <v>124</v>
      </c>
      <c r="E748" t="s">
        <v>53</v>
      </c>
      <c r="F748" t="s">
        <v>114</v>
      </c>
      <c r="G748">
        <v>120664</v>
      </c>
      <c r="H748" s="75">
        <v>40896</v>
      </c>
      <c r="I748" t="s">
        <v>115</v>
      </c>
      <c r="J748">
        <v>5000</v>
      </c>
      <c r="K748">
        <v>266.53399999999999</v>
      </c>
      <c r="L748">
        <v>18.7593</v>
      </c>
      <c r="M748">
        <v>3435.328</v>
      </c>
      <c r="N748" t="s">
        <v>15</v>
      </c>
    </row>
    <row r="749" spans="1:14" x14ac:dyDescent="0.2">
      <c r="A749" t="s">
        <v>23</v>
      </c>
      <c r="B749" t="s">
        <v>123</v>
      </c>
      <c r="C749" t="s">
        <v>112</v>
      </c>
      <c r="D749" t="s">
        <v>124</v>
      </c>
      <c r="E749" t="s">
        <v>53</v>
      </c>
      <c r="F749" t="s">
        <v>114</v>
      </c>
      <c r="G749">
        <v>120664</v>
      </c>
      <c r="H749" s="75">
        <v>40926</v>
      </c>
      <c r="I749" t="s">
        <v>115</v>
      </c>
      <c r="J749">
        <v>5000</v>
      </c>
      <c r="K749">
        <v>268.27999999999997</v>
      </c>
      <c r="L749">
        <v>18.6373</v>
      </c>
      <c r="M749">
        <v>3703.6080000000002</v>
      </c>
      <c r="N749" t="s">
        <v>15</v>
      </c>
    </row>
    <row r="750" spans="1:14" x14ac:dyDescent="0.2">
      <c r="A750" t="s">
        <v>23</v>
      </c>
      <c r="B750" t="s">
        <v>123</v>
      </c>
      <c r="C750" t="s">
        <v>112</v>
      </c>
      <c r="D750" t="s">
        <v>124</v>
      </c>
      <c r="E750" t="s">
        <v>53</v>
      </c>
      <c r="F750" t="s">
        <v>114</v>
      </c>
      <c r="G750">
        <v>120664</v>
      </c>
      <c r="H750" s="75">
        <v>40956</v>
      </c>
      <c r="I750" t="s">
        <v>115</v>
      </c>
      <c r="J750">
        <v>5000</v>
      </c>
      <c r="K750">
        <v>263.10399999999998</v>
      </c>
      <c r="L750">
        <v>19.003900000000002</v>
      </c>
      <c r="M750">
        <v>3966.712</v>
      </c>
      <c r="N750" t="s">
        <v>15</v>
      </c>
    </row>
    <row r="751" spans="1:14" x14ac:dyDescent="0.2">
      <c r="A751" t="s">
        <v>23</v>
      </c>
      <c r="B751" t="s">
        <v>123</v>
      </c>
      <c r="C751" t="s">
        <v>112</v>
      </c>
      <c r="D751" t="s">
        <v>124</v>
      </c>
      <c r="E751" t="s">
        <v>53</v>
      </c>
      <c r="F751" t="s">
        <v>114</v>
      </c>
      <c r="G751">
        <v>120664</v>
      </c>
      <c r="H751" s="75">
        <v>40986</v>
      </c>
      <c r="I751" t="s">
        <v>115</v>
      </c>
      <c r="J751">
        <v>5000</v>
      </c>
      <c r="K751">
        <v>264.21199999999999</v>
      </c>
      <c r="L751">
        <v>18.924199999999999</v>
      </c>
      <c r="M751">
        <v>4230.9250000000002</v>
      </c>
      <c r="N751" t="s">
        <v>15</v>
      </c>
    </row>
    <row r="752" spans="1:14" x14ac:dyDescent="0.2">
      <c r="A752" t="s">
        <v>23</v>
      </c>
      <c r="B752" t="s">
        <v>123</v>
      </c>
      <c r="C752" t="s">
        <v>112</v>
      </c>
      <c r="D752" t="s">
        <v>124</v>
      </c>
      <c r="E752" t="s">
        <v>53</v>
      </c>
      <c r="F752" t="s">
        <v>114</v>
      </c>
      <c r="G752">
        <v>120664</v>
      </c>
      <c r="H752" s="75">
        <v>41016</v>
      </c>
      <c r="I752" t="s">
        <v>115</v>
      </c>
      <c r="J752">
        <v>5000</v>
      </c>
      <c r="K752">
        <v>258.87</v>
      </c>
      <c r="L752">
        <v>19.314699999999998</v>
      </c>
      <c r="M752">
        <v>4489.7939999999999</v>
      </c>
      <c r="N752" t="s">
        <v>15</v>
      </c>
    </row>
    <row r="753" spans="1:15" x14ac:dyDescent="0.2">
      <c r="A753" t="s">
        <v>23</v>
      </c>
      <c r="B753" t="s">
        <v>123</v>
      </c>
      <c r="C753" t="s">
        <v>112</v>
      </c>
      <c r="D753" t="s">
        <v>124</v>
      </c>
      <c r="E753" t="s">
        <v>53</v>
      </c>
      <c r="F753" t="s">
        <v>114</v>
      </c>
      <c r="G753">
        <v>120664</v>
      </c>
      <c r="H753" s="75">
        <v>41016</v>
      </c>
      <c r="I753" t="s">
        <v>116</v>
      </c>
      <c r="J753">
        <v>2.5</v>
      </c>
      <c r="K753">
        <v>0</v>
      </c>
      <c r="M753">
        <v>4489.7939999999999</v>
      </c>
      <c r="N753" t="s">
        <v>17</v>
      </c>
    </row>
    <row r="754" spans="1:15" x14ac:dyDescent="0.2">
      <c r="A754" t="s">
        <v>23</v>
      </c>
      <c r="B754" t="s">
        <v>123</v>
      </c>
      <c r="C754" t="s">
        <v>112</v>
      </c>
      <c r="D754" t="s">
        <v>124</v>
      </c>
      <c r="E754" t="s">
        <v>53</v>
      </c>
      <c r="F754" t="s">
        <v>114</v>
      </c>
      <c r="G754">
        <v>120664</v>
      </c>
      <c r="H754" s="75">
        <v>41016</v>
      </c>
      <c r="I754" t="s">
        <v>118</v>
      </c>
      <c r="J754">
        <v>2244.9</v>
      </c>
      <c r="K754">
        <v>0</v>
      </c>
      <c r="M754">
        <v>4489.7939999999999</v>
      </c>
      <c r="N754" t="s">
        <v>19</v>
      </c>
      <c r="O754">
        <v>2244.9</v>
      </c>
    </row>
    <row r="755" spans="1:15" x14ac:dyDescent="0.2">
      <c r="A755" t="s">
        <v>23</v>
      </c>
      <c r="B755" t="s">
        <v>123</v>
      </c>
      <c r="C755" t="s">
        <v>112</v>
      </c>
      <c r="D755" t="s">
        <v>124</v>
      </c>
      <c r="E755" t="s">
        <v>53</v>
      </c>
      <c r="F755" t="s">
        <v>114</v>
      </c>
      <c r="G755">
        <v>120664</v>
      </c>
      <c r="H755" s="75">
        <v>41046</v>
      </c>
      <c r="I755" t="s">
        <v>115</v>
      </c>
      <c r="J755">
        <v>5000</v>
      </c>
      <c r="K755">
        <v>262.66399999999999</v>
      </c>
      <c r="L755">
        <v>19.035799999999998</v>
      </c>
      <c r="M755">
        <v>4752.4579999999996</v>
      </c>
      <c r="N755" t="s">
        <v>15</v>
      </c>
    </row>
    <row r="756" spans="1:15" x14ac:dyDescent="0.2">
      <c r="A756" t="s">
        <v>23</v>
      </c>
      <c r="B756" t="s">
        <v>123</v>
      </c>
      <c r="C756" t="s">
        <v>112</v>
      </c>
      <c r="D756" t="s">
        <v>124</v>
      </c>
      <c r="E756" t="s">
        <v>53</v>
      </c>
      <c r="F756" t="s">
        <v>114</v>
      </c>
      <c r="G756">
        <v>120664</v>
      </c>
      <c r="H756" s="75">
        <v>41076</v>
      </c>
      <c r="I756" t="s">
        <v>115</v>
      </c>
      <c r="J756">
        <v>5000</v>
      </c>
      <c r="K756">
        <v>267.74299999999999</v>
      </c>
      <c r="L756">
        <v>18.674600000000002</v>
      </c>
      <c r="M756">
        <v>5020.201</v>
      </c>
      <c r="N756" t="s">
        <v>15</v>
      </c>
    </row>
    <row r="757" spans="1:15" x14ac:dyDescent="0.2">
      <c r="A757" t="s">
        <v>23</v>
      </c>
      <c r="B757" t="s">
        <v>123</v>
      </c>
      <c r="C757" t="s">
        <v>112</v>
      </c>
      <c r="D757" t="s">
        <v>124</v>
      </c>
      <c r="E757" t="s">
        <v>53</v>
      </c>
      <c r="F757" t="s">
        <v>114</v>
      </c>
      <c r="G757">
        <v>120664</v>
      </c>
      <c r="H757" s="75">
        <v>41106</v>
      </c>
      <c r="I757" t="s">
        <v>115</v>
      </c>
      <c r="J757">
        <v>5000</v>
      </c>
      <c r="K757">
        <v>260.05</v>
      </c>
      <c r="L757">
        <v>19.2271</v>
      </c>
      <c r="M757">
        <v>5280.2510000000002</v>
      </c>
      <c r="N757" t="s">
        <v>15</v>
      </c>
    </row>
    <row r="758" spans="1:15" x14ac:dyDescent="0.2">
      <c r="A758" t="s">
        <v>23</v>
      </c>
      <c r="B758" t="s">
        <v>123</v>
      </c>
      <c r="C758" t="s">
        <v>112</v>
      </c>
      <c r="D758" t="s">
        <v>124</v>
      </c>
      <c r="E758" t="s">
        <v>53</v>
      </c>
      <c r="F758" t="s">
        <v>114</v>
      </c>
      <c r="G758">
        <v>120664</v>
      </c>
      <c r="H758" s="75">
        <v>41106</v>
      </c>
      <c r="I758" t="s">
        <v>118</v>
      </c>
      <c r="J758">
        <v>2640.13</v>
      </c>
      <c r="K758">
        <v>0</v>
      </c>
      <c r="M758">
        <v>5280.2510000000002</v>
      </c>
      <c r="N758" t="s">
        <v>19</v>
      </c>
      <c r="O758">
        <v>2640.13</v>
      </c>
    </row>
    <row r="759" spans="1:15" x14ac:dyDescent="0.2">
      <c r="A759" t="s">
        <v>23</v>
      </c>
      <c r="B759" t="s">
        <v>123</v>
      </c>
      <c r="C759" t="s">
        <v>112</v>
      </c>
      <c r="D759" t="s">
        <v>124</v>
      </c>
      <c r="E759" t="s">
        <v>53</v>
      </c>
      <c r="F759" t="s">
        <v>114</v>
      </c>
      <c r="G759">
        <v>120664</v>
      </c>
      <c r="H759" s="75">
        <v>41136</v>
      </c>
      <c r="I759" t="s">
        <v>115</v>
      </c>
      <c r="J759">
        <v>5000</v>
      </c>
      <c r="K759">
        <v>262.66699999999997</v>
      </c>
      <c r="L759">
        <v>19.035499999999999</v>
      </c>
      <c r="M759">
        <v>5542.9179999999997</v>
      </c>
      <c r="N759" t="s">
        <v>15</v>
      </c>
    </row>
    <row r="760" spans="1:15" x14ac:dyDescent="0.2">
      <c r="A760" t="s">
        <v>23</v>
      </c>
      <c r="B760" t="s">
        <v>123</v>
      </c>
      <c r="C760" t="s">
        <v>112</v>
      </c>
      <c r="D760" t="s">
        <v>124</v>
      </c>
      <c r="E760" t="s">
        <v>53</v>
      </c>
      <c r="F760" t="s">
        <v>114</v>
      </c>
      <c r="G760">
        <v>120664</v>
      </c>
      <c r="H760" s="75">
        <v>41166</v>
      </c>
      <c r="I760" t="s">
        <v>115</v>
      </c>
      <c r="J760">
        <v>5000</v>
      </c>
      <c r="K760">
        <v>258.95</v>
      </c>
      <c r="L760">
        <v>19.308700000000002</v>
      </c>
      <c r="M760">
        <v>5801.8680000000004</v>
      </c>
      <c r="N760" t="s">
        <v>15</v>
      </c>
    </row>
    <row r="761" spans="1:15" x14ac:dyDescent="0.2">
      <c r="A761" t="s">
        <v>23</v>
      </c>
      <c r="B761" t="s">
        <v>123</v>
      </c>
      <c r="C761" t="s">
        <v>112</v>
      </c>
      <c r="D761" t="s">
        <v>124</v>
      </c>
      <c r="E761" t="s">
        <v>53</v>
      </c>
      <c r="F761" t="s">
        <v>114</v>
      </c>
      <c r="G761">
        <v>120664</v>
      </c>
      <c r="H761" s="75">
        <v>41196</v>
      </c>
      <c r="I761" t="s">
        <v>115</v>
      </c>
      <c r="J761">
        <v>5000</v>
      </c>
      <c r="K761">
        <v>257.58699999999999</v>
      </c>
      <c r="L761">
        <v>19.410900000000002</v>
      </c>
      <c r="M761">
        <v>6059.4549999999999</v>
      </c>
      <c r="N761" t="s">
        <v>15</v>
      </c>
    </row>
    <row r="762" spans="1:15" x14ac:dyDescent="0.2">
      <c r="A762" t="s">
        <v>23</v>
      </c>
      <c r="B762" t="s">
        <v>123</v>
      </c>
      <c r="C762" t="s">
        <v>112</v>
      </c>
      <c r="D762" t="s">
        <v>124</v>
      </c>
      <c r="E762" t="s">
        <v>53</v>
      </c>
      <c r="F762" t="s">
        <v>114</v>
      </c>
      <c r="G762">
        <v>120664</v>
      </c>
      <c r="H762" s="75">
        <v>41196</v>
      </c>
      <c r="I762" t="s">
        <v>118</v>
      </c>
      <c r="J762">
        <v>3029.73</v>
      </c>
      <c r="K762">
        <v>0</v>
      </c>
      <c r="M762">
        <v>6059.4549999999999</v>
      </c>
      <c r="N762" t="s">
        <v>19</v>
      </c>
      <c r="O762">
        <v>3029.73</v>
      </c>
    </row>
    <row r="763" spans="1:15" x14ac:dyDescent="0.2">
      <c r="A763" t="s">
        <v>23</v>
      </c>
      <c r="B763" t="s">
        <v>123</v>
      </c>
      <c r="C763" t="s">
        <v>112</v>
      </c>
      <c r="D763" t="s">
        <v>124</v>
      </c>
      <c r="E763" t="s">
        <v>53</v>
      </c>
      <c r="F763" t="s">
        <v>114</v>
      </c>
      <c r="G763">
        <v>120664</v>
      </c>
      <c r="H763" s="75">
        <v>41226</v>
      </c>
      <c r="I763" t="s">
        <v>115</v>
      </c>
      <c r="J763">
        <v>5000</v>
      </c>
      <c r="K763">
        <v>252.65199999999999</v>
      </c>
      <c r="L763">
        <v>19.790099999999999</v>
      </c>
      <c r="M763">
        <v>6312.1059999999998</v>
      </c>
      <c r="N763" t="s">
        <v>15</v>
      </c>
    </row>
    <row r="764" spans="1:15" x14ac:dyDescent="0.2">
      <c r="A764" t="s">
        <v>23</v>
      </c>
      <c r="B764" t="s">
        <v>123</v>
      </c>
      <c r="C764" t="s">
        <v>112</v>
      </c>
      <c r="D764" t="s">
        <v>124</v>
      </c>
      <c r="E764" t="s">
        <v>53</v>
      </c>
      <c r="F764" t="s">
        <v>114</v>
      </c>
      <c r="G764">
        <v>120664</v>
      </c>
      <c r="H764" s="75">
        <v>41226</v>
      </c>
      <c r="I764" t="s">
        <v>116</v>
      </c>
      <c r="J764">
        <v>2.5</v>
      </c>
      <c r="K764">
        <v>0</v>
      </c>
      <c r="M764">
        <v>6312.1059999999998</v>
      </c>
      <c r="N764" t="s">
        <v>17</v>
      </c>
    </row>
    <row r="765" spans="1:15" x14ac:dyDescent="0.2">
      <c r="A765" t="s">
        <v>23</v>
      </c>
      <c r="B765" t="s">
        <v>123</v>
      </c>
      <c r="C765" t="s">
        <v>112</v>
      </c>
      <c r="D765" t="s">
        <v>124</v>
      </c>
      <c r="E765" t="s">
        <v>53</v>
      </c>
      <c r="F765" t="s">
        <v>114</v>
      </c>
      <c r="G765">
        <v>120664</v>
      </c>
      <c r="H765" s="75">
        <v>41256</v>
      </c>
      <c r="I765" t="s">
        <v>115</v>
      </c>
      <c r="J765">
        <v>5000</v>
      </c>
      <c r="K765">
        <v>247.381</v>
      </c>
      <c r="L765">
        <v>20.2117</v>
      </c>
      <c r="M765">
        <v>6559.4880000000003</v>
      </c>
      <c r="N765" t="s">
        <v>15</v>
      </c>
    </row>
    <row r="766" spans="1:15" x14ac:dyDescent="0.2">
      <c r="A766" t="s">
        <v>23</v>
      </c>
      <c r="B766" t="s">
        <v>123</v>
      </c>
      <c r="C766" t="s">
        <v>112</v>
      </c>
      <c r="D766" t="s">
        <v>124</v>
      </c>
      <c r="E766" t="s">
        <v>53</v>
      </c>
      <c r="F766" t="s">
        <v>114</v>
      </c>
      <c r="G766">
        <v>120664</v>
      </c>
      <c r="H766" s="75">
        <v>41286</v>
      </c>
      <c r="I766" t="s">
        <v>115</v>
      </c>
      <c r="J766">
        <v>5000</v>
      </c>
      <c r="K766">
        <v>245.84100000000001</v>
      </c>
      <c r="L766">
        <v>20.3383</v>
      </c>
      <c r="M766">
        <v>6805.3289999999997</v>
      </c>
      <c r="N766" t="s">
        <v>15</v>
      </c>
    </row>
    <row r="767" spans="1:15" x14ac:dyDescent="0.2">
      <c r="A767" t="s">
        <v>23</v>
      </c>
      <c r="B767" t="s">
        <v>123</v>
      </c>
      <c r="C767" t="s">
        <v>112</v>
      </c>
      <c r="D767" t="s">
        <v>124</v>
      </c>
      <c r="E767" t="s">
        <v>53</v>
      </c>
      <c r="F767" t="s">
        <v>114</v>
      </c>
      <c r="G767">
        <v>120664</v>
      </c>
      <c r="H767" s="75">
        <v>41316</v>
      </c>
      <c r="I767" t="s">
        <v>115</v>
      </c>
      <c r="J767">
        <v>5000</v>
      </c>
      <c r="K767">
        <v>243.024</v>
      </c>
      <c r="L767">
        <v>20.574100000000001</v>
      </c>
      <c r="M767">
        <v>7048.3530000000001</v>
      </c>
      <c r="N767" t="s">
        <v>15</v>
      </c>
    </row>
    <row r="768" spans="1:15" x14ac:dyDescent="0.2">
      <c r="A768" t="s">
        <v>23</v>
      </c>
      <c r="B768" t="s">
        <v>123</v>
      </c>
      <c r="C768" t="s">
        <v>112</v>
      </c>
      <c r="D768" t="s">
        <v>124</v>
      </c>
      <c r="E768" t="s">
        <v>53</v>
      </c>
      <c r="F768" t="s">
        <v>114</v>
      </c>
      <c r="G768">
        <v>120664</v>
      </c>
      <c r="H768" s="75">
        <v>41346</v>
      </c>
      <c r="I768" t="s">
        <v>115</v>
      </c>
      <c r="J768">
        <v>5000</v>
      </c>
      <c r="K768">
        <v>244.03299999999999</v>
      </c>
      <c r="L768">
        <v>20.489100000000001</v>
      </c>
      <c r="M768">
        <v>7292.3850000000002</v>
      </c>
      <c r="N768" t="s">
        <v>15</v>
      </c>
    </row>
    <row r="769" spans="1:14" x14ac:dyDescent="0.2">
      <c r="A769" t="s">
        <v>23</v>
      </c>
      <c r="B769" t="s">
        <v>123</v>
      </c>
      <c r="C769" t="s">
        <v>112</v>
      </c>
      <c r="D769" t="s">
        <v>124</v>
      </c>
      <c r="E769" t="s">
        <v>53</v>
      </c>
      <c r="F769" t="s">
        <v>114</v>
      </c>
      <c r="G769">
        <v>120664</v>
      </c>
      <c r="H769" s="75">
        <v>41376</v>
      </c>
      <c r="I769" t="s">
        <v>115</v>
      </c>
      <c r="J769">
        <v>5000</v>
      </c>
      <c r="K769">
        <v>243.506</v>
      </c>
      <c r="L769">
        <v>20.533300000000001</v>
      </c>
      <c r="M769">
        <v>7535.8919999999998</v>
      </c>
      <c r="N769" t="s">
        <v>15</v>
      </c>
    </row>
    <row r="770" spans="1:14" x14ac:dyDescent="0.2">
      <c r="A770" t="s">
        <v>23</v>
      </c>
      <c r="B770" t="s">
        <v>123</v>
      </c>
      <c r="C770" t="s">
        <v>112</v>
      </c>
      <c r="D770" t="s">
        <v>124</v>
      </c>
      <c r="E770" t="s">
        <v>53</v>
      </c>
      <c r="F770" t="s">
        <v>114</v>
      </c>
      <c r="G770">
        <v>120664</v>
      </c>
      <c r="H770" s="75">
        <v>41406</v>
      </c>
      <c r="I770" t="s">
        <v>115</v>
      </c>
      <c r="J770">
        <v>5000</v>
      </c>
      <c r="K770">
        <v>240.71299999999999</v>
      </c>
      <c r="L770">
        <v>20.771599999999999</v>
      </c>
      <c r="M770">
        <v>7776.6049999999996</v>
      </c>
      <c r="N770" t="s">
        <v>15</v>
      </c>
    </row>
    <row r="771" spans="1:14" x14ac:dyDescent="0.2">
      <c r="A771" t="s">
        <v>23</v>
      </c>
      <c r="B771" t="s">
        <v>123</v>
      </c>
      <c r="C771" t="s">
        <v>112</v>
      </c>
      <c r="D771" t="s">
        <v>124</v>
      </c>
      <c r="E771" t="s">
        <v>53</v>
      </c>
      <c r="F771" t="s">
        <v>114</v>
      </c>
      <c r="G771">
        <v>120664</v>
      </c>
      <c r="H771" s="75">
        <v>41436</v>
      </c>
      <c r="I771" t="s">
        <v>115</v>
      </c>
      <c r="J771">
        <v>5000</v>
      </c>
      <c r="K771">
        <v>236.905</v>
      </c>
      <c r="L771">
        <v>21.105499999999999</v>
      </c>
      <c r="M771">
        <v>8013.51</v>
      </c>
      <c r="N771" t="s">
        <v>15</v>
      </c>
    </row>
    <row r="772" spans="1:14" x14ac:dyDescent="0.2">
      <c r="A772" t="s">
        <v>23</v>
      </c>
      <c r="B772" t="s">
        <v>123</v>
      </c>
      <c r="C772" t="s">
        <v>112</v>
      </c>
      <c r="D772" t="s">
        <v>124</v>
      </c>
      <c r="E772" t="s">
        <v>53</v>
      </c>
      <c r="F772" t="s">
        <v>114</v>
      </c>
      <c r="G772">
        <v>120664</v>
      </c>
      <c r="H772" s="75">
        <v>41466</v>
      </c>
      <c r="I772" t="s">
        <v>115</v>
      </c>
      <c r="J772">
        <v>5000</v>
      </c>
      <c r="K772">
        <v>237.15299999999999</v>
      </c>
      <c r="L772">
        <v>21.083400000000001</v>
      </c>
      <c r="M772">
        <v>8250.6630000000005</v>
      </c>
      <c r="N772" t="s">
        <v>15</v>
      </c>
    </row>
    <row r="773" spans="1:14" x14ac:dyDescent="0.2">
      <c r="A773" t="s">
        <v>23</v>
      </c>
      <c r="B773" t="s">
        <v>123</v>
      </c>
      <c r="C773" t="s">
        <v>112</v>
      </c>
      <c r="D773" t="s">
        <v>124</v>
      </c>
      <c r="E773" t="s">
        <v>53</v>
      </c>
      <c r="F773" t="s">
        <v>114</v>
      </c>
      <c r="G773">
        <v>120664</v>
      </c>
      <c r="H773" s="75">
        <v>41496</v>
      </c>
      <c r="I773" t="s">
        <v>115</v>
      </c>
      <c r="J773">
        <v>5000</v>
      </c>
      <c r="K773">
        <v>239.91800000000001</v>
      </c>
      <c r="L773">
        <v>20.840499999999999</v>
      </c>
      <c r="M773">
        <v>8490.5810000000001</v>
      </c>
      <c r="N773" t="s">
        <v>15</v>
      </c>
    </row>
    <row r="774" spans="1:14" x14ac:dyDescent="0.2">
      <c r="A774" t="s">
        <v>23</v>
      </c>
      <c r="B774" t="s">
        <v>123</v>
      </c>
      <c r="C774" t="s">
        <v>112</v>
      </c>
      <c r="D774" t="s">
        <v>124</v>
      </c>
      <c r="E774" t="s">
        <v>53</v>
      </c>
      <c r="F774" t="s">
        <v>114</v>
      </c>
      <c r="G774">
        <v>120664</v>
      </c>
      <c r="H774" s="75">
        <v>41496</v>
      </c>
      <c r="I774" t="s">
        <v>117</v>
      </c>
      <c r="J774">
        <v>2.5</v>
      </c>
      <c r="K774">
        <v>0</v>
      </c>
      <c r="M774">
        <v>8490.5810000000001</v>
      </c>
      <c r="N774" t="s">
        <v>46</v>
      </c>
    </row>
    <row r="775" spans="1:14" x14ac:dyDescent="0.2">
      <c r="A775" t="s">
        <v>23</v>
      </c>
      <c r="B775" t="s">
        <v>123</v>
      </c>
      <c r="C775" t="s">
        <v>112</v>
      </c>
      <c r="D775" t="s">
        <v>124</v>
      </c>
      <c r="E775" t="s">
        <v>53</v>
      </c>
      <c r="F775" t="s">
        <v>114</v>
      </c>
      <c r="G775">
        <v>120664</v>
      </c>
      <c r="H775" s="75">
        <v>41526</v>
      </c>
      <c r="I775" t="s">
        <v>115</v>
      </c>
      <c r="J775">
        <v>5000</v>
      </c>
      <c r="K775">
        <v>243.50700000000001</v>
      </c>
      <c r="L775">
        <v>20.533300000000001</v>
      </c>
      <c r="M775">
        <v>8734.0879999999997</v>
      </c>
      <c r="N775" t="s">
        <v>15</v>
      </c>
    </row>
    <row r="776" spans="1:14" x14ac:dyDescent="0.2">
      <c r="A776" t="s">
        <v>23</v>
      </c>
      <c r="B776" t="s">
        <v>123</v>
      </c>
      <c r="C776" t="s">
        <v>112</v>
      </c>
      <c r="D776" t="s">
        <v>124</v>
      </c>
      <c r="E776" t="s">
        <v>53</v>
      </c>
      <c r="F776" t="s">
        <v>114</v>
      </c>
      <c r="G776">
        <v>120664</v>
      </c>
      <c r="H776" s="75">
        <v>41556</v>
      </c>
      <c r="I776" t="s">
        <v>115</v>
      </c>
      <c r="J776">
        <v>5000</v>
      </c>
      <c r="K776">
        <v>241.95099999999999</v>
      </c>
      <c r="L776">
        <v>20.665400000000002</v>
      </c>
      <c r="M776">
        <v>8976.0390000000007</v>
      </c>
      <c r="N776" t="s">
        <v>15</v>
      </c>
    </row>
    <row r="777" spans="1:14" x14ac:dyDescent="0.2">
      <c r="A777" t="s">
        <v>23</v>
      </c>
      <c r="B777" t="s">
        <v>123</v>
      </c>
      <c r="C777" t="s">
        <v>112</v>
      </c>
      <c r="D777" t="s">
        <v>124</v>
      </c>
      <c r="E777" t="s">
        <v>53</v>
      </c>
      <c r="F777" t="s">
        <v>114</v>
      </c>
      <c r="G777">
        <v>120664</v>
      </c>
      <c r="H777" s="75">
        <v>41556</v>
      </c>
      <c r="I777" t="s">
        <v>116</v>
      </c>
      <c r="J777">
        <v>2.5</v>
      </c>
      <c r="K777">
        <v>0</v>
      </c>
      <c r="M777">
        <v>8976.0390000000007</v>
      </c>
      <c r="N777" t="s">
        <v>17</v>
      </c>
    </row>
    <row r="778" spans="1:14" x14ac:dyDescent="0.2">
      <c r="A778" t="s">
        <v>23</v>
      </c>
      <c r="B778" t="s">
        <v>123</v>
      </c>
      <c r="C778" t="s">
        <v>112</v>
      </c>
      <c r="D778" t="s">
        <v>124</v>
      </c>
      <c r="E778" t="s">
        <v>53</v>
      </c>
      <c r="F778" t="s">
        <v>114</v>
      </c>
      <c r="G778">
        <v>120664</v>
      </c>
      <c r="H778" s="75">
        <v>41586</v>
      </c>
      <c r="I778" t="s">
        <v>115</v>
      </c>
      <c r="J778">
        <v>5000</v>
      </c>
      <c r="K778">
        <v>237.92400000000001</v>
      </c>
      <c r="L778">
        <v>21.0151</v>
      </c>
      <c r="M778">
        <v>9213.9629999999997</v>
      </c>
      <c r="N778" t="s">
        <v>15</v>
      </c>
    </row>
    <row r="779" spans="1:14" x14ac:dyDescent="0.2">
      <c r="A779" t="s">
        <v>23</v>
      </c>
      <c r="B779" t="s">
        <v>123</v>
      </c>
      <c r="C779" t="s">
        <v>112</v>
      </c>
      <c r="D779" t="s">
        <v>124</v>
      </c>
      <c r="E779" t="s">
        <v>53</v>
      </c>
      <c r="F779" t="s">
        <v>114</v>
      </c>
      <c r="G779">
        <v>120664</v>
      </c>
      <c r="H779" s="75">
        <v>41616</v>
      </c>
      <c r="I779" t="s">
        <v>115</v>
      </c>
      <c r="J779">
        <v>5000</v>
      </c>
      <c r="K779">
        <v>240.53899999999999</v>
      </c>
      <c r="L779">
        <v>20.7867</v>
      </c>
      <c r="M779">
        <v>9454.5010000000002</v>
      </c>
      <c r="N779" t="s">
        <v>15</v>
      </c>
    </row>
    <row r="780" spans="1:14" x14ac:dyDescent="0.2">
      <c r="A780" t="s">
        <v>23</v>
      </c>
      <c r="B780" t="s">
        <v>123</v>
      </c>
      <c r="C780" t="s">
        <v>112</v>
      </c>
      <c r="D780" t="s">
        <v>124</v>
      </c>
      <c r="E780" t="s">
        <v>53</v>
      </c>
      <c r="F780" t="s">
        <v>114</v>
      </c>
      <c r="G780">
        <v>120664</v>
      </c>
      <c r="H780" s="75">
        <v>41646</v>
      </c>
      <c r="I780" t="s">
        <v>115</v>
      </c>
      <c r="J780">
        <v>5000</v>
      </c>
      <c r="K780">
        <v>245.19800000000001</v>
      </c>
      <c r="L780">
        <v>20.3917</v>
      </c>
      <c r="M780">
        <v>9699.6990000000005</v>
      </c>
      <c r="N780" t="s">
        <v>15</v>
      </c>
    </row>
    <row r="781" spans="1:14" x14ac:dyDescent="0.2">
      <c r="A781" t="s">
        <v>23</v>
      </c>
      <c r="B781" t="s">
        <v>123</v>
      </c>
      <c r="C781" t="s">
        <v>112</v>
      </c>
      <c r="D781" t="s">
        <v>124</v>
      </c>
      <c r="E781" t="s">
        <v>53</v>
      </c>
      <c r="F781" t="s">
        <v>114</v>
      </c>
      <c r="G781">
        <v>120664</v>
      </c>
      <c r="H781" s="75">
        <v>41676</v>
      </c>
      <c r="I781" t="s">
        <v>115</v>
      </c>
      <c r="J781">
        <v>5000</v>
      </c>
      <c r="K781">
        <v>241.542</v>
      </c>
      <c r="L781">
        <v>20.700299999999999</v>
      </c>
      <c r="M781">
        <v>9941.2420000000002</v>
      </c>
      <c r="N781" t="s">
        <v>15</v>
      </c>
    </row>
    <row r="782" spans="1:14" x14ac:dyDescent="0.2">
      <c r="A782" t="s">
        <v>23</v>
      </c>
      <c r="B782" t="s">
        <v>123</v>
      </c>
      <c r="C782" t="s">
        <v>112</v>
      </c>
      <c r="D782" t="s">
        <v>124</v>
      </c>
      <c r="E782" t="s">
        <v>53</v>
      </c>
      <c r="F782" t="s">
        <v>114</v>
      </c>
      <c r="G782">
        <v>120664</v>
      </c>
      <c r="H782" s="75">
        <v>41706</v>
      </c>
      <c r="I782" t="s">
        <v>115</v>
      </c>
      <c r="J782">
        <v>5000</v>
      </c>
      <c r="K782">
        <v>245.91800000000001</v>
      </c>
      <c r="L782">
        <v>20.332000000000001</v>
      </c>
      <c r="M782">
        <v>10187.16</v>
      </c>
      <c r="N782" t="s">
        <v>15</v>
      </c>
    </row>
    <row r="783" spans="1:14" x14ac:dyDescent="0.2">
      <c r="A783" t="s">
        <v>23</v>
      </c>
      <c r="B783" t="s">
        <v>123</v>
      </c>
      <c r="C783" t="s">
        <v>112</v>
      </c>
      <c r="D783" t="s">
        <v>124</v>
      </c>
      <c r="E783" t="s">
        <v>53</v>
      </c>
      <c r="F783" t="s">
        <v>114</v>
      </c>
      <c r="G783">
        <v>120664</v>
      </c>
      <c r="H783" s="75">
        <v>41736</v>
      </c>
      <c r="I783" t="s">
        <v>115</v>
      </c>
      <c r="J783">
        <v>5000</v>
      </c>
      <c r="K783">
        <v>243.64500000000001</v>
      </c>
      <c r="L783">
        <v>20.521699999999999</v>
      </c>
      <c r="M783">
        <v>10430.805</v>
      </c>
      <c r="N783" t="s">
        <v>15</v>
      </c>
    </row>
    <row r="784" spans="1:14" x14ac:dyDescent="0.2">
      <c r="A784" t="s">
        <v>23</v>
      </c>
      <c r="B784" t="s">
        <v>123</v>
      </c>
      <c r="C784" t="s">
        <v>112</v>
      </c>
      <c r="D784" t="s">
        <v>124</v>
      </c>
      <c r="E784" t="s">
        <v>53</v>
      </c>
      <c r="F784" t="s">
        <v>114</v>
      </c>
      <c r="G784">
        <v>120664</v>
      </c>
      <c r="H784" s="75">
        <v>41736</v>
      </c>
      <c r="I784" t="s">
        <v>25</v>
      </c>
      <c r="J784">
        <v>-42811.51</v>
      </c>
      <c r="K784">
        <v>-2086.1610000000001</v>
      </c>
      <c r="L784">
        <v>20.521699999999999</v>
      </c>
      <c r="M784">
        <v>8344.6440000000002</v>
      </c>
      <c r="N784" t="s">
        <v>16</v>
      </c>
    </row>
    <row r="785" spans="1:15" x14ac:dyDescent="0.2">
      <c r="A785" t="s">
        <v>23</v>
      </c>
      <c r="B785" t="s">
        <v>123</v>
      </c>
      <c r="C785" t="s">
        <v>112</v>
      </c>
      <c r="D785" t="s">
        <v>124</v>
      </c>
      <c r="E785" t="s">
        <v>53</v>
      </c>
      <c r="F785" t="s">
        <v>114</v>
      </c>
      <c r="G785">
        <v>120664</v>
      </c>
      <c r="H785" s="75">
        <v>41766</v>
      </c>
      <c r="I785" t="s">
        <v>115</v>
      </c>
      <c r="J785">
        <v>5000</v>
      </c>
      <c r="K785">
        <v>245.97499999999999</v>
      </c>
      <c r="L785">
        <v>20.327300000000001</v>
      </c>
      <c r="M785">
        <v>8590.6190000000006</v>
      </c>
      <c r="N785" t="s">
        <v>15</v>
      </c>
    </row>
    <row r="786" spans="1:15" x14ac:dyDescent="0.2">
      <c r="A786" t="s">
        <v>23</v>
      </c>
      <c r="B786" t="s">
        <v>123</v>
      </c>
      <c r="C786" t="s">
        <v>112</v>
      </c>
      <c r="D786" t="s">
        <v>124</v>
      </c>
      <c r="E786" t="s">
        <v>53</v>
      </c>
      <c r="F786" t="s">
        <v>114</v>
      </c>
      <c r="G786">
        <v>120664</v>
      </c>
      <c r="H786" s="75">
        <v>41766</v>
      </c>
      <c r="I786" t="s">
        <v>118</v>
      </c>
      <c r="J786">
        <v>4295.3100000000004</v>
      </c>
      <c r="K786">
        <v>0</v>
      </c>
      <c r="M786">
        <v>8590.6190000000006</v>
      </c>
      <c r="N786" t="s">
        <v>19</v>
      </c>
      <c r="O786">
        <v>4295.3100000000004</v>
      </c>
    </row>
    <row r="787" spans="1:15" x14ac:dyDescent="0.2">
      <c r="A787" t="s">
        <v>23</v>
      </c>
      <c r="B787" t="s">
        <v>123</v>
      </c>
      <c r="C787" t="s">
        <v>112</v>
      </c>
      <c r="D787" t="s">
        <v>124</v>
      </c>
      <c r="E787" t="s">
        <v>53</v>
      </c>
      <c r="F787" t="s">
        <v>114</v>
      </c>
      <c r="G787">
        <v>120664</v>
      </c>
      <c r="H787" s="75">
        <v>41796</v>
      </c>
      <c r="I787" t="s">
        <v>115</v>
      </c>
      <c r="J787">
        <v>5000</v>
      </c>
      <c r="K787">
        <v>247.63200000000001</v>
      </c>
      <c r="L787">
        <v>20.191299999999998</v>
      </c>
      <c r="M787">
        <v>8838.25</v>
      </c>
      <c r="N787" t="s">
        <v>15</v>
      </c>
    </row>
    <row r="788" spans="1:15" x14ac:dyDescent="0.2">
      <c r="A788" t="s">
        <v>23</v>
      </c>
      <c r="B788" t="s">
        <v>123</v>
      </c>
      <c r="C788" t="s">
        <v>112</v>
      </c>
      <c r="D788" t="s">
        <v>124</v>
      </c>
      <c r="E788" t="s">
        <v>53</v>
      </c>
      <c r="F788" t="s">
        <v>114</v>
      </c>
      <c r="G788">
        <v>120664</v>
      </c>
      <c r="H788" s="75">
        <v>41796</v>
      </c>
      <c r="I788" t="s">
        <v>116</v>
      </c>
      <c r="J788">
        <v>2.5</v>
      </c>
      <c r="K788">
        <v>0</v>
      </c>
      <c r="M788">
        <v>8838.25</v>
      </c>
      <c r="N788" t="s">
        <v>17</v>
      </c>
    </row>
    <row r="789" spans="1:15" x14ac:dyDescent="0.2">
      <c r="A789" t="s">
        <v>23</v>
      </c>
      <c r="B789" t="s">
        <v>123</v>
      </c>
      <c r="C789" t="s">
        <v>112</v>
      </c>
      <c r="D789" t="s">
        <v>124</v>
      </c>
      <c r="E789" t="s">
        <v>53</v>
      </c>
      <c r="F789" t="s">
        <v>114</v>
      </c>
      <c r="G789">
        <v>120664</v>
      </c>
      <c r="H789" s="75">
        <v>41826</v>
      </c>
      <c r="I789" t="s">
        <v>115</v>
      </c>
      <c r="J789">
        <v>5000</v>
      </c>
      <c r="K789">
        <v>243.94900000000001</v>
      </c>
      <c r="L789">
        <v>20.496099999999998</v>
      </c>
      <c r="M789">
        <v>9082.1990000000005</v>
      </c>
      <c r="N789" t="s">
        <v>15</v>
      </c>
    </row>
    <row r="790" spans="1:15" x14ac:dyDescent="0.2">
      <c r="A790" t="s">
        <v>23</v>
      </c>
      <c r="B790" t="s">
        <v>123</v>
      </c>
      <c r="C790" t="s">
        <v>112</v>
      </c>
      <c r="D790" t="s">
        <v>124</v>
      </c>
      <c r="E790" t="s">
        <v>53</v>
      </c>
      <c r="F790" t="s">
        <v>114</v>
      </c>
      <c r="G790">
        <v>120664</v>
      </c>
      <c r="H790" s="75">
        <v>41826</v>
      </c>
      <c r="I790" t="s">
        <v>117</v>
      </c>
      <c r="J790">
        <v>2.5</v>
      </c>
      <c r="K790">
        <v>0</v>
      </c>
      <c r="M790">
        <v>9082.1990000000005</v>
      </c>
      <c r="N790" t="s">
        <v>46</v>
      </c>
    </row>
    <row r="791" spans="1:15" x14ac:dyDescent="0.2">
      <c r="A791" t="s">
        <v>23</v>
      </c>
      <c r="B791" t="s">
        <v>123</v>
      </c>
      <c r="C791" t="s">
        <v>112</v>
      </c>
      <c r="D791" t="s">
        <v>124</v>
      </c>
      <c r="E791" t="s">
        <v>53</v>
      </c>
      <c r="F791" t="s">
        <v>114</v>
      </c>
      <c r="G791">
        <v>120664</v>
      </c>
      <c r="H791" s="75">
        <v>41856</v>
      </c>
      <c r="I791" t="s">
        <v>115</v>
      </c>
      <c r="J791">
        <v>5000</v>
      </c>
      <c r="K791">
        <v>247.76400000000001</v>
      </c>
      <c r="L791">
        <v>20.180499999999999</v>
      </c>
      <c r="M791">
        <v>9329.9629999999997</v>
      </c>
      <c r="N791" t="s">
        <v>15</v>
      </c>
    </row>
    <row r="792" spans="1:15" x14ac:dyDescent="0.2">
      <c r="A792" t="s">
        <v>23</v>
      </c>
      <c r="B792" t="s">
        <v>123</v>
      </c>
      <c r="C792" t="s">
        <v>112</v>
      </c>
      <c r="D792" t="s">
        <v>124</v>
      </c>
      <c r="E792" t="s">
        <v>53</v>
      </c>
      <c r="F792" t="s">
        <v>114</v>
      </c>
      <c r="G792">
        <v>120664</v>
      </c>
      <c r="H792" s="75">
        <v>41886</v>
      </c>
      <c r="I792" t="s">
        <v>115</v>
      </c>
      <c r="J792">
        <v>5000</v>
      </c>
      <c r="K792">
        <v>251.84200000000001</v>
      </c>
      <c r="L792">
        <v>19.8537</v>
      </c>
      <c r="M792">
        <v>9581.8060000000005</v>
      </c>
      <c r="N792" t="s">
        <v>15</v>
      </c>
    </row>
    <row r="793" spans="1:15" x14ac:dyDescent="0.2">
      <c r="A793" t="s">
        <v>23</v>
      </c>
      <c r="B793" t="s">
        <v>123</v>
      </c>
      <c r="C793" t="s">
        <v>112</v>
      </c>
      <c r="D793" t="s">
        <v>124</v>
      </c>
      <c r="E793" t="s">
        <v>53</v>
      </c>
      <c r="F793" t="s">
        <v>114</v>
      </c>
      <c r="G793">
        <v>120664</v>
      </c>
      <c r="H793" s="75">
        <v>41886</v>
      </c>
      <c r="I793" t="s">
        <v>117</v>
      </c>
      <c r="J793">
        <v>2.5</v>
      </c>
      <c r="K793">
        <v>0</v>
      </c>
      <c r="M793">
        <v>9581.8060000000005</v>
      </c>
      <c r="N793" t="s">
        <v>46</v>
      </c>
    </row>
    <row r="794" spans="1:15" x14ac:dyDescent="0.2">
      <c r="A794" t="s">
        <v>23</v>
      </c>
      <c r="B794" t="s">
        <v>123</v>
      </c>
      <c r="C794" t="s">
        <v>112</v>
      </c>
      <c r="D794" t="s">
        <v>124</v>
      </c>
      <c r="E794" t="s">
        <v>53</v>
      </c>
      <c r="F794" t="s">
        <v>114</v>
      </c>
      <c r="G794">
        <v>120664</v>
      </c>
      <c r="H794" s="75">
        <v>41916</v>
      </c>
      <c r="I794" t="s">
        <v>115</v>
      </c>
      <c r="J794">
        <v>5000</v>
      </c>
      <c r="K794">
        <v>251.92500000000001</v>
      </c>
      <c r="L794">
        <v>19.847200000000001</v>
      </c>
      <c r="M794">
        <v>9833.7309999999998</v>
      </c>
      <c r="N794" t="s">
        <v>15</v>
      </c>
    </row>
    <row r="795" spans="1:15" x14ac:dyDescent="0.2">
      <c r="A795" t="s">
        <v>23</v>
      </c>
      <c r="B795" t="s">
        <v>123</v>
      </c>
      <c r="C795" t="s">
        <v>112</v>
      </c>
      <c r="D795" t="s">
        <v>124</v>
      </c>
      <c r="E795" t="s">
        <v>53</v>
      </c>
      <c r="F795" t="s">
        <v>114</v>
      </c>
      <c r="G795">
        <v>120664</v>
      </c>
      <c r="H795" s="75">
        <v>41946</v>
      </c>
      <c r="I795" t="s">
        <v>115</v>
      </c>
      <c r="J795">
        <v>5000</v>
      </c>
      <c r="K795">
        <v>246.42599999999999</v>
      </c>
      <c r="L795">
        <v>20.29</v>
      </c>
      <c r="M795">
        <v>10080.156999999999</v>
      </c>
      <c r="N795" t="s">
        <v>15</v>
      </c>
    </row>
    <row r="796" spans="1:15" x14ac:dyDescent="0.2">
      <c r="A796" t="s">
        <v>23</v>
      </c>
      <c r="B796" t="s">
        <v>123</v>
      </c>
      <c r="C796" t="s">
        <v>112</v>
      </c>
      <c r="D796" t="s">
        <v>124</v>
      </c>
      <c r="E796" t="s">
        <v>53</v>
      </c>
      <c r="F796" t="s">
        <v>114</v>
      </c>
      <c r="G796">
        <v>120664</v>
      </c>
      <c r="H796" s="75">
        <v>41946</v>
      </c>
      <c r="I796" t="s">
        <v>116</v>
      </c>
      <c r="J796">
        <v>2.5</v>
      </c>
      <c r="K796">
        <v>0</v>
      </c>
      <c r="M796">
        <v>10080.156999999999</v>
      </c>
      <c r="N796" t="s">
        <v>17</v>
      </c>
    </row>
    <row r="797" spans="1:15" x14ac:dyDescent="0.2">
      <c r="A797" t="s">
        <v>23</v>
      </c>
      <c r="B797" t="s">
        <v>123</v>
      </c>
      <c r="C797" t="s">
        <v>112</v>
      </c>
      <c r="D797" t="s">
        <v>124</v>
      </c>
      <c r="E797" t="s">
        <v>53</v>
      </c>
      <c r="F797" t="s">
        <v>114</v>
      </c>
      <c r="G797">
        <v>120664</v>
      </c>
      <c r="H797" s="75">
        <v>41976</v>
      </c>
      <c r="I797" t="s">
        <v>115</v>
      </c>
      <c r="J797">
        <v>5000</v>
      </c>
      <c r="K797">
        <v>244.244</v>
      </c>
      <c r="L797">
        <v>20.471299999999999</v>
      </c>
      <c r="M797">
        <v>10324.402</v>
      </c>
      <c r="N797" t="s">
        <v>15</v>
      </c>
    </row>
    <row r="798" spans="1:15" x14ac:dyDescent="0.2">
      <c r="A798" t="s">
        <v>23</v>
      </c>
      <c r="B798" t="s">
        <v>123</v>
      </c>
      <c r="C798" t="s">
        <v>112</v>
      </c>
      <c r="D798" t="s">
        <v>124</v>
      </c>
      <c r="E798" t="s">
        <v>53</v>
      </c>
      <c r="F798" t="s">
        <v>114</v>
      </c>
      <c r="G798">
        <v>120664</v>
      </c>
      <c r="H798" s="75">
        <v>42006</v>
      </c>
      <c r="I798" t="s">
        <v>115</v>
      </c>
      <c r="J798">
        <v>5000</v>
      </c>
      <c r="K798">
        <v>237.322</v>
      </c>
      <c r="L798">
        <v>21.0684</v>
      </c>
      <c r="M798">
        <v>10561.724</v>
      </c>
      <c r="N798" t="s">
        <v>15</v>
      </c>
    </row>
    <row r="799" spans="1:15" x14ac:dyDescent="0.2">
      <c r="A799" t="s">
        <v>23</v>
      </c>
      <c r="B799" t="s">
        <v>123</v>
      </c>
      <c r="C799" t="s">
        <v>112</v>
      </c>
      <c r="D799" t="s">
        <v>124</v>
      </c>
      <c r="E799" t="s">
        <v>53</v>
      </c>
      <c r="F799" t="s">
        <v>114</v>
      </c>
      <c r="G799">
        <v>120664</v>
      </c>
      <c r="H799" s="75">
        <v>42036</v>
      </c>
      <c r="I799" t="s">
        <v>115</v>
      </c>
      <c r="J799">
        <v>5000</v>
      </c>
      <c r="K799">
        <v>238.68600000000001</v>
      </c>
      <c r="L799">
        <v>20.948</v>
      </c>
      <c r="M799">
        <v>10800.409</v>
      </c>
      <c r="N799" t="s">
        <v>15</v>
      </c>
    </row>
    <row r="800" spans="1:15" x14ac:dyDescent="0.2">
      <c r="A800" t="s">
        <v>23</v>
      </c>
      <c r="B800" t="s">
        <v>123</v>
      </c>
      <c r="C800" t="s">
        <v>112</v>
      </c>
      <c r="D800" t="s">
        <v>124</v>
      </c>
      <c r="E800" t="s">
        <v>53</v>
      </c>
      <c r="F800" t="s">
        <v>114</v>
      </c>
      <c r="G800">
        <v>120664</v>
      </c>
      <c r="H800" s="75">
        <v>42036</v>
      </c>
      <c r="I800" t="s">
        <v>116</v>
      </c>
      <c r="J800">
        <v>2.5</v>
      </c>
      <c r="K800">
        <v>0</v>
      </c>
      <c r="M800">
        <v>10800.409</v>
      </c>
      <c r="N800" t="s">
        <v>17</v>
      </c>
    </row>
    <row r="801" spans="1:14" x14ac:dyDescent="0.2">
      <c r="A801" t="s">
        <v>23</v>
      </c>
      <c r="B801" t="s">
        <v>123</v>
      </c>
      <c r="C801" t="s">
        <v>112</v>
      </c>
      <c r="D801" t="s">
        <v>124</v>
      </c>
      <c r="E801" t="s">
        <v>53</v>
      </c>
      <c r="F801" t="s">
        <v>114</v>
      </c>
      <c r="G801">
        <v>120664</v>
      </c>
      <c r="H801" s="75">
        <v>42066</v>
      </c>
      <c r="I801" t="s">
        <v>115</v>
      </c>
      <c r="J801">
        <v>5000</v>
      </c>
      <c r="K801">
        <v>233.69300000000001</v>
      </c>
      <c r="L801">
        <v>21.395600000000002</v>
      </c>
      <c r="M801">
        <v>11034.102000000001</v>
      </c>
      <c r="N801" t="s">
        <v>15</v>
      </c>
    </row>
    <row r="802" spans="1:14" x14ac:dyDescent="0.2">
      <c r="A802" t="s">
        <v>23</v>
      </c>
      <c r="B802" t="s">
        <v>123</v>
      </c>
      <c r="C802" t="s">
        <v>112</v>
      </c>
      <c r="D802" t="s">
        <v>124</v>
      </c>
      <c r="E802" t="s">
        <v>53</v>
      </c>
      <c r="F802" t="s">
        <v>114</v>
      </c>
      <c r="G802">
        <v>120664</v>
      </c>
      <c r="H802" s="75">
        <v>42096</v>
      </c>
      <c r="I802" t="s">
        <v>115</v>
      </c>
      <c r="J802">
        <v>5000</v>
      </c>
      <c r="K802">
        <v>230.50800000000001</v>
      </c>
      <c r="L802">
        <v>21.691199999999998</v>
      </c>
      <c r="M802">
        <v>11264.61</v>
      </c>
      <c r="N802" t="s">
        <v>15</v>
      </c>
    </row>
    <row r="803" spans="1:14" x14ac:dyDescent="0.2">
      <c r="A803" t="s">
        <v>23</v>
      </c>
      <c r="B803" t="s">
        <v>123</v>
      </c>
      <c r="C803" t="s">
        <v>112</v>
      </c>
      <c r="D803" t="s">
        <v>124</v>
      </c>
      <c r="E803" t="s">
        <v>53</v>
      </c>
      <c r="F803" t="s">
        <v>114</v>
      </c>
      <c r="G803">
        <v>120664</v>
      </c>
      <c r="H803" s="75">
        <v>42096</v>
      </c>
      <c r="I803" t="s">
        <v>116</v>
      </c>
      <c r="J803">
        <v>2.5</v>
      </c>
      <c r="K803">
        <v>0</v>
      </c>
      <c r="M803">
        <v>11264.61</v>
      </c>
      <c r="N803" t="s">
        <v>17</v>
      </c>
    </row>
    <row r="804" spans="1:14" x14ac:dyDescent="0.2">
      <c r="A804" t="s">
        <v>23</v>
      </c>
      <c r="B804" t="s">
        <v>123</v>
      </c>
      <c r="C804" t="s">
        <v>112</v>
      </c>
      <c r="D804" t="s">
        <v>124</v>
      </c>
      <c r="E804" t="s">
        <v>53</v>
      </c>
      <c r="F804" t="s">
        <v>114</v>
      </c>
      <c r="G804">
        <v>120664</v>
      </c>
      <c r="H804" s="75">
        <v>42126</v>
      </c>
      <c r="I804" t="s">
        <v>115</v>
      </c>
      <c r="J804">
        <v>5000</v>
      </c>
      <c r="K804">
        <v>230.85400000000001</v>
      </c>
      <c r="L804">
        <v>21.6587</v>
      </c>
      <c r="M804">
        <v>11495.464</v>
      </c>
      <c r="N804" t="s">
        <v>15</v>
      </c>
    </row>
    <row r="805" spans="1:14" x14ac:dyDescent="0.2">
      <c r="A805" t="s">
        <v>23</v>
      </c>
      <c r="B805" t="s">
        <v>123</v>
      </c>
      <c r="C805" t="s">
        <v>112</v>
      </c>
      <c r="D805" t="s">
        <v>124</v>
      </c>
      <c r="E805" t="s">
        <v>53</v>
      </c>
      <c r="F805" t="s">
        <v>114</v>
      </c>
      <c r="G805">
        <v>120664</v>
      </c>
      <c r="H805" s="75">
        <v>42126</v>
      </c>
      <c r="I805" t="s">
        <v>116</v>
      </c>
      <c r="J805">
        <v>2.5</v>
      </c>
      <c r="K805">
        <v>0</v>
      </c>
      <c r="M805">
        <v>11495.464</v>
      </c>
      <c r="N805" t="s">
        <v>17</v>
      </c>
    </row>
    <row r="806" spans="1:14" x14ac:dyDescent="0.2">
      <c r="A806" t="s">
        <v>23</v>
      </c>
      <c r="B806" t="s">
        <v>123</v>
      </c>
      <c r="C806" t="s">
        <v>112</v>
      </c>
      <c r="D806" t="s">
        <v>124</v>
      </c>
      <c r="E806" t="s">
        <v>53</v>
      </c>
      <c r="F806" t="s">
        <v>114</v>
      </c>
      <c r="G806">
        <v>120664</v>
      </c>
      <c r="H806" s="75">
        <v>42156</v>
      </c>
      <c r="I806" t="s">
        <v>115</v>
      </c>
      <c r="J806">
        <v>5000</v>
      </c>
      <c r="K806">
        <v>234.93799999999999</v>
      </c>
      <c r="L806">
        <v>21.282299999999999</v>
      </c>
      <c r="M806">
        <v>11730.401</v>
      </c>
      <c r="N806" t="s">
        <v>15</v>
      </c>
    </row>
    <row r="807" spans="1:14" x14ac:dyDescent="0.2">
      <c r="A807" t="s">
        <v>23</v>
      </c>
      <c r="B807" t="s">
        <v>123</v>
      </c>
      <c r="C807" t="s">
        <v>112</v>
      </c>
      <c r="D807" t="s">
        <v>124</v>
      </c>
      <c r="E807" t="s">
        <v>53</v>
      </c>
      <c r="F807" t="s">
        <v>114</v>
      </c>
      <c r="G807">
        <v>120664</v>
      </c>
      <c r="H807" s="75">
        <v>42186</v>
      </c>
      <c r="I807" t="s">
        <v>115</v>
      </c>
      <c r="J807">
        <v>5000</v>
      </c>
      <c r="K807">
        <v>231.99600000000001</v>
      </c>
      <c r="L807">
        <v>21.552099999999999</v>
      </c>
      <c r="M807">
        <v>11962.397000000001</v>
      </c>
      <c r="N807" t="s">
        <v>15</v>
      </c>
    </row>
    <row r="808" spans="1:14" x14ac:dyDescent="0.2">
      <c r="A808" t="s">
        <v>23</v>
      </c>
      <c r="B808" t="s">
        <v>123</v>
      </c>
      <c r="C808" t="s">
        <v>112</v>
      </c>
      <c r="D808" t="s">
        <v>124</v>
      </c>
      <c r="E808" t="s">
        <v>53</v>
      </c>
      <c r="F808" t="s">
        <v>114</v>
      </c>
      <c r="G808">
        <v>120664</v>
      </c>
      <c r="H808" s="75">
        <v>42216</v>
      </c>
      <c r="I808" t="s">
        <v>115</v>
      </c>
      <c r="J808">
        <v>5000</v>
      </c>
      <c r="K808">
        <v>227.38399999999999</v>
      </c>
      <c r="L808">
        <v>21.9893</v>
      </c>
      <c r="M808">
        <v>12189.781000000001</v>
      </c>
      <c r="N808" t="s">
        <v>15</v>
      </c>
    </row>
    <row r="809" spans="1:14" x14ac:dyDescent="0.2">
      <c r="A809" t="s">
        <v>23</v>
      </c>
      <c r="B809" t="s">
        <v>123</v>
      </c>
      <c r="C809" t="s">
        <v>112</v>
      </c>
      <c r="D809" t="s">
        <v>124</v>
      </c>
      <c r="E809" t="s">
        <v>53</v>
      </c>
      <c r="F809" t="s">
        <v>114</v>
      </c>
      <c r="G809">
        <v>120664</v>
      </c>
      <c r="H809" s="75">
        <v>42246</v>
      </c>
      <c r="I809" t="s">
        <v>115</v>
      </c>
      <c r="J809">
        <v>5000</v>
      </c>
      <c r="K809">
        <v>228.065</v>
      </c>
      <c r="L809">
        <v>21.9236</v>
      </c>
      <c r="M809">
        <v>12417.846</v>
      </c>
      <c r="N809" t="s">
        <v>15</v>
      </c>
    </row>
    <row r="810" spans="1:14" x14ac:dyDescent="0.2">
      <c r="A810" t="s">
        <v>23</v>
      </c>
      <c r="B810" t="s">
        <v>123</v>
      </c>
      <c r="C810" t="s">
        <v>112</v>
      </c>
      <c r="D810" t="s">
        <v>124</v>
      </c>
      <c r="E810" t="s">
        <v>53</v>
      </c>
      <c r="F810" t="s">
        <v>114</v>
      </c>
      <c r="G810">
        <v>120664</v>
      </c>
      <c r="H810" s="75">
        <v>42276</v>
      </c>
      <c r="I810" t="s">
        <v>115</v>
      </c>
      <c r="J810">
        <v>5000</v>
      </c>
      <c r="K810">
        <v>221.614</v>
      </c>
      <c r="L810">
        <v>22.561800000000002</v>
      </c>
      <c r="M810">
        <v>12639.46</v>
      </c>
      <c r="N810" t="s">
        <v>15</v>
      </c>
    </row>
    <row r="811" spans="1:14" x14ac:dyDescent="0.2">
      <c r="A811" t="s">
        <v>23</v>
      </c>
      <c r="B811" t="s">
        <v>123</v>
      </c>
      <c r="C811" t="s">
        <v>112</v>
      </c>
      <c r="D811" t="s">
        <v>124</v>
      </c>
      <c r="E811" t="s">
        <v>53</v>
      </c>
      <c r="F811" t="s">
        <v>114</v>
      </c>
      <c r="G811">
        <v>120664</v>
      </c>
      <c r="H811" s="75">
        <v>42306</v>
      </c>
      <c r="I811" t="s">
        <v>115</v>
      </c>
      <c r="J811">
        <v>5000</v>
      </c>
      <c r="K811">
        <v>224.661</v>
      </c>
      <c r="L811">
        <v>22.255800000000001</v>
      </c>
      <c r="M811">
        <v>12864.12</v>
      </c>
      <c r="N811" t="s">
        <v>15</v>
      </c>
    </row>
    <row r="812" spans="1:14" x14ac:dyDescent="0.2">
      <c r="A812" t="s">
        <v>23</v>
      </c>
      <c r="B812" t="s">
        <v>123</v>
      </c>
      <c r="C812" t="s">
        <v>112</v>
      </c>
      <c r="D812" t="s">
        <v>124</v>
      </c>
      <c r="E812" t="s">
        <v>53</v>
      </c>
      <c r="F812" t="s">
        <v>114</v>
      </c>
      <c r="G812">
        <v>120664</v>
      </c>
      <c r="H812" s="75">
        <v>42336</v>
      </c>
      <c r="I812" t="s">
        <v>115</v>
      </c>
      <c r="J812">
        <v>5000</v>
      </c>
      <c r="K812">
        <v>220.613</v>
      </c>
      <c r="L812">
        <v>22.664100000000001</v>
      </c>
      <c r="M812">
        <v>13084.733</v>
      </c>
      <c r="N812" t="s">
        <v>15</v>
      </c>
    </row>
    <row r="813" spans="1:14" x14ac:dyDescent="0.2">
      <c r="A813" t="s">
        <v>23</v>
      </c>
      <c r="B813" t="s">
        <v>123</v>
      </c>
      <c r="C813" t="s">
        <v>112</v>
      </c>
      <c r="D813" t="s">
        <v>124</v>
      </c>
      <c r="E813" t="s">
        <v>53</v>
      </c>
      <c r="F813" t="s">
        <v>114</v>
      </c>
      <c r="G813">
        <v>120664</v>
      </c>
      <c r="H813" s="75">
        <v>42336</v>
      </c>
      <c r="I813" t="s">
        <v>116</v>
      </c>
      <c r="J813">
        <v>2.5</v>
      </c>
      <c r="K813">
        <v>0</v>
      </c>
      <c r="M813">
        <v>13084.733</v>
      </c>
      <c r="N813" t="s">
        <v>17</v>
      </c>
    </row>
    <row r="814" spans="1:14" x14ac:dyDescent="0.2">
      <c r="A814" t="s">
        <v>23</v>
      </c>
      <c r="B814" t="s">
        <v>123</v>
      </c>
      <c r="C814" t="s">
        <v>112</v>
      </c>
      <c r="D814" t="s">
        <v>124</v>
      </c>
      <c r="E814" t="s">
        <v>53</v>
      </c>
      <c r="F814" t="s">
        <v>114</v>
      </c>
      <c r="G814">
        <v>120664</v>
      </c>
      <c r="H814" s="75">
        <v>42366</v>
      </c>
      <c r="I814" t="s">
        <v>115</v>
      </c>
      <c r="J814">
        <v>5000</v>
      </c>
      <c r="K814">
        <v>214.68100000000001</v>
      </c>
      <c r="L814">
        <v>23.290400000000002</v>
      </c>
      <c r="M814">
        <v>13299.414000000001</v>
      </c>
      <c r="N814" t="s">
        <v>15</v>
      </c>
    </row>
    <row r="815" spans="1:14" x14ac:dyDescent="0.2">
      <c r="A815" t="s">
        <v>23</v>
      </c>
      <c r="B815" t="s">
        <v>123</v>
      </c>
      <c r="C815" t="s">
        <v>112</v>
      </c>
      <c r="D815" t="s">
        <v>124</v>
      </c>
      <c r="E815" t="s">
        <v>53</v>
      </c>
      <c r="F815" t="s">
        <v>114</v>
      </c>
      <c r="G815">
        <v>120664</v>
      </c>
      <c r="H815" s="75">
        <v>42396</v>
      </c>
      <c r="I815" t="s">
        <v>115</v>
      </c>
      <c r="J815">
        <v>5000</v>
      </c>
      <c r="K815">
        <v>217.88499999999999</v>
      </c>
      <c r="L815">
        <v>22.947900000000001</v>
      </c>
      <c r="M815">
        <v>13517.299000000001</v>
      </c>
      <c r="N815" t="s">
        <v>15</v>
      </c>
    </row>
    <row r="816" spans="1:14" x14ac:dyDescent="0.2">
      <c r="A816" t="s">
        <v>23</v>
      </c>
      <c r="B816" t="s">
        <v>123</v>
      </c>
      <c r="C816" t="s">
        <v>112</v>
      </c>
      <c r="D816" t="s">
        <v>124</v>
      </c>
      <c r="E816" t="s">
        <v>53</v>
      </c>
      <c r="F816" t="s">
        <v>114</v>
      </c>
      <c r="G816">
        <v>120664</v>
      </c>
      <c r="H816" s="75">
        <v>42396</v>
      </c>
      <c r="I816" t="s">
        <v>116</v>
      </c>
      <c r="J816">
        <v>2.5</v>
      </c>
      <c r="K816">
        <v>0</v>
      </c>
      <c r="M816">
        <v>13517.299000000001</v>
      </c>
      <c r="N816" t="s">
        <v>17</v>
      </c>
    </row>
    <row r="817" spans="1:15" x14ac:dyDescent="0.2">
      <c r="A817" t="s">
        <v>23</v>
      </c>
      <c r="B817" t="s">
        <v>123</v>
      </c>
      <c r="C817" t="s">
        <v>112</v>
      </c>
      <c r="D817" t="s">
        <v>124</v>
      </c>
      <c r="E817" t="s">
        <v>53</v>
      </c>
      <c r="F817" t="s">
        <v>114</v>
      </c>
      <c r="G817">
        <v>120664</v>
      </c>
      <c r="H817" s="75">
        <v>42426</v>
      </c>
      <c r="I817" t="s">
        <v>115</v>
      </c>
      <c r="J817">
        <v>5000</v>
      </c>
      <c r="K817">
        <v>217.137</v>
      </c>
      <c r="L817">
        <v>23.026900000000001</v>
      </c>
      <c r="M817">
        <v>13734.436</v>
      </c>
      <c r="N817" t="s">
        <v>15</v>
      </c>
    </row>
    <row r="818" spans="1:15" x14ac:dyDescent="0.2">
      <c r="A818" t="s">
        <v>23</v>
      </c>
      <c r="B818" t="s">
        <v>123</v>
      </c>
      <c r="C818" t="s">
        <v>112</v>
      </c>
      <c r="D818" t="s">
        <v>124</v>
      </c>
      <c r="E818" t="s">
        <v>53</v>
      </c>
      <c r="F818" t="s">
        <v>114</v>
      </c>
      <c r="G818">
        <v>120664</v>
      </c>
      <c r="H818" s="75">
        <v>42456</v>
      </c>
      <c r="I818" t="s">
        <v>115</v>
      </c>
      <c r="J818">
        <v>5000</v>
      </c>
      <c r="K818">
        <v>215.30699999999999</v>
      </c>
      <c r="L818">
        <v>23.2226</v>
      </c>
      <c r="M818">
        <v>13949.744000000001</v>
      </c>
      <c r="N818" t="s">
        <v>15</v>
      </c>
    </row>
    <row r="819" spans="1:15" x14ac:dyDescent="0.2">
      <c r="A819" t="s">
        <v>23</v>
      </c>
      <c r="B819" t="s">
        <v>123</v>
      </c>
      <c r="C819" t="s">
        <v>112</v>
      </c>
      <c r="D819" t="s">
        <v>124</v>
      </c>
      <c r="E819" t="s">
        <v>53</v>
      </c>
      <c r="F819" t="s">
        <v>114</v>
      </c>
      <c r="G819">
        <v>120664</v>
      </c>
      <c r="H819" s="75">
        <v>42486</v>
      </c>
      <c r="I819" t="s">
        <v>115</v>
      </c>
      <c r="J819">
        <v>5000</v>
      </c>
      <c r="K819">
        <v>218.309</v>
      </c>
      <c r="L819">
        <v>22.903400000000001</v>
      </c>
      <c r="M819">
        <v>14168.052</v>
      </c>
      <c r="N819" t="s">
        <v>15</v>
      </c>
    </row>
    <row r="820" spans="1:15" x14ac:dyDescent="0.2">
      <c r="A820" t="s">
        <v>23</v>
      </c>
      <c r="B820" t="s">
        <v>123</v>
      </c>
      <c r="C820" t="s">
        <v>112</v>
      </c>
      <c r="D820" t="s">
        <v>124</v>
      </c>
      <c r="E820" t="s">
        <v>53</v>
      </c>
      <c r="F820" t="s">
        <v>114</v>
      </c>
      <c r="G820">
        <v>120664</v>
      </c>
      <c r="H820" s="75">
        <v>42516</v>
      </c>
      <c r="I820" t="s">
        <v>115</v>
      </c>
      <c r="J820">
        <v>5000</v>
      </c>
      <c r="K820">
        <v>220.87100000000001</v>
      </c>
      <c r="L820">
        <v>22.637699999999999</v>
      </c>
      <c r="M820">
        <v>14388.923000000001</v>
      </c>
      <c r="N820" t="s">
        <v>15</v>
      </c>
    </row>
    <row r="821" spans="1:15" x14ac:dyDescent="0.2">
      <c r="A821" t="s">
        <v>23</v>
      </c>
      <c r="B821" t="s">
        <v>123</v>
      </c>
      <c r="C821" t="s">
        <v>112</v>
      </c>
      <c r="D821" t="s">
        <v>124</v>
      </c>
      <c r="E821" t="s">
        <v>53</v>
      </c>
      <c r="F821" t="s">
        <v>114</v>
      </c>
      <c r="G821">
        <v>120664</v>
      </c>
      <c r="H821" s="75">
        <v>42546</v>
      </c>
      <c r="I821" t="s">
        <v>115</v>
      </c>
      <c r="J821">
        <v>5000</v>
      </c>
      <c r="K821">
        <v>220.22200000000001</v>
      </c>
      <c r="L821">
        <v>22.7044</v>
      </c>
      <c r="M821">
        <v>14609.144</v>
      </c>
      <c r="N821" t="s">
        <v>15</v>
      </c>
    </row>
    <row r="822" spans="1:15" x14ac:dyDescent="0.2">
      <c r="A822" t="s">
        <v>23</v>
      </c>
      <c r="B822" t="s">
        <v>123</v>
      </c>
      <c r="C822" t="s">
        <v>112</v>
      </c>
      <c r="D822" t="s">
        <v>124</v>
      </c>
      <c r="E822" t="s">
        <v>53</v>
      </c>
      <c r="F822" t="s">
        <v>114</v>
      </c>
      <c r="G822">
        <v>120664</v>
      </c>
      <c r="H822" s="75">
        <v>42546</v>
      </c>
      <c r="I822" t="s">
        <v>116</v>
      </c>
      <c r="J822">
        <v>2.5</v>
      </c>
      <c r="K822">
        <v>0</v>
      </c>
      <c r="M822">
        <v>14609.144</v>
      </c>
      <c r="N822" t="s">
        <v>17</v>
      </c>
    </row>
    <row r="823" spans="1:15" x14ac:dyDescent="0.2">
      <c r="A823" t="s">
        <v>23</v>
      </c>
      <c r="B823" t="s">
        <v>123</v>
      </c>
      <c r="C823" t="s">
        <v>112</v>
      </c>
      <c r="D823" t="s">
        <v>124</v>
      </c>
      <c r="E823" t="s">
        <v>53</v>
      </c>
      <c r="F823" t="s">
        <v>114</v>
      </c>
      <c r="G823">
        <v>120664</v>
      </c>
      <c r="H823" s="75">
        <v>42576</v>
      </c>
      <c r="I823" t="s">
        <v>115</v>
      </c>
      <c r="J823">
        <v>5000</v>
      </c>
      <c r="K823">
        <v>223.364</v>
      </c>
      <c r="L823">
        <v>22.385000000000002</v>
      </c>
      <c r="M823">
        <v>14832.508</v>
      </c>
      <c r="N823" t="s">
        <v>15</v>
      </c>
    </row>
    <row r="824" spans="1:15" x14ac:dyDescent="0.2">
      <c r="A824" t="s">
        <v>23</v>
      </c>
      <c r="B824" t="s">
        <v>123</v>
      </c>
      <c r="C824" t="s">
        <v>112</v>
      </c>
      <c r="D824" t="s">
        <v>124</v>
      </c>
      <c r="E824" t="s">
        <v>53</v>
      </c>
      <c r="F824" t="s">
        <v>114</v>
      </c>
      <c r="G824">
        <v>120664</v>
      </c>
      <c r="H824" s="75">
        <v>42606</v>
      </c>
      <c r="I824" t="s">
        <v>115</v>
      </c>
      <c r="J824">
        <v>5000</v>
      </c>
      <c r="K824">
        <v>218.15</v>
      </c>
      <c r="L824">
        <v>22.92</v>
      </c>
      <c r="M824">
        <v>15050.657999999999</v>
      </c>
      <c r="N824" t="s">
        <v>15</v>
      </c>
    </row>
    <row r="825" spans="1:15" x14ac:dyDescent="0.2">
      <c r="A825" t="s">
        <v>23</v>
      </c>
      <c r="B825" t="s">
        <v>123</v>
      </c>
      <c r="C825" t="s">
        <v>112</v>
      </c>
      <c r="D825" t="s">
        <v>124</v>
      </c>
      <c r="E825" t="s">
        <v>53</v>
      </c>
      <c r="F825" t="s">
        <v>114</v>
      </c>
      <c r="G825">
        <v>120664</v>
      </c>
      <c r="H825" s="75">
        <v>42606</v>
      </c>
      <c r="I825" t="s">
        <v>116</v>
      </c>
      <c r="J825">
        <v>2.5</v>
      </c>
      <c r="K825">
        <v>0</v>
      </c>
      <c r="M825">
        <v>15050.657999999999</v>
      </c>
      <c r="N825" t="s">
        <v>17</v>
      </c>
    </row>
    <row r="826" spans="1:15" x14ac:dyDescent="0.2">
      <c r="A826" t="s">
        <v>23</v>
      </c>
      <c r="B826" t="s">
        <v>123</v>
      </c>
      <c r="C826" t="s">
        <v>112</v>
      </c>
      <c r="D826" t="s">
        <v>124</v>
      </c>
      <c r="E826" t="s">
        <v>53</v>
      </c>
      <c r="F826" t="s">
        <v>114</v>
      </c>
      <c r="G826">
        <v>120664</v>
      </c>
      <c r="H826" s="75">
        <v>42606</v>
      </c>
      <c r="I826" t="s">
        <v>25</v>
      </c>
      <c r="J826">
        <v>-68992.28</v>
      </c>
      <c r="K826">
        <v>-3010.1320000000001</v>
      </c>
      <c r="L826">
        <v>22.92</v>
      </c>
      <c r="M826">
        <v>12040.527</v>
      </c>
      <c r="N826" t="s">
        <v>16</v>
      </c>
    </row>
    <row r="827" spans="1:15" x14ac:dyDescent="0.2">
      <c r="A827" t="s">
        <v>23</v>
      </c>
      <c r="B827" t="s">
        <v>123</v>
      </c>
      <c r="C827" t="s">
        <v>112</v>
      </c>
      <c r="D827" t="s">
        <v>124</v>
      </c>
      <c r="E827" t="s">
        <v>53</v>
      </c>
      <c r="F827" t="s">
        <v>114</v>
      </c>
      <c r="G827">
        <v>120664</v>
      </c>
      <c r="H827" s="75">
        <v>42636</v>
      </c>
      <c r="I827" t="s">
        <v>115</v>
      </c>
      <c r="J827">
        <v>5000</v>
      </c>
      <c r="K827">
        <v>217.727</v>
      </c>
      <c r="L827">
        <v>22.964500000000001</v>
      </c>
      <c r="M827">
        <v>12258.254000000001</v>
      </c>
      <c r="N827" t="s">
        <v>15</v>
      </c>
    </row>
    <row r="828" spans="1:15" x14ac:dyDescent="0.2">
      <c r="A828" t="s">
        <v>23</v>
      </c>
      <c r="B828" t="s">
        <v>123</v>
      </c>
      <c r="C828" t="s">
        <v>112</v>
      </c>
      <c r="D828" t="s">
        <v>124</v>
      </c>
      <c r="E828" t="s">
        <v>53</v>
      </c>
      <c r="F828" t="s">
        <v>114</v>
      </c>
      <c r="G828">
        <v>120664</v>
      </c>
      <c r="H828" s="75">
        <v>42666</v>
      </c>
      <c r="I828" t="s">
        <v>115</v>
      </c>
      <c r="J828">
        <v>5000</v>
      </c>
      <c r="K828">
        <v>212.70699999999999</v>
      </c>
      <c r="L828">
        <v>23.506499999999999</v>
      </c>
      <c r="M828">
        <v>12470.96</v>
      </c>
      <c r="N828" t="s">
        <v>15</v>
      </c>
    </row>
    <row r="829" spans="1:15" x14ac:dyDescent="0.2">
      <c r="A829" t="s">
        <v>23</v>
      </c>
      <c r="B829" t="s">
        <v>123</v>
      </c>
      <c r="C829" t="s">
        <v>112</v>
      </c>
      <c r="D829" t="s">
        <v>124</v>
      </c>
      <c r="E829" t="s">
        <v>53</v>
      </c>
      <c r="F829" t="s">
        <v>114</v>
      </c>
      <c r="G829">
        <v>120664</v>
      </c>
      <c r="H829" s="75">
        <v>42666</v>
      </c>
      <c r="I829" t="s">
        <v>117</v>
      </c>
      <c r="J829">
        <v>2.5</v>
      </c>
      <c r="K829">
        <v>0</v>
      </c>
      <c r="M829">
        <v>12470.96</v>
      </c>
      <c r="N829" t="s">
        <v>46</v>
      </c>
    </row>
    <row r="830" spans="1:15" x14ac:dyDescent="0.2">
      <c r="A830" t="s">
        <v>23</v>
      </c>
      <c r="B830" t="s">
        <v>123</v>
      </c>
      <c r="C830" t="s">
        <v>112</v>
      </c>
      <c r="D830" t="s">
        <v>124</v>
      </c>
      <c r="E830" t="s">
        <v>53</v>
      </c>
      <c r="F830" t="s">
        <v>114</v>
      </c>
      <c r="G830">
        <v>120664</v>
      </c>
      <c r="H830" s="75">
        <v>42696</v>
      </c>
      <c r="I830" t="s">
        <v>115</v>
      </c>
      <c r="J830">
        <v>5000</v>
      </c>
      <c r="K830">
        <v>210.917</v>
      </c>
      <c r="L830">
        <v>23.706</v>
      </c>
      <c r="M830">
        <v>12681.878000000001</v>
      </c>
      <c r="N830" t="s">
        <v>15</v>
      </c>
    </row>
    <row r="831" spans="1:15" x14ac:dyDescent="0.2">
      <c r="A831" t="s">
        <v>23</v>
      </c>
      <c r="B831" t="s">
        <v>123</v>
      </c>
      <c r="C831" t="s">
        <v>112</v>
      </c>
      <c r="D831" t="s">
        <v>124</v>
      </c>
      <c r="E831" t="s">
        <v>53</v>
      </c>
      <c r="F831" t="s">
        <v>114</v>
      </c>
      <c r="G831">
        <v>120664</v>
      </c>
      <c r="H831" s="75">
        <v>42726</v>
      </c>
      <c r="I831" t="s">
        <v>115</v>
      </c>
      <c r="J831">
        <v>5000</v>
      </c>
      <c r="K831">
        <v>207.958</v>
      </c>
      <c r="L831">
        <v>24.043299999999999</v>
      </c>
      <c r="M831">
        <v>12889.835999999999</v>
      </c>
      <c r="N831" t="s">
        <v>15</v>
      </c>
    </row>
    <row r="832" spans="1:15" x14ac:dyDescent="0.2">
      <c r="A832" t="s">
        <v>23</v>
      </c>
      <c r="B832" t="s">
        <v>123</v>
      </c>
      <c r="C832" t="s">
        <v>112</v>
      </c>
      <c r="D832" t="s">
        <v>124</v>
      </c>
      <c r="E832" t="s">
        <v>53</v>
      </c>
      <c r="F832" t="s">
        <v>114</v>
      </c>
      <c r="G832">
        <v>120664</v>
      </c>
      <c r="H832" s="75">
        <v>42726</v>
      </c>
      <c r="I832" t="s">
        <v>118</v>
      </c>
      <c r="J832">
        <v>6444.92</v>
      </c>
      <c r="K832">
        <v>0</v>
      </c>
      <c r="M832">
        <v>12889.835999999999</v>
      </c>
      <c r="N832" t="s">
        <v>19</v>
      </c>
      <c r="O832">
        <v>6444.92</v>
      </c>
    </row>
    <row r="833" spans="1:15" x14ac:dyDescent="0.2">
      <c r="A833" t="s">
        <v>23</v>
      </c>
      <c r="B833" t="s">
        <v>123</v>
      </c>
      <c r="C833" t="s">
        <v>112</v>
      </c>
      <c r="D833" t="s">
        <v>124</v>
      </c>
      <c r="E833" t="s">
        <v>53</v>
      </c>
      <c r="F833" t="s">
        <v>114</v>
      </c>
      <c r="G833">
        <v>120664</v>
      </c>
      <c r="H833" s="75">
        <v>42726</v>
      </c>
      <c r="I833" t="s">
        <v>25</v>
      </c>
      <c r="J833">
        <v>-61982.91</v>
      </c>
      <c r="K833">
        <v>-2577.9670000000001</v>
      </c>
      <c r="L833">
        <v>24.043299999999999</v>
      </c>
      <c r="M833">
        <v>10311.868</v>
      </c>
      <c r="N833" t="s">
        <v>16</v>
      </c>
    </row>
    <row r="834" spans="1:15" x14ac:dyDescent="0.2">
      <c r="A834" t="s">
        <v>23</v>
      </c>
      <c r="B834" t="s">
        <v>123</v>
      </c>
      <c r="C834" t="s">
        <v>112</v>
      </c>
      <c r="D834" t="s">
        <v>124</v>
      </c>
      <c r="E834" t="s">
        <v>53</v>
      </c>
      <c r="F834" t="s">
        <v>114</v>
      </c>
      <c r="G834">
        <v>120664</v>
      </c>
      <c r="H834" s="75">
        <v>42756</v>
      </c>
      <c r="I834" t="s">
        <v>115</v>
      </c>
      <c r="J834">
        <v>5000</v>
      </c>
      <c r="K834">
        <v>210.07599999999999</v>
      </c>
      <c r="L834">
        <v>23.800999999999998</v>
      </c>
      <c r="M834">
        <v>10521.944</v>
      </c>
      <c r="N834" t="s">
        <v>15</v>
      </c>
    </row>
    <row r="835" spans="1:15" x14ac:dyDescent="0.2">
      <c r="A835" t="s">
        <v>23</v>
      </c>
      <c r="B835" t="s">
        <v>123</v>
      </c>
      <c r="C835" t="s">
        <v>112</v>
      </c>
      <c r="D835" t="s">
        <v>124</v>
      </c>
      <c r="E835" t="s">
        <v>53</v>
      </c>
      <c r="F835" t="s">
        <v>114</v>
      </c>
      <c r="G835">
        <v>120664</v>
      </c>
      <c r="H835" s="75">
        <v>42786</v>
      </c>
      <c r="I835" t="s">
        <v>115</v>
      </c>
      <c r="J835">
        <v>5000</v>
      </c>
      <c r="K835">
        <v>207.476</v>
      </c>
      <c r="L835">
        <v>24.0992</v>
      </c>
      <c r="M835">
        <v>10729.42</v>
      </c>
      <c r="N835" t="s">
        <v>15</v>
      </c>
    </row>
    <row r="836" spans="1:15" x14ac:dyDescent="0.2">
      <c r="A836" t="s">
        <v>23</v>
      </c>
      <c r="B836" t="s">
        <v>123</v>
      </c>
      <c r="C836" t="s">
        <v>112</v>
      </c>
      <c r="D836" t="s">
        <v>124</v>
      </c>
      <c r="E836" t="s">
        <v>53</v>
      </c>
      <c r="F836" t="s">
        <v>114</v>
      </c>
      <c r="G836">
        <v>120664</v>
      </c>
      <c r="H836" s="75">
        <v>42786</v>
      </c>
      <c r="I836" t="s">
        <v>118</v>
      </c>
      <c r="J836">
        <v>5364.71</v>
      </c>
      <c r="K836">
        <v>0</v>
      </c>
      <c r="M836">
        <v>10729.42</v>
      </c>
      <c r="N836" t="s">
        <v>19</v>
      </c>
      <c r="O836">
        <v>5364.71</v>
      </c>
    </row>
    <row r="837" spans="1:15" x14ac:dyDescent="0.2">
      <c r="A837" t="s">
        <v>23</v>
      </c>
      <c r="B837" t="s">
        <v>123</v>
      </c>
      <c r="C837" t="s">
        <v>112</v>
      </c>
      <c r="D837" t="s">
        <v>124</v>
      </c>
      <c r="E837" t="s">
        <v>53</v>
      </c>
      <c r="F837" t="s">
        <v>114</v>
      </c>
      <c r="G837">
        <v>120664</v>
      </c>
      <c r="H837" s="75">
        <v>42816</v>
      </c>
      <c r="I837" t="s">
        <v>115</v>
      </c>
      <c r="J837">
        <v>5000</v>
      </c>
      <c r="K837">
        <v>202.49199999999999</v>
      </c>
      <c r="L837">
        <v>24.692299999999999</v>
      </c>
      <c r="M837">
        <v>10931.912</v>
      </c>
      <c r="N837" t="s">
        <v>15</v>
      </c>
    </row>
    <row r="838" spans="1:15" x14ac:dyDescent="0.2">
      <c r="A838" t="s">
        <v>23</v>
      </c>
      <c r="B838" t="s">
        <v>123</v>
      </c>
      <c r="C838" t="s">
        <v>112</v>
      </c>
      <c r="D838" t="s">
        <v>124</v>
      </c>
      <c r="E838" t="s">
        <v>53</v>
      </c>
      <c r="F838" t="s">
        <v>114</v>
      </c>
      <c r="G838">
        <v>120664</v>
      </c>
      <c r="H838" s="75">
        <v>42816</v>
      </c>
      <c r="I838" t="s">
        <v>116</v>
      </c>
      <c r="J838">
        <v>2.5</v>
      </c>
      <c r="K838">
        <v>0</v>
      </c>
      <c r="M838">
        <v>10931.912</v>
      </c>
      <c r="N838" t="s">
        <v>17</v>
      </c>
    </row>
    <row r="839" spans="1:15" x14ac:dyDescent="0.2">
      <c r="A839" t="s">
        <v>23</v>
      </c>
      <c r="B839" t="s">
        <v>123</v>
      </c>
      <c r="C839" t="s">
        <v>112</v>
      </c>
      <c r="D839" t="s">
        <v>124</v>
      </c>
      <c r="E839" t="s">
        <v>53</v>
      </c>
      <c r="F839" t="s">
        <v>114</v>
      </c>
      <c r="G839">
        <v>120664</v>
      </c>
      <c r="H839" s="75">
        <v>42846</v>
      </c>
      <c r="I839" t="s">
        <v>115</v>
      </c>
      <c r="J839">
        <v>5000</v>
      </c>
      <c r="K839">
        <v>204.45699999999999</v>
      </c>
      <c r="L839">
        <v>24.455100000000002</v>
      </c>
      <c r="M839">
        <v>11136.369000000001</v>
      </c>
      <c r="N839" t="s">
        <v>15</v>
      </c>
    </row>
    <row r="840" spans="1:15" x14ac:dyDescent="0.2">
      <c r="A840" t="s">
        <v>23</v>
      </c>
      <c r="B840" t="s">
        <v>123</v>
      </c>
      <c r="C840" t="s">
        <v>112</v>
      </c>
      <c r="D840" t="s">
        <v>124</v>
      </c>
      <c r="E840" t="s">
        <v>53</v>
      </c>
      <c r="F840" t="s">
        <v>114</v>
      </c>
      <c r="G840">
        <v>120664</v>
      </c>
      <c r="H840" s="75">
        <v>42846</v>
      </c>
      <c r="I840" t="s">
        <v>117</v>
      </c>
      <c r="J840">
        <v>2.5</v>
      </c>
      <c r="K840">
        <v>0</v>
      </c>
      <c r="M840">
        <v>11136.369000000001</v>
      </c>
      <c r="N840" t="s">
        <v>46</v>
      </c>
    </row>
    <row r="841" spans="1:15" x14ac:dyDescent="0.2">
      <c r="A841" t="s">
        <v>23</v>
      </c>
      <c r="B841" t="s">
        <v>123</v>
      </c>
      <c r="C841" t="s">
        <v>112</v>
      </c>
      <c r="D841" t="s">
        <v>124</v>
      </c>
      <c r="E841" t="s">
        <v>53</v>
      </c>
      <c r="F841" t="s">
        <v>114</v>
      </c>
      <c r="G841">
        <v>120664</v>
      </c>
      <c r="H841" s="75">
        <v>42846</v>
      </c>
      <c r="I841" t="s">
        <v>118</v>
      </c>
      <c r="J841">
        <v>5568.18</v>
      </c>
      <c r="K841">
        <v>0</v>
      </c>
      <c r="M841">
        <v>11136.369000000001</v>
      </c>
      <c r="N841" t="s">
        <v>19</v>
      </c>
      <c r="O841">
        <v>5568.18</v>
      </c>
    </row>
    <row r="842" spans="1:15" x14ac:dyDescent="0.2">
      <c r="A842" t="s">
        <v>23</v>
      </c>
      <c r="B842" t="s">
        <v>123</v>
      </c>
      <c r="C842" t="s">
        <v>112</v>
      </c>
      <c r="D842" t="s">
        <v>124</v>
      </c>
      <c r="E842" t="s">
        <v>53</v>
      </c>
      <c r="F842" t="s">
        <v>114</v>
      </c>
      <c r="G842">
        <v>120664</v>
      </c>
      <c r="H842" s="75">
        <v>42876</v>
      </c>
      <c r="I842" t="s">
        <v>115</v>
      </c>
      <c r="J842">
        <v>5000</v>
      </c>
      <c r="K842">
        <v>204.30099999999999</v>
      </c>
      <c r="L842">
        <v>24.473700000000001</v>
      </c>
      <c r="M842">
        <v>11340.67</v>
      </c>
      <c r="N842" t="s">
        <v>15</v>
      </c>
    </row>
    <row r="843" spans="1:15" x14ac:dyDescent="0.2">
      <c r="A843" t="s">
        <v>23</v>
      </c>
      <c r="B843" t="s">
        <v>123</v>
      </c>
      <c r="C843" t="s">
        <v>112</v>
      </c>
      <c r="D843" t="s">
        <v>124</v>
      </c>
      <c r="E843" t="s">
        <v>53</v>
      </c>
      <c r="F843" t="s">
        <v>114</v>
      </c>
      <c r="G843">
        <v>120664</v>
      </c>
      <c r="H843" s="75">
        <v>42906</v>
      </c>
      <c r="I843" t="s">
        <v>115</v>
      </c>
      <c r="J843">
        <v>5000</v>
      </c>
      <c r="K843">
        <v>208.25299999999999</v>
      </c>
      <c r="L843">
        <v>24.0093</v>
      </c>
      <c r="M843">
        <v>11548.923000000001</v>
      </c>
      <c r="N843" t="s">
        <v>15</v>
      </c>
    </row>
    <row r="844" spans="1:15" x14ac:dyDescent="0.2">
      <c r="A844" t="s">
        <v>23</v>
      </c>
      <c r="B844" t="s">
        <v>123</v>
      </c>
      <c r="C844" t="s">
        <v>112</v>
      </c>
      <c r="D844" t="s">
        <v>124</v>
      </c>
      <c r="E844" t="s">
        <v>53</v>
      </c>
      <c r="F844" t="s">
        <v>114</v>
      </c>
      <c r="G844">
        <v>120664</v>
      </c>
      <c r="H844" s="75">
        <v>42936</v>
      </c>
      <c r="I844" t="s">
        <v>115</v>
      </c>
      <c r="J844">
        <v>5000</v>
      </c>
      <c r="K844">
        <v>209.17400000000001</v>
      </c>
      <c r="L844">
        <v>23.903600000000001</v>
      </c>
      <c r="M844">
        <v>11758.096</v>
      </c>
      <c r="N844" t="s">
        <v>15</v>
      </c>
    </row>
    <row r="845" spans="1:15" x14ac:dyDescent="0.2">
      <c r="A845" t="s">
        <v>23</v>
      </c>
      <c r="B845" t="s">
        <v>123</v>
      </c>
      <c r="C845" t="s">
        <v>112</v>
      </c>
      <c r="D845" t="s">
        <v>124</v>
      </c>
      <c r="E845" t="s">
        <v>53</v>
      </c>
      <c r="F845" t="s">
        <v>114</v>
      </c>
      <c r="G845">
        <v>120664</v>
      </c>
      <c r="H845" s="75">
        <v>42966</v>
      </c>
      <c r="I845" t="s">
        <v>115</v>
      </c>
      <c r="J845">
        <v>5000</v>
      </c>
      <c r="K845">
        <v>205.196</v>
      </c>
      <c r="L845">
        <v>24.366900000000001</v>
      </c>
      <c r="M845">
        <v>11963.293</v>
      </c>
      <c r="N845" t="s">
        <v>15</v>
      </c>
    </row>
    <row r="846" spans="1:15" x14ac:dyDescent="0.2">
      <c r="A846" t="s">
        <v>23</v>
      </c>
      <c r="B846" t="s">
        <v>123</v>
      </c>
      <c r="C846" t="s">
        <v>112</v>
      </c>
      <c r="D846" t="s">
        <v>124</v>
      </c>
      <c r="E846" t="s">
        <v>53</v>
      </c>
      <c r="F846" t="s">
        <v>114</v>
      </c>
      <c r="G846">
        <v>120664</v>
      </c>
      <c r="H846" s="75">
        <v>42996</v>
      </c>
      <c r="I846" t="s">
        <v>115</v>
      </c>
      <c r="J846">
        <v>5000</v>
      </c>
      <c r="K846">
        <v>208.42599999999999</v>
      </c>
      <c r="L846">
        <v>23.9893</v>
      </c>
      <c r="M846">
        <v>12171.718999999999</v>
      </c>
      <c r="N846" t="s">
        <v>15</v>
      </c>
    </row>
    <row r="847" spans="1:15" x14ac:dyDescent="0.2">
      <c r="A847" t="s">
        <v>23</v>
      </c>
      <c r="B847" t="s">
        <v>123</v>
      </c>
      <c r="C847" t="s">
        <v>112</v>
      </c>
      <c r="D847" t="s">
        <v>124</v>
      </c>
      <c r="E847" t="s">
        <v>53</v>
      </c>
      <c r="F847" t="s">
        <v>114</v>
      </c>
      <c r="G847">
        <v>120664</v>
      </c>
      <c r="H847" s="75">
        <v>43026</v>
      </c>
      <c r="I847" t="s">
        <v>115</v>
      </c>
      <c r="J847">
        <v>5000</v>
      </c>
      <c r="K847">
        <v>206.54</v>
      </c>
      <c r="L847">
        <v>24.208300000000001</v>
      </c>
      <c r="M847">
        <v>12378.26</v>
      </c>
      <c r="N847" t="s">
        <v>15</v>
      </c>
    </row>
    <row r="848" spans="1:15" x14ac:dyDescent="0.2">
      <c r="A848" t="s">
        <v>23</v>
      </c>
      <c r="B848" t="s">
        <v>123</v>
      </c>
      <c r="C848" t="s">
        <v>112</v>
      </c>
      <c r="D848" t="s">
        <v>124</v>
      </c>
      <c r="E848" t="s">
        <v>53</v>
      </c>
      <c r="F848" t="s">
        <v>114</v>
      </c>
      <c r="G848">
        <v>120664</v>
      </c>
      <c r="H848" s="75">
        <v>43056</v>
      </c>
      <c r="I848" t="s">
        <v>115</v>
      </c>
      <c r="J848">
        <v>5000</v>
      </c>
      <c r="K848">
        <v>206.78299999999999</v>
      </c>
      <c r="L848">
        <v>24.1799</v>
      </c>
      <c r="M848">
        <v>12585.043</v>
      </c>
      <c r="N848" t="s">
        <v>15</v>
      </c>
    </row>
    <row r="849" spans="1:15" x14ac:dyDescent="0.2">
      <c r="A849" t="s">
        <v>23</v>
      </c>
      <c r="B849" t="s">
        <v>123</v>
      </c>
      <c r="C849" t="s">
        <v>112</v>
      </c>
      <c r="D849" t="s">
        <v>124</v>
      </c>
      <c r="E849" t="s">
        <v>53</v>
      </c>
      <c r="F849" t="s">
        <v>114</v>
      </c>
      <c r="G849">
        <v>120664</v>
      </c>
      <c r="H849" s="75">
        <v>43056</v>
      </c>
      <c r="I849" t="s">
        <v>25</v>
      </c>
      <c r="J849">
        <v>-60861.07</v>
      </c>
      <c r="K849">
        <v>-2517.009</v>
      </c>
      <c r="L849">
        <v>24.1799</v>
      </c>
      <c r="M849">
        <v>10068.034</v>
      </c>
      <c r="N849" t="s">
        <v>16</v>
      </c>
    </row>
    <row r="850" spans="1:15" x14ac:dyDescent="0.2">
      <c r="A850" t="s">
        <v>23</v>
      </c>
      <c r="B850" t="s">
        <v>123</v>
      </c>
      <c r="C850" t="s">
        <v>112</v>
      </c>
      <c r="D850" t="s">
        <v>124</v>
      </c>
      <c r="E850" t="s">
        <v>53</v>
      </c>
      <c r="F850" t="s">
        <v>114</v>
      </c>
      <c r="G850">
        <v>120664</v>
      </c>
      <c r="H850" s="75">
        <v>43086</v>
      </c>
      <c r="I850" t="s">
        <v>115</v>
      </c>
      <c r="J850">
        <v>5000</v>
      </c>
      <c r="K850">
        <v>201.09100000000001</v>
      </c>
      <c r="L850">
        <v>24.8644</v>
      </c>
      <c r="M850">
        <v>10269.125</v>
      </c>
      <c r="N850" t="s">
        <v>15</v>
      </c>
    </row>
    <row r="851" spans="1:15" x14ac:dyDescent="0.2">
      <c r="A851" t="s">
        <v>23</v>
      </c>
      <c r="B851" t="s">
        <v>123</v>
      </c>
      <c r="C851" t="s">
        <v>112</v>
      </c>
      <c r="D851" t="s">
        <v>124</v>
      </c>
      <c r="E851" t="s">
        <v>53</v>
      </c>
      <c r="F851" t="s">
        <v>114</v>
      </c>
      <c r="G851">
        <v>120664</v>
      </c>
      <c r="H851" s="75">
        <v>43116</v>
      </c>
      <c r="I851" t="s">
        <v>115</v>
      </c>
      <c r="J851">
        <v>5000</v>
      </c>
      <c r="K851">
        <v>198.25200000000001</v>
      </c>
      <c r="L851">
        <v>25.220400000000001</v>
      </c>
      <c r="M851">
        <v>10467.377</v>
      </c>
      <c r="N851" t="s">
        <v>15</v>
      </c>
    </row>
    <row r="852" spans="1:15" x14ac:dyDescent="0.2">
      <c r="A852" t="s">
        <v>23</v>
      </c>
      <c r="B852" t="s">
        <v>123</v>
      </c>
      <c r="C852" t="s">
        <v>112</v>
      </c>
      <c r="D852" t="s">
        <v>124</v>
      </c>
      <c r="E852" t="s">
        <v>53</v>
      </c>
      <c r="F852" t="s">
        <v>114</v>
      </c>
      <c r="G852">
        <v>120664</v>
      </c>
      <c r="H852" s="75">
        <v>43116</v>
      </c>
      <c r="I852" t="s">
        <v>117</v>
      </c>
      <c r="J852">
        <v>2.5</v>
      </c>
      <c r="K852">
        <v>0</v>
      </c>
      <c r="M852">
        <v>10467.377</v>
      </c>
      <c r="N852" t="s">
        <v>46</v>
      </c>
    </row>
    <row r="853" spans="1:15" x14ac:dyDescent="0.2">
      <c r="A853" t="s">
        <v>23</v>
      </c>
      <c r="B853" t="s">
        <v>123</v>
      </c>
      <c r="C853" t="s">
        <v>112</v>
      </c>
      <c r="D853" t="s">
        <v>124</v>
      </c>
      <c r="E853" t="s">
        <v>53</v>
      </c>
      <c r="F853" t="s">
        <v>114</v>
      </c>
      <c r="G853">
        <v>120664</v>
      </c>
      <c r="H853" s="75">
        <v>43146</v>
      </c>
      <c r="I853" t="s">
        <v>115</v>
      </c>
      <c r="J853">
        <v>5000</v>
      </c>
      <c r="K853">
        <v>200.001</v>
      </c>
      <c r="L853">
        <v>24.9999</v>
      </c>
      <c r="M853">
        <v>10667.378000000001</v>
      </c>
      <c r="N853" t="s">
        <v>15</v>
      </c>
    </row>
    <row r="854" spans="1:15" x14ac:dyDescent="0.2">
      <c r="A854" t="s">
        <v>23</v>
      </c>
      <c r="B854" t="s">
        <v>123</v>
      </c>
      <c r="C854" t="s">
        <v>112</v>
      </c>
      <c r="D854" t="s">
        <v>124</v>
      </c>
      <c r="E854" t="s">
        <v>53</v>
      </c>
      <c r="F854" t="s">
        <v>114</v>
      </c>
      <c r="G854">
        <v>120664</v>
      </c>
      <c r="H854" s="75">
        <v>43176</v>
      </c>
      <c r="I854" t="s">
        <v>115</v>
      </c>
      <c r="J854">
        <v>5000</v>
      </c>
      <c r="K854">
        <v>200.75</v>
      </c>
      <c r="L854">
        <v>24.906600000000001</v>
      </c>
      <c r="M854">
        <v>10868.128000000001</v>
      </c>
      <c r="N854" t="s">
        <v>15</v>
      </c>
    </row>
    <row r="855" spans="1:15" x14ac:dyDescent="0.2">
      <c r="A855" t="s">
        <v>23</v>
      </c>
      <c r="B855" t="s">
        <v>123</v>
      </c>
      <c r="C855" t="s">
        <v>112</v>
      </c>
      <c r="D855" t="s">
        <v>124</v>
      </c>
      <c r="E855" t="s">
        <v>53</v>
      </c>
      <c r="F855" t="s">
        <v>114</v>
      </c>
      <c r="G855">
        <v>120664</v>
      </c>
      <c r="H855" s="75">
        <v>43176</v>
      </c>
      <c r="I855" t="s">
        <v>116</v>
      </c>
      <c r="J855">
        <v>2.5</v>
      </c>
      <c r="K855">
        <v>0</v>
      </c>
      <c r="M855">
        <v>10868.128000000001</v>
      </c>
      <c r="N855" t="s">
        <v>17</v>
      </c>
    </row>
    <row r="856" spans="1:15" x14ac:dyDescent="0.2">
      <c r="A856" t="s">
        <v>23</v>
      </c>
      <c r="B856" t="s">
        <v>123</v>
      </c>
      <c r="C856" t="s">
        <v>112</v>
      </c>
      <c r="D856" t="s">
        <v>124</v>
      </c>
      <c r="E856" t="s">
        <v>53</v>
      </c>
      <c r="F856" t="s">
        <v>114</v>
      </c>
      <c r="G856">
        <v>120664</v>
      </c>
      <c r="H856" s="75">
        <v>43176</v>
      </c>
      <c r="I856" t="s">
        <v>118</v>
      </c>
      <c r="J856">
        <v>5434.06</v>
      </c>
      <c r="K856">
        <v>0</v>
      </c>
      <c r="M856">
        <v>10868.128000000001</v>
      </c>
      <c r="N856" t="s">
        <v>19</v>
      </c>
      <c r="O856">
        <v>5434.06</v>
      </c>
    </row>
    <row r="857" spans="1:15" x14ac:dyDescent="0.2">
      <c r="A857" t="s">
        <v>23</v>
      </c>
      <c r="B857" t="s">
        <v>123</v>
      </c>
      <c r="C857" t="s">
        <v>112</v>
      </c>
      <c r="D857" t="s">
        <v>124</v>
      </c>
      <c r="E857" t="s">
        <v>53</v>
      </c>
      <c r="F857" t="s">
        <v>114</v>
      </c>
      <c r="G857">
        <v>120664</v>
      </c>
      <c r="H857" s="75">
        <v>43206</v>
      </c>
      <c r="I857" t="s">
        <v>115</v>
      </c>
      <c r="J857">
        <v>5000</v>
      </c>
      <c r="K857">
        <v>199.36099999999999</v>
      </c>
      <c r="L857">
        <v>25.080100000000002</v>
      </c>
      <c r="M857">
        <v>11067.489</v>
      </c>
      <c r="N857" t="s">
        <v>15</v>
      </c>
    </row>
    <row r="858" spans="1:15" x14ac:dyDescent="0.2">
      <c r="A858" t="s">
        <v>23</v>
      </c>
      <c r="B858" t="s">
        <v>123</v>
      </c>
      <c r="C858" t="s">
        <v>112</v>
      </c>
      <c r="D858" t="s">
        <v>124</v>
      </c>
      <c r="E858" t="s">
        <v>53</v>
      </c>
      <c r="F858" t="s">
        <v>114</v>
      </c>
      <c r="G858">
        <v>120664</v>
      </c>
      <c r="H858" s="75">
        <v>43236</v>
      </c>
      <c r="I858" t="s">
        <v>115</v>
      </c>
      <c r="J858">
        <v>5000</v>
      </c>
      <c r="K858">
        <v>198.077</v>
      </c>
      <c r="L858">
        <v>25.242699999999999</v>
      </c>
      <c r="M858">
        <v>11265.566000000001</v>
      </c>
      <c r="N858" t="s">
        <v>15</v>
      </c>
    </row>
    <row r="859" spans="1:15" x14ac:dyDescent="0.2">
      <c r="A859" t="s">
        <v>23</v>
      </c>
      <c r="B859" t="s">
        <v>123</v>
      </c>
      <c r="C859" t="s">
        <v>112</v>
      </c>
      <c r="D859" t="s">
        <v>124</v>
      </c>
      <c r="E859" t="s">
        <v>53</v>
      </c>
      <c r="F859" t="s">
        <v>114</v>
      </c>
      <c r="G859">
        <v>120664</v>
      </c>
      <c r="H859" s="75">
        <v>43266</v>
      </c>
      <c r="I859" t="s">
        <v>115</v>
      </c>
      <c r="J859">
        <v>5000</v>
      </c>
      <c r="K859">
        <v>194.999</v>
      </c>
      <c r="L859">
        <v>25.641200000000001</v>
      </c>
      <c r="M859">
        <v>11460.565000000001</v>
      </c>
      <c r="N859" t="s">
        <v>15</v>
      </c>
    </row>
    <row r="860" spans="1:15" x14ac:dyDescent="0.2">
      <c r="A860" t="s">
        <v>23</v>
      </c>
      <c r="B860" t="s">
        <v>123</v>
      </c>
      <c r="C860" t="s">
        <v>112</v>
      </c>
      <c r="D860" t="s">
        <v>124</v>
      </c>
      <c r="E860" t="s">
        <v>53</v>
      </c>
      <c r="F860" t="s">
        <v>114</v>
      </c>
      <c r="G860">
        <v>120664</v>
      </c>
      <c r="H860" s="75">
        <v>43296</v>
      </c>
      <c r="I860" t="s">
        <v>115</v>
      </c>
      <c r="J860">
        <v>5000</v>
      </c>
      <c r="K860">
        <v>197.03299999999999</v>
      </c>
      <c r="L860">
        <v>25.3765</v>
      </c>
      <c r="M860">
        <v>11657.598</v>
      </c>
      <c r="N860" t="s">
        <v>15</v>
      </c>
    </row>
    <row r="861" spans="1:15" x14ac:dyDescent="0.2">
      <c r="A861" t="s">
        <v>23</v>
      </c>
      <c r="B861" t="s">
        <v>123</v>
      </c>
      <c r="C861" t="s">
        <v>112</v>
      </c>
      <c r="D861" t="s">
        <v>124</v>
      </c>
      <c r="E861" t="s">
        <v>53</v>
      </c>
      <c r="F861" t="s">
        <v>114</v>
      </c>
      <c r="G861">
        <v>120664</v>
      </c>
      <c r="H861" s="75">
        <v>43326</v>
      </c>
      <c r="I861" t="s">
        <v>115</v>
      </c>
      <c r="J861">
        <v>5000</v>
      </c>
      <c r="K861">
        <v>196.36</v>
      </c>
      <c r="L861">
        <v>25.4634</v>
      </c>
      <c r="M861">
        <v>11853.958000000001</v>
      </c>
      <c r="N861" t="s">
        <v>15</v>
      </c>
    </row>
    <row r="862" spans="1:15" x14ac:dyDescent="0.2">
      <c r="A862" t="s">
        <v>23</v>
      </c>
      <c r="B862" t="s">
        <v>123</v>
      </c>
      <c r="C862" t="s">
        <v>112</v>
      </c>
      <c r="D862" t="s">
        <v>124</v>
      </c>
      <c r="E862" t="s">
        <v>53</v>
      </c>
      <c r="F862" t="s">
        <v>114</v>
      </c>
      <c r="G862">
        <v>120664</v>
      </c>
      <c r="H862" s="75">
        <v>43356</v>
      </c>
      <c r="I862" t="s">
        <v>115</v>
      </c>
      <c r="J862">
        <v>5000</v>
      </c>
      <c r="K862">
        <v>195.655</v>
      </c>
      <c r="L862">
        <v>25.555199999999999</v>
      </c>
      <c r="M862">
        <v>12049.612999999999</v>
      </c>
      <c r="N862" t="s">
        <v>15</v>
      </c>
    </row>
    <row r="863" spans="1:15" x14ac:dyDescent="0.2">
      <c r="A863" t="s">
        <v>23</v>
      </c>
      <c r="B863" t="s">
        <v>123</v>
      </c>
      <c r="C863" t="s">
        <v>112</v>
      </c>
      <c r="D863" t="s">
        <v>124</v>
      </c>
      <c r="E863" t="s">
        <v>53</v>
      </c>
      <c r="F863" t="s">
        <v>114</v>
      </c>
      <c r="G863">
        <v>120664</v>
      </c>
      <c r="H863" s="75">
        <v>43356</v>
      </c>
      <c r="I863" t="s">
        <v>116</v>
      </c>
      <c r="J863">
        <v>2.5</v>
      </c>
      <c r="K863">
        <v>0</v>
      </c>
      <c r="M863">
        <v>12049.612999999999</v>
      </c>
      <c r="N863" t="s">
        <v>17</v>
      </c>
    </row>
    <row r="864" spans="1:15" x14ac:dyDescent="0.2">
      <c r="A864" t="s">
        <v>23</v>
      </c>
      <c r="B864" t="s">
        <v>123</v>
      </c>
      <c r="C864" t="s">
        <v>112</v>
      </c>
      <c r="D864" t="s">
        <v>124</v>
      </c>
      <c r="E864" t="s">
        <v>53</v>
      </c>
      <c r="F864" t="s">
        <v>114</v>
      </c>
      <c r="G864">
        <v>120664</v>
      </c>
      <c r="H864" s="75">
        <v>43386</v>
      </c>
      <c r="I864" t="s">
        <v>115</v>
      </c>
      <c r="J864">
        <v>5000</v>
      </c>
      <c r="K864">
        <v>191.26300000000001</v>
      </c>
      <c r="L864">
        <v>26.141999999999999</v>
      </c>
      <c r="M864">
        <v>12240.876</v>
      </c>
      <c r="N864" t="s">
        <v>15</v>
      </c>
    </row>
    <row r="865" spans="1:14" x14ac:dyDescent="0.2">
      <c r="A865" t="s">
        <v>23</v>
      </c>
      <c r="B865" t="s">
        <v>123</v>
      </c>
      <c r="C865" t="s">
        <v>112</v>
      </c>
      <c r="D865" t="s">
        <v>124</v>
      </c>
      <c r="E865" t="s">
        <v>53</v>
      </c>
      <c r="F865" t="s">
        <v>114</v>
      </c>
      <c r="G865">
        <v>120664</v>
      </c>
      <c r="H865" s="75">
        <v>43416</v>
      </c>
      <c r="I865" t="s">
        <v>115</v>
      </c>
      <c r="J865">
        <v>5000</v>
      </c>
      <c r="K865">
        <v>188.67</v>
      </c>
      <c r="L865">
        <v>26.501200000000001</v>
      </c>
      <c r="M865">
        <v>12429.547</v>
      </c>
      <c r="N865" t="s">
        <v>15</v>
      </c>
    </row>
    <row r="866" spans="1:14" x14ac:dyDescent="0.2">
      <c r="A866" t="s">
        <v>23</v>
      </c>
      <c r="B866" t="s">
        <v>123</v>
      </c>
      <c r="C866" t="s">
        <v>112</v>
      </c>
      <c r="D866" t="s">
        <v>124</v>
      </c>
      <c r="E866" t="s">
        <v>53</v>
      </c>
      <c r="F866" t="s">
        <v>114</v>
      </c>
      <c r="G866">
        <v>120664</v>
      </c>
      <c r="H866" s="75">
        <v>43446</v>
      </c>
      <c r="I866" t="s">
        <v>115</v>
      </c>
      <c r="J866">
        <v>5000</v>
      </c>
      <c r="K866">
        <v>185.41399999999999</v>
      </c>
      <c r="L866">
        <v>26.966699999999999</v>
      </c>
      <c r="M866">
        <v>12614.96</v>
      </c>
      <c r="N866" t="s">
        <v>15</v>
      </c>
    </row>
    <row r="867" spans="1:14" x14ac:dyDescent="0.2">
      <c r="A867" t="s">
        <v>23</v>
      </c>
      <c r="B867" t="s">
        <v>123</v>
      </c>
      <c r="C867" t="s">
        <v>112</v>
      </c>
      <c r="D867" t="s">
        <v>124</v>
      </c>
      <c r="E867" t="s">
        <v>53</v>
      </c>
      <c r="F867" t="s">
        <v>114</v>
      </c>
      <c r="G867">
        <v>120664</v>
      </c>
      <c r="H867" s="75">
        <v>43476</v>
      </c>
      <c r="I867" t="s">
        <v>115</v>
      </c>
      <c r="J867">
        <v>5000</v>
      </c>
      <c r="K867">
        <v>187.25200000000001</v>
      </c>
      <c r="L867">
        <v>26.702000000000002</v>
      </c>
      <c r="M867">
        <v>12802.212</v>
      </c>
      <c r="N867" t="s">
        <v>15</v>
      </c>
    </row>
    <row r="868" spans="1:14" x14ac:dyDescent="0.2">
      <c r="A868" t="s">
        <v>23</v>
      </c>
      <c r="B868" t="s">
        <v>123</v>
      </c>
      <c r="C868" t="s">
        <v>112</v>
      </c>
      <c r="D868" t="s">
        <v>124</v>
      </c>
      <c r="E868" t="s">
        <v>53</v>
      </c>
      <c r="F868" t="s">
        <v>114</v>
      </c>
      <c r="G868">
        <v>120664</v>
      </c>
      <c r="H868" s="75">
        <v>43506</v>
      </c>
      <c r="I868" t="s">
        <v>115</v>
      </c>
      <c r="J868">
        <v>5000</v>
      </c>
      <c r="K868">
        <v>186.22</v>
      </c>
      <c r="L868">
        <v>26.849900000000002</v>
      </c>
      <c r="M868">
        <v>12988.432000000001</v>
      </c>
      <c r="N868" t="s">
        <v>15</v>
      </c>
    </row>
    <row r="869" spans="1:14" x14ac:dyDescent="0.2">
      <c r="A869" t="s">
        <v>23</v>
      </c>
      <c r="B869" t="s">
        <v>123</v>
      </c>
      <c r="C869" t="s">
        <v>112</v>
      </c>
      <c r="D869" t="s">
        <v>124</v>
      </c>
      <c r="E869" t="s">
        <v>53</v>
      </c>
      <c r="F869" t="s">
        <v>114</v>
      </c>
      <c r="G869">
        <v>120664</v>
      </c>
      <c r="H869" s="75">
        <v>43506</v>
      </c>
      <c r="I869" t="s">
        <v>117</v>
      </c>
      <c r="J869">
        <v>2.5</v>
      </c>
      <c r="K869">
        <v>0</v>
      </c>
      <c r="M869">
        <v>12988.432000000001</v>
      </c>
      <c r="N869" t="s">
        <v>46</v>
      </c>
    </row>
    <row r="870" spans="1:14" x14ac:dyDescent="0.2">
      <c r="A870" t="s">
        <v>23</v>
      </c>
      <c r="B870" t="s">
        <v>123</v>
      </c>
      <c r="C870" t="s">
        <v>112</v>
      </c>
      <c r="D870" t="s">
        <v>124</v>
      </c>
      <c r="E870" t="s">
        <v>53</v>
      </c>
      <c r="F870" t="s">
        <v>114</v>
      </c>
      <c r="G870">
        <v>120664</v>
      </c>
      <c r="H870" s="75">
        <v>43536</v>
      </c>
      <c r="I870" t="s">
        <v>115</v>
      </c>
      <c r="J870">
        <v>5000</v>
      </c>
      <c r="K870">
        <v>186.874</v>
      </c>
      <c r="L870">
        <v>26.7559</v>
      </c>
      <c r="M870">
        <v>13175.307000000001</v>
      </c>
      <c r="N870" t="s">
        <v>15</v>
      </c>
    </row>
    <row r="871" spans="1:14" x14ac:dyDescent="0.2">
      <c r="A871" t="s">
        <v>23</v>
      </c>
      <c r="B871" t="s">
        <v>123</v>
      </c>
      <c r="C871" t="s">
        <v>112</v>
      </c>
      <c r="D871" t="s">
        <v>124</v>
      </c>
      <c r="E871" t="s">
        <v>53</v>
      </c>
      <c r="F871" t="s">
        <v>114</v>
      </c>
      <c r="G871">
        <v>120664</v>
      </c>
      <c r="H871" s="75">
        <v>43566</v>
      </c>
      <c r="I871" t="s">
        <v>115</v>
      </c>
      <c r="J871">
        <v>5000</v>
      </c>
      <c r="K871">
        <v>188.80699999999999</v>
      </c>
      <c r="L871">
        <v>26.481999999999999</v>
      </c>
      <c r="M871">
        <v>13364.114</v>
      </c>
      <c r="N871" t="s">
        <v>15</v>
      </c>
    </row>
    <row r="872" spans="1:14" x14ac:dyDescent="0.2">
      <c r="A872" t="s">
        <v>23</v>
      </c>
      <c r="B872" t="s">
        <v>123</v>
      </c>
      <c r="C872" t="s">
        <v>112</v>
      </c>
      <c r="D872" t="s">
        <v>124</v>
      </c>
      <c r="E872" t="s">
        <v>53</v>
      </c>
      <c r="F872" t="s">
        <v>114</v>
      </c>
      <c r="G872">
        <v>120664</v>
      </c>
      <c r="H872" s="75">
        <v>43596</v>
      </c>
      <c r="I872" t="s">
        <v>115</v>
      </c>
      <c r="J872">
        <v>5000</v>
      </c>
      <c r="K872">
        <v>187.52500000000001</v>
      </c>
      <c r="L872">
        <v>26.6631</v>
      </c>
      <c r="M872">
        <v>13551.638999999999</v>
      </c>
      <c r="N872" t="s">
        <v>15</v>
      </c>
    </row>
    <row r="873" spans="1:14" x14ac:dyDescent="0.2">
      <c r="A873" t="s">
        <v>23</v>
      </c>
      <c r="B873" t="s">
        <v>123</v>
      </c>
      <c r="C873" t="s">
        <v>112</v>
      </c>
      <c r="D873" t="s">
        <v>124</v>
      </c>
      <c r="E873" t="s">
        <v>53</v>
      </c>
      <c r="F873" t="s">
        <v>114</v>
      </c>
      <c r="G873">
        <v>120664</v>
      </c>
      <c r="H873" s="75">
        <v>43626</v>
      </c>
      <c r="I873" t="s">
        <v>115</v>
      </c>
      <c r="J873">
        <v>5000</v>
      </c>
      <c r="K873">
        <v>182.34899999999999</v>
      </c>
      <c r="L873">
        <v>27.419899999999998</v>
      </c>
      <c r="M873">
        <v>13733.989</v>
      </c>
      <c r="N873" t="s">
        <v>15</v>
      </c>
    </row>
    <row r="874" spans="1:14" x14ac:dyDescent="0.2">
      <c r="A874" t="s">
        <v>23</v>
      </c>
      <c r="B874" t="s">
        <v>123</v>
      </c>
      <c r="C874" t="s">
        <v>112</v>
      </c>
      <c r="D874" t="s">
        <v>124</v>
      </c>
      <c r="E874" t="s">
        <v>53</v>
      </c>
      <c r="F874" t="s">
        <v>114</v>
      </c>
      <c r="G874">
        <v>120664</v>
      </c>
      <c r="H874" s="75">
        <v>43656</v>
      </c>
      <c r="I874" t="s">
        <v>115</v>
      </c>
      <c r="J874">
        <v>5000</v>
      </c>
      <c r="K874">
        <v>177.74</v>
      </c>
      <c r="L874">
        <v>28.1309</v>
      </c>
      <c r="M874">
        <v>13911.728999999999</v>
      </c>
      <c r="N874" t="s">
        <v>15</v>
      </c>
    </row>
    <row r="875" spans="1:14" x14ac:dyDescent="0.2">
      <c r="A875" t="s">
        <v>23</v>
      </c>
      <c r="B875" t="s">
        <v>123</v>
      </c>
      <c r="C875" t="s">
        <v>112</v>
      </c>
      <c r="D875" t="s">
        <v>124</v>
      </c>
      <c r="E875" t="s">
        <v>53</v>
      </c>
      <c r="F875" t="s">
        <v>114</v>
      </c>
      <c r="G875">
        <v>120664</v>
      </c>
      <c r="H875" s="75">
        <v>43686</v>
      </c>
      <c r="I875" t="s">
        <v>115</v>
      </c>
      <c r="J875">
        <v>5000</v>
      </c>
      <c r="K875">
        <v>174.17599999999999</v>
      </c>
      <c r="L875">
        <v>28.706600000000002</v>
      </c>
      <c r="M875">
        <v>14085.905000000001</v>
      </c>
      <c r="N875" t="s">
        <v>15</v>
      </c>
    </row>
    <row r="876" spans="1:14" x14ac:dyDescent="0.2">
      <c r="A876" t="s">
        <v>23</v>
      </c>
      <c r="B876" t="s">
        <v>123</v>
      </c>
      <c r="C876" t="s">
        <v>112</v>
      </c>
      <c r="D876" t="s">
        <v>124</v>
      </c>
      <c r="E876" t="s">
        <v>53</v>
      </c>
      <c r="F876" t="s">
        <v>114</v>
      </c>
      <c r="G876">
        <v>120664</v>
      </c>
      <c r="H876" s="75">
        <v>43716</v>
      </c>
      <c r="I876" t="s">
        <v>115</v>
      </c>
      <c r="J876">
        <v>5000</v>
      </c>
      <c r="K876">
        <v>169.87700000000001</v>
      </c>
      <c r="L876">
        <v>29.4331</v>
      </c>
      <c r="M876">
        <v>14255.781999999999</v>
      </c>
      <c r="N876" t="s">
        <v>15</v>
      </c>
    </row>
    <row r="877" spans="1:14" x14ac:dyDescent="0.2">
      <c r="A877" t="s">
        <v>23</v>
      </c>
      <c r="B877" t="s">
        <v>123</v>
      </c>
      <c r="C877" t="s">
        <v>112</v>
      </c>
      <c r="D877" t="s">
        <v>124</v>
      </c>
      <c r="E877" t="s">
        <v>53</v>
      </c>
      <c r="F877" t="s">
        <v>114</v>
      </c>
      <c r="G877">
        <v>120664</v>
      </c>
      <c r="H877" s="75">
        <v>43746</v>
      </c>
      <c r="I877" t="s">
        <v>115</v>
      </c>
      <c r="J877">
        <v>5000</v>
      </c>
      <c r="K877">
        <v>169.822</v>
      </c>
      <c r="L877">
        <v>29.442599999999999</v>
      </c>
      <c r="M877">
        <v>14425.603999999999</v>
      </c>
      <c r="N877" t="s">
        <v>15</v>
      </c>
    </row>
    <row r="878" spans="1:14" x14ac:dyDescent="0.2">
      <c r="A878" t="s">
        <v>23</v>
      </c>
      <c r="B878" t="s">
        <v>123</v>
      </c>
      <c r="C878" t="s">
        <v>112</v>
      </c>
      <c r="D878" t="s">
        <v>124</v>
      </c>
      <c r="E878" t="s">
        <v>53</v>
      </c>
      <c r="F878" t="s">
        <v>114</v>
      </c>
      <c r="G878">
        <v>120664</v>
      </c>
      <c r="H878" s="75">
        <v>43746</v>
      </c>
      <c r="I878" t="s">
        <v>117</v>
      </c>
      <c r="J878">
        <v>2.5</v>
      </c>
      <c r="K878">
        <v>0</v>
      </c>
      <c r="M878">
        <v>14425.603999999999</v>
      </c>
      <c r="N878" t="s">
        <v>46</v>
      </c>
    </row>
    <row r="879" spans="1:14" x14ac:dyDescent="0.2">
      <c r="A879" t="s">
        <v>23</v>
      </c>
      <c r="B879" t="s">
        <v>123</v>
      </c>
      <c r="C879" t="s">
        <v>112</v>
      </c>
      <c r="D879" t="s">
        <v>124</v>
      </c>
      <c r="E879" t="s">
        <v>53</v>
      </c>
      <c r="F879" t="s">
        <v>114</v>
      </c>
      <c r="G879">
        <v>120664</v>
      </c>
      <c r="H879" s="75">
        <v>43776</v>
      </c>
      <c r="I879" t="s">
        <v>115</v>
      </c>
      <c r="J879">
        <v>5000</v>
      </c>
      <c r="K879">
        <v>166.184</v>
      </c>
      <c r="L879">
        <v>30.087199999999999</v>
      </c>
      <c r="M879">
        <v>14591.787</v>
      </c>
      <c r="N879" t="s">
        <v>15</v>
      </c>
    </row>
    <row r="880" spans="1:14" x14ac:dyDescent="0.2">
      <c r="A880" t="s">
        <v>23</v>
      </c>
      <c r="B880" t="s">
        <v>123</v>
      </c>
      <c r="C880" t="s">
        <v>112</v>
      </c>
      <c r="D880" t="s">
        <v>124</v>
      </c>
      <c r="E880" t="s">
        <v>53</v>
      </c>
      <c r="F880" t="s">
        <v>114</v>
      </c>
      <c r="G880">
        <v>120664</v>
      </c>
      <c r="H880" s="75">
        <v>43806</v>
      </c>
      <c r="I880" t="s">
        <v>115</v>
      </c>
      <c r="J880">
        <v>5000</v>
      </c>
      <c r="K880">
        <v>167.31200000000001</v>
      </c>
      <c r="L880">
        <v>29.8842</v>
      </c>
      <c r="M880">
        <v>14759.1</v>
      </c>
      <c r="N880" t="s">
        <v>15</v>
      </c>
    </row>
    <row r="881" spans="1:15" x14ac:dyDescent="0.2">
      <c r="A881" t="s">
        <v>23</v>
      </c>
      <c r="B881" t="s">
        <v>123</v>
      </c>
      <c r="C881" t="s">
        <v>112</v>
      </c>
      <c r="D881" t="s">
        <v>124</v>
      </c>
      <c r="E881" t="s">
        <v>53</v>
      </c>
      <c r="F881" t="s">
        <v>114</v>
      </c>
      <c r="G881">
        <v>120664</v>
      </c>
      <c r="H881" s="75">
        <v>43806</v>
      </c>
      <c r="I881" t="s">
        <v>116</v>
      </c>
      <c r="J881">
        <v>2.5</v>
      </c>
      <c r="K881">
        <v>0</v>
      </c>
      <c r="M881">
        <v>14759.1</v>
      </c>
      <c r="N881" t="s">
        <v>17</v>
      </c>
    </row>
    <row r="882" spans="1:15" x14ac:dyDescent="0.2">
      <c r="A882" t="s">
        <v>23</v>
      </c>
      <c r="B882" t="s">
        <v>123</v>
      </c>
      <c r="C882" t="s">
        <v>112</v>
      </c>
      <c r="D882" t="s">
        <v>124</v>
      </c>
      <c r="E882" t="s">
        <v>53</v>
      </c>
      <c r="F882" t="s">
        <v>114</v>
      </c>
      <c r="G882">
        <v>120664</v>
      </c>
      <c r="H882" s="75">
        <v>43836</v>
      </c>
      <c r="I882" t="s">
        <v>115</v>
      </c>
      <c r="J882">
        <v>5000</v>
      </c>
      <c r="K882">
        <v>165.03</v>
      </c>
      <c r="L882">
        <v>30.297599999999999</v>
      </c>
      <c r="M882">
        <v>14924.129000000001</v>
      </c>
      <c r="N882" t="s">
        <v>15</v>
      </c>
    </row>
    <row r="883" spans="1:15" x14ac:dyDescent="0.2">
      <c r="A883" t="s">
        <v>23</v>
      </c>
      <c r="B883" t="s">
        <v>123</v>
      </c>
      <c r="C883" t="s">
        <v>112</v>
      </c>
      <c r="D883" t="s">
        <v>124</v>
      </c>
      <c r="E883" t="s">
        <v>53</v>
      </c>
      <c r="F883" t="s">
        <v>114</v>
      </c>
      <c r="G883">
        <v>120664</v>
      </c>
      <c r="H883" s="75">
        <v>43866</v>
      </c>
      <c r="I883" t="s">
        <v>115</v>
      </c>
      <c r="J883">
        <v>5000</v>
      </c>
      <c r="K883">
        <v>166.23699999999999</v>
      </c>
      <c r="L883">
        <v>30.077500000000001</v>
      </c>
      <c r="M883">
        <v>15090.367</v>
      </c>
      <c r="N883" t="s">
        <v>15</v>
      </c>
    </row>
    <row r="884" spans="1:15" x14ac:dyDescent="0.2">
      <c r="A884" t="s">
        <v>23</v>
      </c>
      <c r="B884" t="s">
        <v>123</v>
      </c>
      <c r="C884" t="s">
        <v>112</v>
      </c>
      <c r="D884" t="s">
        <v>124</v>
      </c>
      <c r="E884" t="s">
        <v>53</v>
      </c>
      <c r="F884" t="s">
        <v>114</v>
      </c>
      <c r="G884">
        <v>120664</v>
      </c>
      <c r="H884" s="75">
        <v>43896</v>
      </c>
      <c r="I884" t="s">
        <v>115</v>
      </c>
      <c r="J884">
        <v>5000</v>
      </c>
      <c r="K884">
        <v>164.595</v>
      </c>
      <c r="L884">
        <v>30.377600000000001</v>
      </c>
      <c r="M884">
        <v>15254.962</v>
      </c>
      <c r="N884" t="s">
        <v>15</v>
      </c>
    </row>
    <row r="885" spans="1:15" x14ac:dyDescent="0.2">
      <c r="A885" t="s">
        <v>23</v>
      </c>
      <c r="B885" t="s">
        <v>123</v>
      </c>
      <c r="C885" t="s">
        <v>112</v>
      </c>
      <c r="D885" t="s">
        <v>124</v>
      </c>
      <c r="E885" t="s">
        <v>53</v>
      </c>
      <c r="F885" t="s">
        <v>114</v>
      </c>
      <c r="G885">
        <v>120664</v>
      </c>
      <c r="H885" s="75">
        <v>43926</v>
      </c>
      <c r="I885" t="s">
        <v>115</v>
      </c>
      <c r="J885">
        <v>5000</v>
      </c>
      <c r="K885">
        <v>164.845</v>
      </c>
      <c r="L885">
        <v>30.331499999999998</v>
      </c>
      <c r="M885">
        <v>15419.807000000001</v>
      </c>
      <c r="N885" t="s">
        <v>15</v>
      </c>
    </row>
    <row r="886" spans="1:15" x14ac:dyDescent="0.2">
      <c r="A886" t="s">
        <v>23</v>
      </c>
      <c r="B886" t="s">
        <v>123</v>
      </c>
      <c r="C886" t="s">
        <v>112</v>
      </c>
      <c r="D886" t="s">
        <v>124</v>
      </c>
      <c r="E886" t="s">
        <v>53</v>
      </c>
      <c r="F886" t="s">
        <v>114</v>
      </c>
      <c r="G886">
        <v>120664</v>
      </c>
      <c r="H886" s="75">
        <v>43956</v>
      </c>
      <c r="I886" t="s">
        <v>115</v>
      </c>
      <c r="J886">
        <v>5000</v>
      </c>
      <c r="K886">
        <v>165.584</v>
      </c>
      <c r="L886">
        <v>30.196100000000001</v>
      </c>
      <c r="M886">
        <v>15585.391</v>
      </c>
      <c r="N886" t="s">
        <v>15</v>
      </c>
    </row>
    <row r="887" spans="1:15" x14ac:dyDescent="0.2">
      <c r="A887" t="s">
        <v>23</v>
      </c>
      <c r="B887" t="s">
        <v>123</v>
      </c>
      <c r="C887" t="s">
        <v>112</v>
      </c>
      <c r="D887" t="s">
        <v>124</v>
      </c>
      <c r="E887" t="s">
        <v>53</v>
      </c>
      <c r="F887" t="s">
        <v>114</v>
      </c>
      <c r="G887">
        <v>120664</v>
      </c>
      <c r="H887" s="75">
        <v>43986</v>
      </c>
      <c r="I887" t="s">
        <v>115</v>
      </c>
      <c r="J887">
        <v>5000</v>
      </c>
      <c r="K887">
        <v>163.30099999999999</v>
      </c>
      <c r="L887">
        <v>30.618300000000001</v>
      </c>
      <c r="M887">
        <v>15748.692999999999</v>
      </c>
      <c r="N887" t="s">
        <v>15</v>
      </c>
    </row>
    <row r="888" spans="1:15" x14ac:dyDescent="0.2">
      <c r="A888" t="s">
        <v>23</v>
      </c>
      <c r="B888" t="s">
        <v>123</v>
      </c>
      <c r="C888" t="s">
        <v>112</v>
      </c>
      <c r="D888" t="s">
        <v>124</v>
      </c>
      <c r="E888" t="s">
        <v>53</v>
      </c>
      <c r="F888" t="s">
        <v>114</v>
      </c>
      <c r="G888">
        <v>120664</v>
      </c>
      <c r="H888" s="75">
        <v>43986</v>
      </c>
      <c r="I888" t="s">
        <v>118</v>
      </c>
      <c r="J888">
        <v>7874.35</v>
      </c>
      <c r="K888">
        <v>0</v>
      </c>
      <c r="M888">
        <v>15748.692999999999</v>
      </c>
      <c r="N888" t="s">
        <v>19</v>
      </c>
      <c r="O888">
        <v>7874.35</v>
      </c>
    </row>
    <row r="889" spans="1:15" x14ac:dyDescent="0.2">
      <c r="A889" t="s">
        <v>23</v>
      </c>
      <c r="B889" t="s">
        <v>123</v>
      </c>
      <c r="C889" t="s">
        <v>112</v>
      </c>
      <c r="D889" t="s">
        <v>124</v>
      </c>
      <c r="E889" t="s">
        <v>53</v>
      </c>
      <c r="F889" t="s">
        <v>114</v>
      </c>
      <c r="G889">
        <v>120664</v>
      </c>
      <c r="H889" s="75">
        <v>44016</v>
      </c>
      <c r="I889" t="s">
        <v>115</v>
      </c>
      <c r="J889">
        <v>5000</v>
      </c>
      <c r="K889">
        <v>159.71</v>
      </c>
      <c r="L889">
        <v>31.306699999999999</v>
      </c>
      <c r="M889">
        <v>15908.403</v>
      </c>
      <c r="N889" t="s">
        <v>15</v>
      </c>
    </row>
    <row r="890" spans="1:15" x14ac:dyDescent="0.2">
      <c r="A890" t="s">
        <v>23</v>
      </c>
      <c r="B890" t="s">
        <v>123</v>
      </c>
      <c r="C890" t="s">
        <v>112</v>
      </c>
      <c r="D890" t="s">
        <v>124</v>
      </c>
      <c r="E890" t="s">
        <v>53</v>
      </c>
      <c r="F890" t="s">
        <v>114</v>
      </c>
      <c r="G890">
        <v>120664</v>
      </c>
      <c r="H890" s="75">
        <v>44046</v>
      </c>
      <c r="I890" t="s">
        <v>115</v>
      </c>
      <c r="J890">
        <v>5000</v>
      </c>
      <c r="K890">
        <v>159.976</v>
      </c>
      <c r="L890">
        <v>31.2547</v>
      </c>
      <c r="M890">
        <v>16068.379000000001</v>
      </c>
      <c r="N890" t="s">
        <v>15</v>
      </c>
    </row>
    <row r="891" spans="1:15" x14ac:dyDescent="0.2">
      <c r="A891" t="s">
        <v>23</v>
      </c>
      <c r="B891" t="s">
        <v>123</v>
      </c>
      <c r="C891" t="s">
        <v>112</v>
      </c>
      <c r="D891" t="s">
        <v>124</v>
      </c>
      <c r="E891" t="s">
        <v>53</v>
      </c>
      <c r="F891" t="s">
        <v>114</v>
      </c>
      <c r="G891">
        <v>120664</v>
      </c>
      <c r="H891" s="75">
        <v>44076</v>
      </c>
      <c r="I891" t="s">
        <v>115</v>
      </c>
      <c r="J891">
        <v>5000</v>
      </c>
      <c r="K891">
        <v>163.01499999999999</v>
      </c>
      <c r="L891">
        <v>30.672000000000001</v>
      </c>
      <c r="M891">
        <v>16231.394</v>
      </c>
      <c r="N891" t="s">
        <v>15</v>
      </c>
    </row>
    <row r="892" spans="1:15" x14ac:dyDescent="0.2">
      <c r="A892" t="s">
        <v>23</v>
      </c>
      <c r="B892" t="s">
        <v>123</v>
      </c>
      <c r="C892" t="s">
        <v>112</v>
      </c>
      <c r="D892" t="s">
        <v>124</v>
      </c>
      <c r="E892" t="s">
        <v>53</v>
      </c>
      <c r="F892" t="s">
        <v>114</v>
      </c>
      <c r="G892">
        <v>120664</v>
      </c>
      <c r="H892" s="75">
        <v>44106</v>
      </c>
      <c r="I892" t="s">
        <v>115</v>
      </c>
      <c r="J892">
        <v>5000</v>
      </c>
      <c r="K892">
        <v>159.82300000000001</v>
      </c>
      <c r="L892">
        <v>31.284500000000001</v>
      </c>
      <c r="M892">
        <v>16391.218000000001</v>
      </c>
      <c r="N892" t="s">
        <v>15</v>
      </c>
    </row>
    <row r="893" spans="1:15" x14ac:dyDescent="0.2">
      <c r="A893" t="s">
        <v>23</v>
      </c>
      <c r="B893" t="s">
        <v>123</v>
      </c>
      <c r="C893" t="s">
        <v>112</v>
      </c>
      <c r="D893" t="s">
        <v>124</v>
      </c>
      <c r="E893" t="s">
        <v>53</v>
      </c>
      <c r="F893" t="s">
        <v>114</v>
      </c>
      <c r="G893">
        <v>120664</v>
      </c>
      <c r="H893" s="75">
        <v>44136</v>
      </c>
      <c r="I893" t="s">
        <v>115</v>
      </c>
      <c r="J893">
        <v>5000</v>
      </c>
      <c r="K893">
        <v>156.84200000000001</v>
      </c>
      <c r="L893">
        <v>31.879100000000001</v>
      </c>
      <c r="M893">
        <v>16548.060000000001</v>
      </c>
      <c r="N893" t="s">
        <v>15</v>
      </c>
    </row>
    <row r="894" spans="1:15" x14ac:dyDescent="0.2">
      <c r="A894" t="s">
        <v>23</v>
      </c>
      <c r="B894" t="s">
        <v>123</v>
      </c>
      <c r="C894" t="s">
        <v>112</v>
      </c>
      <c r="D894" t="s">
        <v>124</v>
      </c>
      <c r="E894" t="s">
        <v>53</v>
      </c>
      <c r="F894" t="s">
        <v>114</v>
      </c>
      <c r="G894">
        <v>120664</v>
      </c>
      <c r="H894" s="75">
        <v>44166</v>
      </c>
      <c r="I894" t="s">
        <v>115</v>
      </c>
      <c r="J894">
        <v>5000</v>
      </c>
      <c r="K894">
        <v>158.45099999999999</v>
      </c>
      <c r="L894">
        <v>31.555499999999999</v>
      </c>
      <c r="M894">
        <v>16706.510999999999</v>
      </c>
      <c r="N894" t="s">
        <v>15</v>
      </c>
    </row>
    <row r="895" spans="1:15" x14ac:dyDescent="0.2">
      <c r="A895" t="s">
        <v>23</v>
      </c>
      <c r="B895" t="s">
        <v>123</v>
      </c>
      <c r="C895" t="s">
        <v>112</v>
      </c>
      <c r="D895" t="s">
        <v>124</v>
      </c>
      <c r="E895" t="s">
        <v>53</v>
      </c>
      <c r="F895" t="s">
        <v>114</v>
      </c>
      <c r="G895">
        <v>120664</v>
      </c>
      <c r="H895" s="75">
        <v>44166</v>
      </c>
      <c r="I895" t="s">
        <v>25</v>
      </c>
      <c r="J895">
        <v>-105436.33</v>
      </c>
      <c r="K895">
        <v>-3341.3020000000001</v>
      </c>
      <c r="L895">
        <v>31.555499999999999</v>
      </c>
      <c r="M895">
        <v>13365.209000000001</v>
      </c>
      <c r="N895" t="s">
        <v>16</v>
      </c>
    </row>
    <row r="896" spans="1:15" x14ac:dyDescent="0.2">
      <c r="A896" t="s">
        <v>23</v>
      </c>
      <c r="B896" t="s">
        <v>123</v>
      </c>
      <c r="C896" t="s">
        <v>112</v>
      </c>
      <c r="D896" t="s">
        <v>124</v>
      </c>
      <c r="E896" t="s">
        <v>53</v>
      </c>
      <c r="F896" t="s">
        <v>114</v>
      </c>
      <c r="G896">
        <v>120664</v>
      </c>
      <c r="H896" s="75">
        <v>44196</v>
      </c>
      <c r="I896" t="s">
        <v>115</v>
      </c>
      <c r="J896">
        <v>5000</v>
      </c>
      <c r="K896">
        <v>159.84700000000001</v>
      </c>
      <c r="L896">
        <v>31.279900000000001</v>
      </c>
      <c r="M896">
        <v>13525.056</v>
      </c>
      <c r="N896" t="s">
        <v>15</v>
      </c>
    </row>
    <row r="897" spans="1:15" x14ac:dyDescent="0.2">
      <c r="A897" t="s">
        <v>23</v>
      </c>
      <c r="B897" t="s">
        <v>123</v>
      </c>
      <c r="C897" t="s">
        <v>112</v>
      </c>
      <c r="D897" t="s">
        <v>124</v>
      </c>
      <c r="E897" t="s">
        <v>53</v>
      </c>
      <c r="F897" t="s">
        <v>114</v>
      </c>
      <c r="G897">
        <v>120664</v>
      </c>
      <c r="H897" s="75">
        <v>44226</v>
      </c>
      <c r="I897" t="s">
        <v>115</v>
      </c>
      <c r="J897">
        <v>5000</v>
      </c>
      <c r="K897">
        <v>161.529</v>
      </c>
      <c r="L897">
        <v>30.9542</v>
      </c>
      <c r="M897">
        <v>13686.584999999999</v>
      </c>
      <c r="N897" t="s">
        <v>15</v>
      </c>
    </row>
    <row r="898" spans="1:15" x14ac:dyDescent="0.2">
      <c r="A898" t="s">
        <v>23</v>
      </c>
      <c r="B898" t="s">
        <v>123</v>
      </c>
      <c r="C898" t="s">
        <v>112</v>
      </c>
      <c r="D898" t="s">
        <v>124</v>
      </c>
      <c r="E898" t="s">
        <v>53</v>
      </c>
      <c r="F898" t="s">
        <v>114</v>
      </c>
      <c r="G898">
        <v>120664</v>
      </c>
      <c r="H898" s="75">
        <v>44256</v>
      </c>
      <c r="I898" t="s">
        <v>115</v>
      </c>
      <c r="J898">
        <v>5000</v>
      </c>
      <c r="K898">
        <v>162.87</v>
      </c>
      <c r="L898">
        <v>30.699300000000001</v>
      </c>
      <c r="M898">
        <v>13849.455</v>
      </c>
      <c r="N898" t="s">
        <v>15</v>
      </c>
    </row>
    <row r="899" spans="1:15" x14ac:dyDescent="0.2">
      <c r="A899" t="s">
        <v>23</v>
      </c>
      <c r="B899" t="s">
        <v>123</v>
      </c>
      <c r="C899" t="s">
        <v>112</v>
      </c>
      <c r="D899" t="s">
        <v>124</v>
      </c>
      <c r="E899" t="s">
        <v>53</v>
      </c>
      <c r="F899" t="s">
        <v>114</v>
      </c>
      <c r="G899">
        <v>120664</v>
      </c>
      <c r="H899" s="75">
        <v>44286</v>
      </c>
      <c r="I899" t="s">
        <v>115</v>
      </c>
      <c r="J899">
        <v>5000</v>
      </c>
      <c r="K899">
        <v>162.08799999999999</v>
      </c>
      <c r="L899">
        <v>30.8475</v>
      </c>
      <c r="M899">
        <v>14011.543</v>
      </c>
      <c r="N899" t="s">
        <v>15</v>
      </c>
    </row>
    <row r="900" spans="1:15" x14ac:dyDescent="0.2">
      <c r="A900" t="s">
        <v>23</v>
      </c>
      <c r="B900" t="s">
        <v>123</v>
      </c>
      <c r="C900" t="s">
        <v>112</v>
      </c>
      <c r="D900" t="s">
        <v>124</v>
      </c>
      <c r="E900" t="s">
        <v>53</v>
      </c>
      <c r="F900" t="s">
        <v>114</v>
      </c>
      <c r="G900">
        <v>120664</v>
      </c>
      <c r="H900" s="75">
        <v>44286</v>
      </c>
      <c r="I900" t="s">
        <v>116</v>
      </c>
      <c r="J900">
        <v>2.5</v>
      </c>
      <c r="K900">
        <v>0</v>
      </c>
      <c r="M900">
        <v>14011.543</v>
      </c>
      <c r="N900" t="s">
        <v>17</v>
      </c>
    </row>
    <row r="901" spans="1:15" x14ac:dyDescent="0.2">
      <c r="A901" t="s">
        <v>23</v>
      </c>
      <c r="B901" t="s">
        <v>123</v>
      </c>
      <c r="C901" t="s">
        <v>112</v>
      </c>
      <c r="D901" t="s">
        <v>124</v>
      </c>
      <c r="E901" t="s">
        <v>53</v>
      </c>
      <c r="F901" t="s">
        <v>114</v>
      </c>
      <c r="G901">
        <v>120664</v>
      </c>
      <c r="H901" s="75">
        <v>44316</v>
      </c>
      <c r="I901" t="s">
        <v>115</v>
      </c>
      <c r="J901">
        <v>5000</v>
      </c>
      <c r="K901">
        <v>163.227</v>
      </c>
      <c r="L901">
        <v>30.632200000000001</v>
      </c>
      <c r="M901">
        <v>14174.77</v>
      </c>
      <c r="N901" t="s">
        <v>15</v>
      </c>
    </row>
    <row r="902" spans="1:15" x14ac:dyDescent="0.2">
      <c r="A902" t="s">
        <v>23</v>
      </c>
      <c r="B902" t="s">
        <v>123</v>
      </c>
      <c r="C902" t="s">
        <v>112</v>
      </c>
      <c r="D902" t="s">
        <v>124</v>
      </c>
      <c r="E902" t="s">
        <v>53</v>
      </c>
      <c r="F902" t="s">
        <v>114</v>
      </c>
      <c r="G902">
        <v>120664</v>
      </c>
      <c r="H902" s="75">
        <v>44346</v>
      </c>
      <c r="I902" t="s">
        <v>115</v>
      </c>
      <c r="J902">
        <v>5000</v>
      </c>
      <c r="K902">
        <v>162.19499999999999</v>
      </c>
      <c r="L902">
        <v>30.827100000000002</v>
      </c>
      <c r="M902">
        <v>14336.965</v>
      </c>
      <c r="N902" t="s">
        <v>15</v>
      </c>
    </row>
    <row r="903" spans="1:15" x14ac:dyDescent="0.2">
      <c r="A903" t="s">
        <v>23</v>
      </c>
      <c r="B903" t="s">
        <v>123</v>
      </c>
      <c r="C903" t="s">
        <v>112</v>
      </c>
      <c r="D903" t="s">
        <v>124</v>
      </c>
      <c r="E903" t="s">
        <v>53</v>
      </c>
      <c r="F903" t="s">
        <v>114</v>
      </c>
      <c r="G903">
        <v>120664</v>
      </c>
      <c r="H903" s="75">
        <v>44376</v>
      </c>
      <c r="I903" t="s">
        <v>115</v>
      </c>
      <c r="J903">
        <v>5000</v>
      </c>
      <c r="K903">
        <v>162.13999999999999</v>
      </c>
      <c r="L903">
        <v>30.837599999999998</v>
      </c>
      <c r="M903">
        <v>14499.105</v>
      </c>
      <c r="N903" t="s">
        <v>15</v>
      </c>
    </row>
    <row r="904" spans="1:15" x14ac:dyDescent="0.2">
      <c r="A904" t="s">
        <v>23</v>
      </c>
      <c r="B904" t="s">
        <v>123</v>
      </c>
      <c r="C904" t="s">
        <v>112</v>
      </c>
      <c r="D904" t="s">
        <v>124</v>
      </c>
      <c r="E904" t="s">
        <v>53</v>
      </c>
      <c r="F904" t="s">
        <v>114</v>
      </c>
      <c r="G904">
        <v>120664</v>
      </c>
      <c r="H904" s="75">
        <v>44406</v>
      </c>
      <c r="I904" t="s">
        <v>115</v>
      </c>
      <c r="J904">
        <v>5000</v>
      </c>
      <c r="K904">
        <v>162.065</v>
      </c>
      <c r="L904">
        <v>30.851700000000001</v>
      </c>
      <c r="M904">
        <v>14661.171</v>
      </c>
      <c r="N904" t="s">
        <v>15</v>
      </c>
    </row>
    <row r="905" spans="1:15" x14ac:dyDescent="0.2">
      <c r="A905" t="s">
        <v>23</v>
      </c>
      <c r="B905" t="s">
        <v>123</v>
      </c>
      <c r="C905" t="s">
        <v>112</v>
      </c>
      <c r="D905" t="s">
        <v>124</v>
      </c>
      <c r="E905" t="s">
        <v>53</v>
      </c>
      <c r="F905" t="s">
        <v>114</v>
      </c>
      <c r="G905">
        <v>120664</v>
      </c>
      <c r="H905" s="75">
        <v>44436</v>
      </c>
      <c r="I905" t="s">
        <v>115</v>
      </c>
      <c r="J905">
        <v>5000</v>
      </c>
      <c r="K905">
        <v>159.16399999999999</v>
      </c>
      <c r="L905">
        <v>31.414100000000001</v>
      </c>
      <c r="M905">
        <v>14820.334999999999</v>
      </c>
      <c r="N905" t="s">
        <v>15</v>
      </c>
    </row>
    <row r="906" spans="1:15" x14ac:dyDescent="0.2">
      <c r="A906" t="s">
        <v>23</v>
      </c>
      <c r="B906" t="s">
        <v>123</v>
      </c>
      <c r="C906" t="s">
        <v>112</v>
      </c>
      <c r="D906" t="s">
        <v>124</v>
      </c>
      <c r="E906" t="s">
        <v>53</v>
      </c>
      <c r="F906" t="s">
        <v>114</v>
      </c>
      <c r="G906">
        <v>120664</v>
      </c>
      <c r="H906" s="75">
        <v>44466</v>
      </c>
      <c r="I906" t="s">
        <v>115</v>
      </c>
      <c r="J906">
        <v>5000</v>
      </c>
      <c r="K906">
        <v>155.49</v>
      </c>
      <c r="L906">
        <v>32.156500000000001</v>
      </c>
      <c r="M906">
        <v>14975.824000000001</v>
      </c>
      <c r="N906" t="s">
        <v>15</v>
      </c>
    </row>
    <row r="907" spans="1:15" x14ac:dyDescent="0.2">
      <c r="A907" t="s">
        <v>23</v>
      </c>
      <c r="B907" t="s">
        <v>123</v>
      </c>
      <c r="C907" t="s">
        <v>112</v>
      </c>
      <c r="D907" t="s">
        <v>124</v>
      </c>
      <c r="E907" t="s">
        <v>53</v>
      </c>
      <c r="F907" t="s">
        <v>114</v>
      </c>
      <c r="G907">
        <v>120664</v>
      </c>
      <c r="H907" s="75">
        <v>44466</v>
      </c>
      <c r="I907" t="s">
        <v>118</v>
      </c>
      <c r="J907">
        <v>7487.91</v>
      </c>
      <c r="K907">
        <v>0</v>
      </c>
      <c r="M907">
        <v>14975.824000000001</v>
      </c>
      <c r="N907" t="s">
        <v>19</v>
      </c>
      <c r="O907">
        <v>7487.91</v>
      </c>
    </row>
    <row r="908" spans="1:15" x14ac:dyDescent="0.2">
      <c r="A908" t="s">
        <v>23</v>
      </c>
      <c r="B908" t="s">
        <v>123</v>
      </c>
      <c r="C908" t="s">
        <v>112</v>
      </c>
      <c r="D908" t="s">
        <v>124</v>
      </c>
      <c r="E908" t="s">
        <v>53</v>
      </c>
      <c r="F908" t="s">
        <v>114</v>
      </c>
      <c r="G908">
        <v>120664</v>
      </c>
      <c r="H908" s="75">
        <v>44496</v>
      </c>
      <c r="I908" t="s">
        <v>115</v>
      </c>
      <c r="J908">
        <v>5000</v>
      </c>
      <c r="K908">
        <v>154.869</v>
      </c>
      <c r="L908">
        <v>32.285299999999999</v>
      </c>
      <c r="M908">
        <v>15130.692999999999</v>
      </c>
      <c r="N908" t="s">
        <v>15</v>
      </c>
    </row>
    <row r="909" spans="1:15" x14ac:dyDescent="0.2">
      <c r="A909" t="s">
        <v>23</v>
      </c>
      <c r="B909" t="s">
        <v>123</v>
      </c>
      <c r="C909" t="s">
        <v>112</v>
      </c>
      <c r="D909" t="s">
        <v>124</v>
      </c>
      <c r="E909" t="s">
        <v>53</v>
      </c>
      <c r="F909" t="s">
        <v>114</v>
      </c>
      <c r="G909">
        <v>120664</v>
      </c>
      <c r="H909" s="75">
        <v>44526</v>
      </c>
      <c r="I909" t="s">
        <v>115</v>
      </c>
      <c r="J909">
        <v>5000</v>
      </c>
      <c r="K909">
        <v>152.16800000000001</v>
      </c>
      <c r="L909">
        <v>32.858499999999999</v>
      </c>
      <c r="M909">
        <v>15282.861000000001</v>
      </c>
      <c r="N909" t="s">
        <v>15</v>
      </c>
    </row>
    <row r="910" spans="1:15" x14ac:dyDescent="0.2">
      <c r="A910" t="s">
        <v>23</v>
      </c>
      <c r="B910" t="s">
        <v>123</v>
      </c>
      <c r="C910" t="s">
        <v>112</v>
      </c>
      <c r="D910" t="s">
        <v>124</v>
      </c>
      <c r="E910" t="s">
        <v>53</v>
      </c>
      <c r="F910" t="s">
        <v>114</v>
      </c>
      <c r="G910">
        <v>120664</v>
      </c>
      <c r="H910" s="75">
        <v>44556</v>
      </c>
      <c r="I910" t="s">
        <v>115</v>
      </c>
      <c r="J910">
        <v>5000</v>
      </c>
      <c r="K910">
        <v>148.58600000000001</v>
      </c>
      <c r="L910">
        <v>33.650500000000001</v>
      </c>
      <c r="M910">
        <v>15431.447</v>
      </c>
      <c r="N910" t="s">
        <v>15</v>
      </c>
    </row>
    <row r="911" spans="1:15" x14ac:dyDescent="0.2">
      <c r="A911" t="s">
        <v>23</v>
      </c>
      <c r="B911" t="s">
        <v>123</v>
      </c>
      <c r="C911" t="s">
        <v>112</v>
      </c>
      <c r="D911" t="s">
        <v>124</v>
      </c>
      <c r="E911" t="s">
        <v>53</v>
      </c>
      <c r="F911" t="s">
        <v>114</v>
      </c>
      <c r="G911">
        <v>120664</v>
      </c>
      <c r="H911" s="75">
        <v>44586</v>
      </c>
      <c r="I911" t="s">
        <v>115</v>
      </c>
      <c r="J911">
        <v>5000</v>
      </c>
      <c r="K911">
        <v>145.72200000000001</v>
      </c>
      <c r="L911">
        <v>34.311999999999998</v>
      </c>
      <c r="M911">
        <v>15577.169</v>
      </c>
      <c r="N911" t="s">
        <v>15</v>
      </c>
    </row>
    <row r="912" spans="1:15" x14ac:dyDescent="0.2">
      <c r="A912" t="s">
        <v>23</v>
      </c>
      <c r="B912" t="s">
        <v>123</v>
      </c>
      <c r="C912" t="s">
        <v>112</v>
      </c>
      <c r="D912" t="s">
        <v>124</v>
      </c>
      <c r="E912" t="s">
        <v>53</v>
      </c>
      <c r="F912" t="s">
        <v>114</v>
      </c>
      <c r="G912">
        <v>120664</v>
      </c>
      <c r="H912" s="75">
        <v>44586</v>
      </c>
      <c r="I912" t="s">
        <v>116</v>
      </c>
      <c r="J912">
        <v>2.5</v>
      </c>
      <c r="K912">
        <v>0</v>
      </c>
      <c r="M912">
        <v>15577.169</v>
      </c>
      <c r="N912" t="s">
        <v>17</v>
      </c>
    </row>
    <row r="913" spans="1:15" x14ac:dyDescent="0.2">
      <c r="A913" t="s">
        <v>23</v>
      </c>
      <c r="B913" t="s">
        <v>123</v>
      </c>
      <c r="C913" t="s">
        <v>112</v>
      </c>
      <c r="D913" t="s">
        <v>124</v>
      </c>
      <c r="E913" t="s">
        <v>53</v>
      </c>
      <c r="F913" t="s">
        <v>114</v>
      </c>
      <c r="G913">
        <v>120664</v>
      </c>
      <c r="H913" s="75">
        <v>44616</v>
      </c>
      <c r="I913" t="s">
        <v>115</v>
      </c>
      <c r="J913">
        <v>5000</v>
      </c>
      <c r="K913">
        <v>147.96100000000001</v>
      </c>
      <c r="L913">
        <v>33.7926</v>
      </c>
      <c r="M913">
        <v>15725.13</v>
      </c>
      <c r="N913" t="s">
        <v>15</v>
      </c>
    </row>
    <row r="914" spans="1:15" x14ac:dyDescent="0.2">
      <c r="A914" t="s">
        <v>23</v>
      </c>
      <c r="B914" t="s">
        <v>123</v>
      </c>
      <c r="C914" t="s">
        <v>112</v>
      </c>
      <c r="D914" t="s">
        <v>124</v>
      </c>
      <c r="E914" t="s">
        <v>53</v>
      </c>
      <c r="F914" t="s">
        <v>114</v>
      </c>
      <c r="G914">
        <v>120664</v>
      </c>
      <c r="H914" s="75">
        <v>44646</v>
      </c>
      <c r="I914" t="s">
        <v>115</v>
      </c>
      <c r="J914">
        <v>5000</v>
      </c>
      <c r="K914">
        <v>149.92400000000001</v>
      </c>
      <c r="L914">
        <v>33.350299999999997</v>
      </c>
      <c r="M914">
        <v>15875.054</v>
      </c>
      <c r="N914" t="s">
        <v>15</v>
      </c>
    </row>
    <row r="915" spans="1:15" x14ac:dyDescent="0.2">
      <c r="A915" t="s">
        <v>23</v>
      </c>
      <c r="B915" t="s">
        <v>123</v>
      </c>
      <c r="C915" t="s">
        <v>112</v>
      </c>
      <c r="D915" t="s">
        <v>124</v>
      </c>
      <c r="E915" t="s">
        <v>53</v>
      </c>
      <c r="F915" t="s">
        <v>114</v>
      </c>
      <c r="G915">
        <v>120664</v>
      </c>
      <c r="H915" s="75">
        <v>44676</v>
      </c>
      <c r="I915" t="s">
        <v>115</v>
      </c>
      <c r="J915">
        <v>5000</v>
      </c>
      <c r="K915">
        <v>147.77099999999999</v>
      </c>
      <c r="L915">
        <v>33.835999999999999</v>
      </c>
      <c r="M915">
        <v>16022.825999999999</v>
      </c>
      <c r="N915" t="s">
        <v>15</v>
      </c>
    </row>
    <row r="916" spans="1:15" x14ac:dyDescent="0.2">
      <c r="A916" t="s">
        <v>23</v>
      </c>
      <c r="B916" t="s">
        <v>123</v>
      </c>
      <c r="C916" t="s">
        <v>112</v>
      </c>
      <c r="D916" t="s">
        <v>124</v>
      </c>
      <c r="E916" t="s">
        <v>53</v>
      </c>
      <c r="F916" t="s">
        <v>114</v>
      </c>
      <c r="G916">
        <v>120664</v>
      </c>
      <c r="H916" s="75">
        <v>44706</v>
      </c>
      <c r="I916" t="s">
        <v>115</v>
      </c>
      <c r="J916">
        <v>5000</v>
      </c>
      <c r="K916">
        <v>148.94499999999999</v>
      </c>
      <c r="L916">
        <v>33.569400000000002</v>
      </c>
      <c r="M916">
        <v>16171.771000000001</v>
      </c>
      <c r="N916" t="s">
        <v>15</v>
      </c>
    </row>
    <row r="917" spans="1:15" x14ac:dyDescent="0.2">
      <c r="A917" t="s">
        <v>23</v>
      </c>
      <c r="B917" t="s">
        <v>123</v>
      </c>
      <c r="C917" t="s">
        <v>112</v>
      </c>
      <c r="D917" t="s">
        <v>124</v>
      </c>
      <c r="E917" t="s">
        <v>53</v>
      </c>
      <c r="F917" t="s">
        <v>114</v>
      </c>
      <c r="G917">
        <v>120664</v>
      </c>
      <c r="H917" s="75">
        <v>44736</v>
      </c>
      <c r="I917" t="s">
        <v>115</v>
      </c>
      <c r="J917">
        <v>5000</v>
      </c>
      <c r="K917">
        <v>148.33000000000001</v>
      </c>
      <c r="L917">
        <v>33.7087</v>
      </c>
      <c r="M917">
        <v>16320.101000000001</v>
      </c>
      <c r="N917" t="s">
        <v>15</v>
      </c>
    </row>
    <row r="918" spans="1:15" x14ac:dyDescent="0.2">
      <c r="A918" t="s">
        <v>23</v>
      </c>
      <c r="B918" t="s">
        <v>123</v>
      </c>
      <c r="C918" t="s">
        <v>112</v>
      </c>
      <c r="D918" t="s">
        <v>124</v>
      </c>
      <c r="E918" t="s">
        <v>53</v>
      </c>
      <c r="F918" t="s">
        <v>114</v>
      </c>
      <c r="G918">
        <v>120664</v>
      </c>
      <c r="H918" s="75">
        <v>44736</v>
      </c>
      <c r="I918" t="s">
        <v>116</v>
      </c>
      <c r="J918">
        <v>2.5</v>
      </c>
      <c r="K918">
        <v>0</v>
      </c>
      <c r="M918">
        <v>16320.101000000001</v>
      </c>
      <c r="N918" t="s">
        <v>17</v>
      </c>
    </row>
    <row r="919" spans="1:15" x14ac:dyDescent="0.2">
      <c r="A919" t="s">
        <v>23</v>
      </c>
      <c r="B919" t="s">
        <v>123</v>
      </c>
      <c r="C919" t="s">
        <v>112</v>
      </c>
      <c r="D919" t="s">
        <v>124</v>
      </c>
      <c r="E919" t="s">
        <v>53</v>
      </c>
      <c r="F919" t="s">
        <v>114</v>
      </c>
      <c r="G919">
        <v>120664</v>
      </c>
      <c r="H919" s="75">
        <v>44766</v>
      </c>
      <c r="I919" t="s">
        <v>115</v>
      </c>
      <c r="J919">
        <v>5000</v>
      </c>
      <c r="K919">
        <v>148.29</v>
      </c>
      <c r="L919">
        <v>33.717599999999997</v>
      </c>
      <c r="M919">
        <v>16468.391</v>
      </c>
      <c r="N919" t="s">
        <v>15</v>
      </c>
    </row>
    <row r="920" spans="1:15" x14ac:dyDescent="0.2">
      <c r="A920" t="s">
        <v>23</v>
      </c>
      <c r="B920" t="s">
        <v>123</v>
      </c>
      <c r="C920" t="s">
        <v>112</v>
      </c>
      <c r="D920" t="s">
        <v>124</v>
      </c>
      <c r="E920" t="s">
        <v>53</v>
      </c>
      <c r="F920" t="s">
        <v>114</v>
      </c>
      <c r="G920">
        <v>120664</v>
      </c>
      <c r="H920" s="75">
        <v>44796</v>
      </c>
      <c r="I920" t="s">
        <v>115</v>
      </c>
      <c r="J920">
        <v>5000</v>
      </c>
      <c r="K920">
        <v>145.76900000000001</v>
      </c>
      <c r="L920">
        <v>34.300899999999999</v>
      </c>
      <c r="M920">
        <v>16614.16</v>
      </c>
      <c r="N920" t="s">
        <v>15</v>
      </c>
    </row>
    <row r="921" spans="1:15" x14ac:dyDescent="0.2">
      <c r="A921" t="s">
        <v>23</v>
      </c>
      <c r="B921" t="s">
        <v>123</v>
      </c>
      <c r="C921" t="s">
        <v>112</v>
      </c>
      <c r="D921" t="s">
        <v>124</v>
      </c>
      <c r="E921" t="s">
        <v>53</v>
      </c>
      <c r="F921" t="s">
        <v>114</v>
      </c>
      <c r="G921">
        <v>120664</v>
      </c>
      <c r="H921" s="75">
        <v>44826</v>
      </c>
      <c r="I921" t="s">
        <v>115</v>
      </c>
      <c r="J921">
        <v>5000</v>
      </c>
      <c r="K921">
        <v>144.51900000000001</v>
      </c>
      <c r="L921">
        <v>34.5976</v>
      </c>
      <c r="M921">
        <v>16758.678</v>
      </c>
      <c r="N921" t="s">
        <v>15</v>
      </c>
    </row>
    <row r="922" spans="1:15" x14ac:dyDescent="0.2">
      <c r="A922" t="s">
        <v>23</v>
      </c>
      <c r="B922" t="s">
        <v>123</v>
      </c>
      <c r="C922" t="s">
        <v>112</v>
      </c>
      <c r="D922" t="s">
        <v>124</v>
      </c>
      <c r="E922" t="s">
        <v>53</v>
      </c>
      <c r="F922" t="s">
        <v>114</v>
      </c>
      <c r="G922">
        <v>120664</v>
      </c>
      <c r="H922" s="75">
        <v>44856</v>
      </c>
      <c r="I922" t="s">
        <v>115</v>
      </c>
      <c r="J922">
        <v>5000</v>
      </c>
      <c r="K922">
        <v>141.18100000000001</v>
      </c>
      <c r="L922">
        <v>35.415500000000002</v>
      </c>
      <c r="M922">
        <v>16899.86</v>
      </c>
      <c r="N922" t="s">
        <v>15</v>
      </c>
    </row>
    <row r="923" spans="1:15" x14ac:dyDescent="0.2">
      <c r="A923" t="s">
        <v>23</v>
      </c>
      <c r="B923" t="s">
        <v>123</v>
      </c>
      <c r="C923" t="s">
        <v>112</v>
      </c>
      <c r="D923" t="s">
        <v>124</v>
      </c>
      <c r="E923" t="s">
        <v>53</v>
      </c>
      <c r="F923" t="s">
        <v>114</v>
      </c>
      <c r="G923">
        <v>120664</v>
      </c>
      <c r="H923" s="75">
        <v>44886</v>
      </c>
      <c r="I923" t="s">
        <v>115</v>
      </c>
      <c r="J923">
        <v>5000</v>
      </c>
      <c r="K923">
        <v>137.11099999999999</v>
      </c>
      <c r="L923">
        <v>36.466900000000003</v>
      </c>
      <c r="M923">
        <v>17036.97</v>
      </c>
      <c r="N923" t="s">
        <v>15</v>
      </c>
    </row>
    <row r="924" spans="1:15" x14ac:dyDescent="0.2">
      <c r="A924" t="s">
        <v>23</v>
      </c>
      <c r="B924" t="s">
        <v>123</v>
      </c>
      <c r="C924" t="s">
        <v>112</v>
      </c>
      <c r="D924" t="s">
        <v>124</v>
      </c>
      <c r="E924" t="s">
        <v>53</v>
      </c>
      <c r="F924" t="s">
        <v>114</v>
      </c>
      <c r="G924">
        <v>120664</v>
      </c>
      <c r="H924" s="75">
        <v>44916</v>
      </c>
      <c r="I924" t="s">
        <v>115</v>
      </c>
      <c r="J924">
        <v>5000</v>
      </c>
      <c r="K924">
        <v>134.21</v>
      </c>
      <c r="L924">
        <v>37.255000000000003</v>
      </c>
      <c r="M924">
        <v>17171.18</v>
      </c>
      <c r="N924" t="s">
        <v>15</v>
      </c>
    </row>
    <row r="925" spans="1:15" x14ac:dyDescent="0.2">
      <c r="A925" t="s">
        <v>23</v>
      </c>
      <c r="B925" t="s">
        <v>123</v>
      </c>
      <c r="C925" t="s">
        <v>112</v>
      </c>
      <c r="D925" t="s">
        <v>124</v>
      </c>
      <c r="E925" t="s">
        <v>53</v>
      </c>
      <c r="F925" t="s">
        <v>114</v>
      </c>
      <c r="G925">
        <v>120664</v>
      </c>
      <c r="H925" s="75">
        <v>44916</v>
      </c>
      <c r="I925" t="s">
        <v>118</v>
      </c>
      <c r="J925">
        <v>8585.59</v>
      </c>
      <c r="K925">
        <v>0</v>
      </c>
      <c r="M925">
        <v>17171.18</v>
      </c>
      <c r="N925" t="s">
        <v>19</v>
      </c>
      <c r="O925">
        <v>8585.59</v>
      </c>
    </row>
    <row r="926" spans="1:15" x14ac:dyDescent="0.2">
      <c r="A926" t="s">
        <v>23</v>
      </c>
      <c r="B926" t="s">
        <v>123</v>
      </c>
      <c r="C926" t="s">
        <v>112</v>
      </c>
      <c r="D926" t="s">
        <v>124</v>
      </c>
      <c r="E926" t="s">
        <v>53</v>
      </c>
      <c r="F926" t="s">
        <v>114</v>
      </c>
      <c r="G926">
        <v>120664</v>
      </c>
      <c r="H926" s="75">
        <v>44946</v>
      </c>
      <c r="I926" t="s">
        <v>115</v>
      </c>
      <c r="J926">
        <v>5000</v>
      </c>
      <c r="K926">
        <v>134.41800000000001</v>
      </c>
      <c r="L926">
        <v>37.197499999999998</v>
      </c>
      <c r="M926">
        <v>17305.598000000002</v>
      </c>
      <c r="N926" t="s">
        <v>15</v>
      </c>
    </row>
    <row r="927" spans="1:15" x14ac:dyDescent="0.2">
      <c r="A927" t="s">
        <v>23</v>
      </c>
      <c r="B927" t="s">
        <v>123</v>
      </c>
      <c r="C927" t="s">
        <v>112</v>
      </c>
      <c r="D927" t="s">
        <v>124</v>
      </c>
      <c r="E927" t="s">
        <v>53</v>
      </c>
      <c r="F927" t="s">
        <v>114</v>
      </c>
      <c r="G927">
        <v>120664</v>
      </c>
      <c r="H927" s="75">
        <v>44946</v>
      </c>
      <c r="I927" t="s">
        <v>117</v>
      </c>
      <c r="J927">
        <v>2.5</v>
      </c>
      <c r="K927">
        <v>0</v>
      </c>
      <c r="M927">
        <v>17305.598000000002</v>
      </c>
      <c r="N927" t="s">
        <v>46</v>
      </c>
    </row>
    <row r="928" spans="1:15" x14ac:dyDescent="0.2">
      <c r="A928" t="s">
        <v>23</v>
      </c>
      <c r="B928" t="s">
        <v>123</v>
      </c>
      <c r="C928" t="s">
        <v>112</v>
      </c>
      <c r="D928" t="s">
        <v>124</v>
      </c>
      <c r="E928" t="s">
        <v>53</v>
      </c>
      <c r="F928" t="s">
        <v>114</v>
      </c>
      <c r="G928">
        <v>120664</v>
      </c>
      <c r="H928" s="75">
        <v>44976</v>
      </c>
      <c r="I928" t="s">
        <v>115</v>
      </c>
      <c r="J928">
        <v>5000</v>
      </c>
      <c r="K928">
        <v>130.93100000000001</v>
      </c>
      <c r="L928">
        <v>38.188099999999999</v>
      </c>
      <c r="M928">
        <v>17436.528999999999</v>
      </c>
      <c r="N928" t="s">
        <v>15</v>
      </c>
    </row>
    <row r="929" spans="1:15" x14ac:dyDescent="0.2">
      <c r="A929" t="s">
        <v>23</v>
      </c>
      <c r="B929" t="s">
        <v>123</v>
      </c>
      <c r="C929" t="s">
        <v>112</v>
      </c>
      <c r="D929" t="s">
        <v>124</v>
      </c>
      <c r="E929" t="s">
        <v>53</v>
      </c>
      <c r="F929" t="s">
        <v>114</v>
      </c>
      <c r="G929">
        <v>120664</v>
      </c>
      <c r="H929" s="75">
        <v>44976</v>
      </c>
      <c r="I929" t="s">
        <v>117</v>
      </c>
      <c r="J929">
        <v>2.5</v>
      </c>
      <c r="K929">
        <v>0</v>
      </c>
      <c r="M929">
        <v>17436.528999999999</v>
      </c>
      <c r="N929" t="s">
        <v>46</v>
      </c>
    </row>
    <row r="930" spans="1:15" x14ac:dyDescent="0.2">
      <c r="A930" t="s">
        <v>23</v>
      </c>
      <c r="B930" t="s">
        <v>123</v>
      </c>
      <c r="C930" t="s">
        <v>112</v>
      </c>
      <c r="D930" t="s">
        <v>124</v>
      </c>
      <c r="E930" t="s">
        <v>53</v>
      </c>
      <c r="F930" t="s">
        <v>114</v>
      </c>
      <c r="G930">
        <v>120664</v>
      </c>
      <c r="H930" s="75">
        <v>45006</v>
      </c>
      <c r="I930" t="s">
        <v>115</v>
      </c>
      <c r="J930">
        <v>5000</v>
      </c>
      <c r="K930">
        <v>129.84899999999999</v>
      </c>
      <c r="L930">
        <v>38.506300000000003</v>
      </c>
      <c r="M930">
        <v>17566.378000000001</v>
      </c>
      <c r="N930" t="s">
        <v>15</v>
      </c>
    </row>
    <row r="931" spans="1:15" x14ac:dyDescent="0.2">
      <c r="A931" t="s">
        <v>23</v>
      </c>
      <c r="B931" t="s">
        <v>123</v>
      </c>
      <c r="C931" t="s">
        <v>112</v>
      </c>
      <c r="D931" t="s">
        <v>124</v>
      </c>
      <c r="E931" t="s">
        <v>53</v>
      </c>
      <c r="F931" t="s">
        <v>114</v>
      </c>
      <c r="G931">
        <v>120664</v>
      </c>
      <c r="H931" s="75">
        <v>45036</v>
      </c>
      <c r="I931" t="s">
        <v>115</v>
      </c>
      <c r="J931">
        <v>5000</v>
      </c>
      <c r="K931">
        <v>126.41</v>
      </c>
      <c r="L931">
        <v>39.553699999999999</v>
      </c>
      <c r="M931">
        <v>17692.788</v>
      </c>
      <c r="N931" t="s">
        <v>15</v>
      </c>
    </row>
    <row r="932" spans="1:15" x14ac:dyDescent="0.2">
      <c r="A932" t="s">
        <v>23</v>
      </c>
      <c r="B932" t="s">
        <v>123</v>
      </c>
      <c r="C932" t="s">
        <v>112</v>
      </c>
      <c r="D932" t="s">
        <v>124</v>
      </c>
      <c r="E932" t="s">
        <v>53</v>
      </c>
      <c r="F932" t="s">
        <v>114</v>
      </c>
      <c r="G932">
        <v>120664</v>
      </c>
      <c r="H932" s="75">
        <v>45066</v>
      </c>
      <c r="I932" t="s">
        <v>115</v>
      </c>
      <c r="J932">
        <v>5000</v>
      </c>
      <c r="K932">
        <v>125.36</v>
      </c>
      <c r="L932">
        <v>39.885300000000001</v>
      </c>
      <c r="M932">
        <v>17818.148000000001</v>
      </c>
      <c r="N932" t="s">
        <v>15</v>
      </c>
    </row>
    <row r="933" spans="1:15" x14ac:dyDescent="0.2">
      <c r="A933" t="s">
        <v>23</v>
      </c>
      <c r="B933" t="s">
        <v>123</v>
      </c>
      <c r="C933" t="s">
        <v>112</v>
      </c>
      <c r="D933" t="s">
        <v>124</v>
      </c>
      <c r="E933" t="s">
        <v>53</v>
      </c>
      <c r="F933" t="s">
        <v>114</v>
      </c>
      <c r="G933">
        <v>120664</v>
      </c>
      <c r="H933" s="75">
        <v>45096</v>
      </c>
      <c r="I933" t="s">
        <v>115</v>
      </c>
      <c r="J933">
        <v>5000</v>
      </c>
      <c r="K933">
        <v>123.581</v>
      </c>
      <c r="L933">
        <v>40.459400000000002</v>
      </c>
      <c r="M933">
        <v>17941.727999999999</v>
      </c>
      <c r="N933" t="s">
        <v>15</v>
      </c>
    </row>
    <row r="934" spans="1:15" x14ac:dyDescent="0.2">
      <c r="A934" t="s">
        <v>23</v>
      </c>
      <c r="B934" t="s">
        <v>123</v>
      </c>
      <c r="C934" t="s">
        <v>112</v>
      </c>
      <c r="D934" t="s">
        <v>124</v>
      </c>
      <c r="E934" t="s">
        <v>53</v>
      </c>
      <c r="F934" t="s">
        <v>114</v>
      </c>
      <c r="G934">
        <v>120664</v>
      </c>
      <c r="H934" s="75">
        <v>45126</v>
      </c>
      <c r="I934" t="s">
        <v>115</v>
      </c>
      <c r="J934">
        <v>5000</v>
      </c>
      <c r="K934">
        <v>121.181</v>
      </c>
      <c r="L934">
        <v>41.260599999999997</v>
      </c>
      <c r="M934">
        <v>18062.909</v>
      </c>
      <c r="N934" t="s">
        <v>15</v>
      </c>
    </row>
    <row r="935" spans="1:15" x14ac:dyDescent="0.2">
      <c r="A935" t="s">
        <v>23</v>
      </c>
      <c r="B935" t="s">
        <v>123</v>
      </c>
      <c r="C935" t="s">
        <v>112</v>
      </c>
      <c r="D935" t="s">
        <v>124</v>
      </c>
      <c r="E935" t="s">
        <v>53</v>
      </c>
      <c r="F935" t="s">
        <v>114</v>
      </c>
      <c r="G935">
        <v>120664</v>
      </c>
      <c r="H935" s="75">
        <v>45126</v>
      </c>
      <c r="I935" t="s">
        <v>25</v>
      </c>
      <c r="J935">
        <v>-149057.19</v>
      </c>
      <c r="K935">
        <v>-3612.5819999999999</v>
      </c>
      <c r="L935">
        <v>41.260599999999997</v>
      </c>
      <c r="M935">
        <v>14450.326999999999</v>
      </c>
      <c r="N935" t="s">
        <v>16</v>
      </c>
    </row>
    <row r="936" spans="1:15" x14ac:dyDescent="0.2">
      <c r="A936" t="s">
        <v>23</v>
      </c>
      <c r="B936" t="s">
        <v>123</v>
      </c>
      <c r="C936" t="s">
        <v>112</v>
      </c>
      <c r="D936" t="s">
        <v>124</v>
      </c>
      <c r="E936" t="s">
        <v>53</v>
      </c>
      <c r="F936" t="s">
        <v>114</v>
      </c>
      <c r="G936">
        <v>120664</v>
      </c>
      <c r="H936" s="75">
        <v>45156</v>
      </c>
      <c r="I936" t="s">
        <v>115</v>
      </c>
      <c r="J936">
        <v>5000</v>
      </c>
      <c r="K936">
        <v>119.904</v>
      </c>
      <c r="L936">
        <v>41.7</v>
      </c>
      <c r="M936">
        <v>14570.232</v>
      </c>
      <c r="N936" t="s">
        <v>15</v>
      </c>
    </row>
    <row r="937" spans="1:15" x14ac:dyDescent="0.2">
      <c r="A937" t="s">
        <v>23</v>
      </c>
      <c r="B937" t="s">
        <v>123</v>
      </c>
      <c r="C937" t="s">
        <v>112</v>
      </c>
      <c r="D937" t="s">
        <v>124</v>
      </c>
      <c r="E937" t="s">
        <v>53</v>
      </c>
      <c r="F937" t="s">
        <v>114</v>
      </c>
      <c r="G937">
        <v>120664</v>
      </c>
      <c r="H937" s="75">
        <v>45186</v>
      </c>
      <c r="I937" t="s">
        <v>115</v>
      </c>
      <c r="J937">
        <v>5000</v>
      </c>
      <c r="K937">
        <v>120.499</v>
      </c>
      <c r="L937">
        <v>41.494199999999999</v>
      </c>
      <c r="M937">
        <v>14690.73</v>
      </c>
      <c r="N937" t="s">
        <v>15</v>
      </c>
    </row>
    <row r="938" spans="1:15" x14ac:dyDescent="0.2">
      <c r="A938" t="s">
        <v>23</v>
      </c>
      <c r="B938" t="s">
        <v>123</v>
      </c>
      <c r="C938" t="s">
        <v>112</v>
      </c>
      <c r="D938" t="s">
        <v>124</v>
      </c>
      <c r="E938" t="s">
        <v>53</v>
      </c>
      <c r="F938" t="s">
        <v>114</v>
      </c>
      <c r="G938">
        <v>120664</v>
      </c>
      <c r="H938" s="75">
        <v>45186</v>
      </c>
      <c r="I938" t="s">
        <v>116</v>
      </c>
      <c r="J938">
        <v>2.5</v>
      </c>
      <c r="K938">
        <v>0</v>
      </c>
      <c r="M938">
        <v>14690.73</v>
      </c>
      <c r="N938" t="s">
        <v>17</v>
      </c>
    </row>
    <row r="939" spans="1:15" x14ac:dyDescent="0.2">
      <c r="A939" t="s">
        <v>23</v>
      </c>
      <c r="B939" t="s">
        <v>123</v>
      </c>
      <c r="C939" t="s">
        <v>112</v>
      </c>
      <c r="D939" t="s">
        <v>124</v>
      </c>
      <c r="E939" t="s">
        <v>53</v>
      </c>
      <c r="F939" t="s">
        <v>114</v>
      </c>
      <c r="G939">
        <v>120664</v>
      </c>
      <c r="H939" s="75">
        <v>45216</v>
      </c>
      <c r="I939" t="s">
        <v>115</v>
      </c>
      <c r="J939">
        <v>5000</v>
      </c>
      <c r="K939">
        <v>122.351</v>
      </c>
      <c r="L939">
        <v>40.866</v>
      </c>
      <c r="M939">
        <v>14813.081</v>
      </c>
      <c r="N939" t="s">
        <v>15</v>
      </c>
    </row>
    <row r="940" spans="1:15" x14ac:dyDescent="0.2">
      <c r="A940" t="s">
        <v>23</v>
      </c>
      <c r="B940" t="s">
        <v>123</v>
      </c>
      <c r="C940" t="s">
        <v>112</v>
      </c>
      <c r="D940" t="s">
        <v>124</v>
      </c>
      <c r="E940" t="s">
        <v>53</v>
      </c>
      <c r="F940" t="s">
        <v>114</v>
      </c>
      <c r="G940">
        <v>120664</v>
      </c>
      <c r="H940" s="75">
        <v>45216</v>
      </c>
      <c r="I940" t="s">
        <v>118</v>
      </c>
      <c r="J940">
        <v>7406.54</v>
      </c>
      <c r="K940">
        <v>0</v>
      </c>
      <c r="M940">
        <v>14813.081</v>
      </c>
      <c r="N940" t="s">
        <v>19</v>
      </c>
      <c r="O940">
        <v>7406.54</v>
      </c>
    </row>
    <row r="941" spans="1:15" x14ac:dyDescent="0.2">
      <c r="A941" t="s">
        <v>23</v>
      </c>
      <c r="B941" t="s">
        <v>123</v>
      </c>
      <c r="C941" t="s">
        <v>112</v>
      </c>
      <c r="D941" t="s">
        <v>124</v>
      </c>
      <c r="E941" t="s">
        <v>53</v>
      </c>
      <c r="F941" t="s">
        <v>114</v>
      </c>
      <c r="G941">
        <v>120664</v>
      </c>
      <c r="H941" s="75">
        <v>45246</v>
      </c>
      <c r="I941" t="s">
        <v>115</v>
      </c>
      <c r="J941">
        <v>5000</v>
      </c>
      <c r="K941">
        <v>124.191</v>
      </c>
      <c r="L941">
        <v>40.260599999999997</v>
      </c>
      <c r="M941">
        <v>14937.272000000001</v>
      </c>
      <c r="N941" t="s">
        <v>15</v>
      </c>
    </row>
    <row r="942" spans="1:15" x14ac:dyDescent="0.2">
      <c r="A942" t="s">
        <v>23</v>
      </c>
      <c r="B942" t="s">
        <v>123</v>
      </c>
      <c r="C942" t="s">
        <v>112</v>
      </c>
      <c r="D942" t="s">
        <v>124</v>
      </c>
      <c r="E942" t="s">
        <v>53</v>
      </c>
      <c r="F942" t="s">
        <v>114</v>
      </c>
      <c r="G942">
        <v>120664</v>
      </c>
      <c r="H942" s="75">
        <v>45246</v>
      </c>
      <c r="I942" t="s">
        <v>116</v>
      </c>
      <c r="J942">
        <v>2.5</v>
      </c>
      <c r="K942">
        <v>0</v>
      </c>
      <c r="M942">
        <v>14937.272000000001</v>
      </c>
      <c r="N942" t="s">
        <v>17</v>
      </c>
    </row>
    <row r="943" spans="1:15" x14ac:dyDescent="0.2">
      <c r="A943" t="s">
        <v>23</v>
      </c>
      <c r="B943" t="s">
        <v>123</v>
      </c>
      <c r="C943" t="s">
        <v>112</v>
      </c>
      <c r="D943" t="s">
        <v>124</v>
      </c>
      <c r="E943" t="s">
        <v>53</v>
      </c>
      <c r="F943" t="s">
        <v>114</v>
      </c>
      <c r="G943">
        <v>120664</v>
      </c>
      <c r="H943" s="75">
        <v>45276</v>
      </c>
      <c r="I943" t="s">
        <v>115</v>
      </c>
      <c r="J943">
        <v>5000</v>
      </c>
      <c r="K943">
        <v>123.504</v>
      </c>
      <c r="L943">
        <v>40.484499999999997</v>
      </c>
      <c r="M943">
        <v>15060.776</v>
      </c>
      <c r="N943" t="s">
        <v>15</v>
      </c>
    </row>
    <row r="944" spans="1:15" x14ac:dyDescent="0.2">
      <c r="A944" t="s">
        <v>23</v>
      </c>
      <c r="B944" t="s">
        <v>123</v>
      </c>
      <c r="C944" t="s">
        <v>112</v>
      </c>
      <c r="D944" t="s">
        <v>124</v>
      </c>
      <c r="E944" t="s">
        <v>53</v>
      </c>
      <c r="F944" t="s">
        <v>114</v>
      </c>
      <c r="G944">
        <v>120664</v>
      </c>
      <c r="H944" s="75">
        <v>45306</v>
      </c>
      <c r="I944" t="s">
        <v>115</v>
      </c>
      <c r="J944">
        <v>5000</v>
      </c>
      <c r="K944">
        <v>125.33</v>
      </c>
      <c r="L944">
        <v>39.8947</v>
      </c>
      <c r="M944">
        <v>15186.106</v>
      </c>
      <c r="N944" t="s">
        <v>15</v>
      </c>
    </row>
    <row r="945" spans="1:15" x14ac:dyDescent="0.2">
      <c r="A945" t="s">
        <v>23</v>
      </c>
      <c r="B945" t="s">
        <v>123</v>
      </c>
      <c r="C945" t="s">
        <v>112</v>
      </c>
      <c r="D945" t="s">
        <v>124</v>
      </c>
      <c r="E945" t="s">
        <v>53</v>
      </c>
      <c r="F945" t="s">
        <v>114</v>
      </c>
      <c r="G945">
        <v>120664</v>
      </c>
      <c r="H945" s="75">
        <v>45336</v>
      </c>
      <c r="I945" t="s">
        <v>115</v>
      </c>
      <c r="J945">
        <v>5000</v>
      </c>
      <c r="K945">
        <v>123.79300000000001</v>
      </c>
      <c r="L945">
        <v>40.390099999999997</v>
      </c>
      <c r="M945">
        <v>15309.898999999999</v>
      </c>
      <c r="N945" t="s">
        <v>15</v>
      </c>
    </row>
    <row r="946" spans="1:15" x14ac:dyDescent="0.2">
      <c r="A946" t="s">
        <v>23</v>
      </c>
      <c r="B946" t="s">
        <v>123</v>
      </c>
      <c r="C946" t="s">
        <v>112</v>
      </c>
      <c r="D946" t="s">
        <v>124</v>
      </c>
      <c r="E946" t="s">
        <v>53</v>
      </c>
      <c r="F946" t="s">
        <v>114</v>
      </c>
      <c r="G946">
        <v>120664</v>
      </c>
      <c r="H946" s="75">
        <v>45366</v>
      </c>
      <c r="I946" t="s">
        <v>115</v>
      </c>
      <c r="J946">
        <v>5000</v>
      </c>
      <c r="K946">
        <v>126.06699999999999</v>
      </c>
      <c r="L946">
        <v>39.6614</v>
      </c>
      <c r="M946">
        <v>15435.966</v>
      </c>
      <c r="N946" t="s">
        <v>15</v>
      </c>
    </row>
    <row r="947" spans="1:15" x14ac:dyDescent="0.2">
      <c r="A947" t="s">
        <v>23</v>
      </c>
      <c r="B947" t="s">
        <v>123</v>
      </c>
      <c r="C947" t="s">
        <v>112</v>
      </c>
      <c r="D947" t="s">
        <v>124</v>
      </c>
      <c r="E947" t="s">
        <v>53</v>
      </c>
      <c r="F947" t="s">
        <v>114</v>
      </c>
      <c r="G947">
        <v>120664</v>
      </c>
      <c r="H947" s="75">
        <v>45396</v>
      </c>
      <c r="I947" t="s">
        <v>115</v>
      </c>
      <c r="J947">
        <v>5000</v>
      </c>
      <c r="K947">
        <v>124.35899999999999</v>
      </c>
      <c r="L947">
        <v>40.206099999999999</v>
      </c>
      <c r="M947">
        <v>15560.325999999999</v>
      </c>
      <c r="N947" t="s">
        <v>15</v>
      </c>
    </row>
    <row r="948" spans="1:15" x14ac:dyDescent="0.2">
      <c r="A948" t="s">
        <v>23</v>
      </c>
      <c r="B948" t="s">
        <v>123</v>
      </c>
      <c r="C948" t="s">
        <v>112</v>
      </c>
      <c r="D948" t="s">
        <v>124</v>
      </c>
      <c r="E948" t="s">
        <v>53</v>
      </c>
      <c r="F948" t="s">
        <v>114</v>
      </c>
      <c r="G948">
        <v>120664</v>
      </c>
      <c r="H948" s="75">
        <v>45426</v>
      </c>
      <c r="I948" t="s">
        <v>115</v>
      </c>
      <c r="J948">
        <v>5000</v>
      </c>
      <c r="K948">
        <v>122.908</v>
      </c>
      <c r="L948">
        <v>40.680999999999997</v>
      </c>
      <c r="M948">
        <v>15683.233</v>
      </c>
      <c r="N948" t="s">
        <v>15</v>
      </c>
    </row>
    <row r="949" spans="1:15" x14ac:dyDescent="0.2">
      <c r="A949" t="s">
        <v>23</v>
      </c>
      <c r="B949" t="s">
        <v>123</v>
      </c>
      <c r="C949" t="s">
        <v>112</v>
      </c>
      <c r="D949" t="s">
        <v>124</v>
      </c>
      <c r="E949" t="s">
        <v>53</v>
      </c>
      <c r="F949" t="s">
        <v>114</v>
      </c>
      <c r="G949">
        <v>120664</v>
      </c>
      <c r="H949" s="75">
        <v>45456</v>
      </c>
      <c r="I949" t="s">
        <v>115</v>
      </c>
      <c r="J949">
        <v>5000</v>
      </c>
      <c r="K949">
        <v>123.941</v>
      </c>
      <c r="L949">
        <v>40.3416</v>
      </c>
      <c r="M949">
        <v>15807.174999999999</v>
      </c>
      <c r="N949" t="s">
        <v>15</v>
      </c>
    </row>
    <row r="950" spans="1:15" x14ac:dyDescent="0.2">
      <c r="A950" t="s">
        <v>23</v>
      </c>
      <c r="B950" t="s">
        <v>123</v>
      </c>
      <c r="C950" t="s">
        <v>112</v>
      </c>
      <c r="D950" t="s">
        <v>124</v>
      </c>
      <c r="E950" t="s">
        <v>53</v>
      </c>
      <c r="F950" t="s">
        <v>114</v>
      </c>
      <c r="G950">
        <v>120664</v>
      </c>
      <c r="H950" s="75">
        <v>45456</v>
      </c>
      <c r="I950" t="s">
        <v>117</v>
      </c>
      <c r="J950">
        <v>2.5</v>
      </c>
      <c r="K950">
        <v>0</v>
      </c>
      <c r="M950">
        <v>15807.174999999999</v>
      </c>
      <c r="N950" t="s">
        <v>46</v>
      </c>
    </row>
    <row r="951" spans="1:15" x14ac:dyDescent="0.2">
      <c r="A951" t="s">
        <v>23</v>
      </c>
      <c r="B951" t="s">
        <v>123</v>
      </c>
      <c r="C951" t="s">
        <v>112</v>
      </c>
      <c r="D951" t="s">
        <v>124</v>
      </c>
      <c r="E951" t="s">
        <v>53</v>
      </c>
      <c r="F951" t="s">
        <v>114</v>
      </c>
      <c r="G951">
        <v>120664</v>
      </c>
      <c r="H951" s="75">
        <v>45486</v>
      </c>
      <c r="I951" t="s">
        <v>115</v>
      </c>
      <c r="J951">
        <v>5000</v>
      </c>
      <c r="K951">
        <v>124.614</v>
      </c>
      <c r="L951">
        <v>40.124000000000002</v>
      </c>
      <c r="M951">
        <v>15931.788</v>
      </c>
      <c r="N951" t="s">
        <v>15</v>
      </c>
    </row>
    <row r="952" spans="1:15" x14ac:dyDescent="0.2">
      <c r="A952" t="s">
        <v>23</v>
      </c>
      <c r="B952" t="s">
        <v>123</v>
      </c>
      <c r="C952" t="s">
        <v>112</v>
      </c>
      <c r="D952" t="s">
        <v>124</v>
      </c>
      <c r="E952" t="s">
        <v>53</v>
      </c>
      <c r="F952" t="s">
        <v>114</v>
      </c>
      <c r="G952">
        <v>120664</v>
      </c>
      <c r="H952" s="75">
        <v>45516</v>
      </c>
      <c r="I952" t="s">
        <v>115</v>
      </c>
      <c r="J952">
        <v>5000</v>
      </c>
      <c r="K952">
        <v>122.32899999999999</v>
      </c>
      <c r="L952">
        <v>40.8735</v>
      </c>
      <c r="M952">
        <v>16054.117</v>
      </c>
      <c r="N952" t="s">
        <v>15</v>
      </c>
    </row>
    <row r="953" spans="1:15" x14ac:dyDescent="0.2">
      <c r="A953" t="s">
        <v>23</v>
      </c>
      <c r="B953" t="s">
        <v>123</v>
      </c>
      <c r="C953" t="s">
        <v>112</v>
      </c>
      <c r="D953" t="s">
        <v>124</v>
      </c>
      <c r="E953" t="s">
        <v>53</v>
      </c>
      <c r="F953" t="s">
        <v>114</v>
      </c>
      <c r="G953">
        <v>120664</v>
      </c>
      <c r="H953" s="75">
        <v>45546</v>
      </c>
      <c r="I953" t="s">
        <v>115</v>
      </c>
      <c r="J953">
        <v>5000</v>
      </c>
      <c r="K953">
        <v>119.422</v>
      </c>
      <c r="L953">
        <v>41.868299999999998</v>
      </c>
      <c r="M953">
        <v>16173.539000000001</v>
      </c>
      <c r="N953" t="s">
        <v>15</v>
      </c>
    </row>
    <row r="954" spans="1:15" x14ac:dyDescent="0.2">
      <c r="A954" t="s">
        <v>23</v>
      </c>
      <c r="B954" t="s">
        <v>123</v>
      </c>
      <c r="C954" t="s">
        <v>112</v>
      </c>
      <c r="D954" t="s">
        <v>124</v>
      </c>
      <c r="E954" t="s">
        <v>53</v>
      </c>
      <c r="F954" t="s">
        <v>114</v>
      </c>
      <c r="G954">
        <v>120664</v>
      </c>
      <c r="H954" s="75">
        <v>45546</v>
      </c>
      <c r="I954" t="s">
        <v>116</v>
      </c>
      <c r="J954">
        <v>2.5</v>
      </c>
      <c r="K954">
        <v>0</v>
      </c>
      <c r="M954">
        <v>16173.539000000001</v>
      </c>
      <c r="N954" t="s">
        <v>17</v>
      </c>
    </row>
    <row r="955" spans="1:15" x14ac:dyDescent="0.2">
      <c r="A955" t="s">
        <v>23</v>
      </c>
      <c r="B955" t="s">
        <v>123</v>
      </c>
      <c r="C955" t="s">
        <v>112</v>
      </c>
      <c r="D955" t="s">
        <v>124</v>
      </c>
      <c r="E955" t="s">
        <v>53</v>
      </c>
      <c r="F955" t="s">
        <v>114</v>
      </c>
      <c r="G955">
        <v>120664</v>
      </c>
      <c r="H955" s="75">
        <v>45576</v>
      </c>
      <c r="I955" t="s">
        <v>115</v>
      </c>
      <c r="J955">
        <v>5000</v>
      </c>
      <c r="K955">
        <v>118.761</v>
      </c>
      <c r="L955">
        <v>42.101199999999999</v>
      </c>
      <c r="M955">
        <v>16292.3</v>
      </c>
      <c r="N955" t="s">
        <v>15</v>
      </c>
    </row>
    <row r="956" spans="1:15" x14ac:dyDescent="0.2">
      <c r="A956" t="s">
        <v>23</v>
      </c>
      <c r="B956" t="s">
        <v>123</v>
      </c>
      <c r="C956" t="s">
        <v>112</v>
      </c>
      <c r="D956" t="s">
        <v>124</v>
      </c>
      <c r="E956" t="s">
        <v>53</v>
      </c>
      <c r="F956" t="s">
        <v>114</v>
      </c>
      <c r="G956">
        <v>120664</v>
      </c>
      <c r="H956" s="75">
        <v>45606</v>
      </c>
      <c r="I956" t="s">
        <v>115</v>
      </c>
      <c r="J956">
        <v>5000</v>
      </c>
      <c r="K956">
        <v>115.504</v>
      </c>
      <c r="L956">
        <v>43.288499999999999</v>
      </c>
      <c r="M956">
        <v>16407.804</v>
      </c>
      <c r="N956" t="s">
        <v>15</v>
      </c>
    </row>
    <row r="957" spans="1:15" x14ac:dyDescent="0.2">
      <c r="A957" t="s">
        <v>23</v>
      </c>
      <c r="B957" t="s">
        <v>123</v>
      </c>
      <c r="C957" t="s">
        <v>112</v>
      </c>
      <c r="D957" t="s">
        <v>124</v>
      </c>
      <c r="E957" t="s">
        <v>53</v>
      </c>
      <c r="F957" t="s">
        <v>114</v>
      </c>
      <c r="G957">
        <v>120664</v>
      </c>
      <c r="H957" s="75">
        <v>45606</v>
      </c>
      <c r="I957" t="s">
        <v>118</v>
      </c>
      <c r="J957">
        <v>8203.9</v>
      </c>
      <c r="K957">
        <v>0</v>
      </c>
      <c r="M957">
        <v>16407.804</v>
      </c>
      <c r="N957" t="s">
        <v>19</v>
      </c>
      <c r="O957">
        <v>8203.9</v>
      </c>
    </row>
    <row r="958" spans="1:15" x14ac:dyDescent="0.2">
      <c r="A958" t="s">
        <v>23</v>
      </c>
      <c r="B958" t="s">
        <v>123</v>
      </c>
      <c r="C958" t="s">
        <v>112</v>
      </c>
      <c r="D958" t="s">
        <v>124</v>
      </c>
      <c r="E958" t="s">
        <v>53</v>
      </c>
      <c r="F958" t="s">
        <v>114</v>
      </c>
      <c r="G958">
        <v>120664</v>
      </c>
      <c r="H958" s="75">
        <v>45636</v>
      </c>
      <c r="I958" t="s">
        <v>115</v>
      </c>
      <c r="J958">
        <v>5000</v>
      </c>
      <c r="K958">
        <v>114.273</v>
      </c>
      <c r="L958">
        <v>43.754800000000003</v>
      </c>
      <c r="M958">
        <v>16522.078000000001</v>
      </c>
      <c r="N958" t="s">
        <v>15</v>
      </c>
    </row>
    <row r="959" spans="1:15" x14ac:dyDescent="0.2">
      <c r="A959" t="s">
        <v>23</v>
      </c>
      <c r="B959" t="s">
        <v>123</v>
      </c>
      <c r="C959" t="s">
        <v>112</v>
      </c>
      <c r="D959" t="s">
        <v>124</v>
      </c>
      <c r="E959" t="s">
        <v>53</v>
      </c>
      <c r="F959" t="s">
        <v>114</v>
      </c>
      <c r="G959">
        <v>120664</v>
      </c>
      <c r="H959" s="75">
        <v>45636</v>
      </c>
      <c r="I959" t="s">
        <v>117</v>
      </c>
      <c r="J959">
        <v>2.5</v>
      </c>
      <c r="K959">
        <v>0</v>
      </c>
      <c r="M959">
        <v>16522.078000000001</v>
      </c>
      <c r="N959" t="s">
        <v>46</v>
      </c>
    </row>
    <row r="960" spans="1:15" x14ac:dyDescent="0.2">
      <c r="A960" t="s">
        <v>23</v>
      </c>
      <c r="B960" t="s">
        <v>123</v>
      </c>
      <c r="C960" t="s">
        <v>112</v>
      </c>
      <c r="D960" t="s">
        <v>124</v>
      </c>
      <c r="E960" t="s">
        <v>53</v>
      </c>
      <c r="F960" t="s">
        <v>114</v>
      </c>
      <c r="G960">
        <v>120664</v>
      </c>
      <c r="H960" s="75">
        <v>45666</v>
      </c>
      <c r="I960" t="s">
        <v>115</v>
      </c>
      <c r="J960">
        <v>5000</v>
      </c>
      <c r="K960">
        <v>116.509</v>
      </c>
      <c r="L960">
        <v>42.915199999999999</v>
      </c>
      <c r="M960">
        <v>16638.585999999999</v>
      </c>
      <c r="N960" t="s">
        <v>15</v>
      </c>
    </row>
    <row r="961" spans="1:14" x14ac:dyDescent="0.2">
      <c r="A961" t="s">
        <v>23</v>
      </c>
      <c r="B961" t="s">
        <v>123</v>
      </c>
      <c r="C961" t="s">
        <v>112</v>
      </c>
      <c r="D961" t="s">
        <v>124</v>
      </c>
      <c r="E961" t="s">
        <v>53</v>
      </c>
      <c r="F961" t="s">
        <v>114</v>
      </c>
      <c r="G961">
        <v>120664</v>
      </c>
      <c r="H961" s="75">
        <v>45696</v>
      </c>
      <c r="I961" t="s">
        <v>115</v>
      </c>
      <c r="J961">
        <v>5000</v>
      </c>
      <c r="K961">
        <v>113.46899999999999</v>
      </c>
      <c r="L961">
        <v>44.064999999999998</v>
      </c>
      <c r="M961">
        <v>16752.055</v>
      </c>
      <c r="N961" t="s">
        <v>15</v>
      </c>
    </row>
    <row r="962" spans="1:14" x14ac:dyDescent="0.2">
      <c r="A962" t="s">
        <v>23</v>
      </c>
      <c r="B962" t="s">
        <v>123</v>
      </c>
      <c r="C962" t="s">
        <v>112</v>
      </c>
      <c r="D962" t="s">
        <v>124</v>
      </c>
      <c r="E962" t="s">
        <v>53</v>
      </c>
      <c r="F962" t="s">
        <v>114</v>
      </c>
      <c r="G962">
        <v>120664</v>
      </c>
      <c r="H962" s="75">
        <v>45726</v>
      </c>
      <c r="I962" t="s">
        <v>115</v>
      </c>
      <c r="J962">
        <v>5000</v>
      </c>
      <c r="K962">
        <v>110.371</v>
      </c>
      <c r="L962">
        <v>45.301900000000003</v>
      </c>
      <c r="M962">
        <v>16862.425999999999</v>
      </c>
      <c r="N962" t="s">
        <v>15</v>
      </c>
    </row>
    <row r="963" spans="1:14" x14ac:dyDescent="0.2">
      <c r="A963" t="s">
        <v>23</v>
      </c>
      <c r="B963" t="s">
        <v>123</v>
      </c>
      <c r="C963" t="s">
        <v>112</v>
      </c>
      <c r="D963" t="s">
        <v>124</v>
      </c>
      <c r="E963" t="s">
        <v>53</v>
      </c>
      <c r="F963" t="s">
        <v>114</v>
      </c>
      <c r="G963">
        <v>120664</v>
      </c>
      <c r="H963" s="75">
        <v>45756</v>
      </c>
      <c r="I963" t="s">
        <v>115</v>
      </c>
      <c r="J963">
        <v>5000</v>
      </c>
      <c r="K963">
        <v>109.393</v>
      </c>
      <c r="L963">
        <v>45.706699999999998</v>
      </c>
      <c r="M963">
        <v>16971.819</v>
      </c>
      <c r="N963" t="s">
        <v>15</v>
      </c>
    </row>
    <row r="964" spans="1:14" x14ac:dyDescent="0.2">
      <c r="A964" t="s">
        <v>23</v>
      </c>
      <c r="B964" t="s">
        <v>123</v>
      </c>
      <c r="C964" t="s">
        <v>112</v>
      </c>
      <c r="D964" t="s">
        <v>124</v>
      </c>
      <c r="E964" t="s">
        <v>53</v>
      </c>
      <c r="F964" t="s">
        <v>114</v>
      </c>
      <c r="G964">
        <v>120664</v>
      </c>
      <c r="H964" s="75">
        <v>45786</v>
      </c>
      <c r="I964" t="s">
        <v>115</v>
      </c>
      <c r="J964">
        <v>5000</v>
      </c>
      <c r="K964">
        <v>111.178</v>
      </c>
      <c r="L964">
        <v>44.972900000000003</v>
      </c>
      <c r="M964">
        <v>17082.996999999999</v>
      </c>
      <c r="N964" t="s">
        <v>15</v>
      </c>
    </row>
    <row r="965" spans="1:14" x14ac:dyDescent="0.2">
      <c r="A965" t="s">
        <v>23</v>
      </c>
      <c r="B965" t="s">
        <v>123</v>
      </c>
      <c r="C965" t="s">
        <v>112</v>
      </c>
      <c r="D965" t="s">
        <v>124</v>
      </c>
      <c r="E965" t="s">
        <v>53</v>
      </c>
      <c r="F965" t="s">
        <v>114</v>
      </c>
      <c r="G965">
        <v>120664</v>
      </c>
      <c r="H965" s="75">
        <v>45816</v>
      </c>
      <c r="I965" t="s">
        <v>115</v>
      </c>
      <c r="J965">
        <v>5000</v>
      </c>
      <c r="K965">
        <v>109.745</v>
      </c>
      <c r="L965">
        <v>45.56</v>
      </c>
      <c r="M965">
        <v>17192.741999999998</v>
      </c>
      <c r="N965" t="s">
        <v>15</v>
      </c>
    </row>
    <row r="966" spans="1:14" x14ac:dyDescent="0.2">
      <c r="A966" t="s">
        <v>23</v>
      </c>
      <c r="B966" t="s">
        <v>123</v>
      </c>
      <c r="C966" t="s">
        <v>112</v>
      </c>
      <c r="D966" t="s">
        <v>124</v>
      </c>
      <c r="E966" t="s">
        <v>53</v>
      </c>
      <c r="F966" t="s">
        <v>114</v>
      </c>
      <c r="G966">
        <v>120664</v>
      </c>
      <c r="H966" s="75">
        <v>45846</v>
      </c>
      <c r="I966" t="s">
        <v>115</v>
      </c>
      <c r="J966">
        <v>5000</v>
      </c>
      <c r="K966">
        <v>106.797</v>
      </c>
      <c r="L966">
        <v>46.817999999999998</v>
      </c>
      <c r="M966">
        <v>17299.539000000001</v>
      </c>
      <c r="N966" t="s">
        <v>15</v>
      </c>
    </row>
    <row r="967" spans="1:14" x14ac:dyDescent="0.2">
      <c r="A967" t="s">
        <v>23</v>
      </c>
      <c r="B967" t="s">
        <v>123</v>
      </c>
      <c r="C967" t="s">
        <v>112</v>
      </c>
      <c r="D967" t="s">
        <v>124</v>
      </c>
      <c r="E967" t="s">
        <v>53</v>
      </c>
      <c r="F967" t="s">
        <v>114</v>
      </c>
      <c r="G967">
        <v>120664</v>
      </c>
      <c r="H967" s="75">
        <v>45876</v>
      </c>
      <c r="I967" t="s">
        <v>115</v>
      </c>
      <c r="J967">
        <v>5000</v>
      </c>
      <c r="K967">
        <v>106.7</v>
      </c>
      <c r="L967">
        <v>46.860399999999998</v>
      </c>
      <c r="M967">
        <v>17406.239000000001</v>
      </c>
      <c r="N967" t="s">
        <v>15</v>
      </c>
    </row>
    <row r="968" spans="1:14" x14ac:dyDescent="0.2">
      <c r="A968" t="s">
        <v>23</v>
      </c>
      <c r="B968" t="s">
        <v>123</v>
      </c>
      <c r="C968" t="s">
        <v>112</v>
      </c>
      <c r="D968" t="s">
        <v>124</v>
      </c>
      <c r="E968" t="s">
        <v>53</v>
      </c>
      <c r="F968" t="s">
        <v>114</v>
      </c>
      <c r="G968">
        <v>120664</v>
      </c>
      <c r="H968" s="75">
        <v>45906</v>
      </c>
      <c r="I968" t="s">
        <v>115</v>
      </c>
      <c r="J968">
        <v>5000</v>
      </c>
      <c r="K968">
        <v>105.992</v>
      </c>
      <c r="L968">
        <v>47.173299999999998</v>
      </c>
      <c r="M968">
        <v>17512.231</v>
      </c>
      <c r="N968" t="s">
        <v>15</v>
      </c>
    </row>
    <row r="969" spans="1:14" x14ac:dyDescent="0.2">
      <c r="A969" t="s">
        <v>23</v>
      </c>
      <c r="B969" t="s">
        <v>123</v>
      </c>
      <c r="C969" t="s">
        <v>112</v>
      </c>
      <c r="D969" t="s">
        <v>124</v>
      </c>
      <c r="E969" t="s">
        <v>53</v>
      </c>
      <c r="F969" t="s">
        <v>114</v>
      </c>
      <c r="G969">
        <v>120664</v>
      </c>
      <c r="H969" s="75">
        <v>45936</v>
      </c>
      <c r="I969" t="s">
        <v>115</v>
      </c>
      <c r="J969">
        <v>5000</v>
      </c>
      <c r="K969">
        <v>103.22499999999999</v>
      </c>
      <c r="L969">
        <v>48.4377</v>
      </c>
      <c r="M969">
        <v>17615.456999999999</v>
      </c>
      <c r="N969" t="s">
        <v>15</v>
      </c>
    </row>
    <row r="970" spans="1:14" x14ac:dyDescent="0.2">
      <c r="A970" t="s">
        <v>23</v>
      </c>
      <c r="B970" t="s">
        <v>123</v>
      </c>
      <c r="C970" t="s">
        <v>112</v>
      </c>
      <c r="D970" t="s">
        <v>124</v>
      </c>
      <c r="E970" t="s">
        <v>53</v>
      </c>
      <c r="F970" t="s">
        <v>114</v>
      </c>
      <c r="G970">
        <v>120664</v>
      </c>
      <c r="H970" s="75">
        <v>45966</v>
      </c>
      <c r="I970" t="s">
        <v>115</v>
      </c>
      <c r="J970">
        <v>5000</v>
      </c>
      <c r="K970">
        <v>104.61</v>
      </c>
      <c r="L970">
        <v>47.796399999999998</v>
      </c>
      <c r="M970">
        <v>17720.066999999999</v>
      </c>
      <c r="N970" t="s">
        <v>15</v>
      </c>
    </row>
    <row r="971" spans="1:14" x14ac:dyDescent="0.2">
      <c r="A971" t="s">
        <v>23</v>
      </c>
      <c r="B971" t="s">
        <v>123</v>
      </c>
      <c r="C971" t="s">
        <v>112</v>
      </c>
      <c r="D971" t="s">
        <v>124</v>
      </c>
      <c r="E971" t="s">
        <v>53</v>
      </c>
      <c r="F971" t="s">
        <v>114</v>
      </c>
      <c r="G971">
        <v>120664</v>
      </c>
      <c r="H971" s="75">
        <v>45996</v>
      </c>
      <c r="I971" t="s">
        <v>115</v>
      </c>
      <c r="J971">
        <v>5000</v>
      </c>
      <c r="K971">
        <v>105.056</v>
      </c>
      <c r="L971">
        <v>47.593800000000002</v>
      </c>
      <c r="M971">
        <v>17825.123</v>
      </c>
      <c r="N971" t="s">
        <v>15</v>
      </c>
    </row>
    <row r="972" spans="1:14" x14ac:dyDescent="0.2">
      <c r="A972" t="s">
        <v>23</v>
      </c>
      <c r="B972" t="s">
        <v>123</v>
      </c>
      <c r="C972" t="s">
        <v>112</v>
      </c>
      <c r="D972" t="s">
        <v>124</v>
      </c>
      <c r="E972" t="s">
        <v>53</v>
      </c>
      <c r="F972" t="s">
        <v>114</v>
      </c>
      <c r="G972">
        <v>120664</v>
      </c>
      <c r="H972" s="75">
        <v>45996</v>
      </c>
      <c r="I972" t="s">
        <v>116</v>
      </c>
      <c r="J972">
        <v>2.5</v>
      </c>
      <c r="K972">
        <v>0</v>
      </c>
      <c r="M972">
        <v>17825.123</v>
      </c>
      <c r="N972" t="s">
        <v>17</v>
      </c>
    </row>
    <row r="973" spans="1:14" x14ac:dyDescent="0.2">
      <c r="A973" t="s">
        <v>23</v>
      </c>
      <c r="B973" t="s">
        <v>123</v>
      </c>
      <c r="C973" t="s">
        <v>112</v>
      </c>
      <c r="D973" t="s">
        <v>124</v>
      </c>
      <c r="E973" t="s">
        <v>53</v>
      </c>
      <c r="F973" t="s">
        <v>114</v>
      </c>
      <c r="G973">
        <v>120664</v>
      </c>
      <c r="H973" s="75">
        <v>46026</v>
      </c>
      <c r="I973" t="s">
        <v>115</v>
      </c>
      <c r="J973">
        <v>5000</v>
      </c>
      <c r="K973">
        <v>103.374</v>
      </c>
      <c r="L973">
        <v>48.367800000000003</v>
      </c>
      <c r="M973">
        <v>17928.496999999999</v>
      </c>
      <c r="N973" t="s">
        <v>15</v>
      </c>
    </row>
    <row r="974" spans="1:14" x14ac:dyDescent="0.2">
      <c r="A974" t="s">
        <v>23</v>
      </c>
      <c r="B974" t="s">
        <v>123</v>
      </c>
      <c r="C974" t="s">
        <v>112</v>
      </c>
      <c r="D974" t="s">
        <v>124</v>
      </c>
      <c r="E974" t="s">
        <v>53</v>
      </c>
      <c r="F974" t="s">
        <v>114</v>
      </c>
      <c r="G974">
        <v>120664</v>
      </c>
      <c r="H974" s="75">
        <v>46026</v>
      </c>
      <c r="I974" t="s">
        <v>25</v>
      </c>
      <c r="J974">
        <v>-173432.52</v>
      </c>
      <c r="K974">
        <v>-3585.6990000000001</v>
      </c>
      <c r="L974">
        <v>48.367800000000003</v>
      </c>
      <c r="M974">
        <v>14342.798000000001</v>
      </c>
      <c r="N974" t="s">
        <v>16</v>
      </c>
    </row>
    <row r="975" spans="1:14" x14ac:dyDescent="0.2">
      <c r="A975" t="s">
        <v>23</v>
      </c>
      <c r="B975" t="s">
        <v>123</v>
      </c>
      <c r="C975" t="s">
        <v>112</v>
      </c>
      <c r="D975" t="s">
        <v>124</v>
      </c>
      <c r="E975" t="s">
        <v>53</v>
      </c>
      <c r="F975" t="s">
        <v>114</v>
      </c>
      <c r="G975">
        <v>120664</v>
      </c>
      <c r="H975" s="75">
        <v>46056</v>
      </c>
      <c r="I975" t="s">
        <v>115</v>
      </c>
      <c r="J975">
        <v>5000</v>
      </c>
      <c r="K975">
        <v>104.39400000000001</v>
      </c>
      <c r="L975">
        <v>47.895499999999998</v>
      </c>
      <c r="M975">
        <v>14447.191999999999</v>
      </c>
      <c r="N975" t="s">
        <v>15</v>
      </c>
    </row>
    <row r="976" spans="1:14" x14ac:dyDescent="0.2">
      <c r="A976" t="s">
        <v>23</v>
      </c>
      <c r="B976" t="s">
        <v>123</v>
      </c>
      <c r="C976" t="s">
        <v>112</v>
      </c>
      <c r="D976" t="s">
        <v>124</v>
      </c>
      <c r="E976" t="s">
        <v>53</v>
      </c>
      <c r="F976" t="s">
        <v>114</v>
      </c>
      <c r="G976">
        <v>120664</v>
      </c>
      <c r="H976" s="75">
        <v>46056</v>
      </c>
      <c r="I976" t="s">
        <v>117</v>
      </c>
      <c r="J976">
        <v>2.5</v>
      </c>
      <c r="K976">
        <v>0</v>
      </c>
      <c r="M976">
        <v>14447.191999999999</v>
      </c>
      <c r="N976" t="s">
        <v>46</v>
      </c>
    </row>
    <row r="977" spans="1:14" x14ac:dyDescent="0.2">
      <c r="A977" t="s">
        <v>23</v>
      </c>
      <c r="B977" t="s">
        <v>123</v>
      </c>
      <c r="C977" t="s">
        <v>112</v>
      </c>
      <c r="D977" t="s">
        <v>124</v>
      </c>
      <c r="E977" t="s">
        <v>53</v>
      </c>
      <c r="F977" t="s">
        <v>114</v>
      </c>
      <c r="G977">
        <v>120664</v>
      </c>
      <c r="H977" s="75">
        <v>46086</v>
      </c>
      <c r="I977" t="s">
        <v>115</v>
      </c>
      <c r="J977">
        <v>5000</v>
      </c>
      <c r="K977">
        <v>104.821</v>
      </c>
      <c r="L977">
        <v>47.700400000000002</v>
      </c>
      <c r="M977">
        <v>14552.012000000001</v>
      </c>
      <c r="N977" t="s">
        <v>15</v>
      </c>
    </row>
    <row r="978" spans="1:14" x14ac:dyDescent="0.2">
      <c r="A978" t="s">
        <v>23</v>
      </c>
      <c r="B978" t="s">
        <v>123</v>
      </c>
      <c r="C978" t="s">
        <v>112</v>
      </c>
      <c r="D978" t="s">
        <v>124</v>
      </c>
      <c r="E978" t="s">
        <v>53</v>
      </c>
      <c r="F978" t="s">
        <v>114</v>
      </c>
      <c r="G978">
        <v>120664</v>
      </c>
      <c r="H978" s="75">
        <v>46086</v>
      </c>
      <c r="I978" t="s">
        <v>117</v>
      </c>
      <c r="J978">
        <v>2.5</v>
      </c>
      <c r="K978">
        <v>0</v>
      </c>
      <c r="M978">
        <v>14552.012000000001</v>
      </c>
      <c r="N978" t="s">
        <v>46</v>
      </c>
    </row>
    <row r="979" spans="1:14" x14ac:dyDescent="0.2">
      <c r="A979" t="s">
        <v>23</v>
      </c>
      <c r="B979" t="s">
        <v>123</v>
      </c>
      <c r="C979" t="s">
        <v>112</v>
      </c>
      <c r="D979" t="s">
        <v>124</v>
      </c>
      <c r="E979" t="s">
        <v>53</v>
      </c>
      <c r="F979" t="s">
        <v>114</v>
      </c>
      <c r="G979">
        <v>120664</v>
      </c>
      <c r="H979" s="75">
        <v>46116</v>
      </c>
      <c r="I979" t="s">
        <v>115</v>
      </c>
      <c r="J979">
        <v>5000</v>
      </c>
      <c r="K979">
        <v>105.473</v>
      </c>
      <c r="L979">
        <v>47.4056</v>
      </c>
      <c r="M979">
        <v>14657.485000000001</v>
      </c>
      <c r="N979" t="s">
        <v>15</v>
      </c>
    </row>
    <row r="980" spans="1:14" x14ac:dyDescent="0.2">
      <c r="A980" t="s">
        <v>23</v>
      </c>
      <c r="B980" t="s">
        <v>123</v>
      </c>
      <c r="C980" t="s">
        <v>112</v>
      </c>
      <c r="D980" t="s">
        <v>124</v>
      </c>
      <c r="E980" t="s">
        <v>53</v>
      </c>
      <c r="F980" t="s">
        <v>114</v>
      </c>
      <c r="G980">
        <v>120664</v>
      </c>
      <c r="H980" s="75">
        <v>46146</v>
      </c>
      <c r="I980" t="s">
        <v>115</v>
      </c>
      <c r="J980">
        <v>5000</v>
      </c>
      <c r="K980">
        <v>103.372</v>
      </c>
      <c r="L980">
        <v>48.3688</v>
      </c>
      <c r="M980">
        <v>14760.858</v>
      </c>
      <c r="N980" t="s">
        <v>15</v>
      </c>
    </row>
    <row r="981" spans="1:14" x14ac:dyDescent="0.2">
      <c r="A981" t="s">
        <v>23</v>
      </c>
      <c r="B981" t="s">
        <v>123</v>
      </c>
      <c r="C981" t="s">
        <v>112</v>
      </c>
      <c r="D981" t="s">
        <v>124</v>
      </c>
      <c r="E981" t="s">
        <v>53</v>
      </c>
      <c r="F981" t="s">
        <v>114</v>
      </c>
      <c r="G981">
        <v>120664</v>
      </c>
      <c r="H981" s="75">
        <v>46176</v>
      </c>
      <c r="I981" t="s">
        <v>115</v>
      </c>
      <c r="J981">
        <v>5000</v>
      </c>
      <c r="K981">
        <v>105.41500000000001</v>
      </c>
      <c r="L981">
        <v>47.4315</v>
      </c>
      <c r="M981">
        <v>14866.272999999999</v>
      </c>
      <c r="N981" t="s">
        <v>15</v>
      </c>
    </row>
    <row r="982" spans="1:14" x14ac:dyDescent="0.2">
      <c r="A982" t="s">
        <v>125</v>
      </c>
      <c r="B982" t="s">
        <v>126</v>
      </c>
      <c r="C982" t="s">
        <v>112</v>
      </c>
      <c r="D982" t="s">
        <v>127</v>
      </c>
      <c r="E982" t="s">
        <v>53</v>
      </c>
      <c r="F982" t="s">
        <v>114</v>
      </c>
      <c r="G982">
        <v>112323</v>
      </c>
      <c r="H982" s="75">
        <v>40326</v>
      </c>
      <c r="I982" t="s">
        <v>115</v>
      </c>
      <c r="J982">
        <v>5000</v>
      </c>
      <c r="K982">
        <v>244.798</v>
      </c>
      <c r="L982">
        <v>20.425000000000001</v>
      </c>
      <c r="M982">
        <v>244.798</v>
      </c>
      <c r="N982" t="s">
        <v>15</v>
      </c>
    </row>
    <row r="983" spans="1:14" x14ac:dyDescent="0.2">
      <c r="A983" t="s">
        <v>125</v>
      </c>
      <c r="B983" t="s">
        <v>126</v>
      </c>
      <c r="C983" t="s">
        <v>112</v>
      </c>
      <c r="D983" t="s">
        <v>127</v>
      </c>
      <c r="E983" t="s">
        <v>53</v>
      </c>
      <c r="F983" t="s">
        <v>114</v>
      </c>
      <c r="G983">
        <v>112323</v>
      </c>
      <c r="H983" s="75">
        <v>40356</v>
      </c>
      <c r="I983" t="s">
        <v>115</v>
      </c>
      <c r="J983">
        <v>5000</v>
      </c>
      <c r="K983">
        <v>244.249</v>
      </c>
      <c r="L983">
        <v>20.4709</v>
      </c>
      <c r="M983">
        <v>489.04700000000003</v>
      </c>
      <c r="N983" t="s">
        <v>15</v>
      </c>
    </row>
    <row r="984" spans="1:14" x14ac:dyDescent="0.2">
      <c r="A984" t="s">
        <v>125</v>
      </c>
      <c r="B984" t="s">
        <v>126</v>
      </c>
      <c r="C984" t="s">
        <v>112</v>
      </c>
      <c r="D984" t="s">
        <v>127</v>
      </c>
      <c r="E984" t="s">
        <v>53</v>
      </c>
      <c r="F984" t="s">
        <v>114</v>
      </c>
      <c r="G984">
        <v>112323</v>
      </c>
      <c r="H984" s="75">
        <v>40356</v>
      </c>
      <c r="I984" t="s">
        <v>117</v>
      </c>
      <c r="J984">
        <v>2.5</v>
      </c>
      <c r="K984">
        <v>0</v>
      </c>
      <c r="M984">
        <v>489.04700000000003</v>
      </c>
      <c r="N984" t="s">
        <v>46</v>
      </c>
    </row>
    <row r="985" spans="1:14" x14ac:dyDescent="0.2">
      <c r="A985" t="s">
        <v>125</v>
      </c>
      <c r="B985" t="s">
        <v>126</v>
      </c>
      <c r="C985" t="s">
        <v>112</v>
      </c>
      <c r="D985" t="s">
        <v>127</v>
      </c>
      <c r="E985" t="s">
        <v>53</v>
      </c>
      <c r="F985" t="s">
        <v>114</v>
      </c>
      <c r="G985">
        <v>112323</v>
      </c>
      <c r="H985" s="75">
        <v>40386</v>
      </c>
      <c r="I985" t="s">
        <v>115</v>
      </c>
      <c r="J985">
        <v>5000</v>
      </c>
      <c r="K985">
        <v>238.45699999999999</v>
      </c>
      <c r="L985">
        <v>20.9681</v>
      </c>
      <c r="M985">
        <v>727.50400000000002</v>
      </c>
      <c r="N985" t="s">
        <v>15</v>
      </c>
    </row>
    <row r="986" spans="1:14" x14ac:dyDescent="0.2">
      <c r="A986" t="s">
        <v>125</v>
      </c>
      <c r="B986" t="s">
        <v>126</v>
      </c>
      <c r="C986" t="s">
        <v>112</v>
      </c>
      <c r="D986" t="s">
        <v>127</v>
      </c>
      <c r="E986" t="s">
        <v>53</v>
      </c>
      <c r="F986" t="s">
        <v>114</v>
      </c>
      <c r="G986">
        <v>112323</v>
      </c>
      <c r="H986" s="75">
        <v>40386</v>
      </c>
      <c r="I986" t="s">
        <v>116</v>
      </c>
      <c r="J986">
        <v>2.5</v>
      </c>
      <c r="K986">
        <v>0</v>
      </c>
      <c r="M986">
        <v>727.50400000000002</v>
      </c>
      <c r="N986" t="s">
        <v>17</v>
      </c>
    </row>
    <row r="987" spans="1:14" x14ac:dyDescent="0.2">
      <c r="A987" t="s">
        <v>125</v>
      </c>
      <c r="B987" t="s">
        <v>126</v>
      </c>
      <c r="C987" t="s">
        <v>112</v>
      </c>
      <c r="D987" t="s">
        <v>127</v>
      </c>
      <c r="E987" t="s">
        <v>53</v>
      </c>
      <c r="F987" t="s">
        <v>114</v>
      </c>
      <c r="G987">
        <v>112323</v>
      </c>
      <c r="H987" s="75">
        <v>40416</v>
      </c>
      <c r="I987" t="s">
        <v>115</v>
      </c>
      <c r="J987">
        <v>5000</v>
      </c>
      <c r="K987">
        <v>232.035</v>
      </c>
      <c r="L987">
        <v>21.548500000000001</v>
      </c>
      <c r="M987">
        <v>959.53899999999999</v>
      </c>
      <c r="N987" t="s">
        <v>15</v>
      </c>
    </row>
    <row r="988" spans="1:14" x14ac:dyDescent="0.2">
      <c r="A988" t="s">
        <v>125</v>
      </c>
      <c r="B988" t="s">
        <v>126</v>
      </c>
      <c r="C988" t="s">
        <v>112</v>
      </c>
      <c r="D988" t="s">
        <v>127</v>
      </c>
      <c r="E988" t="s">
        <v>53</v>
      </c>
      <c r="F988" t="s">
        <v>114</v>
      </c>
      <c r="G988">
        <v>112323</v>
      </c>
      <c r="H988" s="75">
        <v>40446</v>
      </c>
      <c r="I988" t="s">
        <v>115</v>
      </c>
      <c r="J988">
        <v>5000</v>
      </c>
      <c r="K988">
        <v>236.69900000000001</v>
      </c>
      <c r="L988">
        <v>21.123899999999999</v>
      </c>
      <c r="M988">
        <v>1196.2380000000001</v>
      </c>
      <c r="N988" t="s">
        <v>15</v>
      </c>
    </row>
    <row r="989" spans="1:14" x14ac:dyDescent="0.2">
      <c r="A989" t="s">
        <v>125</v>
      </c>
      <c r="B989" t="s">
        <v>126</v>
      </c>
      <c r="C989" t="s">
        <v>112</v>
      </c>
      <c r="D989" t="s">
        <v>127</v>
      </c>
      <c r="E989" t="s">
        <v>53</v>
      </c>
      <c r="F989" t="s">
        <v>114</v>
      </c>
      <c r="G989">
        <v>112323</v>
      </c>
      <c r="H989" s="75">
        <v>40446</v>
      </c>
      <c r="I989" t="s">
        <v>25</v>
      </c>
      <c r="J989">
        <v>-5053.84</v>
      </c>
      <c r="K989">
        <v>-239.24799999999999</v>
      </c>
      <c r="L989">
        <v>21.123899999999999</v>
      </c>
      <c r="M989">
        <v>956.99</v>
      </c>
      <c r="N989" t="s">
        <v>16</v>
      </c>
    </row>
    <row r="990" spans="1:14" x14ac:dyDescent="0.2">
      <c r="A990" t="s">
        <v>125</v>
      </c>
      <c r="B990" t="s">
        <v>126</v>
      </c>
      <c r="C990" t="s">
        <v>112</v>
      </c>
      <c r="D990" t="s">
        <v>127</v>
      </c>
      <c r="E990" t="s">
        <v>53</v>
      </c>
      <c r="F990" t="s">
        <v>114</v>
      </c>
      <c r="G990">
        <v>112323</v>
      </c>
      <c r="H990" s="75">
        <v>40476</v>
      </c>
      <c r="I990" t="s">
        <v>115</v>
      </c>
      <c r="J990">
        <v>5000</v>
      </c>
      <c r="K990">
        <v>232.619</v>
      </c>
      <c r="L990">
        <v>21.494399999999999</v>
      </c>
      <c r="M990">
        <v>1189.6089999999999</v>
      </c>
      <c r="N990" t="s">
        <v>15</v>
      </c>
    </row>
    <row r="991" spans="1:14" x14ac:dyDescent="0.2">
      <c r="A991" t="s">
        <v>125</v>
      </c>
      <c r="B991" t="s">
        <v>126</v>
      </c>
      <c r="C991" t="s">
        <v>112</v>
      </c>
      <c r="D991" t="s">
        <v>127</v>
      </c>
      <c r="E991" t="s">
        <v>53</v>
      </c>
      <c r="F991" t="s">
        <v>114</v>
      </c>
      <c r="G991">
        <v>112323</v>
      </c>
      <c r="H991" s="75">
        <v>40476</v>
      </c>
      <c r="I991" t="s">
        <v>116</v>
      </c>
      <c r="J991">
        <v>2.5</v>
      </c>
      <c r="K991">
        <v>0</v>
      </c>
      <c r="M991">
        <v>1189.6089999999999</v>
      </c>
      <c r="N991" t="s">
        <v>17</v>
      </c>
    </row>
    <row r="992" spans="1:14" x14ac:dyDescent="0.2">
      <c r="A992" t="s">
        <v>125</v>
      </c>
      <c r="B992" t="s">
        <v>126</v>
      </c>
      <c r="C992" t="s">
        <v>112</v>
      </c>
      <c r="D992" t="s">
        <v>127</v>
      </c>
      <c r="E992" t="s">
        <v>53</v>
      </c>
      <c r="F992" t="s">
        <v>114</v>
      </c>
      <c r="G992">
        <v>112323</v>
      </c>
      <c r="H992" s="75">
        <v>40506</v>
      </c>
      <c r="I992" t="s">
        <v>115</v>
      </c>
      <c r="J992">
        <v>5000</v>
      </c>
      <c r="K992">
        <v>228.05199999999999</v>
      </c>
      <c r="L992">
        <v>21.924800000000001</v>
      </c>
      <c r="M992">
        <v>1417.6610000000001</v>
      </c>
      <c r="N992" t="s">
        <v>15</v>
      </c>
    </row>
    <row r="993" spans="1:15" x14ac:dyDescent="0.2">
      <c r="A993" t="s">
        <v>125</v>
      </c>
      <c r="B993" t="s">
        <v>126</v>
      </c>
      <c r="C993" t="s">
        <v>112</v>
      </c>
      <c r="D993" t="s">
        <v>127</v>
      </c>
      <c r="E993" t="s">
        <v>53</v>
      </c>
      <c r="F993" t="s">
        <v>114</v>
      </c>
      <c r="G993">
        <v>112323</v>
      </c>
      <c r="H993" s="75">
        <v>40536</v>
      </c>
      <c r="I993" t="s">
        <v>115</v>
      </c>
      <c r="J993">
        <v>5000</v>
      </c>
      <c r="K993">
        <v>230.464</v>
      </c>
      <c r="L993">
        <v>21.6953</v>
      </c>
      <c r="M993">
        <v>1648.125</v>
      </c>
      <c r="N993" t="s">
        <v>15</v>
      </c>
    </row>
    <row r="994" spans="1:15" x14ac:dyDescent="0.2">
      <c r="A994" t="s">
        <v>125</v>
      </c>
      <c r="B994" t="s">
        <v>126</v>
      </c>
      <c r="C994" t="s">
        <v>112</v>
      </c>
      <c r="D994" t="s">
        <v>127</v>
      </c>
      <c r="E994" t="s">
        <v>53</v>
      </c>
      <c r="F994" t="s">
        <v>114</v>
      </c>
      <c r="G994">
        <v>112323</v>
      </c>
      <c r="H994" s="75">
        <v>40566</v>
      </c>
      <c r="I994" t="s">
        <v>115</v>
      </c>
      <c r="J994">
        <v>5000</v>
      </c>
      <c r="K994">
        <v>230.536</v>
      </c>
      <c r="L994">
        <v>21.688600000000001</v>
      </c>
      <c r="M994">
        <v>1878.6610000000001</v>
      </c>
      <c r="N994" t="s">
        <v>15</v>
      </c>
    </row>
    <row r="995" spans="1:15" x14ac:dyDescent="0.2">
      <c r="A995" t="s">
        <v>125</v>
      </c>
      <c r="B995" t="s">
        <v>126</v>
      </c>
      <c r="C995" t="s">
        <v>112</v>
      </c>
      <c r="D995" t="s">
        <v>127</v>
      </c>
      <c r="E995" t="s">
        <v>53</v>
      </c>
      <c r="F995" t="s">
        <v>114</v>
      </c>
      <c r="G995">
        <v>112323</v>
      </c>
      <c r="H995" s="75">
        <v>40596</v>
      </c>
      <c r="I995" t="s">
        <v>115</v>
      </c>
      <c r="J995">
        <v>5000</v>
      </c>
      <c r="K995">
        <v>234.31399999999999</v>
      </c>
      <c r="L995">
        <v>21.338799999999999</v>
      </c>
      <c r="M995">
        <v>2112.9749999999999</v>
      </c>
      <c r="N995" t="s">
        <v>15</v>
      </c>
    </row>
    <row r="996" spans="1:15" x14ac:dyDescent="0.2">
      <c r="A996" t="s">
        <v>125</v>
      </c>
      <c r="B996" t="s">
        <v>126</v>
      </c>
      <c r="C996" t="s">
        <v>112</v>
      </c>
      <c r="D996" t="s">
        <v>127</v>
      </c>
      <c r="E996" t="s">
        <v>53</v>
      </c>
      <c r="F996" t="s">
        <v>114</v>
      </c>
      <c r="G996">
        <v>112323</v>
      </c>
      <c r="H996" s="75">
        <v>40626</v>
      </c>
      <c r="I996" t="s">
        <v>115</v>
      </c>
      <c r="J996">
        <v>5000</v>
      </c>
      <c r="K996">
        <v>237.703</v>
      </c>
      <c r="L996">
        <v>21.034600000000001</v>
      </c>
      <c r="M996">
        <v>2350.6790000000001</v>
      </c>
      <c r="N996" t="s">
        <v>15</v>
      </c>
    </row>
    <row r="997" spans="1:15" x14ac:dyDescent="0.2">
      <c r="A997" t="s">
        <v>125</v>
      </c>
      <c r="B997" t="s">
        <v>126</v>
      </c>
      <c r="C997" t="s">
        <v>112</v>
      </c>
      <c r="D997" t="s">
        <v>127</v>
      </c>
      <c r="E997" t="s">
        <v>53</v>
      </c>
      <c r="F997" t="s">
        <v>114</v>
      </c>
      <c r="G997">
        <v>112323</v>
      </c>
      <c r="H997" s="75">
        <v>40656</v>
      </c>
      <c r="I997" t="s">
        <v>115</v>
      </c>
      <c r="J997">
        <v>5000</v>
      </c>
      <c r="K997">
        <v>241.03700000000001</v>
      </c>
      <c r="L997">
        <v>20.7437</v>
      </c>
      <c r="M997">
        <v>2591.7159999999999</v>
      </c>
      <c r="N997" t="s">
        <v>15</v>
      </c>
    </row>
    <row r="998" spans="1:15" x14ac:dyDescent="0.2">
      <c r="A998" t="s">
        <v>125</v>
      </c>
      <c r="B998" t="s">
        <v>126</v>
      </c>
      <c r="C998" t="s">
        <v>112</v>
      </c>
      <c r="D998" t="s">
        <v>127</v>
      </c>
      <c r="E998" t="s">
        <v>53</v>
      </c>
      <c r="F998" t="s">
        <v>114</v>
      </c>
      <c r="G998">
        <v>112323</v>
      </c>
      <c r="H998" s="75">
        <v>40686</v>
      </c>
      <c r="I998" t="s">
        <v>115</v>
      </c>
      <c r="J998">
        <v>5000</v>
      </c>
      <c r="K998">
        <v>239.41399999999999</v>
      </c>
      <c r="L998">
        <v>20.8843</v>
      </c>
      <c r="M998">
        <v>2831.13</v>
      </c>
      <c r="N998" t="s">
        <v>15</v>
      </c>
    </row>
    <row r="999" spans="1:15" x14ac:dyDescent="0.2">
      <c r="A999" t="s">
        <v>125</v>
      </c>
      <c r="B999" t="s">
        <v>126</v>
      </c>
      <c r="C999" t="s">
        <v>112</v>
      </c>
      <c r="D999" t="s">
        <v>127</v>
      </c>
      <c r="E999" t="s">
        <v>53</v>
      </c>
      <c r="F999" t="s">
        <v>114</v>
      </c>
      <c r="G999">
        <v>112323</v>
      </c>
      <c r="H999" s="75">
        <v>40716</v>
      </c>
      <c r="I999" t="s">
        <v>115</v>
      </c>
      <c r="J999">
        <v>5000</v>
      </c>
      <c r="K999">
        <v>232.732</v>
      </c>
      <c r="L999">
        <v>21.484000000000002</v>
      </c>
      <c r="M999">
        <v>3063.8620000000001</v>
      </c>
      <c r="N999" t="s">
        <v>15</v>
      </c>
    </row>
    <row r="1000" spans="1:15" x14ac:dyDescent="0.2">
      <c r="A1000" t="s">
        <v>125</v>
      </c>
      <c r="B1000" t="s">
        <v>126</v>
      </c>
      <c r="C1000" t="s">
        <v>112</v>
      </c>
      <c r="D1000" t="s">
        <v>127</v>
      </c>
      <c r="E1000" t="s">
        <v>53</v>
      </c>
      <c r="F1000" t="s">
        <v>114</v>
      </c>
      <c r="G1000">
        <v>112323</v>
      </c>
      <c r="H1000" s="75">
        <v>40716</v>
      </c>
      <c r="I1000" t="s">
        <v>116</v>
      </c>
      <c r="J1000">
        <v>2.5</v>
      </c>
      <c r="K1000">
        <v>0</v>
      </c>
      <c r="M1000">
        <v>3063.8620000000001</v>
      </c>
      <c r="N1000" t="s">
        <v>17</v>
      </c>
    </row>
    <row r="1001" spans="1:15" x14ac:dyDescent="0.2">
      <c r="A1001" t="s">
        <v>125</v>
      </c>
      <c r="B1001" t="s">
        <v>126</v>
      </c>
      <c r="C1001" t="s">
        <v>112</v>
      </c>
      <c r="D1001" t="s">
        <v>127</v>
      </c>
      <c r="E1001" t="s">
        <v>53</v>
      </c>
      <c r="F1001" t="s">
        <v>114</v>
      </c>
      <c r="G1001">
        <v>112323</v>
      </c>
      <c r="H1001" s="75">
        <v>40746</v>
      </c>
      <c r="I1001" t="s">
        <v>115</v>
      </c>
      <c r="J1001">
        <v>5000</v>
      </c>
      <c r="K1001">
        <v>236.828</v>
      </c>
      <c r="L1001">
        <v>21.112400000000001</v>
      </c>
      <c r="M1001">
        <v>3300.69</v>
      </c>
      <c r="N1001" t="s">
        <v>15</v>
      </c>
    </row>
    <row r="1002" spans="1:15" x14ac:dyDescent="0.2">
      <c r="A1002" t="s">
        <v>125</v>
      </c>
      <c r="B1002" t="s">
        <v>126</v>
      </c>
      <c r="C1002" t="s">
        <v>112</v>
      </c>
      <c r="D1002" t="s">
        <v>127</v>
      </c>
      <c r="E1002" t="s">
        <v>53</v>
      </c>
      <c r="F1002" t="s">
        <v>114</v>
      </c>
      <c r="G1002">
        <v>112323</v>
      </c>
      <c r="H1002" s="75">
        <v>40776</v>
      </c>
      <c r="I1002" t="s">
        <v>115</v>
      </c>
      <c r="J1002">
        <v>5000</v>
      </c>
      <c r="K1002">
        <v>233.285</v>
      </c>
      <c r="L1002">
        <v>21.4331</v>
      </c>
      <c r="M1002">
        <v>3533.9749999999999</v>
      </c>
      <c r="N1002" t="s">
        <v>15</v>
      </c>
    </row>
    <row r="1003" spans="1:15" x14ac:dyDescent="0.2">
      <c r="A1003" t="s">
        <v>125</v>
      </c>
      <c r="B1003" t="s">
        <v>126</v>
      </c>
      <c r="C1003" t="s">
        <v>112</v>
      </c>
      <c r="D1003" t="s">
        <v>127</v>
      </c>
      <c r="E1003" t="s">
        <v>53</v>
      </c>
      <c r="F1003" t="s">
        <v>114</v>
      </c>
      <c r="G1003">
        <v>112323</v>
      </c>
      <c r="H1003" s="75">
        <v>40806</v>
      </c>
      <c r="I1003" t="s">
        <v>115</v>
      </c>
      <c r="J1003">
        <v>5000</v>
      </c>
      <c r="K1003">
        <v>230.65</v>
      </c>
      <c r="L1003">
        <v>21.677900000000001</v>
      </c>
      <c r="M1003">
        <v>3764.625</v>
      </c>
      <c r="N1003" t="s">
        <v>15</v>
      </c>
    </row>
    <row r="1004" spans="1:15" x14ac:dyDescent="0.2">
      <c r="A1004" t="s">
        <v>125</v>
      </c>
      <c r="B1004" t="s">
        <v>126</v>
      </c>
      <c r="C1004" t="s">
        <v>112</v>
      </c>
      <c r="D1004" t="s">
        <v>127</v>
      </c>
      <c r="E1004" t="s">
        <v>53</v>
      </c>
      <c r="F1004" t="s">
        <v>114</v>
      </c>
      <c r="G1004">
        <v>112323</v>
      </c>
      <c r="H1004" s="75">
        <v>40806</v>
      </c>
      <c r="I1004" t="s">
        <v>117</v>
      </c>
      <c r="J1004">
        <v>2.5</v>
      </c>
      <c r="K1004">
        <v>0</v>
      </c>
      <c r="M1004">
        <v>3764.625</v>
      </c>
      <c r="N1004" t="s">
        <v>46</v>
      </c>
    </row>
    <row r="1005" spans="1:15" x14ac:dyDescent="0.2">
      <c r="A1005" t="s">
        <v>125</v>
      </c>
      <c r="B1005" t="s">
        <v>126</v>
      </c>
      <c r="C1005" t="s">
        <v>112</v>
      </c>
      <c r="D1005" t="s">
        <v>127</v>
      </c>
      <c r="E1005" t="s">
        <v>53</v>
      </c>
      <c r="F1005" t="s">
        <v>114</v>
      </c>
      <c r="G1005">
        <v>112323</v>
      </c>
      <c r="H1005" s="75">
        <v>40836</v>
      </c>
      <c r="I1005" t="s">
        <v>115</v>
      </c>
      <c r="J1005">
        <v>5000</v>
      </c>
      <c r="K1005">
        <v>232.328</v>
      </c>
      <c r="L1005">
        <v>21.5213</v>
      </c>
      <c r="M1005">
        <v>3996.9520000000002</v>
      </c>
      <c r="N1005" t="s">
        <v>15</v>
      </c>
    </row>
    <row r="1006" spans="1:15" x14ac:dyDescent="0.2">
      <c r="A1006" t="s">
        <v>125</v>
      </c>
      <c r="B1006" t="s">
        <v>126</v>
      </c>
      <c r="C1006" t="s">
        <v>112</v>
      </c>
      <c r="D1006" t="s">
        <v>127</v>
      </c>
      <c r="E1006" t="s">
        <v>53</v>
      </c>
      <c r="F1006" t="s">
        <v>114</v>
      </c>
      <c r="G1006">
        <v>112323</v>
      </c>
      <c r="H1006" s="75">
        <v>40866</v>
      </c>
      <c r="I1006" t="s">
        <v>115</v>
      </c>
      <c r="J1006">
        <v>5000</v>
      </c>
      <c r="K1006">
        <v>226.92699999999999</v>
      </c>
      <c r="L1006">
        <v>22.0335</v>
      </c>
      <c r="M1006">
        <v>4223.8789999999999</v>
      </c>
      <c r="N1006" t="s">
        <v>15</v>
      </c>
    </row>
    <row r="1007" spans="1:15" x14ac:dyDescent="0.2">
      <c r="A1007" t="s">
        <v>125</v>
      </c>
      <c r="B1007" t="s">
        <v>126</v>
      </c>
      <c r="C1007" t="s">
        <v>112</v>
      </c>
      <c r="D1007" t="s">
        <v>127</v>
      </c>
      <c r="E1007" t="s">
        <v>53</v>
      </c>
      <c r="F1007" t="s">
        <v>114</v>
      </c>
      <c r="G1007">
        <v>112323</v>
      </c>
      <c r="H1007" s="75">
        <v>40866</v>
      </c>
      <c r="I1007" t="s">
        <v>118</v>
      </c>
      <c r="J1007">
        <v>2111.94</v>
      </c>
      <c r="K1007">
        <v>0</v>
      </c>
      <c r="M1007">
        <v>4223.8789999999999</v>
      </c>
      <c r="N1007" t="s">
        <v>19</v>
      </c>
      <c r="O1007">
        <v>2111.94</v>
      </c>
    </row>
    <row r="1008" spans="1:15" x14ac:dyDescent="0.2">
      <c r="A1008" t="s">
        <v>125</v>
      </c>
      <c r="B1008" t="s">
        <v>126</v>
      </c>
      <c r="C1008" t="s">
        <v>112</v>
      </c>
      <c r="D1008" t="s">
        <v>127</v>
      </c>
      <c r="E1008" t="s">
        <v>53</v>
      </c>
      <c r="F1008" t="s">
        <v>114</v>
      </c>
      <c r="G1008">
        <v>112323</v>
      </c>
      <c r="H1008" s="75">
        <v>40896</v>
      </c>
      <c r="I1008" t="s">
        <v>115</v>
      </c>
      <c r="J1008">
        <v>5000</v>
      </c>
      <c r="K1008">
        <v>226.25299999999999</v>
      </c>
      <c r="L1008">
        <v>22.0991</v>
      </c>
      <c r="M1008">
        <v>4450.1329999999998</v>
      </c>
      <c r="N1008" t="s">
        <v>15</v>
      </c>
    </row>
    <row r="1009" spans="1:14" x14ac:dyDescent="0.2">
      <c r="A1009" t="s">
        <v>125</v>
      </c>
      <c r="B1009" t="s">
        <v>126</v>
      </c>
      <c r="C1009" t="s">
        <v>112</v>
      </c>
      <c r="D1009" t="s">
        <v>127</v>
      </c>
      <c r="E1009" t="s">
        <v>53</v>
      </c>
      <c r="F1009" t="s">
        <v>114</v>
      </c>
      <c r="G1009">
        <v>112323</v>
      </c>
      <c r="H1009" s="75">
        <v>40896</v>
      </c>
      <c r="I1009" t="s">
        <v>116</v>
      </c>
      <c r="J1009">
        <v>2.5</v>
      </c>
      <c r="K1009">
        <v>0</v>
      </c>
      <c r="M1009">
        <v>4450.1329999999998</v>
      </c>
      <c r="N1009" t="s">
        <v>17</v>
      </c>
    </row>
    <row r="1010" spans="1:14" x14ac:dyDescent="0.2">
      <c r="A1010" t="s">
        <v>125</v>
      </c>
      <c r="B1010" t="s">
        <v>126</v>
      </c>
      <c r="C1010" t="s">
        <v>112</v>
      </c>
      <c r="D1010" t="s">
        <v>127</v>
      </c>
      <c r="E1010" t="s">
        <v>53</v>
      </c>
      <c r="F1010" t="s">
        <v>114</v>
      </c>
      <c r="G1010">
        <v>112323</v>
      </c>
      <c r="H1010" s="75">
        <v>40926</v>
      </c>
      <c r="I1010" t="s">
        <v>115</v>
      </c>
      <c r="J1010">
        <v>5000</v>
      </c>
      <c r="K1010">
        <v>221.066</v>
      </c>
      <c r="L1010">
        <v>22.617699999999999</v>
      </c>
      <c r="M1010">
        <v>4671.1989999999996</v>
      </c>
      <c r="N1010" t="s">
        <v>15</v>
      </c>
    </row>
    <row r="1011" spans="1:14" x14ac:dyDescent="0.2">
      <c r="A1011" t="s">
        <v>125</v>
      </c>
      <c r="B1011" t="s">
        <v>126</v>
      </c>
      <c r="C1011" t="s">
        <v>112</v>
      </c>
      <c r="D1011" t="s">
        <v>127</v>
      </c>
      <c r="E1011" t="s">
        <v>53</v>
      </c>
      <c r="F1011" t="s">
        <v>114</v>
      </c>
      <c r="G1011">
        <v>112323</v>
      </c>
      <c r="H1011" s="75">
        <v>40956</v>
      </c>
      <c r="I1011" t="s">
        <v>115</v>
      </c>
      <c r="J1011">
        <v>5000</v>
      </c>
      <c r="K1011">
        <v>218.15199999999999</v>
      </c>
      <c r="L1011">
        <v>22.919799999999999</v>
      </c>
      <c r="M1011">
        <v>4889.3509999999997</v>
      </c>
      <c r="N1011" t="s">
        <v>15</v>
      </c>
    </row>
    <row r="1012" spans="1:14" x14ac:dyDescent="0.2">
      <c r="A1012" t="s">
        <v>125</v>
      </c>
      <c r="B1012" t="s">
        <v>126</v>
      </c>
      <c r="C1012" t="s">
        <v>112</v>
      </c>
      <c r="D1012" t="s">
        <v>127</v>
      </c>
      <c r="E1012" t="s">
        <v>53</v>
      </c>
      <c r="F1012" t="s">
        <v>114</v>
      </c>
      <c r="G1012">
        <v>112323</v>
      </c>
      <c r="H1012" s="75">
        <v>40956</v>
      </c>
      <c r="I1012" t="s">
        <v>116</v>
      </c>
      <c r="J1012">
        <v>2.5</v>
      </c>
      <c r="K1012">
        <v>0</v>
      </c>
      <c r="M1012">
        <v>4889.3509999999997</v>
      </c>
      <c r="N1012" t="s">
        <v>17</v>
      </c>
    </row>
    <row r="1013" spans="1:14" x14ac:dyDescent="0.2">
      <c r="A1013" t="s">
        <v>125</v>
      </c>
      <c r="B1013" t="s">
        <v>126</v>
      </c>
      <c r="C1013" t="s">
        <v>112</v>
      </c>
      <c r="D1013" t="s">
        <v>127</v>
      </c>
      <c r="E1013" t="s">
        <v>53</v>
      </c>
      <c r="F1013" t="s">
        <v>114</v>
      </c>
      <c r="G1013">
        <v>112323</v>
      </c>
      <c r="H1013" s="75">
        <v>40986</v>
      </c>
      <c r="I1013" t="s">
        <v>115</v>
      </c>
      <c r="J1013">
        <v>5000</v>
      </c>
      <c r="K1013">
        <v>213.73599999999999</v>
      </c>
      <c r="L1013">
        <v>23.3934</v>
      </c>
      <c r="M1013">
        <v>5103.0870000000004</v>
      </c>
      <c r="N1013" t="s">
        <v>15</v>
      </c>
    </row>
    <row r="1014" spans="1:14" x14ac:dyDescent="0.2">
      <c r="A1014" t="s">
        <v>125</v>
      </c>
      <c r="B1014" t="s">
        <v>126</v>
      </c>
      <c r="C1014" t="s">
        <v>112</v>
      </c>
      <c r="D1014" t="s">
        <v>127</v>
      </c>
      <c r="E1014" t="s">
        <v>53</v>
      </c>
      <c r="F1014" t="s">
        <v>114</v>
      </c>
      <c r="G1014">
        <v>112323</v>
      </c>
      <c r="H1014" s="75">
        <v>41016</v>
      </c>
      <c r="I1014" t="s">
        <v>115</v>
      </c>
      <c r="J1014">
        <v>5000</v>
      </c>
      <c r="K1014">
        <v>217.70400000000001</v>
      </c>
      <c r="L1014">
        <v>22.966999999999999</v>
      </c>
      <c r="M1014">
        <v>5320.7910000000002</v>
      </c>
      <c r="N1014" t="s">
        <v>15</v>
      </c>
    </row>
    <row r="1015" spans="1:14" x14ac:dyDescent="0.2">
      <c r="A1015" t="s">
        <v>125</v>
      </c>
      <c r="B1015" t="s">
        <v>126</v>
      </c>
      <c r="C1015" t="s">
        <v>112</v>
      </c>
      <c r="D1015" t="s">
        <v>127</v>
      </c>
      <c r="E1015" t="s">
        <v>53</v>
      </c>
      <c r="F1015" t="s">
        <v>114</v>
      </c>
      <c r="G1015">
        <v>112323</v>
      </c>
      <c r="H1015" s="75">
        <v>41046</v>
      </c>
      <c r="I1015" t="s">
        <v>115</v>
      </c>
      <c r="J1015">
        <v>5000</v>
      </c>
      <c r="K1015">
        <v>221.12200000000001</v>
      </c>
      <c r="L1015">
        <v>22.611999999999998</v>
      </c>
      <c r="M1015">
        <v>5541.9120000000003</v>
      </c>
      <c r="N1015" t="s">
        <v>15</v>
      </c>
    </row>
    <row r="1016" spans="1:14" x14ac:dyDescent="0.2">
      <c r="A1016" t="s">
        <v>125</v>
      </c>
      <c r="B1016" t="s">
        <v>126</v>
      </c>
      <c r="C1016" t="s">
        <v>112</v>
      </c>
      <c r="D1016" t="s">
        <v>127</v>
      </c>
      <c r="E1016" t="s">
        <v>53</v>
      </c>
      <c r="F1016" t="s">
        <v>114</v>
      </c>
      <c r="G1016">
        <v>112323</v>
      </c>
      <c r="H1016" s="75">
        <v>41046</v>
      </c>
      <c r="I1016" t="s">
        <v>116</v>
      </c>
      <c r="J1016">
        <v>2.5</v>
      </c>
      <c r="K1016">
        <v>0</v>
      </c>
      <c r="M1016">
        <v>5541.9120000000003</v>
      </c>
      <c r="N1016" t="s">
        <v>17</v>
      </c>
    </row>
    <row r="1017" spans="1:14" x14ac:dyDescent="0.2">
      <c r="A1017" t="s">
        <v>125</v>
      </c>
      <c r="B1017" t="s">
        <v>126</v>
      </c>
      <c r="C1017" t="s">
        <v>112</v>
      </c>
      <c r="D1017" t="s">
        <v>127</v>
      </c>
      <c r="E1017" t="s">
        <v>53</v>
      </c>
      <c r="F1017" t="s">
        <v>114</v>
      </c>
      <c r="G1017">
        <v>112323</v>
      </c>
      <c r="H1017" s="75">
        <v>41076</v>
      </c>
      <c r="I1017" t="s">
        <v>115</v>
      </c>
      <c r="J1017">
        <v>5000</v>
      </c>
      <c r="K1017">
        <v>225.33199999999999</v>
      </c>
      <c r="L1017">
        <v>22.189499999999999</v>
      </c>
      <c r="M1017">
        <v>5767.2439999999997</v>
      </c>
      <c r="N1017" t="s">
        <v>15</v>
      </c>
    </row>
    <row r="1018" spans="1:14" x14ac:dyDescent="0.2">
      <c r="A1018" t="s">
        <v>125</v>
      </c>
      <c r="B1018" t="s">
        <v>126</v>
      </c>
      <c r="C1018" t="s">
        <v>112</v>
      </c>
      <c r="D1018" t="s">
        <v>127</v>
      </c>
      <c r="E1018" t="s">
        <v>53</v>
      </c>
      <c r="F1018" t="s">
        <v>114</v>
      </c>
      <c r="G1018">
        <v>112323</v>
      </c>
      <c r="H1018" s="75">
        <v>41076</v>
      </c>
      <c r="I1018" t="s">
        <v>25</v>
      </c>
      <c r="J1018">
        <v>-25594.45</v>
      </c>
      <c r="K1018">
        <v>-1153.4490000000001</v>
      </c>
      <c r="L1018">
        <v>22.189499999999999</v>
      </c>
      <c r="M1018">
        <v>4613.7950000000001</v>
      </c>
      <c r="N1018" t="s">
        <v>16</v>
      </c>
    </row>
    <row r="1019" spans="1:14" x14ac:dyDescent="0.2">
      <c r="A1019" t="s">
        <v>125</v>
      </c>
      <c r="B1019" t="s">
        <v>126</v>
      </c>
      <c r="C1019" t="s">
        <v>112</v>
      </c>
      <c r="D1019" t="s">
        <v>127</v>
      </c>
      <c r="E1019" t="s">
        <v>53</v>
      </c>
      <c r="F1019" t="s">
        <v>114</v>
      </c>
      <c r="G1019">
        <v>112323</v>
      </c>
      <c r="H1019" s="75">
        <v>41106</v>
      </c>
      <c r="I1019" t="s">
        <v>115</v>
      </c>
      <c r="J1019">
        <v>5000</v>
      </c>
      <c r="K1019">
        <v>223.768</v>
      </c>
      <c r="L1019">
        <v>22.3446</v>
      </c>
      <c r="M1019">
        <v>4837.5630000000001</v>
      </c>
      <c r="N1019" t="s">
        <v>15</v>
      </c>
    </row>
    <row r="1020" spans="1:14" x14ac:dyDescent="0.2">
      <c r="A1020" t="s">
        <v>125</v>
      </c>
      <c r="B1020" t="s">
        <v>126</v>
      </c>
      <c r="C1020" t="s">
        <v>112</v>
      </c>
      <c r="D1020" t="s">
        <v>127</v>
      </c>
      <c r="E1020" t="s">
        <v>53</v>
      </c>
      <c r="F1020" t="s">
        <v>114</v>
      </c>
      <c r="G1020">
        <v>112323</v>
      </c>
      <c r="H1020" s="75">
        <v>41136</v>
      </c>
      <c r="I1020" t="s">
        <v>115</v>
      </c>
      <c r="J1020">
        <v>5000</v>
      </c>
      <c r="K1020">
        <v>218.09100000000001</v>
      </c>
      <c r="L1020">
        <v>22.926200000000001</v>
      </c>
      <c r="M1020">
        <v>5055.6540000000005</v>
      </c>
      <c r="N1020" t="s">
        <v>15</v>
      </c>
    </row>
    <row r="1021" spans="1:14" x14ac:dyDescent="0.2">
      <c r="A1021" t="s">
        <v>125</v>
      </c>
      <c r="B1021" t="s">
        <v>126</v>
      </c>
      <c r="C1021" t="s">
        <v>112</v>
      </c>
      <c r="D1021" t="s">
        <v>127</v>
      </c>
      <c r="E1021" t="s">
        <v>53</v>
      </c>
      <c r="F1021" t="s">
        <v>114</v>
      </c>
      <c r="G1021">
        <v>112323</v>
      </c>
      <c r="H1021" s="75">
        <v>41136</v>
      </c>
      <c r="I1021" t="s">
        <v>117</v>
      </c>
      <c r="J1021">
        <v>2.5</v>
      </c>
      <c r="K1021">
        <v>0</v>
      </c>
      <c r="M1021">
        <v>5055.6540000000005</v>
      </c>
      <c r="N1021" t="s">
        <v>46</v>
      </c>
    </row>
    <row r="1022" spans="1:14" x14ac:dyDescent="0.2">
      <c r="A1022" t="s">
        <v>125</v>
      </c>
      <c r="B1022" t="s">
        <v>126</v>
      </c>
      <c r="C1022" t="s">
        <v>112</v>
      </c>
      <c r="D1022" t="s">
        <v>127</v>
      </c>
      <c r="E1022" t="s">
        <v>53</v>
      </c>
      <c r="F1022" t="s">
        <v>114</v>
      </c>
      <c r="G1022">
        <v>112323</v>
      </c>
      <c r="H1022" s="75">
        <v>41166</v>
      </c>
      <c r="I1022" t="s">
        <v>115</v>
      </c>
      <c r="J1022">
        <v>5000</v>
      </c>
      <c r="K1022">
        <v>217.57599999999999</v>
      </c>
      <c r="L1022">
        <v>22.980399999999999</v>
      </c>
      <c r="M1022">
        <v>5273.23</v>
      </c>
      <c r="N1022" t="s">
        <v>15</v>
      </c>
    </row>
    <row r="1023" spans="1:14" x14ac:dyDescent="0.2">
      <c r="A1023" t="s">
        <v>125</v>
      </c>
      <c r="B1023" t="s">
        <v>126</v>
      </c>
      <c r="C1023" t="s">
        <v>112</v>
      </c>
      <c r="D1023" t="s">
        <v>127</v>
      </c>
      <c r="E1023" t="s">
        <v>53</v>
      </c>
      <c r="F1023" t="s">
        <v>114</v>
      </c>
      <c r="G1023">
        <v>112323</v>
      </c>
      <c r="H1023" s="75">
        <v>41196</v>
      </c>
      <c r="I1023" t="s">
        <v>115</v>
      </c>
      <c r="J1023">
        <v>5000</v>
      </c>
      <c r="K1023">
        <v>221.44300000000001</v>
      </c>
      <c r="L1023">
        <v>22.5791</v>
      </c>
      <c r="M1023">
        <v>5494.674</v>
      </c>
      <c r="N1023" t="s">
        <v>15</v>
      </c>
    </row>
    <row r="1024" spans="1:14" x14ac:dyDescent="0.2">
      <c r="A1024" t="s">
        <v>125</v>
      </c>
      <c r="B1024" t="s">
        <v>126</v>
      </c>
      <c r="C1024" t="s">
        <v>112</v>
      </c>
      <c r="D1024" t="s">
        <v>127</v>
      </c>
      <c r="E1024" t="s">
        <v>53</v>
      </c>
      <c r="F1024" t="s">
        <v>114</v>
      </c>
      <c r="G1024">
        <v>112323</v>
      </c>
      <c r="H1024" s="75">
        <v>41196</v>
      </c>
      <c r="I1024" t="s">
        <v>117</v>
      </c>
      <c r="J1024">
        <v>2.5</v>
      </c>
      <c r="K1024">
        <v>0</v>
      </c>
      <c r="M1024">
        <v>5494.674</v>
      </c>
      <c r="N1024" t="s">
        <v>46</v>
      </c>
    </row>
    <row r="1025" spans="1:15" x14ac:dyDescent="0.2">
      <c r="A1025" t="s">
        <v>125</v>
      </c>
      <c r="B1025" t="s">
        <v>126</v>
      </c>
      <c r="C1025" t="s">
        <v>112</v>
      </c>
      <c r="D1025" t="s">
        <v>127</v>
      </c>
      <c r="E1025" t="s">
        <v>53</v>
      </c>
      <c r="F1025" t="s">
        <v>114</v>
      </c>
      <c r="G1025">
        <v>112323</v>
      </c>
      <c r="H1025" s="75">
        <v>41226</v>
      </c>
      <c r="I1025" t="s">
        <v>115</v>
      </c>
      <c r="J1025">
        <v>5000</v>
      </c>
      <c r="K1025">
        <v>225.37299999999999</v>
      </c>
      <c r="L1025">
        <v>22.185500000000001</v>
      </c>
      <c r="M1025">
        <v>5720.0460000000003</v>
      </c>
      <c r="N1025" t="s">
        <v>15</v>
      </c>
    </row>
    <row r="1026" spans="1:15" x14ac:dyDescent="0.2">
      <c r="A1026" t="s">
        <v>125</v>
      </c>
      <c r="B1026" t="s">
        <v>126</v>
      </c>
      <c r="C1026" t="s">
        <v>112</v>
      </c>
      <c r="D1026" t="s">
        <v>127</v>
      </c>
      <c r="E1026" t="s">
        <v>53</v>
      </c>
      <c r="F1026" t="s">
        <v>114</v>
      </c>
      <c r="G1026">
        <v>112323</v>
      </c>
      <c r="H1026" s="75">
        <v>41256</v>
      </c>
      <c r="I1026" t="s">
        <v>115</v>
      </c>
      <c r="J1026">
        <v>5000</v>
      </c>
      <c r="K1026">
        <v>227.011</v>
      </c>
      <c r="L1026">
        <v>22.025300000000001</v>
      </c>
      <c r="M1026">
        <v>5947.058</v>
      </c>
      <c r="N1026" t="s">
        <v>15</v>
      </c>
    </row>
    <row r="1027" spans="1:15" x14ac:dyDescent="0.2">
      <c r="A1027" t="s">
        <v>125</v>
      </c>
      <c r="B1027" t="s">
        <v>126</v>
      </c>
      <c r="C1027" t="s">
        <v>112</v>
      </c>
      <c r="D1027" t="s">
        <v>127</v>
      </c>
      <c r="E1027" t="s">
        <v>53</v>
      </c>
      <c r="F1027" t="s">
        <v>114</v>
      </c>
      <c r="G1027">
        <v>112323</v>
      </c>
      <c r="H1027" s="75">
        <v>41256</v>
      </c>
      <c r="I1027" t="s">
        <v>117</v>
      </c>
      <c r="J1027">
        <v>2.5</v>
      </c>
      <c r="K1027">
        <v>0</v>
      </c>
      <c r="M1027">
        <v>5947.058</v>
      </c>
      <c r="N1027" t="s">
        <v>46</v>
      </c>
    </row>
    <row r="1028" spans="1:15" x14ac:dyDescent="0.2">
      <c r="A1028" t="s">
        <v>125</v>
      </c>
      <c r="B1028" t="s">
        <v>126</v>
      </c>
      <c r="C1028" t="s">
        <v>112</v>
      </c>
      <c r="D1028" t="s">
        <v>127</v>
      </c>
      <c r="E1028" t="s">
        <v>53</v>
      </c>
      <c r="F1028" t="s">
        <v>114</v>
      </c>
      <c r="G1028">
        <v>112323</v>
      </c>
      <c r="H1028" s="75">
        <v>41286</v>
      </c>
      <c r="I1028" t="s">
        <v>115</v>
      </c>
      <c r="J1028">
        <v>5000</v>
      </c>
      <c r="K1028">
        <v>220.66300000000001</v>
      </c>
      <c r="L1028">
        <v>22.658999999999999</v>
      </c>
      <c r="M1028">
        <v>6167.7209999999995</v>
      </c>
      <c r="N1028" t="s">
        <v>15</v>
      </c>
    </row>
    <row r="1029" spans="1:15" x14ac:dyDescent="0.2">
      <c r="A1029" t="s">
        <v>125</v>
      </c>
      <c r="B1029" t="s">
        <v>126</v>
      </c>
      <c r="C1029" t="s">
        <v>112</v>
      </c>
      <c r="D1029" t="s">
        <v>127</v>
      </c>
      <c r="E1029" t="s">
        <v>53</v>
      </c>
      <c r="F1029" t="s">
        <v>114</v>
      </c>
      <c r="G1029">
        <v>112323</v>
      </c>
      <c r="H1029" s="75">
        <v>41286</v>
      </c>
      <c r="I1029" t="s">
        <v>117</v>
      </c>
      <c r="J1029">
        <v>2.5</v>
      </c>
      <c r="K1029">
        <v>0</v>
      </c>
      <c r="M1029">
        <v>6167.7209999999995</v>
      </c>
      <c r="N1029" t="s">
        <v>46</v>
      </c>
    </row>
    <row r="1030" spans="1:15" x14ac:dyDescent="0.2">
      <c r="A1030" t="s">
        <v>125</v>
      </c>
      <c r="B1030" t="s">
        <v>126</v>
      </c>
      <c r="C1030" t="s">
        <v>112</v>
      </c>
      <c r="D1030" t="s">
        <v>127</v>
      </c>
      <c r="E1030" t="s">
        <v>53</v>
      </c>
      <c r="F1030" t="s">
        <v>114</v>
      </c>
      <c r="G1030">
        <v>112323</v>
      </c>
      <c r="H1030" s="75">
        <v>41316</v>
      </c>
      <c r="I1030" t="s">
        <v>115</v>
      </c>
      <c r="J1030">
        <v>5000</v>
      </c>
      <c r="K1030">
        <v>225.10300000000001</v>
      </c>
      <c r="L1030">
        <v>22.2121</v>
      </c>
      <c r="M1030">
        <v>6392.8239999999996</v>
      </c>
      <c r="N1030" t="s">
        <v>15</v>
      </c>
    </row>
    <row r="1031" spans="1:15" x14ac:dyDescent="0.2">
      <c r="A1031" t="s">
        <v>125</v>
      </c>
      <c r="B1031" t="s">
        <v>126</v>
      </c>
      <c r="C1031" t="s">
        <v>112</v>
      </c>
      <c r="D1031" t="s">
        <v>127</v>
      </c>
      <c r="E1031" t="s">
        <v>53</v>
      </c>
      <c r="F1031" t="s">
        <v>114</v>
      </c>
      <c r="G1031">
        <v>112323</v>
      </c>
      <c r="H1031" s="75">
        <v>41346</v>
      </c>
      <c r="I1031" t="s">
        <v>115</v>
      </c>
      <c r="J1031">
        <v>5000</v>
      </c>
      <c r="K1031">
        <v>219.69399999999999</v>
      </c>
      <c r="L1031">
        <v>22.758900000000001</v>
      </c>
      <c r="M1031">
        <v>6612.518</v>
      </c>
      <c r="N1031" t="s">
        <v>15</v>
      </c>
    </row>
    <row r="1032" spans="1:15" x14ac:dyDescent="0.2">
      <c r="A1032" t="s">
        <v>125</v>
      </c>
      <c r="B1032" t="s">
        <v>126</v>
      </c>
      <c r="C1032" t="s">
        <v>112</v>
      </c>
      <c r="D1032" t="s">
        <v>127</v>
      </c>
      <c r="E1032" t="s">
        <v>53</v>
      </c>
      <c r="F1032" t="s">
        <v>114</v>
      </c>
      <c r="G1032">
        <v>112323</v>
      </c>
      <c r="H1032" s="75">
        <v>41376</v>
      </c>
      <c r="I1032" t="s">
        <v>115</v>
      </c>
      <c r="J1032">
        <v>5000</v>
      </c>
      <c r="K1032">
        <v>217.46100000000001</v>
      </c>
      <c r="L1032">
        <v>22.992699999999999</v>
      </c>
      <c r="M1032">
        <v>6829.9790000000003</v>
      </c>
      <c r="N1032" t="s">
        <v>15</v>
      </c>
    </row>
    <row r="1033" spans="1:15" x14ac:dyDescent="0.2">
      <c r="A1033" t="s">
        <v>125</v>
      </c>
      <c r="B1033" t="s">
        <v>126</v>
      </c>
      <c r="C1033" t="s">
        <v>112</v>
      </c>
      <c r="D1033" t="s">
        <v>127</v>
      </c>
      <c r="E1033" t="s">
        <v>53</v>
      </c>
      <c r="F1033" t="s">
        <v>114</v>
      </c>
      <c r="G1033">
        <v>112323</v>
      </c>
      <c r="H1033" s="75">
        <v>41376</v>
      </c>
      <c r="I1033" t="s">
        <v>117</v>
      </c>
      <c r="J1033">
        <v>2.5</v>
      </c>
      <c r="K1033">
        <v>0</v>
      </c>
      <c r="M1033">
        <v>6829.9790000000003</v>
      </c>
      <c r="N1033" t="s">
        <v>46</v>
      </c>
    </row>
    <row r="1034" spans="1:15" x14ac:dyDescent="0.2">
      <c r="A1034" t="s">
        <v>125</v>
      </c>
      <c r="B1034" t="s">
        <v>126</v>
      </c>
      <c r="C1034" t="s">
        <v>112</v>
      </c>
      <c r="D1034" t="s">
        <v>127</v>
      </c>
      <c r="E1034" t="s">
        <v>53</v>
      </c>
      <c r="F1034" t="s">
        <v>114</v>
      </c>
      <c r="G1034">
        <v>112323</v>
      </c>
      <c r="H1034" s="75">
        <v>41376</v>
      </c>
      <c r="I1034" t="s">
        <v>118</v>
      </c>
      <c r="J1034">
        <v>3414.99</v>
      </c>
      <c r="K1034">
        <v>0</v>
      </c>
      <c r="M1034">
        <v>6829.9790000000003</v>
      </c>
      <c r="N1034" t="s">
        <v>19</v>
      </c>
      <c r="O1034">
        <v>3414.99</v>
      </c>
    </row>
    <row r="1035" spans="1:15" x14ac:dyDescent="0.2">
      <c r="A1035" t="s">
        <v>125</v>
      </c>
      <c r="B1035" t="s">
        <v>126</v>
      </c>
      <c r="C1035" t="s">
        <v>112</v>
      </c>
      <c r="D1035" t="s">
        <v>127</v>
      </c>
      <c r="E1035" t="s">
        <v>53</v>
      </c>
      <c r="F1035" t="s">
        <v>114</v>
      </c>
      <c r="G1035">
        <v>112323</v>
      </c>
      <c r="H1035" s="75">
        <v>41406</v>
      </c>
      <c r="I1035" t="s">
        <v>115</v>
      </c>
      <c r="J1035">
        <v>5000</v>
      </c>
      <c r="K1035">
        <v>211.78899999999999</v>
      </c>
      <c r="L1035">
        <v>23.6084</v>
      </c>
      <c r="M1035">
        <v>7041.768</v>
      </c>
      <c r="N1035" t="s">
        <v>15</v>
      </c>
    </row>
    <row r="1036" spans="1:15" x14ac:dyDescent="0.2">
      <c r="A1036" t="s">
        <v>125</v>
      </c>
      <c r="B1036" t="s">
        <v>126</v>
      </c>
      <c r="C1036" t="s">
        <v>112</v>
      </c>
      <c r="D1036" t="s">
        <v>127</v>
      </c>
      <c r="E1036" t="s">
        <v>53</v>
      </c>
      <c r="F1036" t="s">
        <v>114</v>
      </c>
      <c r="G1036">
        <v>112323</v>
      </c>
      <c r="H1036" s="75">
        <v>41436</v>
      </c>
      <c r="I1036" t="s">
        <v>115</v>
      </c>
      <c r="J1036">
        <v>5000</v>
      </c>
      <c r="K1036">
        <v>210.82499999999999</v>
      </c>
      <c r="L1036">
        <v>23.7164</v>
      </c>
      <c r="M1036">
        <v>7252.5919999999996</v>
      </c>
      <c r="N1036" t="s">
        <v>15</v>
      </c>
    </row>
    <row r="1037" spans="1:15" x14ac:dyDescent="0.2">
      <c r="A1037" t="s">
        <v>125</v>
      </c>
      <c r="B1037" t="s">
        <v>126</v>
      </c>
      <c r="C1037" t="s">
        <v>112</v>
      </c>
      <c r="D1037" t="s">
        <v>127</v>
      </c>
      <c r="E1037" t="s">
        <v>53</v>
      </c>
      <c r="F1037" t="s">
        <v>114</v>
      </c>
      <c r="G1037">
        <v>112323</v>
      </c>
      <c r="H1037" s="75">
        <v>41466</v>
      </c>
      <c r="I1037" t="s">
        <v>115</v>
      </c>
      <c r="J1037">
        <v>5000</v>
      </c>
      <c r="K1037">
        <v>214.15199999999999</v>
      </c>
      <c r="L1037">
        <v>23.347899999999999</v>
      </c>
      <c r="M1037">
        <v>7466.7439999999997</v>
      </c>
      <c r="N1037" t="s">
        <v>15</v>
      </c>
    </row>
    <row r="1038" spans="1:15" x14ac:dyDescent="0.2">
      <c r="A1038" t="s">
        <v>125</v>
      </c>
      <c r="B1038" t="s">
        <v>126</v>
      </c>
      <c r="C1038" t="s">
        <v>112</v>
      </c>
      <c r="D1038" t="s">
        <v>127</v>
      </c>
      <c r="E1038" t="s">
        <v>53</v>
      </c>
      <c r="F1038" t="s">
        <v>114</v>
      </c>
      <c r="G1038">
        <v>112323</v>
      </c>
      <c r="H1038" s="75">
        <v>41496</v>
      </c>
      <c r="I1038" t="s">
        <v>115</v>
      </c>
      <c r="J1038">
        <v>5000</v>
      </c>
      <c r="K1038">
        <v>218.333</v>
      </c>
      <c r="L1038">
        <v>22.9008</v>
      </c>
      <c r="M1038">
        <v>7685.0770000000002</v>
      </c>
      <c r="N1038" t="s">
        <v>15</v>
      </c>
    </row>
    <row r="1039" spans="1:15" x14ac:dyDescent="0.2">
      <c r="A1039" t="s">
        <v>125</v>
      </c>
      <c r="B1039" t="s">
        <v>126</v>
      </c>
      <c r="C1039" t="s">
        <v>112</v>
      </c>
      <c r="D1039" t="s">
        <v>127</v>
      </c>
      <c r="E1039" t="s">
        <v>53</v>
      </c>
      <c r="F1039" t="s">
        <v>114</v>
      </c>
      <c r="G1039">
        <v>112323</v>
      </c>
      <c r="H1039" s="75">
        <v>41496</v>
      </c>
      <c r="I1039" t="s">
        <v>116</v>
      </c>
      <c r="J1039">
        <v>2.5</v>
      </c>
      <c r="K1039">
        <v>0</v>
      </c>
      <c r="M1039">
        <v>7685.0770000000002</v>
      </c>
      <c r="N1039" t="s">
        <v>17</v>
      </c>
    </row>
    <row r="1040" spans="1:15" x14ac:dyDescent="0.2">
      <c r="A1040" t="s">
        <v>125</v>
      </c>
      <c r="B1040" t="s">
        <v>126</v>
      </c>
      <c r="C1040" t="s">
        <v>112</v>
      </c>
      <c r="D1040" t="s">
        <v>127</v>
      </c>
      <c r="E1040" t="s">
        <v>53</v>
      </c>
      <c r="F1040" t="s">
        <v>114</v>
      </c>
      <c r="G1040">
        <v>112323</v>
      </c>
      <c r="H1040" s="75">
        <v>41526</v>
      </c>
      <c r="I1040" t="s">
        <v>115</v>
      </c>
      <c r="J1040">
        <v>5000</v>
      </c>
      <c r="K1040">
        <v>219.72900000000001</v>
      </c>
      <c r="L1040">
        <v>22.755299999999998</v>
      </c>
      <c r="M1040">
        <v>7904.8069999999998</v>
      </c>
      <c r="N1040" t="s">
        <v>15</v>
      </c>
    </row>
    <row r="1041" spans="1:15" x14ac:dyDescent="0.2">
      <c r="A1041" t="s">
        <v>125</v>
      </c>
      <c r="B1041" t="s">
        <v>126</v>
      </c>
      <c r="C1041" t="s">
        <v>112</v>
      </c>
      <c r="D1041" t="s">
        <v>127</v>
      </c>
      <c r="E1041" t="s">
        <v>53</v>
      </c>
      <c r="F1041" t="s">
        <v>114</v>
      </c>
      <c r="G1041">
        <v>112323</v>
      </c>
      <c r="H1041" s="75">
        <v>41526</v>
      </c>
      <c r="I1041" t="s">
        <v>118</v>
      </c>
      <c r="J1041">
        <v>3952.4</v>
      </c>
      <c r="K1041">
        <v>0</v>
      </c>
      <c r="M1041">
        <v>7904.8069999999998</v>
      </c>
      <c r="N1041" t="s">
        <v>19</v>
      </c>
      <c r="O1041">
        <v>3952.4</v>
      </c>
    </row>
    <row r="1042" spans="1:15" x14ac:dyDescent="0.2">
      <c r="A1042" t="s">
        <v>125</v>
      </c>
      <c r="B1042" t="s">
        <v>126</v>
      </c>
      <c r="C1042" t="s">
        <v>112</v>
      </c>
      <c r="D1042" t="s">
        <v>127</v>
      </c>
      <c r="E1042" t="s">
        <v>53</v>
      </c>
      <c r="F1042" t="s">
        <v>114</v>
      </c>
      <c r="G1042">
        <v>112323</v>
      </c>
      <c r="H1042" s="75">
        <v>41556</v>
      </c>
      <c r="I1042" t="s">
        <v>115</v>
      </c>
      <c r="J1042">
        <v>5000</v>
      </c>
      <c r="K1042">
        <v>219.17699999999999</v>
      </c>
      <c r="L1042">
        <v>22.8126</v>
      </c>
      <c r="M1042">
        <v>8123.9840000000004</v>
      </c>
      <c r="N1042" t="s">
        <v>15</v>
      </c>
    </row>
    <row r="1043" spans="1:15" x14ac:dyDescent="0.2">
      <c r="A1043" t="s">
        <v>125</v>
      </c>
      <c r="B1043" t="s">
        <v>126</v>
      </c>
      <c r="C1043" t="s">
        <v>112</v>
      </c>
      <c r="D1043" t="s">
        <v>127</v>
      </c>
      <c r="E1043" t="s">
        <v>53</v>
      </c>
      <c r="F1043" t="s">
        <v>114</v>
      </c>
      <c r="G1043">
        <v>112323</v>
      </c>
      <c r="H1043" s="75">
        <v>41586</v>
      </c>
      <c r="I1043" t="s">
        <v>115</v>
      </c>
      <c r="J1043">
        <v>5000</v>
      </c>
      <c r="K1043">
        <v>213.697</v>
      </c>
      <c r="L1043">
        <v>23.397600000000001</v>
      </c>
      <c r="M1043">
        <v>8337.68</v>
      </c>
      <c r="N1043" t="s">
        <v>15</v>
      </c>
    </row>
    <row r="1044" spans="1:15" x14ac:dyDescent="0.2">
      <c r="A1044" t="s">
        <v>125</v>
      </c>
      <c r="B1044" t="s">
        <v>126</v>
      </c>
      <c r="C1044" t="s">
        <v>112</v>
      </c>
      <c r="D1044" t="s">
        <v>127</v>
      </c>
      <c r="E1044" t="s">
        <v>53</v>
      </c>
      <c r="F1044" t="s">
        <v>114</v>
      </c>
      <c r="G1044">
        <v>112323</v>
      </c>
      <c r="H1044" s="75">
        <v>41616</v>
      </c>
      <c r="I1044" t="s">
        <v>115</v>
      </c>
      <c r="J1044">
        <v>5000</v>
      </c>
      <c r="K1044">
        <v>212.09299999999999</v>
      </c>
      <c r="L1044">
        <v>23.5746</v>
      </c>
      <c r="M1044">
        <v>8549.7729999999992</v>
      </c>
      <c r="N1044" t="s">
        <v>15</v>
      </c>
    </row>
    <row r="1045" spans="1:15" x14ac:dyDescent="0.2">
      <c r="A1045" t="s">
        <v>125</v>
      </c>
      <c r="B1045" t="s">
        <v>126</v>
      </c>
      <c r="C1045" t="s">
        <v>112</v>
      </c>
      <c r="D1045" t="s">
        <v>127</v>
      </c>
      <c r="E1045" t="s">
        <v>53</v>
      </c>
      <c r="F1045" t="s">
        <v>114</v>
      </c>
      <c r="G1045">
        <v>112323</v>
      </c>
      <c r="H1045" s="75">
        <v>41646</v>
      </c>
      <c r="I1045" t="s">
        <v>115</v>
      </c>
      <c r="J1045">
        <v>5000</v>
      </c>
      <c r="K1045">
        <v>212.26499999999999</v>
      </c>
      <c r="L1045">
        <v>23.555499999999999</v>
      </c>
      <c r="M1045">
        <v>8762.0380000000005</v>
      </c>
      <c r="N1045" t="s">
        <v>15</v>
      </c>
    </row>
    <row r="1046" spans="1:15" x14ac:dyDescent="0.2">
      <c r="A1046" t="s">
        <v>125</v>
      </c>
      <c r="B1046" t="s">
        <v>126</v>
      </c>
      <c r="C1046" t="s">
        <v>112</v>
      </c>
      <c r="D1046" t="s">
        <v>127</v>
      </c>
      <c r="E1046" t="s">
        <v>53</v>
      </c>
      <c r="F1046" t="s">
        <v>114</v>
      </c>
      <c r="G1046">
        <v>112323</v>
      </c>
      <c r="H1046" s="75">
        <v>41646</v>
      </c>
      <c r="I1046" t="s">
        <v>117</v>
      </c>
      <c r="J1046">
        <v>2.5</v>
      </c>
      <c r="K1046">
        <v>0</v>
      </c>
      <c r="M1046">
        <v>8762.0380000000005</v>
      </c>
      <c r="N1046" t="s">
        <v>46</v>
      </c>
    </row>
    <row r="1047" spans="1:15" x14ac:dyDescent="0.2">
      <c r="A1047" t="s">
        <v>125</v>
      </c>
      <c r="B1047" t="s">
        <v>126</v>
      </c>
      <c r="C1047" t="s">
        <v>112</v>
      </c>
      <c r="D1047" t="s">
        <v>127</v>
      </c>
      <c r="E1047" t="s">
        <v>53</v>
      </c>
      <c r="F1047" t="s">
        <v>114</v>
      </c>
      <c r="G1047">
        <v>112323</v>
      </c>
      <c r="H1047" s="75">
        <v>41646</v>
      </c>
      <c r="I1047" t="s">
        <v>118</v>
      </c>
      <c r="J1047">
        <v>4381.0200000000004</v>
      </c>
      <c r="K1047">
        <v>0</v>
      </c>
      <c r="M1047">
        <v>8762.0380000000005</v>
      </c>
      <c r="N1047" t="s">
        <v>19</v>
      </c>
      <c r="O1047">
        <v>4381.0200000000004</v>
      </c>
    </row>
    <row r="1048" spans="1:15" x14ac:dyDescent="0.2">
      <c r="A1048" t="s">
        <v>125</v>
      </c>
      <c r="B1048" t="s">
        <v>126</v>
      </c>
      <c r="C1048" t="s">
        <v>112</v>
      </c>
      <c r="D1048" t="s">
        <v>127</v>
      </c>
      <c r="E1048" t="s">
        <v>53</v>
      </c>
      <c r="F1048" t="s">
        <v>114</v>
      </c>
      <c r="G1048">
        <v>112323</v>
      </c>
      <c r="H1048" s="75">
        <v>41676</v>
      </c>
      <c r="I1048" t="s">
        <v>115</v>
      </c>
      <c r="J1048">
        <v>5000</v>
      </c>
      <c r="K1048">
        <v>213.46799999999999</v>
      </c>
      <c r="L1048">
        <v>23.422699999999999</v>
      </c>
      <c r="M1048">
        <v>8975.5059999999994</v>
      </c>
      <c r="N1048" t="s">
        <v>15</v>
      </c>
    </row>
    <row r="1049" spans="1:15" x14ac:dyDescent="0.2">
      <c r="A1049" t="s">
        <v>125</v>
      </c>
      <c r="B1049" t="s">
        <v>126</v>
      </c>
      <c r="C1049" t="s">
        <v>112</v>
      </c>
      <c r="D1049" t="s">
        <v>127</v>
      </c>
      <c r="E1049" t="s">
        <v>53</v>
      </c>
      <c r="F1049" t="s">
        <v>114</v>
      </c>
      <c r="G1049">
        <v>112323</v>
      </c>
      <c r="H1049" s="75">
        <v>41706</v>
      </c>
      <c r="I1049" t="s">
        <v>115</v>
      </c>
      <c r="J1049">
        <v>5000</v>
      </c>
      <c r="K1049">
        <v>208.42</v>
      </c>
      <c r="L1049">
        <v>23.99</v>
      </c>
      <c r="M1049">
        <v>9183.9259999999995</v>
      </c>
      <c r="N1049" t="s">
        <v>15</v>
      </c>
    </row>
    <row r="1050" spans="1:15" x14ac:dyDescent="0.2">
      <c r="A1050" t="s">
        <v>125</v>
      </c>
      <c r="B1050" t="s">
        <v>126</v>
      </c>
      <c r="C1050" t="s">
        <v>112</v>
      </c>
      <c r="D1050" t="s">
        <v>127</v>
      </c>
      <c r="E1050" t="s">
        <v>53</v>
      </c>
      <c r="F1050" t="s">
        <v>114</v>
      </c>
      <c r="G1050">
        <v>112323</v>
      </c>
      <c r="H1050" s="75">
        <v>41736</v>
      </c>
      <c r="I1050" t="s">
        <v>115</v>
      </c>
      <c r="J1050">
        <v>5000</v>
      </c>
      <c r="K1050">
        <v>202.98599999999999</v>
      </c>
      <c r="L1050">
        <v>24.632300000000001</v>
      </c>
      <c r="M1050">
        <v>9386.9120000000003</v>
      </c>
      <c r="N1050" t="s">
        <v>15</v>
      </c>
    </row>
    <row r="1051" spans="1:15" x14ac:dyDescent="0.2">
      <c r="A1051" t="s">
        <v>125</v>
      </c>
      <c r="B1051" t="s">
        <v>126</v>
      </c>
      <c r="C1051" t="s">
        <v>112</v>
      </c>
      <c r="D1051" t="s">
        <v>127</v>
      </c>
      <c r="E1051" t="s">
        <v>53</v>
      </c>
      <c r="F1051" t="s">
        <v>114</v>
      </c>
      <c r="G1051">
        <v>112323</v>
      </c>
      <c r="H1051" s="75">
        <v>41766</v>
      </c>
      <c r="I1051" t="s">
        <v>115</v>
      </c>
      <c r="J1051">
        <v>5000</v>
      </c>
      <c r="K1051">
        <v>203.06899999999999</v>
      </c>
      <c r="L1051">
        <v>24.622199999999999</v>
      </c>
      <c r="M1051">
        <v>9589.9809999999998</v>
      </c>
      <c r="N1051" t="s">
        <v>15</v>
      </c>
    </row>
    <row r="1052" spans="1:15" x14ac:dyDescent="0.2">
      <c r="A1052" t="s">
        <v>125</v>
      </c>
      <c r="B1052" t="s">
        <v>126</v>
      </c>
      <c r="C1052" t="s">
        <v>112</v>
      </c>
      <c r="D1052" t="s">
        <v>127</v>
      </c>
      <c r="E1052" t="s">
        <v>53</v>
      </c>
      <c r="F1052" t="s">
        <v>114</v>
      </c>
      <c r="G1052">
        <v>112323</v>
      </c>
      <c r="H1052" s="75">
        <v>41796</v>
      </c>
      <c r="I1052" t="s">
        <v>115</v>
      </c>
      <c r="J1052">
        <v>5000</v>
      </c>
      <c r="K1052">
        <v>199.70500000000001</v>
      </c>
      <c r="L1052">
        <v>25.036999999999999</v>
      </c>
      <c r="M1052">
        <v>9789.6849999999995</v>
      </c>
      <c r="N1052" t="s">
        <v>15</v>
      </c>
    </row>
    <row r="1053" spans="1:15" x14ac:dyDescent="0.2">
      <c r="A1053" t="s">
        <v>125</v>
      </c>
      <c r="B1053" t="s">
        <v>126</v>
      </c>
      <c r="C1053" t="s">
        <v>112</v>
      </c>
      <c r="D1053" t="s">
        <v>127</v>
      </c>
      <c r="E1053" t="s">
        <v>53</v>
      </c>
      <c r="F1053" t="s">
        <v>114</v>
      </c>
      <c r="G1053">
        <v>112323</v>
      </c>
      <c r="H1053" s="75">
        <v>41826</v>
      </c>
      <c r="I1053" t="s">
        <v>115</v>
      </c>
      <c r="J1053">
        <v>5000</v>
      </c>
      <c r="K1053">
        <v>197.57</v>
      </c>
      <c r="L1053">
        <v>25.307500000000001</v>
      </c>
      <c r="M1053">
        <v>9987.2549999999992</v>
      </c>
      <c r="N1053" t="s">
        <v>15</v>
      </c>
    </row>
    <row r="1054" spans="1:15" x14ac:dyDescent="0.2">
      <c r="A1054" t="s">
        <v>125</v>
      </c>
      <c r="B1054" t="s">
        <v>126</v>
      </c>
      <c r="C1054" t="s">
        <v>112</v>
      </c>
      <c r="D1054" t="s">
        <v>127</v>
      </c>
      <c r="E1054" t="s">
        <v>53</v>
      </c>
      <c r="F1054" t="s">
        <v>114</v>
      </c>
      <c r="G1054">
        <v>112323</v>
      </c>
      <c r="H1054" s="75">
        <v>41856</v>
      </c>
      <c r="I1054" t="s">
        <v>115</v>
      </c>
      <c r="J1054">
        <v>5000</v>
      </c>
      <c r="K1054">
        <v>198.339</v>
      </c>
      <c r="L1054">
        <v>25.209299999999999</v>
      </c>
      <c r="M1054">
        <v>10185.593999999999</v>
      </c>
      <c r="N1054" t="s">
        <v>15</v>
      </c>
    </row>
    <row r="1055" spans="1:15" x14ac:dyDescent="0.2">
      <c r="A1055" t="s">
        <v>125</v>
      </c>
      <c r="B1055" t="s">
        <v>126</v>
      </c>
      <c r="C1055" t="s">
        <v>112</v>
      </c>
      <c r="D1055" t="s">
        <v>127</v>
      </c>
      <c r="E1055" t="s">
        <v>53</v>
      </c>
      <c r="F1055" t="s">
        <v>114</v>
      </c>
      <c r="G1055">
        <v>112323</v>
      </c>
      <c r="H1055" s="75">
        <v>41856</v>
      </c>
      <c r="I1055" t="s">
        <v>25</v>
      </c>
      <c r="J1055">
        <v>-51354.42</v>
      </c>
      <c r="K1055">
        <v>-2037.1189999999999</v>
      </c>
      <c r="L1055">
        <v>25.209299999999999</v>
      </c>
      <c r="M1055">
        <v>8148.4750000000004</v>
      </c>
      <c r="N1055" t="s">
        <v>16</v>
      </c>
    </row>
    <row r="1056" spans="1:15" x14ac:dyDescent="0.2">
      <c r="A1056" t="s">
        <v>125</v>
      </c>
      <c r="B1056" t="s">
        <v>126</v>
      </c>
      <c r="C1056" t="s">
        <v>112</v>
      </c>
      <c r="D1056" t="s">
        <v>127</v>
      </c>
      <c r="E1056" t="s">
        <v>53</v>
      </c>
      <c r="F1056" t="s">
        <v>114</v>
      </c>
      <c r="G1056">
        <v>112323</v>
      </c>
      <c r="H1056" s="75">
        <v>41886</v>
      </c>
      <c r="I1056" t="s">
        <v>115</v>
      </c>
      <c r="J1056">
        <v>5000</v>
      </c>
      <c r="K1056">
        <v>198.97900000000001</v>
      </c>
      <c r="L1056">
        <v>25.128299999999999</v>
      </c>
      <c r="M1056">
        <v>8347.4539999999997</v>
      </c>
      <c r="N1056" t="s">
        <v>15</v>
      </c>
    </row>
    <row r="1057" spans="1:15" x14ac:dyDescent="0.2">
      <c r="A1057" t="s">
        <v>125</v>
      </c>
      <c r="B1057" t="s">
        <v>126</v>
      </c>
      <c r="C1057" t="s">
        <v>112</v>
      </c>
      <c r="D1057" t="s">
        <v>127</v>
      </c>
      <c r="E1057" t="s">
        <v>53</v>
      </c>
      <c r="F1057" t="s">
        <v>114</v>
      </c>
      <c r="G1057">
        <v>112323</v>
      </c>
      <c r="H1057" s="75">
        <v>41886</v>
      </c>
      <c r="I1057" t="s">
        <v>116</v>
      </c>
      <c r="J1057">
        <v>2.5</v>
      </c>
      <c r="K1057">
        <v>0</v>
      </c>
      <c r="M1057">
        <v>8347.4539999999997</v>
      </c>
      <c r="N1057" t="s">
        <v>17</v>
      </c>
    </row>
    <row r="1058" spans="1:15" x14ac:dyDescent="0.2">
      <c r="A1058" t="s">
        <v>125</v>
      </c>
      <c r="B1058" t="s">
        <v>126</v>
      </c>
      <c r="C1058" t="s">
        <v>112</v>
      </c>
      <c r="D1058" t="s">
        <v>127</v>
      </c>
      <c r="E1058" t="s">
        <v>53</v>
      </c>
      <c r="F1058" t="s">
        <v>114</v>
      </c>
      <c r="G1058">
        <v>112323</v>
      </c>
      <c r="H1058" s="75">
        <v>41916</v>
      </c>
      <c r="I1058" t="s">
        <v>115</v>
      </c>
      <c r="J1058">
        <v>5000</v>
      </c>
      <c r="K1058">
        <v>195.24199999999999</v>
      </c>
      <c r="L1058">
        <v>25.609300000000001</v>
      </c>
      <c r="M1058">
        <v>8542.6959999999999</v>
      </c>
      <c r="N1058" t="s">
        <v>15</v>
      </c>
    </row>
    <row r="1059" spans="1:15" x14ac:dyDescent="0.2">
      <c r="A1059" t="s">
        <v>125</v>
      </c>
      <c r="B1059" t="s">
        <v>126</v>
      </c>
      <c r="C1059" t="s">
        <v>112</v>
      </c>
      <c r="D1059" t="s">
        <v>127</v>
      </c>
      <c r="E1059" t="s">
        <v>53</v>
      </c>
      <c r="F1059" t="s">
        <v>114</v>
      </c>
      <c r="G1059">
        <v>112323</v>
      </c>
      <c r="H1059" s="75">
        <v>41946</v>
      </c>
      <c r="I1059" t="s">
        <v>115</v>
      </c>
      <c r="J1059">
        <v>5000</v>
      </c>
      <c r="K1059">
        <v>196.39400000000001</v>
      </c>
      <c r="L1059">
        <v>25.459099999999999</v>
      </c>
      <c r="M1059">
        <v>8739.0889999999999</v>
      </c>
      <c r="N1059" t="s">
        <v>15</v>
      </c>
    </row>
    <row r="1060" spans="1:15" x14ac:dyDescent="0.2">
      <c r="A1060" t="s">
        <v>125</v>
      </c>
      <c r="B1060" t="s">
        <v>126</v>
      </c>
      <c r="C1060" t="s">
        <v>112</v>
      </c>
      <c r="D1060" t="s">
        <v>127</v>
      </c>
      <c r="E1060" t="s">
        <v>53</v>
      </c>
      <c r="F1060" t="s">
        <v>114</v>
      </c>
      <c r="G1060">
        <v>112323</v>
      </c>
      <c r="H1060" s="75">
        <v>41946</v>
      </c>
      <c r="I1060" t="s">
        <v>118</v>
      </c>
      <c r="J1060">
        <v>4369.54</v>
      </c>
      <c r="K1060">
        <v>0</v>
      </c>
      <c r="M1060">
        <v>8739.0889999999999</v>
      </c>
      <c r="N1060" t="s">
        <v>19</v>
      </c>
      <c r="O1060">
        <v>4369.54</v>
      </c>
    </row>
    <row r="1061" spans="1:15" x14ac:dyDescent="0.2">
      <c r="A1061" t="s">
        <v>125</v>
      </c>
      <c r="B1061" t="s">
        <v>126</v>
      </c>
      <c r="C1061" t="s">
        <v>112</v>
      </c>
      <c r="D1061" t="s">
        <v>127</v>
      </c>
      <c r="E1061" t="s">
        <v>53</v>
      </c>
      <c r="F1061" t="s">
        <v>114</v>
      </c>
      <c r="G1061">
        <v>112323</v>
      </c>
      <c r="H1061" s="75">
        <v>41976</v>
      </c>
      <c r="I1061" t="s">
        <v>115</v>
      </c>
      <c r="J1061">
        <v>5000</v>
      </c>
      <c r="K1061">
        <v>197.83699999999999</v>
      </c>
      <c r="L1061">
        <v>25.273299999999999</v>
      </c>
      <c r="M1061">
        <v>8936.9259999999995</v>
      </c>
      <c r="N1061" t="s">
        <v>15</v>
      </c>
    </row>
    <row r="1062" spans="1:15" x14ac:dyDescent="0.2">
      <c r="A1062" t="s">
        <v>125</v>
      </c>
      <c r="B1062" t="s">
        <v>126</v>
      </c>
      <c r="C1062" t="s">
        <v>112</v>
      </c>
      <c r="D1062" t="s">
        <v>127</v>
      </c>
      <c r="E1062" t="s">
        <v>53</v>
      </c>
      <c r="F1062" t="s">
        <v>114</v>
      </c>
      <c r="G1062">
        <v>112323</v>
      </c>
      <c r="H1062" s="75">
        <v>42006</v>
      </c>
      <c r="I1062" t="s">
        <v>115</v>
      </c>
      <c r="J1062">
        <v>5000</v>
      </c>
      <c r="K1062">
        <v>194.328</v>
      </c>
      <c r="L1062">
        <v>25.729700000000001</v>
      </c>
      <c r="M1062">
        <v>9131.2540000000008</v>
      </c>
      <c r="N1062" t="s">
        <v>15</v>
      </c>
    </row>
    <row r="1063" spans="1:15" x14ac:dyDescent="0.2">
      <c r="A1063" t="s">
        <v>125</v>
      </c>
      <c r="B1063" t="s">
        <v>126</v>
      </c>
      <c r="C1063" t="s">
        <v>112</v>
      </c>
      <c r="D1063" t="s">
        <v>127</v>
      </c>
      <c r="E1063" t="s">
        <v>53</v>
      </c>
      <c r="F1063" t="s">
        <v>114</v>
      </c>
      <c r="G1063">
        <v>112323</v>
      </c>
      <c r="H1063" s="75">
        <v>42006</v>
      </c>
      <c r="I1063" t="s">
        <v>117</v>
      </c>
      <c r="J1063">
        <v>2.5</v>
      </c>
      <c r="K1063">
        <v>0</v>
      </c>
      <c r="M1063">
        <v>9131.2540000000008</v>
      </c>
      <c r="N1063" t="s">
        <v>46</v>
      </c>
    </row>
    <row r="1064" spans="1:15" x14ac:dyDescent="0.2">
      <c r="A1064" t="s">
        <v>125</v>
      </c>
      <c r="B1064" t="s">
        <v>126</v>
      </c>
      <c r="C1064" t="s">
        <v>112</v>
      </c>
      <c r="D1064" t="s">
        <v>127</v>
      </c>
      <c r="E1064" t="s">
        <v>53</v>
      </c>
      <c r="F1064" t="s">
        <v>114</v>
      </c>
      <c r="G1064">
        <v>112323</v>
      </c>
      <c r="H1064" s="75">
        <v>42036</v>
      </c>
      <c r="I1064" t="s">
        <v>115</v>
      </c>
      <c r="J1064">
        <v>5000</v>
      </c>
      <c r="K1064">
        <v>190.98</v>
      </c>
      <c r="L1064">
        <v>26.180700000000002</v>
      </c>
      <c r="M1064">
        <v>9322.2350000000006</v>
      </c>
      <c r="N1064" t="s">
        <v>15</v>
      </c>
    </row>
    <row r="1065" spans="1:15" x14ac:dyDescent="0.2">
      <c r="A1065" t="s">
        <v>125</v>
      </c>
      <c r="B1065" t="s">
        <v>126</v>
      </c>
      <c r="C1065" t="s">
        <v>112</v>
      </c>
      <c r="D1065" t="s">
        <v>127</v>
      </c>
      <c r="E1065" t="s">
        <v>53</v>
      </c>
      <c r="F1065" t="s">
        <v>114</v>
      </c>
      <c r="G1065">
        <v>112323</v>
      </c>
      <c r="H1065" s="75">
        <v>42066</v>
      </c>
      <c r="I1065" t="s">
        <v>115</v>
      </c>
      <c r="J1065">
        <v>5000</v>
      </c>
      <c r="K1065">
        <v>185.92400000000001</v>
      </c>
      <c r="L1065">
        <v>26.892700000000001</v>
      </c>
      <c r="M1065">
        <v>9508.1579999999994</v>
      </c>
      <c r="N1065" t="s">
        <v>15</v>
      </c>
    </row>
    <row r="1066" spans="1:15" x14ac:dyDescent="0.2">
      <c r="A1066" t="s">
        <v>125</v>
      </c>
      <c r="B1066" t="s">
        <v>126</v>
      </c>
      <c r="C1066" t="s">
        <v>112</v>
      </c>
      <c r="D1066" t="s">
        <v>127</v>
      </c>
      <c r="E1066" t="s">
        <v>53</v>
      </c>
      <c r="F1066" t="s">
        <v>114</v>
      </c>
      <c r="G1066">
        <v>112323</v>
      </c>
      <c r="H1066" s="75">
        <v>42096</v>
      </c>
      <c r="I1066" t="s">
        <v>115</v>
      </c>
      <c r="J1066">
        <v>5000</v>
      </c>
      <c r="K1066">
        <v>182.61600000000001</v>
      </c>
      <c r="L1066">
        <v>27.379899999999999</v>
      </c>
      <c r="M1066">
        <v>9690.7739999999994</v>
      </c>
      <c r="N1066" t="s">
        <v>15</v>
      </c>
    </row>
    <row r="1067" spans="1:15" x14ac:dyDescent="0.2">
      <c r="A1067" t="s">
        <v>125</v>
      </c>
      <c r="B1067" t="s">
        <v>126</v>
      </c>
      <c r="C1067" t="s">
        <v>112</v>
      </c>
      <c r="D1067" t="s">
        <v>127</v>
      </c>
      <c r="E1067" t="s">
        <v>53</v>
      </c>
      <c r="F1067" t="s">
        <v>114</v>
      </c>
      <c r="G1067">
        <v>112323</v>
      </c>
      <c r="H1067" s="75">
        <v>42126</v>
      </c>
      <c r="I1067" t="s">
        <v>115</v>
      </c>
      <c r="J1067">
        <v>5000</v>
      </c>
      <c r="K1067">
        <v>183.108</v>
      </c>
      <c r="L1067">
        <v>27.3062</v>
      </c>
      <c r="M1067">
        <v>9873.8829999999998</v>
      </c>
      <c r="N1067" t="s">
        <v>15</v>
      </c>
    </row>
    <row r="1068" spans="1:15" x14ac:dyDescent="0.2">
      <c r="A1068" t="s">
        <v>125</v>
      </c>
      <c r="B1068" t="s">
        <v>126</v>
      </c>
      <c r="C1068" t="s">
        <v>112</v>
      </c>
      <c r="D1068" t="s">
        <v>127</v>
      </c>
      <c r="E1068" t="s">
        <v>53</v>
      </c>
      <c r="F1068" t="s">
        <v>114</v>
      </c>
      <c r="G1068">
        <v>112323</v>
      </c>
      <c r="H1068" s="75">
        <v>42126</v>
      </c>
      <c r="I1068" t="s">
        <v>117</v>
      </c>
      <c r="J1068">
        <v>2.5</v>
      </c>
      <c r="K1068">
        <v>0</v>
      </c>
      <c r="M1068">
        <v>9873.8829999999998</v>
      </c>
      <c r="N1068" t="s">
        <v>46</v>
      </c>
    </row>
    <row r="1069" spans="1:15" x14ac:dyDescent="0.2">
      <c r="A1069" t="s">
        <v>125</v>
      </c>
      <c r="B1069" t="s">
        <v>126</v>
      </c>
      <c r="C1069" t="s">
        <v>112</v>
      </c>
      <c r="D1069" t="s">
        <v>127</v>
      </c>
      <c r="E1069" t="s">
        <v>53</v>
      </c>
      <c r="F1069" t="s">
        <v>114</v>
      </c>
      <c r="G1069">
        <v>112323</v>
      </c>
      <c r="H1069" s="75">
        <v>42126</v>
      </c>
      <c r="I1069" t="s">
        <v>118</v>
      </c>
      <c r="J1069">
        <v>4936.9399999999996</v>
      </c>
      <c r="K1069">
        <v>0</v>
      </c>
      <c r="M1069">
        <v>9873.8829999999998</v>
      </c>
      <c r="N1069" t="s">
        <v>19</v>
      </c>
      <c r="O1069">
        <v>4936.9399999999996</v>
      </c>
    </row>
    <row r="1070" spans="1:15" x14ac:dyDescent="0.2">
      <c r="A1070" t="s">
        <v>125</v>
      </c>
      <c r="B1070" t="s">
        <v>126</v>
      </c>
      <c r="C1070" t="s">
        <v>112</v>
      </c>
      <c r="D1070" t="s">
        <v>127</v>
      </c>
      <c r="E1070" t="s">
        <v>53</v>
      </c>
      <c r="F1070" t="s">
        <v>114</v>
      </c>
      <c r="G1070">
        <v>112323</v>
      </c>
      <c r="H1070" s="75">
        <v>42156</v>
      </c>
      <c r="I1070" t="s">
        <v>115</v>
      </c>
      <c r="J1070">
        <v>5000</v>
      </c>
      <c r="K1070">
        <v>179.79900000000001</v>
      </c>
      <c r="L1070">
        <v>27.808900000000001</v>
      </c>
      <c r="M1070">
        <v>10053.681</v>
      </c>
      <c r="N1070" t="s">
        <v>15</v>
      </c>
    </row>
    <row r="1071" spans="1:15" x14ac:dyDescent="0.2">
      <c r="A1071" t="s">
        <v>125</v>
      </c>
      <c r="B1071" t="s">
        <v>126</v>
      </c>
      <c r="C1071" t="s">
        <v>112</v>
      </c>
      <c r="D1071" t="s">
        <v>127</v>
      </c>
      <c r="E1071" t="s">
        <v>53</v>
      </c>
      <c r="F1071" t="s">
        <v>114</v>
      </c>
      <c r="G1071">
        <v>112323</v>
      </c>
      <c r="H1071" s="75">
        <v>42156</v>
      </c>
      <c r="I1071" t="s">
        <v>117</v>
      </c>
      <c r="J1071">
        <v>2.5</v>
      </c>
      <c r="K1071">
        <v>0</v>
      </c>
      <c r="M1071">
        <v>10053.681</v>
      </c>
      <c r="N1071" t="s">
        <v>46</v>
      </c>
    </row>
    <row r="1072" spans="1:15" x14ac:dyDescent="0.2">
      <c r="A1072" t="s">
        <v>125</v>
      </c>
      <c r="B1072" t="s">
        <v>126</v>
      </c>
      <c r="C1072" t="s">
        <v>112</v>
      </c>
      <c r="D1072" t="s">
        <v>127</v>
      </c>
      <c r="E1072" t="s">
        <v>53</v>
      </c>
      <c r="F1072" t="s">
        <v>114</v>
      </c>
      <c r="G1072">
        <v>112323</v>
      </c>
      <c r="H1072" s="75">
        <v>42186</v>
      </c>
      <c r="I1072" t="s">
        <v>115</v>
      </c>
      <c r="J1072">
        <v>5000</v>
      </c>
      <c r="K1072">
        <v>174.96299999999999</v>
      </c>
      <c r="L1072">
        <v>28.577500000000001</v>
      </c>
      <c r="M1072">
        <v>10228.644</v>
      </c>
      <c r="N1072" t="s">
        <v>15</v>
      </c>
    </row>
    <row r="1073" spans="1:15" x14ac:dyDescent="0.2">
      <c r="A1073" t="s">
        <v>125</v>
      </c>
      <c r="B1073" t="s">
        <v>126</v>
      </c>
      <c r="C1073" t="s">
        <v>112</v>
      </c>
      <c r="D1073" t="s">
        <v>127</v>
      </c>
      <c r="E1073" t="s">
        <v>53</v>
      </c>
      <c r="F1073" t="s">
        <v>114</v>
      </c>
      <c r="G1073">
        <v>112323</v>
      </c>
      <c r="H1073" s="75">
        <v>42216</v>
      </c>
      <c r="I1073" t="s">
        <v>115</v>
      </c>
      <c r="J1073">
        <v>5000</v>
      </c>
      <c r="K1073">
        <v>176.01300000000001</v>
      </c>
      <c r="L1073">
        <v>28.407</v>
      </c>
      <c r="M1073">
        <v>10404.656999999999</v>
      </c>
      <c r="N1073" t="s">
        <v>15</v>
      </c>
    </row>
    <row r="1074" spans="1:15" x14ac:dyDescent="0.2">
      <c r="A1074" t="s">
        <v>125</v>
      </c>
      <c r="B1074" t="s">
        <v>126</v>
      </c>
      <c r="C1074" t="s">
        <v>112</v>
      </c>
      <c r="D1074" t="s">
        <v>127</v>
      </c>
      <c r="E1074" t="s">
        <v>53</v>
      </c>
      <c r="F1074" t="s">
        <v>114</v>
      </c>
      <c r="G1074">
        <v>112323</v>
      </c>
      <c r="H1074" s="75">
        <v>42216</v>
      </c>
      <c r="I1074" t="s">
        <v>117</v>
      </c>
      <c r="J1074">
        <v>2.5</v>
      </c>
      <c r="K1074">
        <v>0</v>
      </c>
      <c r="M1074">
        <v>10404.656999999999</v>
      </c>
      <c r="N1074" t="s">
        <v>46</v>
      </c>
    </row>
    <row r="1075" spans="1:15" x14ac:dyDescent="0.2">
      <c r="A1075" t="s">
        <v>125</v>
      </c>
      <c r="B1075" t="s">
        <v>126</v>
      </c>
      <c r="C1075" t="s">
        <v>112</v>
      </c>
      <c r="D1075" t="s">
        <v>127</v>
      </c>
      <c r="E1075" t="s">
        <v>53</v>
      </c>
      <c r="F1075" t="s">
        <v>114</v>
      </c>
      <c r="G1075">
        <v>112323</v>
      </c>
      <c r="H1075" s="75">
        <v>42246</v>
      </c>
      <c r="I1075" t="s">
        <v>115</v>
      </c>
      <c r="J1075">
        <v>5000</v>
      </c>
      <c r="K1075">
        <v>179.54400000000001</v>
      </c>
      <c r="L1075">
        <v>27.848299999999998</v>
      </c>
      <c r="M1075">
        <v>10584.200999999999</v>
      </c>
      <c r="N1075" t="s">
        <v>15</v>
      </c>
    </row>
    <row r="1076" spans="1:15" x14ac:dyDescent="0.2">
      <c r="A1076" t="s">
        <v>125</v>
      </c>
      <c r="B1076" t="s">
        <v>126</v>
      </c>
      <c r="C1076" t="s">
        <v>112</v>
      </c>
      <c r="D1076" t="s">
        <v>127</v>
      </c>
      <c r="E1076" t="s">
        <v>53</v>
      </c>
      <c r="F1076" t="s">
        <v>114</v>
      </c>
      <c r="G1076">
        <v>112323</v>
      </c>
      <c r="H1076" s="75">
        <v>42276</v>
      </c>
      <c r="I1076" t="s">
        <v>115</v>
      </c>
      <c r="J1076">
        <v>5000</v>
      </c>
      <c r="K1076">
        <v>182.34100000000001</v>
      </c>
      <c r="L1076">
        <v>27.421199999999999</v>
      </c>
      <c r="M1076">
        <v>10766.541999999999</v>
      </c>
      <c r="N1076" t="s">
        <v>15</v>
      </c>
    </row>
    <row r="1077" spans="1:15" x14ac:dyDescent="0.2">
      <c r="A1077" t="s">
        <v>125</v>
      </c>
      <c r="B1077" t="s">
        <v>126</v>
      </c>
      <c r="C1077" t="s">
        <v>112</v>
      </c>
      <c r="D1077" t="s">
        <v>127</v>
      </c>
      <c r="E1077" t="s">
        <v>53</v>
      </c>
      <c r="F1077" t="s">
        <v>114</v>
      </c>
      <c r="G1077">
        <v>112323</v>
      </c>
      <c r="H1077" s="75">
        <v>42276</v>
      </c>
      <c r="I1077" t="s">
        <v>118</v>
      </c>
      <c r="J1077">
        <v>5383.27</v>
      </c>
      <c r="K1077">
        <v>0</v>
      </c>
      <c r="M1077">
        <v>10766.541999999999</v>
      </c>
      <c r="N1077" t="s">
        <v>19</v>
      </c>
      <c r="O1077">
        <v>5383.27</v>
      </c>
    </row>
    <row r="1078" spans="1:15" x14ac:dyDescent="0.2">
      <c r="A1078" t="s">
        <v>125</v>
      </c>
      <c r="B1078" t="s">
        <v>126</v>
      </c>
      <c r="C1078" t="s">
        <v>112</v>
      </c>
      <c r="D1078" t="s">
        <v>127</v>
      </c>
      <c r="E1078" t="s">
        <v>53</v>
      </c>
      <c r="F1078" t="s">
        <v>114</v>
      </c>
      <c r="G1078">
        <v>112323</v>
      </c>
      <c r="H1078" s="75">
        <v>42306</v>
      </c>
      <c r="I1078" t="s">
        <v>115</v>
      </c>
      <c r="J1078">
        <v>5000</v>
      </c>
      <c r="K1078">
        <v>182.64099999999999</v>
      </c>
      <c r="L1078">
        <v>27.376200000000001</v>
      </c>
      <c r="M1078">
        <v>10949.183000000001</v>
      </c>
      <c r="N1078" t="s">
        <v>15</v>
      </c>
    </row>
    <row r="1079" spans="1:15" x14ac:dyDescent="0.2">
      <c r="A1079" t="s">
        <v>125</v>
      </c>
      <c r="B1079" t="s">
        <v>126</v>
      </c>
      <c r="C1079" t="s">
        <v>112</v>
      </c>
      <c r="D1079" t="s">
        <v>127</v>
      </c>
      <c r="E1079" t="s">
        <v>53</v>
      </c>
      <c r="F1079" t="s">
        <v>114</v>
      </c>
      <c r="G1079">
        <v>112323</v>
      </c>
      <c r="H1079" s="75">
        <v>42336</v>
      </c>
      <c r="I1079" t="s">
        <v>115</v>
      </c>
      <c r="J1079">
        <v>5000</v>
      </c>
      <c r="K1079">
        <v>180.518</v>
      </c>
      <c r="L1079">
        <v>27.6981</v>
      </c>
      <c r="M1079">
        <v>11129.7</v>
      </c>
      <c r="N1079" t="s">
        <v>15</v>
      </c>
    </row>
    <row r="1080" spans="1:15" x14ac:dyDescent="0.2">
      <c r="A1080" t="s">
        <v>125</v>
      </c>
      <c r="B1080" t="s">
        <v>126</v>
      </c>
      <c r="C1080" t="s">
        <v>112</v>
      </c>
      <c r="D1080" t="s">
        <v>127</v>
      </c>
      <c r="E1080" t="s">
        <v>53</v>
      </c>
      <c r="F1080" t="s">
        <v>114</v>
      </c>
      <c r="G1080">
        <v>112323</v>
      </c>
      <c r="H1080" s="75">
        <v>42366</v>
      </c>
      <c r="I1080" t="s">
        <v>115</v>
      </c>
      <c r="J1080">
        <v>5000</v>
      </c>
      <c r="K1080">
        <v>175.41499999999999</v>
      </c>
      <c r="L1080">
        <v>28.503799999999998</v>
      </c>
      <c r="M1080">
        <v>11305.115</v>
      </c>
      <c r="N1080" t="s">
        <v>15</v>
      </c>
    </row>
    <row r="1081" spans="1:15" x14ac:dyDescent="0.2">
      <c r="A1081" t="s">
        <v>125</v>
      </c>
      <c r="B1081" t="s">
        <v>126</v>
      </c>
      <c r="C1081" t="s">
        <v>112</v>
      </c>
      <c r="D1081" t="s">
        <v>127</v>
      </c>
      <c r="E1081" t="s">
        <v>53</v>
      </c>
      <c r="F1081" t="s">
        <v>114</v>
      </c>
      <c r="G1081">
        <v>112323</v>
      </c>
      <c r="H1081" s="75">
        <v>42396</v>
      </c>
      <c r="I1081" t="s">
        <v>115</v>
      </c>
      <c r="J1081">
        <v>5000</v>
      </c>
      <c r="K1081">
        <v>176.15600000000001</v>
      </c>
      <c r="L1081">
        <v>28.383900000000001</v>
      </c>
      <c r="M1081">
        <v>11481.271000000001</v>
      </c>
      <c r="N1081" t="s">
        <v>15</v>
      </c>
    </row>
    <row r="1082" spans="1:15" x14ac:dyDescent="0.2">
      <c r="A1082" t="s">
        <v>125</v>
      </c>
      <c r="B1082" t="s">
        <v>126</v>
      </c>
      <c r="C1082" t="s">
        <v>112</v>
      </c>
      <c r="D1082" t="s">
        <v>127</v>
      </c>
      <c r="E1082" t="s">
        <v>53</v>
      </c>
      <c r="F1082" t="s">
        <v>114</v>
      </c>
      <c r="G1082">
        <v>112323</v>
      </c>
      <c r="H1082" s="75">
        <v>42426</v>
      </c>
      <c r="I1082" t="s">
        <v>115</v>
      </c>
      <c r="J1082">
        <v>5000</v>
      </c>
      <c r="K1082">
        <v>175.37299999999999</v>
      </c>
      <c r="L1082">
        <v>28.5106</v>
      </c>
      <c r="M1082">
        <v>11656.645</v>
      </c>
      <c r="N1082" t="s">
        <v>15</v>
      </c>
    </row>
    <row r="1083" spans="1:15" x14ac:dyDescent="0.2">
      <c r="A1083" t="s">
        <v>125</v>
      </c>
      <c r="B1083" t="s">
        <v>126</v>
      </c>
      <c r="C1083" t="s">
        <v>112</v>
      </c>
      <c r="D1083" t="s">
        <v>127</v>
      </c>
      <c r="E1083" t="s">
        <v>53</v>
      </c>
      <c r="F1083" t="s">
        <v>114</v>
      </c>
      <c r="G1083">
        <v>112323</v>
      </c>
      <c r="H1083" s="75">
        <v>42426</v>
      </c>
      <c r="I1083" t="s">
        <v>116</v>
      </c>
      <c r="J1083">
        <v>2.5</v>
      </c>
      <c r="K1083">
        <v>0</v>
      </c>
      <c r="M1083">
        <v>11656.645</v>
      </c>
      <c r="N1083" t="s">
        <v>17</v>
      </c>
    </row>
    <row r="1084" spans="1:15" x14ac:dyDescent="0.2">
      <c r="A1084" t="s">
        <v>125</v>
      </c>
      <c r="B1084" t="s">
        <v>126</v>
      </c>
      <c r="C1084" t="s">
        <v>112</v>
      </c>
      <c r="D1084" t="s">
        <v>127</v>
      </c>
      <c r="E1084" t="s">
        <v>53</v>
      </c>
      <c r="F1084" t="s">
        <v>114</v>
      </c>
      <c r="G1084">
        <v>112323</v>
      </c>
      <c r="H1084" s="75">
        <v>42456</v>
      </c>
      <c r="I1084" t="s">
        <v>115</v>
      </c>
      <c r="J1084">
        <v>5000</v>
      </c>
      <c r="K1084">
        <v>175.065</v>
      </c>
      <c r="L1084">
        <v>28.5608</v>
      </c>
      <c r="M1084">
        <v>11831.71</v>
      </c>
      <c r="N1084" t="s">
        <v>15</v>
      </c>
    </row>
    <row r="1085" spans="1:15" x14ac:dyDescent="0.2">
      <c r="A1085" t="s">
        <v>125</v>
      </c>
      <c r="B1085" t="s">
        <v>126</v>
      </c>
      <c r="C1085" t="s">
        <v>112</v>
      </c>
      <c r="D1085" t="s">
        <v>127</v>
      </c>
      <c r="E1085" t="s">
        <v>53</v>
      </c>
      <c r="F1085" t="s">
        <v>114</v>
      </c>
      <c r="G1085">
        <v>112323</v>
      </c>
      <c r="H1085" s="75">
        <v>42486</v>
      </c>
      <c r="I1085" t="s">
        <v>115</v>
      </c>
      <c r="J1085">
        <v>5000</v>
      </c>
      <c r="K1085">
        <v>174.47399999999999</v>
      </c>
      <c r="L1085">
        <v>28.657499999999999</v>
      </c>
      <c r="M1085">
        <v>12006.183999999999</v>
      </c>
      <c r="N1085" t="s">
        <v>15</v>
      </c>
    </row>
    <row r="1086" spans="1:15" x14ac:dyDescent="0.2">
      <c r="A1086" t="s">
        <v>125</v>
      </c>
      <c r="B1086" t="s">
        <v>126</v>
      </c>
      <c r="C1086" t="s">
        <v>112</v>
      </c>
      <c r="D1086" t="s">
        <v>127</v>
      </c>
      <c r="E1086" t="s">
        <v>53</v>
      </c>
      <c r="F1086" t="s">
        <v>114</v>
      </c>
      <c r="G1086">
        <v>112323</v>
      </c>
      <c r="H1086" s="75">
        <v>42486</v>
      </c>
      <c r="I1086" t="s">
        <v>116</v>
      </c>
      <c r="J1086">
        <v>2.5</v>
      </c>
      <c r="K1086">
        <v>0</v>
      </c>
      <c r="M1086">
        <v>12006.183999999999</v>
      </c>
      <c r="N1086" t="s">
        <v>17</v>
      </c>
    </row>
    <row r="1087" spans="1:15" x14ac:dyDescent="0.2">
      <c r="A1087" t="s">
        <v>125</v>
      </c>
      <c r="B1087" t="s">
        <v>126</v>
      </c>
      <c r="C1087" t="s">
        <v>112</v>
      </c>
      <c r="D1087" t="s">
        <v>127</v>
      </c>
      <c r="E1087" t="s">
        <v>53</v>
      </c>
      <c r="F1087" t="s">
        <v>114</v>
      </c>
      <c r="G1087">
        <v>112323</v>
      </c>
      <c r="H1087" s="75">
        <v>42516</v>
      </c>
      <c r="I1087" t="s">
        <v>115</v>
      </c>
      <c r="J1087">
        <v>5000</v>
      </c>
      <c r="K1087">
        <v>171.57900000000001</v>
      </c>
      <c r="L1087">
        <v>29.141100000000002</v>
      </c>
      <c r="M1087">
        <v>12177.763000000001</v>
      </c>
      <c r="N1087" t="s">
        <v>15</v>
      </c>
    </row>
    <row r="1088" spans="1:15" x14ac:dyDescent="0.2">
      <c r="A1088" t="s">
        <v>125</v>
      </c>
      <c r="B1088" t="s">
        <v>126</v>
      </c>
      <c r="C1088" t="s">
        <v>112</v>
      </c>
      <c r="D1088" t="s">
        <v>127</v>
      </c>
      <c r="E1088" t="s">
        <v>53</v>
      </c>
      <c r="F1088" t="s">
        <v>114</v>
      </c>
      <c r="G1088">
        <v>112323</v>
      </c>
      <c r="H1088" s="75">
        <v>42546</v>
      </c>
      <c r="I1088" t="s">
        <v>115</v>
      </c>
      <c r="J1088">
        <v>5000</v>
      </c>
      <c r="K1088">
        <v>171.77799999999999</v>
      </c>
      <c r="L1088">
        <v>29.107299999999999</v>
      </c>
      <c r="M1088">
        <v>12349.540999999999</v>
      </c>
      <c r="N1088" t="s">
        <v>15</v>
      </c>
    </row>
    <row r="1089" spans="1:15" x14ac:dyDescent="0.2">
      <c r="A1089" t="s">
        <v>125</v>
      </c>
      <c r="B1089" t="s">
        <v>126</v>
      </c>
      <c r="C1089" t="s">
        <v>112</v>
      </c>
      <c r="D1089" t="s">
        <v>127</v>
      </c>
      <c r="E1089" t="s">
        <v>53</v>
      </c>
      <c r="F1089" t="s">
        <v>114</v>
      </c>
      <c r="G1089">
        <v>112323</v>
      </c>
      <c r="H1089" s="75">
        <v>42576</v>
      </c>
      <c r="I1089" t="s">
        <v>115</v>
      </c>
      <c r="J1089">
        <v>5000</v>
      </c>
      <c r="K1089">
        <v>170.238</v>
      </c>
      <c r="L1089">
        <v>29.370699999999999</v>
      </c>
      <c r="M1089">
        <v>12519.779</v>
      </c>
      <c r="N1089" t="s">
        <v>15</v>
      </c>
    </row>
    <row r="1090" spans="1:15" x14ac:dyDescent="0.2">
      <c r="A1090" t="s">
        <v>125</v>
      </c>
      <c r="B1090" t="s">
        <v>126</v>
      </c>
      <c r="C1090" t="s">
        <v>112</v>
      </c>
      <c r="D1090" t="s">
        <v>127</v>
      </c>
      <c r="E1090" t="s">
        <v>53</v>
      </c>
      <c r="F1090" t="s">
        <v>114</v>
      </c>
      <c r="G1090">
        <v>112323</v>
      </c>
      <c r="H1090" s="75">
        <v>42606</v>
      </c>
      <c r="I1090" t="s">
        <v>115</v>
      </c>
      <c r="J1090">
        <v>5000</v>
      </c>
      <c r="K1090">
        <v>169.56200000000001</v>
      </c>
      <c r="L1090">
        <v>29.4878</v>
      </c>
      <c r="M1090">
        <v>12689.341</v>
      </c>
      <c r="N1090" t="s">
        <v>15</v>
      </c>
    </row>
    <row r="1091" spans="1:15" x14ac:dyDescent="0.2">
      <c r="A1091" t="s">
        <v>125</v>
      </c>
      <c r="B1091" t="s">
        <v>126</v>
      </c>
      <c r="C1091" t="s">
        <v>112</v>
      </c>
      <c r="D1091" t="s">
        <v>127</v>
      </c>
      <c r="E1091" t="s">
        <v>53</v>
      </c>
      <c r="F1091" t="s">
        <v>114</v>
      </c>
      <c r="G1091">
        <v>112323</v>
      </c>
      <c r="H1091" s="75">
        <v>42636</v>
      </c>
      <c r="I1091" t="s">
        <v>115</v>
      </c>
      <c r="J1091">
        <v>5000</v>
      </c>
      <c r="K1091">
        <v>167.23099999999999</v>
      </c>
      <c r="L1091">
        <v>29.898700000000002</v>
      </c>
      <c r="M1091">
        <v>12856.572</v>
      </c>
      <c r="N1091" t="s">
        <v>15</v>
      </c>
    </row>
    <row r="1092" spans="1:15" x14ac:dyDescent="0.2">
      <c r="A1092" t="s">
        <v>125</v>
      </c>
      <c r="B1092" t="s">
        <v>126</v>
      </c>
      <c r="C1092" t="s">
        <v>112</v>
      </c>
      <c r="D1092" t="s">
        <v>127</v>
      </c>
      <c r="E1092" t="s">
        <v>53</v>
      </c>
      <c r="F1092" t="s">
        <v>114</v>
      </c>
      <c r="G1092">
        <v>112323</v>
      </c>
      <c r="H1092" s="75">
        <v>42636</v>
      </c>
      <c r="I1092" t="s">
        <v>118</v>
      </c>
      <c r="J1092">
        <v>6428.29</v>
      </c>
      <c r="K1092">
        <v>0</v>
      </c>
      <c r="M1092">
        <v>12856.572</v>
      </c>
      <c r="N1092" t="s">
        <v>19</v>
      </c>
      <c r="O1092">
        <v>6428.29</v>
      </c>
    </row>
    <row r="1093" spans="1:15" x14ac:dyDescent="0.2">
      <c r="A1093" t="s">
        <v>125</v>
      </c>
      <c r="B1093" t="s">
        <v>126</v>
      </c>
      <c r="C1093" t="s">
        <v>112</v>
      </c>
      <c r="D1093" t="s">
        <v>127</v>
      </c>
      <c r="E1093" t="s">
        <v>53</v>
      </c>
      <c r="F1093" t="s">
        <v>114</v>
      </c>
      <c r="G1093">
        <v>112323</v>
      </c>
      <c r="H1093" s="75">
        <v>42666</v>
      </c>
      <c r="I1093" t="s">
        <v>115</v>
      </c>
      <c r="J1093">
        <v>5000</v>
      </c>
      <c r="K1093">
        <v>170.05199999999999</v>
      </c>
      <c r="L1093">
        <v>29.402699999999999</v>
      </c>
      <c r="M1093">
        <v>13026.624</v>
      </c>
      <c r="N1093" t="s">
        <v>15</v>
      </c>
    </row>
    <row r="1094" spans="1:15" x14ac:dyDescent="0.2">
      <c r="A1094" t="s">
        <v>125</v>
      </c>
      <c r="B1094" t="s">
        <v>126</v>
      </c>
      <c r="C1094" t="s">
        <v>112</v>
      </c>
      <c r="D1094" t="s">
        <v>127</v>
      </c>
      <c r="E1094" t="s">
        <v>53</v>
      </c>
      <c r="F1094" t="s">
        <v>114</v>
      </c>
      <c r="G1094">
        <v>112323</v>
      </c>
      <c r="H1094" s="75">
        <v>42696</v>
      </c>
      <c r="I1094" t="s">
        <v>115</v>
      </c>
      <c r="J1094">
        <v>5000</v>
      </c>
      <c r="K1094">
        <v>166.291</v>
      </c>
      <c r="L1094">
        <v>30.067699999999999</v>
      </c>
      <c r="M1094">
        <v>13192.915999999999</v>
      </c>
      <c r="N1094" t="s">
        <v>15</v>
      </c>
    </row>
    <row r="1095" spans="1:15" x14ac:dyDescent="0.2">
      <c r="A1095" t="s">
        <v>125</v>
      </c>
      <c r="B1095" t="s">
        <v>126</v>
      </c>
      <c r="C1095" t="s">
        <v>112</v>
      </c>
      <c r="D1095" t="s">
        <v>127</v>
      </c>
      <c r="E1095" t="s">
        <v>53</v>
      </c>
      <c r="F1095" t="s">
        <v>114</v>
      </c>
      <c r="G1095">
        <v>112323</v>
      </c>
      <c r="H1095" s="75">
        <v>42726</v>
      </c>
      <c r="I1095" t="s">
        <v>115</v>
      </c>
      <c r="J1095">
        <v>5000</v>
      </c>
      <c r="K1095">
        <v>163.143</v>
      </c>
      <c r="L1095">
        <v>30.6479</v>
      </c>
      <c r="M1095">
        <v>13356.058999999999</v>
      </c>
      <c r="N1095" t="s">
        <v>15</v>
      </c>
    </row>
    <row r="1096" spans="1:15" x14ac:dyDescent="0.2">
      <c r="A1096" t="s">
        <v>125</v>
      </c>
      <c r="B1096" t="s">
        <v>126</v>
      </c>
      <c r="C1096" t="s">
        <v>112</v>
      </c>
      <c r="D1096" t="s">
        <v>127</v>
      </c>
      <c r="E1096" t="s">
        <v>53</v>
      </c>
      <c r="F1096" t="s">
        <v>114</v>
      </c>
      <c r="G1096">
        <v>112323</v>
      </c>
      <c r="H1096" s="75">
        <v>42756</v>
      </c>
      <c r="I1096" t="s">
        <v>115</v>
      </c>
      <c r="J1096">
        <v>5000</v>
      </c>
      <c r="K1096">
        <v>159.86699999999999</v>
      </c>
      <c r="L1096">
        <v>31.2759</v>
      </c>
      <c r="M1096">
        <v>13515.925999999999</v>
      </c>
      <c r="N1096" t="s">
        <v>15</v>
      </c>
    </row>
    <row r="1097" spans="1:15" x14ac:dyDescent="0.2">
      <c r="A1097" t="s">
        <v>125</v>
      </c>
      <c r="B1097" t="s">
        <v>126</v>
      </c>
      <c r="C1097" t="s">
        <v>112</v>
      </c>
      <c r="D1097" t="s">
        <v>127</v>
      </c>
      <c r="E1097" t="s">
        <v>53</v>
      </c>
      <c r="F1097" t="s">
        <v>114</v>
      </c>
      <c r="G1097">
        <v>112323</v>
      </c>
      <c r="H1097" s="75">
        <v>42756</v>
      </c>
      <c r="I1097" t="s">
        <v>117</v>
      </c>
      <c r="J1097">
        <v>2.5</v>
      </c>
      <c r="K1097">
        <v>0</v>
      </c>
      <c r="M1097">
        <v>13515.925999999999</v>
      </c>
      <c r="N1097" t="s">
        <v>46</v>
      </c>
    </row>
    <row r="1098" spans="1:15" x14ac:dyDescent="0.2">
      <c r="A1098" t="s">
        <v>125</v>
      </c>
      <c r="B1098" t="s">
        <v>126</v>
      </c>
      <c r="C1098" t="s">
        <v>112</v>
      </c>
      <c r="D1098" t="s">
        <v>127</v>
      </c>
      <c r="E1098" t="s">
        <v>53</v>
      </c>
      <c r="F1098" t="s">
        <v>114</v>
      </c>
      <c r="G1098">
        <v>112323</v>
      </c>
      <c r="H1098" s="75">
        <v>42786</v>
      </c>
      <c r="I1098" t="s">
        <v>115</v>
      </c>
      <c r="J1098">
        <v>5000</v>
      </c>
      <c r="K1098">
        <v>156.93</v>
      </c>
      <c r="L1098">
        <v>31.8613</v>
      </c>
      <c r="M1098">
        <v>13672.856</v>
      </c>
      <c r="N1098" t="s">
        <v>15</v>
      </c>
    </row>
    <row r="1099" spans="1:15" x14ac:dyDescent="0.2">
      <c r="A1099" t="s">
        <v>125</v>
      </c>
      <c r="B1099" t="s">
        <v>126</v>
      </c>
      <c r="C1099" t="s">
        <v>112</v>
      </c>
      <c r="D1099" t="s">
        <v>127</v>
      </c>
      <c r="E1099" t="s">
        <v>53</v>
      </c>
      <c r="F1099" t="s">
        <v>114</v>
      </c>
      <c r="G1099">
        <v>112323</v>
      </c>
      <c r="H1099" s="75">
        <v>42786</v>
      </c>
      <c r="I1099" t="s">
        <v>117</v>
      </c>
      <c r="J1099">
        <v>2.5</v>
      </c>
      <c r="K1099">
        <v>0</v>
      </c>
      <c r="M1099">
        <v>13672.856</v>
      </c>
      <c r="N1099" t="s">
        <v>46</v>
      </c>
    </row>
    <row r="1100" spans="1:15" x14ac:dyDescent="0.2">
      <c r="A1100" t="s">
        <v>125</v>
      </c>
      <c r="B1100" t="s">
        <v>126</v>
      </c>
      <c r="C1100" t="s">
        <v>112</v>
      </c>
      <c r="D1100" t="s">
        <v>127</v>
      </c>
      <c r="E1100" t="s">
        <v>53</v>
      </c>
      <c r="F1100" t="s">
        <v>114</v>
      </c>
      <c r="G1100">
        <v>112323</v>
      </c>
      <c r="H1100" s="75">
        <v>42816</v>
      </c>
      <c r="I1100" t="s">
        <v>115</v>
      </c>
      <c r="J1100">
        <v>5000</v>
      </c>
      <c r="K1100">
        <v>159.142</v>
      </c>
      <c r="L1100">
        <v>31.418399999999998</v>
      </c>
      <c r="M1100">
        <v>13831.999</v>
      </c>
      <c r="N1100" t="s">
        <v>15</v>
      </c>
    </row>
    <row r="1101" spans="1:15" x14ac:dyDescent="0.2">
      <c r="A1101" t="s">
        <v>125</v>
      </c>
      <c r="B1101" t="s">
        <v>126</v>
      </c>
      <c r="C1101" t="s">
        <v>112</v>
      </c>
      <c r="D1101" t="s">
        <v>127</v>
      </c>
      <c r="E1101" t="s">
        <v>53</v>
      </c>
      <c r="F1101" t="s">
        <v>114</v>
      </c>
      <c r="G1101">
        <v>112323</v>
      </c>
      <c r="H1101" s="75">
        <v>42846</v>
      </c>
      <c r="I1101" t="s">
        <v>115</v>
      </c>
      <c r="J1101">
        <v>5000</v>
      </c>
      <c r="K1101">
        <v>161.24299999999999</v>
      </c>
      <c r="L1101">
        <v>31.009</v>
      </c>
      <c r="M1101">
        <v>13993.242</v>
      </c>
      <c r="N1101" t="s">
        <v>15</v>
      </c>
    </row>
    <row r="1102" spans="1:15" x14ac:dyDescent="0.2">
      <c r="A1102" t="s">
        <v>125</v>
      </c>
      <c r="B1102" t="s">
        <v>126</v>
      </c>
      <c r="C1102" t="s">
        <v>112</v>
      </c>
      <c r="D1102" t="s">
        <v>127</v>
      </c>
      <c r="E1102" t="s">
        <v>53</v>
      </c>
      <c r="F1102" t="s">
        <v>114</v>
      </c>
      <c r="G1102">
        <v>112323</v>
      </c>
      <c r="H1102" s="75">
        <v>42876</v>
      </c>
      <c r="I1102" t="s">
        <v>115</v>
      </c>
      <c r="J1102">
        <v>5000</v>
      </c>
      <c r="K1102">
        <v>162.94300000000001</v>
      </c>
      <c r="L1102">
        <v>30.685700000000001</v>
      </c>
      <c r="M1102">
        <v>14156.184999999999</v>
      </c>
      <c r="N1102" t="s">
        <v>15</v>
      </c>
    </row>
    <row r="1103" spans="1:15" x14ac:dyDescent="0.2">
      <c r="A1103" t="s">
        <v>125</v>
      </c>
      <c r="B1103" t="s">
        <v>126</v>
      </c>
      <c r="C1103" t="s">
        <v>112</v>
      </c>
      <c r="D1103" t="s">
        <v>127</v>
      </c>
      <c r="E1103" t="s">
        <v>53</v>
      </c>
      <c r="F1103" t="s">
        <v>114</v>
      </c>
      <c r="G1103">
        <v>112323</v>
      </c>
      <c r="H1103" s="75">
        <v>42876</v>
      </c>
      <c r="I1103" t="s">
        <v>117</v>
      </c>
      <c r="J1103">
        <v>2.5</v>
      </c>
      <c r="K1103">
        <v>0</v>
      </c>
      <c r="M1103">
        <v>14156.184999999999</v>
      </c>
      <c r="N1103" t="s">
        <v>46</v>
      </c>
    </row>
    <row r="1104" spans="1:15" x14ac:dyDescent="0.2">
      <c r="A1104" t="s">
        <v>125</v>
      </c>
      <c r="B1104" t="s">
        <v>126</v>
      </c>
      <c r="C1104" t="s">
        <v>112</v>
      </c>
      <c r="D1104" t="s">
        <v>127</v>
      </c>
      <c r="E1104" t="s">
        <v>53</v>
      </c>
      <c r="F1104" t="s">
        <v>114</v>
      </c>
      <c r="G1104">
        <v>112323</v>
      </c>
      <c r="H1104" s="75">
        <v>42906</v>
      </c>
      <c r="I1104" t="s">
        <v>115</v>
      </c>
      <c r="J1104">
        <v>5000</v>
      </c>
      <c r="K1104">
        <v>160.97800000000001</v>
      </c>
      <c r="L1104">
        <v>31.060199999999998</v>
      </c>
      <c r="M1104">
        <v>14317.162</v>
      </c>
      <c r="N1104" t="s">
        <v>15</v>
      </c>
    </row>
    <row r="1105" spans="1:15" x14ac:dyDescent="0.2">
      <c r="A1105" t="s">
        <v>125</v>
      </c>
      <c r="B1105" t="s">
        <v>126</v>
      </c>
      <c r="C1105" t="s">
        <v>112</v>
      </c>
      <c r="D1105" t="s">
        <v>127</v>
      </c>
      <c r="E1105" t="s">
        <v>53</v>
      </c>
      <c r="F1105" t="s">
        <v>114</v>
      </c>
      <c r="G1105">
        <v>112323</v>
      </c>
      <c r="H1105" s="75">
        <v>42936</v>
      </c>
      <c r="I1105" t="s">
        <v>115</v>
      </c>
      <c r="J1105">
        <v>5000</v>
      </c>
      <c r="K1105">
        <v>162.72200000000001</v>
      </c>
      <c r="L1105">
        <v>30.7273</v>
      </c>
      <c r="M1105">
        <v>14479.884</v>
      </c>
      <c r="N1105" t="s">
        <v>15</v>
      </c>
    </row>
    <row r="1106" spans="1:15" x14ac:dyDescent="0.2">
      <c r="A1106" t="s">
        <v>125</v>
      </c>
      <c r="B1106" t="s">
        <v>126</v>
      </c>
      <c r="C1106" t="s">
        <v>112</v>
      </c>
      <c r="D1106" t="s">
        <v>127</v>
      </c>
      <c r="E1106" t="s">
        <v>53</v>
      </c>
      <c r="F1106" t="s">
        <v>114</v>
      </c>
      <c r="G1106">
        <v>112323</v>
      </c>
      <c r="H1106" s="75">
        <v>42966</v>
      </c>
      <c r="I1106" t="s">
        <v>115</v>
      </c>
      <c r="J1106">
        <v>5000</v>
      </c>
      <c r="K1106">
        <v>158.97300000000001</v>
      </c>
      <c r="L1106">
        <v>31.451899999999998</v>
      </c>
      <c r="M1106">
        <v>14638.857</v>
      </c>
      <c r="N1106" t="s">
        <v>15</v>
      </c>
    </row>
    <row r="1107" spans="1:15" x14ac:dyDescent="0.2">
      <c r="A1107" t="s">
        <v>125</v>
      </c>
      <c r="B1107" t="s">
        <v>126</v>
      </c>
      <c r="C1107" t="s">
        <v>112</v>
      </c>
      <c r="D1107" t="s">
        <v>127</v>
      </c>
      <c r="E1107" t="s">
        <v>53</v>
      </c>
      <c r="F1107" t="s">
        <v>114</v>
      </c>
      <c r="G1107">
        <v>112323</v>
      </c>
      <c r="H1107" s="75">
        <v>42996</v>
      </c>
      <c r="I1107" t="s">
        <v>115</v>
      </c>
      <c r="J1107">
        <v>5000</v>
      </c>
      <c r="K1107">
        <v>161.67500000000001</v>
      </c>
      <c r="L1107">
        <v>30.926200000000001</v>
      </c>
      <c r="M1107">
        <v>14800.531999999999</v>
      </c>
      <c r="N1107" t="s">
        <v>15</v>
      </c>
    </row>
    <row r="1108" spans="1:15" x14ac:dyDescent="0.2">
      <c r="A1108" t="s">
        <v>125</v>
      </c>
      <c r="B1108" t="s">
        <v>126</v>
      </c>
      <c r="C1108" t="s">
        <v>112</v>
      </c>
      <c r="D1108" t="s">
        <v>127</v>
      </c>
      <c r="E1108" t="s">
        <v>53</v>
      </c>
      <c r="F1108" t="s">
        <v>114</v>
      </c>
      <c r="G1108">
        <v>112323</v>
      </c>
      <c r="H1108" s="75">
        <v>43026</v>
      </c>
      <c r="I1108" t="s">
        <v>115</v>
      </c>
      <c r="J1108">
        <v>5000</v>
      </c>
      <c r="K1108">
        <v>162.68100000000001</v>
      </c>
      <c r="L1108">
        <v>30.7349</v>
      </c>
      <c r="M1108">
        <v>14963.213</v>
      </c>
      <c r="N1108" t="s">
        <v>15</v>
      </c>
    </row>
    <row r="1109" spans="1:15" x14ac:dyDescent="0.2">
      <c r="A1109" t="s">
        <v>125</v>
      </c>
      <c r="B1109" t="s">
        <v>126</v>
      </c>
      <c r="C1109" t="s">
        <v>112</v>
      </c>
      <c r="D1109" t="s">
        <v>127</v>
      </c>
      <c r="E1109" t="s">
        <v>53</v>
      </c>
      <c r="F1109" t="s">
        <v>114</v>
      </c>
      <c r="G1109">
        <v>112323</v>
      </c>
      <c r="H1109" s="75">
        <v>43056</v>
      </c>
      <c r="I1109" t="s">
        <v>115</v>
      </c>
      <c r="J1109">
        <v>5000</v>
      </c>
      <c r="K1109">
        <v>158.18199999999999</v>
      </c>
      <c r="L1109">
        <v>31.609200000000001</v>
      </c>
      <c r="M1109">
        <v>15121.395</v>
      </c>
      <c r="N1109" t="s">
        <v>15</v>
      </c>
    </row>
    <row r="1110" spans="1:15" x14ac:dyDescent="0.2">
      <c r="A1110" t="s">
        <v>125</v>
      </c>
      <c r="B1110" t="s">
        <v>126</v>
      </c>
      <c r="C1110" t="s">
        <v>112</v>
      </c>
      <c r="D1110" t="s">
        <v>127</v>
      </c>
      <c r="E1110" t="s">
        <v>53</v>
      </c>
      <c r="F1110" t="s">
        <v>114</v>
      </c>
      <c r="G1110">
        <v>112323</v>
      </c>
      <c r="H1110" s="75">
        <v>43086</v>
      </c>
      <c r="I1110" t="s">
        <v>115</v>
      </c>
      <c r="J1110">
        <v>5000</v>
      </c>
      <c r="K1110">
        <v>153.602</v>
      </c>
      <c r="L1110">
        <v>32.551600000000001</v>
      </c>
      <c r="M1110">
        <v>15274.998</v>
      </c>
      <c r="N1110" t="s">
        <v>15</v>
      </c>
    </row>
    <row r="1111" spans="1:15" x14ac:dyDescent="0.2">
      <c r="A1111" t="s">
        <v>125</v>
      </c>
      <c r="B1111" t="s">
        <v>126</v>
      </c>
      <c r="C1111" t="s">
        <v>112</v>
      </c>
      <c r="D1111" t="s">
        <v>127</v>
      </c>
      <c r="E1111" t="s">
        <v>53</v>
      </c>
      <c r="F1111" t="s">
        <v>114</v>
      </c>
      <c r="G1111">
        <v>112323</v>
      </c>
      <c r="H1111" s="75">
        <v>43116</v>
      </c>
      <c r="I1111" t="s">
        <v>115</v>
      </c>
      <c r="J1111">
        <v>5000</v>
      </c>
      <c r="K1111">
        <v>153.11699999999999</v>
      </c>
      <c r="L1111">
        <v>32.654699999999998</v>
      </c>
      <c r="M1111">
        <v>15428.115</v>
      </c>
      <c r="N1111" t="s">
        <v>15</v>
      </c>
    </row>
    <row r="1112" spans="1:15" x14ac:dyDescent="0.2">
      <c r="A1112" t="s">
        <v>125</v>
      </c>
      <c r="B1112" t="s">
        <v>126</v>
      </c>
      <c r="C1112" t="s">
        <v>112</v>
      </c>
      <c r="D1112" t="s">
        <v>127</v>
      </c>
      <c r="E1112" t="s">
        <v>53</v>
      </c>
      <c r="F1112" t="s">
        <v>114</v>
      </c>
      <c r="G1112">
        <v>112323</v>
      </c>
      <c r="H1112" s="75">
        <v>43116</v>
      </c>
      <c r="I1112" t="s">
        <v>118</v>
      </c>
      <c r="J1112">
        <v>7714.06</v>
      </c>
      <c r="K1112">
        <v>0</v>
      </c>
      <c r="M1112">
        <v>15428.115</v>
      </c>
      <c r="N1112" t="s">
        <v>19</v>
      </c>
      <c r="O1112">
        <v>7714.06</v>
      </c>
    </row>
    <row r="1113" spans="1:15" x14ac:dyDescent="0.2">
      <c r="A1113" t="s">
        <v>125</v>
      </c>
      <c r="B1113" t="s">
        <v>126</v>
      </c>
      <c r="C1113" t="s">
        <v>112</v>
      </c>
      <c r="D1113" t="s">
        <v>127</v>
      </c>
      <c r="E1113" t="s">
        <v>53</v>
      </c>
      <c r="F1113" t="s">
        <v>114</v>
      </c>
      <c r="G1113">
        <v>112323</v>
      </c>
      <c r="H1113" s="75">
        <v>43146</v>
      </c>
      <c r="I1113" t="s">
        <v>115</v>
      </c>
      <c r="J1113">
        <v>5000</v>
      </c>
      <c r="K1113">
        <v>148.69999999999999</v>
      </c>
      <c r="L1113">
        <v>33.6248</v>
      </c>
      <c r="M1113">
        <v>15576.815000000001</v>
      </c>
      <c r="N1113" t="s">
        <v>15</v>
      </c>
    </row>
    <row r="1114" spans="1:15" x14ac:dyDescent="0.2">
      <c r="A1114" t="s">
        <v>125</v>
      </c>
      <c r="B1114" t="s">
        <v>126</v>
      </c>
      <c r="C1114" t="s">
        <v>112</v>
      </c>
      <c r="D1114" t="s">
        <v>127</v>
      </c>
      <c r="E1114" t="s">
        <v>53</v>
      </c>
      <c r="F1114" t="s">
        <v>114</v>
      </c>
      <c r="G1114">
        <v>112323</v>
      </c>
      <c r="H1114" s="75">
        <v>43146</v>
      </c>
      <c r="I1114" t="s">
        <v>117</v>
      </c>
      <c r="J1114">
        <v>2.5</v>
      </c>
      <c r="K1114">
        <v>0</v>
      </c>
      <c r="M1114">
        <v>15576.815000000001</v>
      </c>
      <c r="N1114" t="s">
        <v>46</v>
      </c>
    </row>
    <row r="1115" spans="1:15" x14ac:dyDescent="0.2">
      <c r="A1115" t="s">
        <v>125</v>
      </c>
      <c r="B1115" t="s">
        <v>126</v>
      </c>
      <c r="C1115" t="s">
        <v>112</v>
      </c>
      <c r="D1115" t="s">
        <v>127</v>
      </c>
      <c r="E1115" t="s">
        <v>53</v>
      </c>
      <c r="F1115" t="s">
        <v>114</v>
      </c>
      <c r="G1115">
        <v>112323</v>
      </c>
      <c r="H1115" s="75">
        <v>43176</v>
      </c>
      <c r="I1115" t="s">
        <v>115</v>
      </c>
      <c r="J1115">
        <v>5000</v>
      </c>
      <c r="K1115">
        <v>145.88999999999999</v>
      </c>
      <c r="L1115">
        <v>34.272399999999998</v>
      </c>
      <c r="M1115">
        <v>15722.705</v>
      </c>
      <c r="N1115" t="s">
        <v>15</v>
      </c>
    </row>
    <row r="1116" spans="1:15" x14ac:dyDescent="0.2">
      <c r="A1116" t="s">
        <v>125</v>
      </c>
      <c r="B1116" t="s">
        <v>126</v>
      </c>
      <c r="C1116" t="s">
        <v>112</v>
      </c>
      <c r="D1116" t="s">
        <v>127</v>
      </c>
      <c r="E1116" t="s">
        <v>53</v>
      </c>
      <c r="F1116" t="s">
        <v>114</v>
      </c>
      <c r="G1116">
        <v>112323</v>
      </c>
      <c r="H1116" s="75">
        <v>43206</v>
      </c>
      <c r="I1116" t="s">
        <v>115</v>
      </c>
      <c r="J1116">
        <v>5000</v>
      </c>
      <c r="K1116">
        <v>144.852</v>
      </c>
      <c r="L1116">
        <v>34.518000000000001</v>
      </c>
      <c r="M1116">
        <v>15867.557000000001</v>
      </c>
      <c r="N1116" t="s">
        <v>15</v>
      </c>
    </row>
    <row r="1117" spans="1:15" x14ac:dyDescent="0.2">
      <c r="A1117" t="s">
        <v>125</v>
      </c>
      <c r="B1117" t="s">
        <v>126</v>
      </c>
      <c r="C1117" t="s">
        <v>112</v>
      </c>
      <c r="D1117" t="s">
        <v>127</v>
      </c>
      <c r="E1117" t="s">
        <v>53</v>
      </c>
      <c r="F1117" t="s">
        <v>114</v>
      </c>
      <c r="G1117">
        <v>112323</v>
      </c>
      <c r="H1117" s="75">
        <v>43236</v>
      </c>
      <c r="I1117" t="s">
        <v>115</v>
      </c>
      <c r="J1117">
        <v>5000</v>
      </c>
      <c r="K1117">
        <v>147.57900000000001</v>
      </c>
      <c r="L1117">
        <v>33.880200000000002</v>
      </c>
      <c r="M1117">
        <v>16015.136</v>
      </c>
      <c r="N1117" t="s">
        <v>15</v>
      </c>
    </row>
    <row r="1118" spans="1:15" x14ac:dyDescent="0.2">
      <c r="A1118" t="s">
        <v>125</v>
      </c>
      <c r="B1118" t="s">
        <v>126</v>
      </c>
      <c r="C1118" t="s">
        <v>112</v>
      </c>
      <c r="D1118" t="s">
        <v>127</v>
      </c>
      <c r="E1118" t="s">
        <v>53</v>
      </c>
      <c r="F1118" t="s">
        <v>114</v>
      </c>
      <c r="G1118">
        <v>112323</v>
      </c>
      <c r="H1118" s="75">
        <v>43266</v>
      </c>
      <c r="I1118" t="s">
        <v>115</v>
      </c>
      <c r="J1118">
        <v>5000</v>
      </c>
      <c r="K1118">
        <v>149.45400000000001</v>
      </c>
      <c r="L1118">
        <v>33.455100000000002</v>
      </c>
      <c r="M1118">
        <v>16164.59</v>
      </c>
      <c r="N1118" t="s">
        <v>15</v>
      </c>
    </row>
    <row r="1119" spans="1:15" x14ac:dyDescent="0.2">
      <c r="A1119" t="s">
        <v>125</v>
      </c>
      <c r="B1119" t="s">
        <v>126</v>
      </c>
      <c r="C1119" t="s">
        <v>112</v>
      </c>
      <c r="D1119" t="s">
        <v>127</v>
      </c>
      <c r="E1119" t="s">
        <v>53</v>
      </c>
      <c r="F1119" t="s">
        <v>114</v>
      </c>
      <c r="G1119">
        <v>112323</v>
      </c>
      <c r="H1119" s="75">
        <v>43296</v>
      </c>
      <c r="I1119" t="s">
        <v>115</v>
      </c>
      <c r="J1119">
        <v>5000</v>
      </c>
      <c r="K1119">
        <v>148.64400000000001</v>
      </c>
      <c r="L1119">
        <v>33.637500000000003</v>
      </c>
      <c r="M1119">
        <v>16313.233</v>
      </c>
      <c r="N1119" t="s">
        <v>15</v>
      </c>
    </row>
    <row r="1120" spans="1:15" x14ac:dyDescent="0.2">
      <c r="A1120" t="s">
        <v>125</v>
      </c>
      <c r="B1120" t="s">
        <v>126</v>
      </c>
      <c r="C1120" t="s">
        <v>112</v>
      </c>
      <c r="D1120" t="s">
        <v>127</v>
      </c>
      <c r="E1120" t="s">
        <v>53</v>
      </c>
      <c r="F1120" t="s">
        <v>114</v>
      </c>
      <c r="G1120">
        <v>112323</v>
      </c>
      <c r="H1120" s="75">
        <v>43326</v>
      </c>
      <c r="I1120" t="s">
        <v>115</v>
      </c>
      <c r="J1120">
        <v>5000</v>
      </c>
      <c r="K1120">
        <v>149.583</v>
      </c>
      <c r="L1120">
        <v>33.426200000000001</v>
      </c>
      <c r="M1120">
        <v>16462.815999999999</v>
      </c>
      <c r="N1120" t="s">
        <v>15</v>
      </c>
    </row>
    <row r="1121" spans="1:14" x14ac:dyDescent="0.2">
      <c r="A1121" t="s">
        <v>125</v>
      </c>
      <c r="B1121" t="s">
        <v>126</v>
      </c>
      <c r="C1121" t="s">
        <v>112</v>
      </c>
      <c r="D1121" t="s">
        <v>127</v>
      </c>
      <c r="E1121" t="s">
        <v>53</v>
      </c>
      <c r="F1121" t="s">
        <v>114</v>
      </c>
      <c r="G1121">
        <v>112323</v>
      </c>
      <c r="H1121" s="75">
        <v>43356</v>
      </c>
      <c r="I1121" t="s">
        <v>115</v>
      </c>
      <c r="J1121">
        <v>5000</v>
      </c>
      <c r="K1121">
        <v>147.935</v>
      </c>
      <c r="L1121">
        <v>33.798699999999997</v>
      </c>
      <c r="M1121">
        <v>16610.751</v>
      </c>
      <c r="N1121" t="s">
        <v>15</v>
      </c>
    </row>
    <row r="1122" spans="1:14" x14ac:dyDescent="0.2">
      <c r="A1122" t="s">
        <v>125</v>
      </c>
      <c r="B1122" t="s">
        <v>126</v>
      </c>
      <c r="C1122" t="s">
        <v>112</v>
      </c>
      <c r="D1122" t="s">
        <v>127</v>
      </c>
      <c r="E1122" t="s">
        <v>53</v>
      </c>
      <c r="F1122" t="s">
        <v>114</v>
      </c>
      <c r="G1122">
        <v>112323</v>
      </c>
      <c r="H1122" s="75">
        <v>43386</v>
      </c>
      <c r="I1122" t="s">
        <v>115</v>
      </c>
      <c r="J1122">
        <v>5000</v>
      </c>
      <c r="K1122">
        <v>145.69399999999999</v>
      </c>
      <c r="L1122">
        <v>34.318600000000004</v>
      </c>
      <c r="M1122">
        <v>16756.444</v>
      </c>
      <c r="N1122" t="s">
        <v>15</v>
      </c>
    </row>
    <row r="1123" spans="1:14" x14ac:dyDescent="0.2">
      <c r="A1123" t="s">
        <v>125</v>
      </c>
      <c r="B1123" t="s">
        <v>126</v>
      </c>
      <c r="C1123" t="s">
        <v>112</v>
      </c>
      <c r="D1123" t="s">
        <v>127</v>
      </c>
      <c r="E1123" t="s">
        <v>53</v>
      </c>
      <c r="F1123" t="s">
        <v>114</v>
      </c>
      <c r="G1123">
        <v>112323</v>
      </c>
      <c r="H1123" s="75">
        <v>43416</v>
      </c>
      <c r="I1123" t="s">
        <v>115</v>
      </c>
      <c r="J1123">
        <v>5000</v>
      </c>
      <c r="K1123">
        <v>143.47800000000001</v>
      </c>
      <c r="L1123">
        <v>34.848599999999998</v>
      </c>
      <c r="M1123">
        <v>16899.921999999999</v>
      </c>
      <c r="N1123" t="s">
        <v>15</v>
      </c>
    </row>
    <row r="1124" spans="1:14" x14ac:dyDescent="0.2">
      <c r="A1124" t="s">
        <v>125</v>
      </c>
      <c r="B1124" t="s">
        <v>126</v>
      </c>
      <c r="C1124" t="s">
        <v>112</v>
      </c>
      <c r="D1124" t="s">
        <v>127</v>
      </c>
      <c r="E1124" t="s">
        <v>53</v>
      </c>
      <c r="F1124" t="s">
        <v>114</v>
      </c>
      <c r="G1124">
        <v>112323</v>
      </c>
      <c r="H1124" s="75">
        <v>43446</v>
      </c>
      <c r="I1124" t="s">
        <v>115</v>
      </c>
      <c r="J1124">
        <v>5000</v>
      </c>
      <c r="K1124">
        <v>142.70500000000001</v>
      </c>
      <c r="L1124">
        <v>35.037399999999998</v>
      </c>
      <c r="M1124">
        <v>17042.627</v>
      </c>
      <c r="N1124" t="s">
        <v>15</v>
      </c>
    </row>
    <row r="1125" spans="1:14" x14ac:dyDescent="0.2">
      <c r="A1125" t="s">
        <v>125</v>
      </c>
      <c r="B1125" t="s">
        <v>126</v>
      </c>
      <c r="C1125" t="s">
        <v>112</v>
      </c>
      <c r="D1125" t="s">
        <v>127</v>
      </c>
      <c r="E1125" t="s">
        <v>53</v>
      </c>
      <c r="F1125" t="s">
        <v>114</v>
      </c>
      <c r="G1125">
        <v>112323</v>
      </c>
      <c r="H1125" s="75">
        <v>43476</v>
      </c>
      <c r="I1125" t="s">
        <v>115</v>
      </c>
      <c r="J1125">
        <v>5000</v>
      </c>
      <c r="K1125">
        <v>139.13399999999999</v>
      </c>
      <c r="L1125">
        <v>35.936500000000002</v>
      </c>
      <c r="M1125">
        <v>17181.760999999999</v>
      </c>
      <c r="N1125" t="s">
        <v>15</v>
      </c>
    </row>
    <row r="1126" spans="1:14" x14ac:dyDescent="0.2">
      <c r="A1126" t="s">
        <v>125</v>
      </c>
      <c r="B1126" t="s">
        <v>126</v>
      </c>
      <c r="C1126" t="s">
        <v>112</v>
      </c>
      <c r="D1126" t="s">
        <v>127</v>
      </c>
      <c r="E1126" t="s">
        <v>53</v>
      </c>
      <c r="F1126" t="s">
        <v>114</v>
      </c>
      <c r="G1126">
        <v>112323</v>
      </c>
      <c r="H1126" s="75">
        <v>43506</v>
      </c>
      <c r="I1126" t="s">
        <v>115</v>
      </c>
      <c r="J1126">
        <v>5000</v>
      </c>
      <c r="K1126">
        <v>139.80099999999999</v>
      </c>
      <c r="L1126">
        <v>35.7652</v>
      </c>
      <c r="M1126">
        <v>17321.562000000002</v>
      </c>
      <c r="N1126" t="s">
        <v>15</v>
      </c>
    </row>
    <row r="1127" spans="1:14" x14ac:dyDescent="0.2">
      <c r="A1127" t="s">
        <v>125</v>
      </c>
      <c r="B1127" t="s">
        <v>126</v>
      </c>
      <c r="C1127" t="s">
        <v>112</v>
      </c>
      <c r="D1127" t="s">
        <v>127</v>
      </c>
      <c r="E1127" t="s">
        <v>53</v>
      </c>
      <c r="F1127" t="s">
        <v>114</v>
      </c>
      <c r="G1127">
        <v>112323</v>
      </c>
      <c r="H1127" s="75">
        <v>43506</v>
      </c>
      <c r="I1127" t="s">
        <v>116</v>
      </c>
      <c r="J1127">
        <v>2.5</v>
      </c>
      <c r="K1127">
        <v>0</v>
      </c>
      <c r="M1127">
        <v>17321.562000000002</v>
      </c>
      <c r="N1127" t="s">
        <v>17</v>
      </c>
    </row>
    <row r="1128" spans="1:14" x14ac:dyDescent="0.2">
      <c r="A1128" t="s">
        <v>125</v>
      </c>
      <c r="B1128" t="s">
        <v>126</v>
      </c>
      <c r="C1128" t="s">
        <v>112</v>
      </c>
      <c r="D1128" t="s">
        <v>127</v>
      </c>
      <c r="E1128" t="s">
        <v>53</v>
      </c>
      <c r="F1128" t="s">
        <v>114</v>
      </c>
      <c r="G1128">
        <v>112323</v>
      </c>
      <c r="H1128" s="75">
        <v>43536</v>
      </c>
      <c r="I1128" t="s">
        <v>115</v>
      </c>
      <c r="J1128">
        <v>5000</v>
      </c>
      <c r="K1128">
        <v>142.55600000000001</v>
      </c>
      <c r="L1128">
        <v>35.073999999999998</v>
      </c>
      <c r="M1128">
        <v>17464.116999999998</v>
      </c>
      <c r="N1128" t="s">
        <v>15</v>
      </c>
    </row>
    <row r="1129" spans="1:14" x14ac:dyDescent="0.2">
      <c r="A1129" t="s">
        <v>125</v>
      </c>
      <c r="B1129" t="s">
        <v>126</v>
      </c>
      <c r="C1129" t="s">
        <v>112</v>
      </c>
      <c r="D1129" t="s">
        <v>127</v>
      </c>
      <c r="E1129" t="s">
        <v>53</v>
      </c>
      <c r="F1129" t="s">
        <v>114</v>
      </c>
      <c r="G1129">
        <v>112323</v>
      </c>
      <c r="H1129" s="75">
        <v>43536</v>
      </c>
      <c r="I1129" t="s">
        <v>117</v>
      </c>
      <c r="J1129">
        <v>2.5</v>
      </c>
      <c r="K1129">
        <v>0</v>
      </c>
      <c r="M1129">
        <v>17464.116999999998</v>
      </c>
      <c r="N1129" t="s">
        <v>46</v>
      </c>
    </row>
    <row r="1130" spans="1:14" x14ac:dyDescent="0.2">
      <c r="A1130" t="s">
        <v>125</v>
      </c>
      <c r="B1130" t="s">
        <v>126</v>
      </c>
      <c r="C1130" t="s">
        <v>112</v>
      </c>
      <c r="D1130" t="s">
        <v>127</v>
      </c>
      <c r="E1130" t="s">
        <v>53</v>
      </c>
      <c r="F1130" t="s">
        <v>114</v>
      </c>
      <c r="G1130">
        <v>112323</v>
      </c>
      <c r="H1130" s="75">
        <v>43566</v>
      </c>
      <c r="I1130" t="s">
        <v>115</v>
      </c>
      <c r="J1130">
        <v>5000</v>
      </c>
      <c r="K1130">
        <v>142.44900000000001</v>
      </c>
      <c r="L1130">
        <v>35.100299999999997</v>
      </c>
      <c r="M1130">
        <v>17606.565999999999</v>
      </c>
      <c r="N1130" t="s">
        <v>15</v>
      </c>
    </row>
    <row r="1131" spans="1:14" x14ac:dyDescent="0.2">
      <c r="A1131" t="s">
        <v>125</v>
      </c>
      <c r="B1131" t="s">
        <v>126</v>
      </c>
      <c r="C1131" t="s">
        <v>112</v>
      </c>
      <c r="D1131" t="s">
        <v>127</v>
      </c>
      <c r="E1131" t="s">
        <v>53</v>
      </c>
      <c r="F1131" t="s">
        <v>114</v>
      </c>
      <c r="G1131">
        <v>112323</v>
      </c>
      <c r="H1131" s="75">
        <v>43596</v>
      </c>
      <c r="I1131" t="s">
        <v>115</v>
      </c>
      <c r="J1131">
        <v>5000</v>
      </c>
      <c r="K1131">
        <v>140.13499999999999</v>
      </c>
      <c r="L1131">
        <v>35.6798</v>
      </c>
      <c r="M1131">
        <v>17746.702000000001</v>
      </c>
      <c r="N1131" t="s">
        <v>15</v>
      </c>
    </row>
    <row r="1132" spans="1:14" x14ac:dyDescent="0.2">
      <c r="A1132" t="s">
        <v>125</v>
      </c>
      <c r="B1132" t="s">
        <v>126</v>
      </c>
      <c r="C1132" t="s">
        <v>112</v>
      </c>
      <c r="D1132" t="s">
        <v>127</v>
      </c>
      <c r="E1132" t="s">
        <v>53</v>
      </c>
      <c r="F1132" t="s">
        <v>114</v>
      </c>
      <c r="G1132">
        <v>112323</v>
      </c>
      <c r="H1132" s="75">
        <v>43626</v>
      </c>
      <c r="I1132" t="s">
        <v>115</v>
      </c>
      <c r="J1132">
        <v>5000</v>
      </c>
      <c r="K1132">
        <v>136.44800000000001</v>
      </c>
      <c r="L1132">
        <v>36.644100000000002</v>
      </c>
      <c r="M1132">
        <v>17883.150000000001</v>
      </c>
      <c r="N1132" t="s">
        <v>15</v>
      </c>
    </row>
    <row r="1133" spans="1:14" x14ac:dyDescent="0.2">
      <c r="A1133" t="s">
        <v>125</v>
      </c>
      <c r="B1133" t="s">
        <v>126</v>
      </c>
      <c r="C1133" t="s">
        <v>112</v>
      </c>
      <c r="D1133" t="s">
        <v>127</v>
      </c>
      <c r="E1133" t="s">
        <v>53</v>
      </c>
      <c r="F1133" t="s">
        <v>114</v>
      </c>
      <c r="G1133">
        <v>112323</v>
      </c>
      <c r="H1133" s="75">
        <v>43656</v>
      </c>
      <c r="I1133" t="s">
        <v>115</v>
      </c>
      <c r="J1133">
        <v>5000</v>
      </c>
      <c r="K1133">
        <v>135.66900000000001</v>
      </c>
      <c r="L1133">
        <v>36.854300000000002</v>
      </c>
      <c r="M1133">
        <v>18018.819</v>
      </c>
      <c r="N1133" t="s">
        <v>15</v>
      </c>
    </row>
    <row r="1134" spans="1:14" x14ac:dyDescent="0.2">
      <c r="A1134" t="s">
        <v>125</v>
      </c>
      <c r="B1134" t="s">
        <v>126</v>
      </c>
      <c r="C1134" t="s">
        <v>112</v>
      </c>
      <c r="D1134" t="s">
        <v>127</v>
      </c>
      <c r="E1134" t="s">
        <v>53</v>
      </c>
      <c r="F1134" t="s">
        <v>114</v>
      </c>
      <c r="G1134">
        <v>112323</v>
      </c>
      <c r="H1134" s="75">
        <v>43656</v>
      </c>
      <c r="I1134" t="s">
        <v>116</v>
      </c>
      <c r="J1134">
        <v>2.5</v>
      </c>
      <c r="K1134">
        <v>0</v>
      </c>
      <c r="M1134">
        <v>18018.819</v>
      </c>
      <c r="N1134" t="s">
        <v>17</v>
      </c>
    </row>
    <row r="1135" spans="1:14" x14ac:dyDescent="0.2">
      <c r="A1135" t="s">
        <v>125</v>
      </c>
      <c r="B1135" t="s">
        <v>126</v>
      </c>
      <c r="C1135" t="s">
        <v>112</v>
      </c>
      <c r="D1135" t="s">
        <v>127</v>
      </c>
      <c r="E1135" t="s">
        <v>53</v>
      </c>
      <c r="F1135" t="s">
        <v>114</v>
      </c>
      <c r="G1135">
        <v>112323</v>
      </c>
      <c r="H1135" s="75">
        <v>43686</v>
      </c>
      <c r="I1135" t="s">
        <v>115</v>
      </c>
      <c r="J1135">
        <v>5000</v>
      </c>
      <c r="K1135">
        <v>134.28100000000001</v>
      </c>
      <c r="L1135">
        <v>37.235199999999999</v>
      </c>
      <c r="M1135">
        <v>18153.100999999999</v>
      </c>
      <c r="N1135" t="s">
        <v>15</v>
      </c>
    </row>
    <row r="1136" spans="1:14" x14ac:dyDescent="0.2">
      <c r="A1136" t="s">
        <v>125</v>
      </c>
      <c r="B1136" t="s">
        <v>126</v>
      </c>
      <c r="C1136" t="s">
        <v>112</v>
      </c>
      <c r="D1136" t="s">
        <v>127</v>
      </c>
      <c r="E1136" t="s">
        <v>53</v>
      </c>
      <c r="F1136" t="s">
        <v>114</v>
      </c>
      <c r="G1136">
        <v>112323</v>
      </c>
      <c r="H1136" s="75">
        <v>43716</v>
      </c>
      <c r="I1136" t="s">
        <v>115</v>
      </c>
      <c r="J1136">
        <v>5000</v>
      </c>
      <c r="K1136">
        <v>134.96100000000001</v>
      </c>
      <c r="L1136">
        <v>37.047699999999999</v>
      </c>
      <c r="M1136">
        <v>18288.062000000002</v>
      </c>
      <c r="N1136" t="s">
        <v>15</v>
      </c>
    </row>
    <row r="1137" spans="1:15" x14ac:dyDescent="0.2">
      <c r="A1137" t="s">
        <v>125</v>
      </c>
      <c r="B1137" t="s">
        <v>126</v>
      </c>
      <c r="C1137" t="s">
        <v>112</v>
      </c>
      <c r="D1137" t="s">
        <v>127</v>
      </c>
      <c r="E1137" t="s">
        <v>53</v>
      </c>
      <c r="F1137" t="s">
        <v>114</v>
      </c>
      <c r="G1137">
        <v>112323</v>
      </c>
      <c r="H1137" s="75">
        <v>43716</v>
      </c>
      <c r="I1137" t="s">
        <v>117</v>
      </c>
      <c r="J1137">
        <v>2.5</v>
      </c>
      <c r="K1137">
        <v>0</v>
      </c>
      <c r="M1137">
        <v>18288.062000000002</v>
      </c>
      <c r="N1137" t="s">
        <v>46</v>
      </c>
    </row>
    <row r="1138" spans="1:15" x14ac:dyDescent="0.2">
      <c r="A1138" t="s">
        <v>125</v>
      </c>
      <c r="B1138" t="s">
        <v>126</v>
      </c>
      <c r="C1138" t="s">
        <v>112</v>
      </c>
      <c r="D1138" t="s">
        <v>127</v>
      </c>
      <c r="E1138" t="s">
        <v>53</v>
      </c>
      <c r="F1138" t="s">
        <v>114</v>
      </c>
      <c r="G1138">
        <v>112323</v>
      </c>
      <c r="H1138" s="75">
        <v>43746</v>
      </c>
      <c r="I1138" t="s">
        <v>115</v>
      </c>
      <c r="J1138">
        <v>5000</v>
      </c>
      <c r="K1138">
        <v>131.684</v>
      </c>
      <c r="L1138">
        <v>37.9696</v>
      </c>
      <c r="M1138">
        <v>18419.745999999999</v>
      </c>
      <c r="N1138" t="s">
        <v>15</v>
      </c>
    </row>
    <row r="1139" spans="1:15" x14ac:dyDescent="0.2">
      <c r="A1139" t="s">
        <v>125</v>
      </c>
      <c r="B1139" t="s">
        <v>126</v>
      </c>
      <c r="C1139" t="s">
        <v>112</v>
      </c>
      <c r="D1139" t="s">
        <v>127</v>
      </c>
      <c r="E1139" t="s">
        <v>53</v>
      </c>
      <c r="F1139" t="s">
        <v>114</v>
      </c>
      <c r="G1139">
        <v>112323</v>
      </c>
      <c r="H1139" s="75">
        <v>43776</v>
      </c>
      <c r="I1139" t="s">
        <v>115</v>
      </c>
      <c r="J1139">
        <v>5000</v>
      </c>
      <c r="K1139">
        <v>129.428</v>
      </c>
      <c r="L1139">
        <v>38.631599999999999</v>
      </c>
      <c r="M1139">
        <v>18549.172999999999</v>
      </c>
      <c r="N1139" t="s">
        <v>15</v>
      </c>
    </row>
    <row r="1140" spans="1:15" x14ac:dyDescent="0.2">
      <c r="A1140" t="s">
        <v>125</v>
      </c>
      <c r="B1140" t="s">
        <v>126</v>
      </c>
      <c r="C1140" t="s">
        <v>112</v>
      </c>
      <c r="D1140" t="s">
        <v>127</v>
      </c>
      <c r="E1140" t="s">
        <v>53</v>
      </c>
      <c r="F1140" t="s">
        <v>114</v>
      </c>
      <c r="G1140">
        <v>112323</v>
      </c>
      <c r="H1140" s="75">
        <v>43776</v>
      </c>
      <c r="I1140" t="s">
        <v>116</v>
      </c>
      <c r="J1140">
        <v>2.5</v>
      </c>
      <c r="K1140">
        <v>0</v>
      </c>
      <c r="M1140">
        <v>18549.172999999999</v>
      </c>
      <c r="N1140" t="s">
        <v>17</v>
      </c>
    </row>
    <row r="1141" spans="1:15" x14ac:dyDescent="0.2">
      <c r="A1141" t="s">
        <v>125</v>
      </c>
      <c r="B1141" t="s">
        <v>126</v>
      </c>
      <c r="C1141" t="s">
        <v>112</v>
      </c>
      <c r="D1141" t="s">
        <v>127</v>
      </c>
      <c r="E1141" t="s">
        <v>53</v>
      </c>
      <c r="F1141" t="s">
        <v>114</v>
      </c>
      <c r="G1141">
        <v>112323</v>
      </c>
      <c r="H1141" s="75">
        <v>43806</v>
      </c>
      <c r="I1141" t="s">
        <v>115</v>
      </c>
      <c r="J1141">
        <v>5000</v>
      </c>
      <c r="K1141">
        <v>125.755</v>
      </c>
      <c r="L1141">
        <v>39.76</v>
      </c>
      <c r="M1141">
        <v>18674.928</v>
      </c>
      <c r="N1141" t="s">
        <v>15</v>
      </c>
    </row>
    <row r="1142" spans="1:15" x14ac:dyDescent="0.2">
      <c r="A1142" t="s">
        <v>125</v>
      </c>
      <c r="B1142" t="s">
        <v>126</v>
      </c>
      <c r="C1142" t="s">
        <v>112</v>
      </c>
      <c r="D1142" t="s">
        <v>127</v>
      </c>
      <c r="E1142" t="s">
        <v>53</v>
      </c>
      <c r="F1142" t="s">
        <v>114</v>
      </c>
      <c r="G1142">
        <v>112323</v>
      </c>
      <c r="H1142" s="75">
        <v>43836</v>
      </c>
      <c r="I1142" t="s">
        <v>115</v>
      </c>
      <c r="J1142">
        <v>5000</v>
      </c>
      <c r="K1142">
        <v>125.276</v>
      </c>
      <c r="L1142">
        <v>39.911999999999999</v>
      </c>
      <c r="M1142">
        <v>18800.203000000001</v>
      </c>
      <c r="N1142" t="s">
        <v>15</v>
      </c>
    </row>
    <row r="1143" spans="1:15" x14ac:dyDescent="0.2">
      <c r="A1143" t="s">
        <v>125</v>
      </c>
      <c r="B1143" t="s">
        <v>126</v>
      </c>
      <c r="C1143" t="s">
        <v>112</v>
      </c>
      <c r="D1143" t="s">
        <v>127</v>
      </c>
      <c r="E1143" t="s">
        <v>53</v>
      </c>
      <c r="F1143" t="s">
        <v>114</v>
      </c>
      <c r="G1143">
        <v>112323</v>
      </c>
      <c r="H1143" s="75">
        <v>43866</v>
      </c>
      <c r="I1143" t="s">
        <v>115</v>
      </c>
      <c r="J1143">
        <v>5000</v>
      </c>
      <c r="K1143">
        <v>125.003</v>
      </c>
      <c r="L1143">
        <v>39.999000000000002</v>
      </c>
      <c r="M1143">
        <v>18925.205999999998</v>
      </c>
      <c r="N1143" t="s">
        <v>15</v>
      </c>
    </row>
    <row r="1144" spans="1:15" x14ac:dyDescent="0.2">
      <c r="A1144" t="s">
        <v>125</v>
      </c>
      <c r="B1144" t="s">
        <v>126</v>
      </c>
      <c r="C1144" t="s">
        <v>112</v>
      </c>
      <c r="D1144" t="s">
        <v>127</v>
      </c>
      <c r="E1144" t="s">
        <v>53</v>
      </c>
      <c r="F1144" t="s">
        <v>114</v>
      </c>
      <c r="G1144">
        <v>112323</v>
      </c>
      <c r="H1144" s="75">
        <v>43866</v>
      </c>
      <c r="I1144" t="s">
        <v>25</v>
      </c>
      <c r="J1144">
        <v>-151398.04999999999</v>
      </c>
      <c r="K1144">
        <v>-3785.0410000000002</v>
      </c>
      <c r="L1144">
        <v>39.999000000000002</v>
      </c>
      <c r="M1144">
        <v>15140.165000000001</v>
      </c>
      <c r="N1144" t="s">
        <v>16</v>
      </c>
    </row>
    <row r="1145" spans="1:15" x14ac:dyDescent="0.2">
      <c r="A1145" t="s">
        <v>125</v>
      </c>
      <c r="B1145" t="s">
        <v>126</v>
      </c>
      <c r="C1145" t="s">
        <v>112</v>
      </c>
      <c r="D1145" t="s">
        <v>127</v>
      </c>
      <c r="E1145" t="s">
        <v>53</v>
      </c>
      <c r="F1145" t="s">
        <v>114</v>
      </c>
      <c r="G1145">
        <v>112323</v>
      </c>
      <c r="H1145" s="75">
        <v>43896</v>
      </c>
      <c r="I1145" t="s">
        <v>115</v>
      </c>
      <c r="J1145">
        <v>5000</v>
      </c>
      <c r="K1145">
        <v>125.548</v>
      </c>
      <c r="L1145">
        <v>39.825400000000002</v>
      </c>
      <c r="M1145">
        <v>15265.713</v>
      </c>
      <c r="N1145" t="s">
        <v>15</v>
      </c>
    </row>
    <row r="1146" spans="1:15" x14ac:dyDescent="0.2">
      <c r="A1146" t="s">
        <v>125</v>
      </c>
      <c r="B1146" t="s">
        <v>126</v>
      </c>
      <c r="C1146" t="s">
        <v>112</v>
      </c>
      <c r="D1146" t="s">
        <v>127</v>
      </c>
      <c r="E1146" t="s">
        <v>53</v>
      </c>
      <c r="F1146" t="s">
        <v>114</v>
      </c>
      <c r="G1146">
        <v>112323</v>
      </c>
      <c r="H1146" s="75">
        <v>43926</v>
      </c>
      <c r="I1146" t="s">
        <v>115</v>
      </c>
      <c r="J1146">
        <v>5000</v>
      </c>
      <c r="K1146">
        <v>126.435</v>
      </c>
      <c r="L1146">
        <v>39.545900000000003</v>
      </c>
      <c r="M1146">
        <v>15392.147999999999</v>
      </c>
      <c r="N1146" t="s">
        <v>15</v>
      </c>
    </row>
    <row r="1147" spans="1:15" x14ac:dyDescent="0.2">
      <c r="A1147" t="s">
        <v>125</v>
      </c>
      <c r="B1147" t="s">
        <v>126</v>
      </c>
      <c r="C1147" t="s">
        <v>112</v>
      </c>
      <c r="D1147" t="s">
        <v>127</v>
      </c>
      <c r="E1147" t="s">
        <v>53</v>
      </c>
      <c r="F1147" t="s">
        <v>114</v>
      </c>
      <c r="G1147">
        <v>112323</v>
      </c>
      <c r="H1147" s="75">
        <v>43956</v>
      </c>
      <c r="I1147" t="s">
        <v>115</v>
      </c>
      <c r="J1147">
        <v>5000</v>
      </c>
      <c r="K1147">
        <v>125.726</v>
      </c>
      <c r="L1147">
        <v>39.768900000000002</v>
      </c>
      <c r="M1147">
        <v>15517.875</v>
      </c>
      <c r="N1147" t="s">
        <v>15</v>
      </c>
    </row>
    <row r="1148" spans="1:15" x14ac:dyDescent="0.2">
      <c r="A1148" t="s">
        <v>125</v>
      </c>
      <c r="B1148" t="s">
        <v>126</v>
      </c>
      <c r="C1148" t="s">
        <v>112</v>
      </c>
      <c r="D1148" t="s">
        <v>127</v>
      </c>
      <c r="E1148" t="s">
        <v>53</v>
      </c>
      <c r="F1148" t="s">
        <v>114</v>
      </c>
      <c r="G1148">
        <v>112323</v>
      </c>
      <c r="H1148" s="75">
        <v>43956</v>
      </c>
      <c r="I1148" t="s">
        <v>116</v>
      </c>
      <c r="J1148">
        <v>2.5</v>
      </c>
      <c r="K1148">
        <v>0</v>
      </c>
      <c r="M1148">
        <v>15517.875</v>
      </c>
      <c r="N1148" t="s">
        <v>17</v>
      </c>
    </row>
    <row r="1149" spans="1:15" x14ac:dyDescent="0.2">
      <c r="A1149" t="s">
        <v>125</v>
      </c>
      <c r="B1149" t="s">
        <v>126</v>
      </c>
      <c r="C1149" t="s">
        <v>112</v>
      </c>
      <c r="D1149" t="s">
        <v>127</v>
      </c>
      <c r="E1149" t="s">
        <v>53</v>
      </c>
      <c r="F1149" t="s">
        <v>114</v>
      </c>
      <c r="G1149">
        <v>112323</v>
      </c>
      <c r="H1149" s="75">
        <v>43986</v>
      </c>
      <c r="I1149" t="s">
        <v>115</v>
      </c>
      <c r="J1149">
        <v>5000</v>
      </c>
      <c r="K1149">
        <v>125.682</v>
      </c>
      <c r="L1149">
        <v>39.782899999999998</v>
      </c>
      <c r="M1149">
        <v>15643.557000000001</v>
      </c>
      <c r="N1149" t="s">
        <v>15</v>
      </c>
    </row>
    <row r="1150" spans="1:15" x14ac:dyDescent="0.2">
      <c r="A1150" t="s">
        <v>125</v>
      </c>
      <c r="B1150" t="s">
        <v>126</v>
      </c>
      <c r="C1150" t="s">
        <v>112</v>
      </c>
      <c r="D1150" t="s">
        <v>127</v>
      </c>
      <c r="E1150" t="s">
        <v>53</v>
      </c>
      <c r="F1150" t="s">
        <v>114</v>
      </c>
      <c r="G1150">
        <v>112323</v>
      </c>
      <c r="H1150" s="75">
        <v>44016</v>
      </c>
      <c r="I1150" t="s">
        <v>115</v>
      </c>
      <c r="J1150">
        <v>5000</v>
      </c>
      <c r="K1150">
        <v>123.69</v>
      </c>
      <c r="L1150">
        <v>40.4236</v>
      </c>
      <c r="M1150">
        <v>15767.246999999999</v>
      </c>
      <c r="N1150" t="s">
        <v>15</v>
      </c>
    </row>
    <row r="1151" spans="1:15" x14ac:dyDescent="0.2">
      <c r="A1151" t="s">
        <v>125</v>
      </c>
      <c r="B1151" t="s">
        <v>126</v>
      </c>
      <c r="C1151" t="s">
        <v>112</v>
      </c>
      <c r="D1151" t="s">
        <v>127</v>
      </c>
      <c r="E1151" t="s">
        <v>53</v>
      </c>
      <c r="F1151" t="s">
        <v>114</v>
      </c>
      <c r="G1151">
        <v>112323</v>
      </c>
      <c r="H1151" s="75">
        <v>44016</v>
      </c>
      <c r="I1151" t="s">
        <v>118</v>
      </c>
      <c r="J1151">
        <v>7883.62</v>
      </c>
      <c r="K1151">
        <v>0</v>
      </c>
      <c r="M1151">
        <v>15767.246999999999</v>
      </c>
      <c r="N1151" t="s">
        <v>19</v>
      </c>
      <c r="O1151">
        <v>7883.62</v>
      </c>
    </row>
    <row r="1152" spans="1:15" x14ac:dyDescent="0.2">
      <c r="A1152" t="s">
        <v>125</v>
      </c>
      <c r="B1152" t="s">
        <v>126</v>
      </c>
      <c r="C1152" t="s">
        <v>112</v>
      </c>
      <c r="D1152" t="s">
        <v>127</v>
      </c>
      <c r="E1152" t="s">
        <v>53</v>
      </c>
      <c r="F1152" t="s">
        <v>114</v>
      </c>
      <c r="G1152">
        <v>112323</v>
      </c>
      <c r="H1152" s="75">
        <v>44046</v>
      </c>
      <c r="I1152" t="s">
        <v>115</v>
      </c>
      <c r="J1152">
        <v>5000</v>
      </c>
      <c r="K1152">
        <v>123.33499999999999</v>
      </c>
      <c r="L1152">
        <v>40.539900000000003</v>
      </c>
      <c r="M1152">
        <v>15890.582</v>
      </c>
      <c r="N1152" t="s">
        <v>15</v>
      </c>
    </row>
    <row r="1153" spans="1:14" x14ac:dyDescent="0.2">
      <c r="A1153" t="s">
        <v>125</v>
      </c>
      <c r="B1153" t="s">
        <v>126</v>
      </c>
      <c r="C1153" t="s">
        <v>112</v>
      </c>
      <c r="D1153" t="s">
        <v>127</v>
      </c>
      <c r="E1153" t="s">
        <v>53</v>
      </c>
      <c r="F1153" t="s">
        <v>114</v>
      </c>
      <c r="G1153">
        <v>112323</v>
      </c>
      <c r="H1153" s="75">
        <v>44046</v>
      </c>
      <c r="I1153" t="s">
        <v>116</v>
      </c>
      <c r="J1153">
        <v>2.5</v>
      </c>
      <c r="K1153">
        <v>0</v>
      </c>
      <c r="M1153">
        <v>15890.582</v>
      </c>
      <c r="N1153" t="s">
        <v>17</v>
      </c>
    </row>
    <row r="1154" spans="1:14" x14ac:dyDescent="0.2">
      <c r="A1154" t="s">
        <v>125</v>
      </c>
      <c r="B1154" t="s">
        <v>126</v>
      </c>
      <c r="C1154" t="s">
        <v>112</v>
      </c>
      <c r="D1154" t="s">
        <v>127</v>
      </c>
      <c r="E1154" t="s">
        <v>53</v>
      </c>
      <c r="F1154" t="s">
        <v>114</v>
      </c>
      <c r="G1154">
        <v>112323</v>
      </c>
      <c r="H1154" s="75">
        <v>44076</v>
      </c>
      <c r="I1154" t="s">
        <v>115</v>
      </c>
      <c r="J1154">
        <v>5000</v>
      </c>
      <c r="K1154">
        <v>120.051</v>
      </c>
      <c r="L1154">
        <v>41.648800000000001</v>
      </c>
      <c r="M1154">
        <v>16010.634</v>
      </c>
      <c r="N1154" t="s">
        <v>15</v>
      </c>
    </row>
    <row r="1155" spans="1:14" x14ac:dyDescent="0.2">
      <c r="A1155" t="s">
        <v>125</v>
      </c>
      <c r="B1155" t="s">
        <v>126</v>
      </c>
      <c r="C1155" t="s">
        <v>112</v>
      </c>
      <c r="D1155" t="s">
        <v>127</v>
      </c>
      <c r="E1155" t="s">
        <v>53</v>
      </c>
      <c r="F1155" t="s">
        <v>114</v>
      </c>
      <c r="G1155">
        <v>112323</v>
      </c>
      <c r="H1155" s="75">
        <v>44106</v>
      </c>
      <c r="I1155" t="s">
        <v>115</v>
      </c>
      <c r="J1155">
        <v>5000</v>
      </c>
      <c r="K1155">
        <v>117.76600000000001</v>
      </c>
      <c r="L1155">
        <v>42.457000000000001</v>
      </c>
      <c r="M1155">
        <v>16128.4</v>
      </c>
      <c r="N1155" t="s">
        <v>15</v>
      </c>
    </row>
    <row r="1156" spans="1:14" x14ac:dyDescent="0.2">
      <c r="A1156" t="s">
        <v>125</v>
      </c>
      <c r="B1156" t="s">
        <v>126</v>
      </c>
      <c r="C1156" t="s">
        <v>112</v>
      </c>
      <c r="D1156" t="s">
        <v>127</v>
      </c>
      <c r="E1156" t="s">
        <v>53</v>
      </c>
      <c r="F1156" t="s">
        <v>114</v>
      </c>
      <c r="G1156">
        <v>112323</v>
      </c>
      <c r="H1156" s="75">
        <v>44136</v>
      </c>
      <c r="I1156" t="s">
        <v>115</v>
      </c>
      <c r="J1156">
        <v>5000</v>
      </c>
      <c r="K1156">
        <v>114.36199999999999</v>
      </c>
      <c r="L1156">
        <v>43.720700000000001</v>
      </c>
      <c r="M1156">
        <v>16242.762000000001</v>
      </c>
      <c r="N1156" t="s">
        <v>15</v>
      </c>
    </row>
    <row r="1157" spans="1:14" x14ac:dyDescent="0.2">
      <c r="A1157" t="s">
        <v>125</v>
      </c>
      <c r="B1157" t="s">
        <v>126</v>
      </c>
      <c r="C1157" t="s">
        <v>112</v>
      </c>
      <c r="D1157" t="s">
        <v>127</v>
      </c>
      <c r="E1157" t="s">
        <v>53</v>
      </c>
      <c r="F1157" t="s">
        <v>114</v>
      </c>
      <c r="G1157">
        <v>112323</v>
      </c>
      <c r="H1157" s="75">
        <v>44166</v>
      </c>
      <c r="I1157" t="s">
        <v>115</v>
      </c>
      <c r="J1157">
        <v>5000</v>
      </c>
      <c r="K1157">
        <v>111.94499999999999</v>
      </c>
      <c r="L1157">
        <v>44.664900000000003</v>
      </c>
      <c r="M1157">
        <v>16354.707</v>
      </c>
      <c r="N1157" t="s">
        <v>15</v>
      </c>
    </row>
    <row r="1158" spans="1:14" x14ac:dyDescent="0.2">
      <c r="A1158" t="s">
        <v>125</v>
      </c>
      <c r="B1158" t="s">
        <v>126</v>
      </c>
      <c r="C1158" t="s">
        <v>112</v>
      </c>
      <c r="D1158" t="s">
        <v>127</v>
      </c>
      <c r="E1158" t="s">
        <v>53</v>
      </c>
      <c r="F1158" t="s">
        <v>114</v>
      </c>
      <c r="G1158">
        <v>112323</v>
      </c>
      <c r="H1158" s="75">
        <v>44196</v>
      </c>
      <c r="I1158" t="s">
        <v>115</v>
      </c>
      <c r="J1158">
        <v>5000</v>
      </c>
      <c r="K1158">
        <v>110.14100000000001</v>
      </c>
      <c r="L1158">
        <v>45.396500000000003</v>
      </c>
      <c r="M1158">
        <v>16464.848000000002</v>
      </c>
      <c r="N1158" t="s">
        <v>15</v>
      </c>
    </row>
    <row r="1159" spans="1:14" x14ac:dyDescent="0.2">
      <c r="A1159" t="s">
        <v>125</v>
      </c>
      <c r="B1159" t="s">
        <v>126</v>
      </c>
      <c r="C1159" t="s">
        <v>112</v>
      </c>
      <c r="D1159" t="s">
        <v>127</v>
      </c>
      <c r="E1159" t="s">
        <v>53</v>
      </c>
      <c r="F1159" t="s">
        <v>114</v>
      </c>
      <c r="G1159">
        <v>112323</v>
      </c>
      <c r="H1159" s="75">
        <v>44226</v>
      </c>
      <c r="I1159" t="s">
        <v>115</v>
      </c>
      <c r="J1159">
        <v>5000</v>
      </c>
      <c r="K1159">
        <v>108.30500000000001</v>
      </c>
      <c r="L1159">
        <v>46.165999999999997</v>
      </c>
      <c r="M1159">
        <v>16573.151999999998</v>
      </c>
      <c r="N1159" t="s">
        <v>15</v>
      </c>
    </row>
    <row r="1160" spans="1:14" x14ac:dyDescent="0.2">
      <c r="A1160" t="s">
        <v>125</v>
      </c>
      <c r="B1160" t="s">
        <v>126</v>
      </c>
      <c r="C1160" t="s">
        <v>112</v>
      </c>
      <c r="D1160" t="s">
        <v>127</v>
      </c>
      <c r="E1160" t="s">
        <v>53</v>
      </c>
      <c r="F1160" t="s">
        <v>114</v>
      </c>
      <c r="G1160">
        <v>112323</v>
      </c>
      <c r="H1160" s="75">
        <v>44226</v>
      </c>
      <c r="I1160" t="s">
        <v>116</v>
      </c>
      <c r="J1160">
        <v>2.5</v>
      </c>
      <c r="K1160">
        <v>0</v>
      </c>
      <c r="M1160">
        <v>16573.151999999998</v>
      </c>
      <c r="N1160" t="s">
        <v>17</v>
      </c>
    </row>
    <row r="1161" spans="1:14" x14ac:dyDescent="0.2">
      <c r="A1161" t="s">
        <v>125</v>
      </c>
      <c r="B1161" t="s">
        <v>126</v>
      </c>
      <c r="C1161" t="s">
        <v>112</v>
      </c>
      <c r="D1161" t="s">
        <v>127</v>
      </c>
      <c r="E1161" t="s">
        <v>53</v>
      </c>
      <c r="F1161" t="s">
        <v>114</v>
      </c>
      <c r="G1161">
        <v>112323</v>
      </c>
      <c r="H1161" s="75">
        <v>44256</v>
      </c>
      <c r="I1161" t="s">
        <v>115</v>
      </c>
      <c r="J1161">
        <v>5000</v>
      </c>
      <c r="K1161">
        <v>108.68</v>
      </c>
      <c r="L1161">
        <v>46.006599999999999</v>
      </c>
      <c r="M1161">
        <v>16681.832999999999</v>
      </c>
      <c r="N1161" t="s">
        <v>15</v>
      </c>
    </row>
    <row r="1162" spans="1:14" x14ac:dyDescent="0.2">
      <c r="A1162" t="s">
        <v>125</v>
      </c>
      <c r="B1162" t="s">
        <v>126</v>
      </c>
      <c r="C1162" t="s">
        <v>112</v>
      </c>
      <c r="D1162" t="s">
        <v>127</v>
      </c>
      <c r="E1162" t="s">
        <v>53</v>
      </c>
      <c r="F1162" t="s">
        <v>114</v>
      </c>
      <c r="G1162">
        <v>112323</v>
      </c>
      <c r="H1162" s="75">
        <v>44286</v>
      </c>
      <c r="I1162" t="s">
        <v>115</v>
      </c>
      <c r="J1162">
        <v>5000</v>
      </c>
      <c r="K1162">
        <v>105.92100000000001</v>
      </c>
      <c r="L1162">
        <v>47.205100000000002</v>
      </c>
      <c r="M1162">
        <v>16787.753000000001</v>
      </c>
      <c r="N1162" t="s">
        <v>15</v>
      </c>
    </row>
    <row r="1163" spans="1:14" x14ac:dyDescent="0.2">
      <c r="A1163" t="s">
        <v>125</v>
      </c>
      <c r="B1163" t="s">
        <v>126</v>
      </c>
      <c r="C1163" t="s">
        <v>112</v>
      </c>
      <c r="D1163" t="s">
        <v>127</v>
      </c>
      <c r="E1163" t="s">
        <v>53</v>
      </c>
      <c r="F1163" t="s">
        <v>114</v>
      </c>
      <c r="G1163">
        <v>112323</v>
      </c>
      <c r="H1163" s="75">
        <v>44316</v>
      </c>
      <c r="I1163" t="s">
        <v>115</v>
      </c>
      <c r="J1163">
        <v>5000</v>
      </c>
      <c r="K1163">
        <v>107.504</v>
      </c>
      <c r="L1163">
        <v>46.51</v>
      </c>
      <c r="M1163">
        <v>16895.257000000001</v>
      </c>
      <c r="N1163" t="s">
        <v>15</v>
      </c>
    </row>
    <row r="1164" spans="1:14" x14ac:dyDescent="0.2">
      <c r="A1164" t="s">
        <v>125</v>
      </c>
      <c r="B1164" t="s">
        <v>126</v>
      </c>
      <c r="C1164" t="s">
        <v>112</v>
      </c>
      <c r="D1164" t="s">
        <v>127</v>
      </c>
      <c r="E1164" t="s">
        <v>53</v>
      </c>
      <c r="F1164" t="s">
        <v>114</v>
      </c>
      <c r="G1164">
        <v>112323</v>
      </c>
      <c r="H1164" s="75">
        <v>44346</v>
      </c>
      <c r="I1164" t="s">
        <v>115</v>
      </c>
      <c r="J1164">
        <v>5000</v>
      </c>
      <c r="K1164">
        <v>105.571</v>
      </c>
      <c r="L1164">
        <v>47.361499999999999</v>
      </c>
      <c r="M1164">
        <v>17000.828000000001</v>
      </c>
      <c r="N1164" t="s">
        <v>15</v>
      </c>
    </row>
    <row r="1165" spans="1:14" x14ac:dyDescent="0.2">
      <c r="A1165" t="s">
        <v>125</v>
      </c>
      <c r="B1165" t="s">
        <v>126</v>
      </c>
      <c r="C1165" t="s">
        <v>112</v>
      </c>
      <c r="D1165" t="s">
        <v>127</v>
      </c>
      <c r="E1165" t="s">
        <v>53</v>
      </c>
      <c r="F1165" t="s">
        <v>114</v>
      </c>
      <c r="G1165">
        <v>112323</v>
      </c>
      <c r="H1165" s="75">
        <v>44376</v>
      </c>
      <c r="I1165" t="s">
        <v>115</v>
      </c>
      <c r="J1165">
        <v>5000</v>
      </c>
      <c r="K1165">
        <v>105.535</v>
      </c>
      <c r="L1165">
        <v>47.377800000000001</v>
      </c>
      <c r="M1165">
        <v>17106.363000000001</v>
      </c>
      <c r="N1165" t="s">
        <v>15</v>
      </c>
    </row>
    <row r="1166" spans="1:14" x14ac:dyDescent="0.2">
      <c r="A1166" t="s">
        <v>125</v>
      </c>
      <c r="B1166" t="s">
        <v>126</v>
      </c>
      <c r="C1166" t="s">
        <v>112</v>
      </c>
      <c r="D1166" t="s">
        <v>127</v>
      </c>
      <c r="E1166" t="s">
        <v>53</v>
      </c>
      <c r="F1166" t="s">
        <v>114</v>
      </c>
      <c r="G1166">
        <v>112323</v>
      </c>
      <c r="H1166" s="75">
        <v>44406</v>
      </c>
      <c r="I1166" t="s">
        <v>115</v>
      </c>
      <c r="J1166">
        <v>5000</v>
      </c>
      <c r="K1166">
        <v>107.002</v>
      </c>
      <c r="L1166">
        <v>46.727899999999998</v>
      </c>
      <c r="M1166">
        <v>17213.365000000002</v>
      </c>
      <c r="N1166" t="s">
        <v>15</v>
      </c>
    </row>
    <row r="1167" spans="1:14" x14ac:dyDescent="0.2">
      <c r="A1167" t="s">
        <v>125</v>
      </c>
      <c r="B1167" t="s">
        <v>126</v>
      </c>
      <c r="C1167" t="s">
        <v>112</v>
      </c>
      <c r="D1167" t="s">
        <v>127</v>
      </c>
      <c r="E1167" t="s">
        <v>53</v>
      </c>
      <c r="F1167" t="s">
        <v>114</v>
      </c>
      <c r="G1167">
        <v>112323</v>
      </c>
      <c r="H1167" s="75">
        <v>44436</v>
      </c>
      <c r="I1167" t="s">
        <v>115</v>
      </c>
      <c r="J1167">
        <v>5000</v>
      </c>
      <c r="K1167">
        <v>107.307</v>
      </c>
      <c r="L1167">
        <v>46.595399999999998</v>
      </c>
      <c r="M1167">
        <v>17320.671999999999</v>
      </c>
      <c r="N1167" t="s">
        <v>15</v>
      </c>
    </row>
    <row r="1168" spans="1:14" x14ac:dyDescent="0.2">
      <c r="A1168" t="s">
        <v>125</v>
      </c>
      <c r="B1168" t="s">
        <v>126</v>
      </c>
      <c r="C1168" t="s">
        <v>112</v>
      </c>
      <c r="D1168" t="s">
        <v>127</v>
      </c>
      <c r="E1168" t="s">
        <v>53</v>
      </c>
      <c r="F1168" t="s">
        <v>114</v>
      </c>
      <c r="G1168">
        <v>112323</v>
      </c>
      <c r="H1168" s="75">
        <v>44466</v>
      </c>
      <c r="I1168" t="s">
        <v>115</v>
      </c>
      <c r="J1168">
        <v>5000</v>
      </c>
      <c r="K1168">
        <v>108.18300000000001</v>
      </c>
      <c r="L1168">
        <v>46.217799999999997</v>
      </c>
      <c r="M1168">
        <v>17428.855</v>
      </c>
      <c r="N1168" t="s">
        <v>15</v>
      </c>
    </row>
    <row r="1169" spans="1:15" x14ac:dyDescent="0.2">
      <c r="A1169" t="s">
        <v>125</v>
      </c>
      <c r="B1169" t="s">
        <v>126</v>
      </c>
      <c r="C1169" t="s">
        <v>112</v>
      </c>
      <c r="D1169" t="s">
        <v>127</v>
      </c>
      <c r="E1169" t="s">
        <v>53</v>
      </c>
      <c r="F1169" t="s">
        <v>114</v>
      </c>
      <c r="G1169">
        <v>112323</v>
      </c>
      <c r="H1169" s="75">
        <v>44496</v>
      </c>
      <c r="I1169" t="s">
        <v>115</v>
      </c>
      <c r="J1169">
        <v>5000</v>
      </c>
      <c r="K1169">
        <v>108.96</v>
      </c>
      <c r="L1169">
        <v>45.888399999999997</v>
      </c>
      <c r="M1169">
        <v>17537.814999999999</v>
      </c>
      <c r="N1169" t="s">
        <v>15</v>
      </c>
    </row>
    <row r="1170" spans="1:15" x14ac:dyDescent="0.2">
      <c r="A1170" t="s">
        <v>125</v>
      </c>
      <c r="B1170" t="s">
        <v>126</v>
      </c>
      <c r="C1170" t="s">
        <v>112</v>
      </c>
      <c r="D1170" t="s">
        <v>127</v>
      </c>
      <c r="E1170" t="s">
        <v>53</v>
      </c>
      <c r="F1170" t="s">
        <v>114</v>
      </c>
      <c r="G1170">
        <v>112323</v>
      </c>
      <c r="H1170" s="75">
        <v>44526</v>
      </c>
      <c r="I1170" t="s">
        <v>115</v>
      </c>
      <c r="J1170">
        <v>5000</v>
      </c>
      <c r="K1170">
        <v>108.98</v>
      </c>
      <c r="L1170">
        <v>45.879899999999999</v>
      </c>
      <c r="M1170">
        <v>17646.794999999998</v>
      </c>
      <c r="N1170" t="s">
        <v>15</v>
      </c>
    </row>
    <row r="1171" spans="1:15" x14ac:dyDescent="0.2">
      <c r="A1171" t="s">
        <v>125</v>
      </c>
      <c r="B1171" t="s">
        <v>126</v>
      </c>
      <c r="C1171" t="s">
        <v>112</v>
      </c>
      <c r="D1171" t="s">
        <v>127</v>
      </c>
      <c r="E1171" t="s">
        <v>53</v>
      </c>
      <c r="F1171" t="s">
        <v>114</v>
      </c>
      <c r="G1171">
        <v>112323</v>
      </c>
      <c r="H1171" s="75">
        <v>44556</v>
      </c>
      <c r="I1171" t="s">
        <v>115</v>
      </c>
      <c r="J1171">
        <v>5000</v>
      </c>
      <c r="K1171">
        <v>109.202</v>
      </c>
      <c r="L1171">
        <v>45.786499999999997</v>
      </c>
      <c r="M1171">
        <v>17755.998</v>
      </c>
      <c r="N1171" t="s">
        <v>15</v>
      </c>
    </row>
    <row r="1172" spans="1:15" x14ac:dyDescent="0.2">
      <c r="A1172" t="s">
        <v>125</v>
      </c>
      <c r="B1172" t="s">
        <v>126</v>
      </c>
      <c r="C1172" t="s">
        <v>112</v>
      </c>
      <c r="D1172" t="s">
        <v>127</v>
      </c>
      <c r="E1172" t="s">
        <v>53</v>
      </c>
      <c r="F1172" t="s">
        <v>114</v>
      </c>
      <c r="G1172">
        <v>112323</v>
      </c>
      <c r="H1172" s="75">
        <v>44586</v>
      </c>
      <c r="I1172" t="s">
        <v>128</v>
      </c>
      <c r="J1172">
        <v>-812985.77</v>
      </c>
      <c r="K1172">
        <v>-17755.998</v>
      </c>
      <c r="L1172">
        <v>45.786499999999997</v>
      </c>
      <c r="M1172">
        <v>0</v>
      </c>
      <c r="N1172" t="s">
        <v>16</v>
      </c>
    </row>
    <row r="1173" spans="1:15" x14ac:dyDescent="0.2">
      <c r="A1173" t="s">
        <v>18</v>
      </c>
      <c r="B1173" t="s">
        <v>129</v>
      </c>
      <c r="C1173" t="s">
        <v>130</v>
      </c>
      <c r="D1173" t="s">
        <v>113</v>
      </c>
      <c r="E1173" t="s">
        <v>53</v>
      </c>
      <c r="F1173" t="s">
        <v>114</v>
      </c>
      <c r="G1173">
        <v>119062</v>
      </c>
      <c r="H1173" s="75">
        <v>40297</v>
      </c>
      <c r="I1173" t="s">
        <v>115</v>
      </c>
      <c r="J1173">
        <v>5000</v>
      </c>
      <c r="K1173">
        <v>249.52199999999999</v>
      </c>
      <c r="L1173">
        <v>20.0383</v>
      </c>
      <c r="M1173">
        <v>249.52199999999999</v>
      </c>
      <c r="N1173" t="s">
        <v>15</v>
      </c>
    </row>
    <row r="1174" spans="1:15" x14ac:dyDescent="0.2">
      <c r="A1174" t="s">
        <v>18</v>
      </c>
      <c r="B1174" t="s">
        <v>129</v>
      </c>
      <c r="C1174" t="s">
        <v>130</v>
      </c>
      <c r="D1174" t="s">
        <v>113</v>
      </c>
      <c r="E1174" t="s">
        <v>53</v>
      </c>
      <c r="F1174" t="s">
        <v>114</v>
      </c>
      <c r="G1174">
        <v>119062</v>
      </c>
      <c r="H1174" s="75">
        <v>40327</v>
      </c>
      <c r="I1174" t="s">
        <v>115</v>
      </c>
      <c r="J1174">
        <v>5000</v>
      </c>
      <c r="K1174">
        <v>242.34899999999999</v>
      </c>
      <c r="L1174">
        <v>20.631399999999999</v>
      </c>
      <c r="M1174">
        <v>491.87099999999998</v>
      </c>
      <c r="N1174" t="s">
        <v>15</v>
      </c>
    </row>
    <row r="1175" spans="1:15" x14ac:dyDescent="0.2">
      <c r="A1175" t="s">
        <v>18</v>
      </c>
      <c r="B1175" t="s">
        <v>129</v>
      </c>
      <c r="C1175" t="s">
        <v>130</v>
      </c>
      <c r="D1175" t="s">
        <v>113</v>
      </c>
      <c r="E1175" t="s">
        <v>53</v>
      </c>
      <c r="F1175" t="s">
        <v>114</v>
      </c>
      <c r="G1175">
        <v>119062</v>
      </c>
      <c r="H1175" s="75">
        <v>40357</v>
      </c>
      <c r="I1175" t="s">
        <v>115</v>
      </c>
      <c r="J1175">
        <v>5000</v>
      </c>
      <c r="K1175">
        <v>239.93899999999999</v>
      </c>
      <c r="L1175">
        <v>20.838699999999999</v>
      </c>
      <c r="M1175">
        <v>731.80899999999997</v>
      </c>
      <c r="N1175" t="s">
        <v>15</v>
      </c>
    </row>
    <row r="1176" spans="1:15" x14ac:dyDescent="0.2">
      <c r="A1176" t="s">
        <v>18</v>
      </c>
      <c r="B1176" t="s">
        <v>129</v>
      </c>
      <c r="C1176" t="s">
        <v>130</v>
      </c>
      <c r="D1176" t="s">
        <v>113</v>
      </c>
      <c r="E1176" t="s">
        <v>53</v>
      </c>
      <c r="F1176" t="s">
        <v>114</v>
      </c>
      <c r="G1176">
        <v>119062</v>
      </c>
      <c r="H1176" s="75">
        <v>40387</v>
      </c>
      <c r="I1176" t="s">
        <v>115</v>
      </c>
      <c r="J1176">
        <v>5000</v>
      </c>
      <c r="K1176">
        <v>233.12200000000001</v>
      </c>
      <c r="L1176">
        <v>21.448</v>
      </c>
      <c r="M1176">
        <v>964.93100000000004</v>
      </c>
      <c r="N1176" t="s">
        <v>15</v>
      </c>
    </row>
    <row r="1177" spans="1:15" x14ac:dyDescent="0.2">
      <c r="A1177" t="s">
        <v>18</v>
      </c>
      <c r="B1177" t="s">
        <v>129</v>
      </c>
      <c r="C1177" t="s">
        <v>130</v>
      </c>
      <c r="D1177" t="s">
        <v>113</v>
      </c>
      <c r="E1177" t="s">
        <v>53</v>
      </c>
      <c r="F1177" t="s">
        <v>114</v>
      </c>
      <c r="G1177">
        <v>119062</v>
      </c>
      <c r="H1177" s="75">
        <v>40417</v>
      </c>
      <c r="I1177" t="s">
        <v>115</v>
      </c>
      <c r="J1177">
        <v>5000</v>
      </c>
      <c r="K1177">
        <v>237.774</v>
      </c>
      <c r="L1177">
        <v>21.028400000000001</v>
      </c>
      <c r="M1177">
        <v>1202.7049999999999</v>
      </c>
      <c r="N1177" t="s">
        <v>15</v>
      </c>
    </row>
    <row r="1178" spans="1:15" x14ac:dyDescent="0.2">
      <c r="A1178" t="s">
        <v>18</v>
      </c>
      <c r="B1178" t="s">
        <v>129</v>
      </c>
      <c r="C1178" t="s">
        <v>130</v>
      </c>
      <c r="D1178" t="s">
        <v>113</v>
      </c>
      <c r="E1178" t="s">
        <v>53</v>
      </c>
      <c r="F1178" t="s">
        <v>114</v>
      </c>
      <c r="G1178">
        <v>119062</v>
      </c>
      <c r="H1178" s="75">
        <v>40417</v>
      </c>
      <c r="I1178" t="s">
        <v>118</v>
      </c>
      <c r="J1178">
        <v>601.35</v>
      </c>
      <c r="K1178">
        <v>0</v>
      </c>
      <c r="M1178">
        <v>1202.7049999999999</v>
      </c>
      <c r="N1178" t="s">
        <v>19</v>
      </c>
      <c r="O1178">
        <v>601.35</v>
      </c>
    </row>
    <row r="1179" spans="1:15" x14ac:dyDescent="0.2">
      <c r="A1179" t="s">
        <v>18</v>
      </c>
      <c r="B1179" t="s">
        <v>129</v>
      </c>
      <c r="C1179" t="s">
        <v>130</v>
      </c>
      <c r="D1179" t="s">
        <v>113</v>
      </c>
      <c r="E1179" t="s">
        <v>53</v>
      </c>
      <c r="F1179" t="s">
        <v>114</v>
      </c>
      <c r="G1179">
        <v>119062</v>
      </c>
      <c r="H1179" s="75">
        <v>40447</v>
      </c>
      <c r="I1179" t="s">
        <v>115</v>
      </c>
      <c r="J1179">
        <v>5000</v>
      </c>
      <c r="K1179">
        <v>231.12200000000001</v>
      </c>
      <c r="L1179">
        <v>21.633600000000001</v>
      </c>
      <c r="M1179">
        <v>1433.827</v>
      </c>
      <c r="N1179" t="s">
        <v>15</v>
      </c>
    </row>
    <row r="1180" spans="1:15" x14ac:dyDescent="0.2">
      <c r="A1180" t="s">
        <v>18</v>
      </c>
      <c r="B1180" t="s">
        <v>129</v>
      </c>
      <c r="C1180" t="s">
        <v>130</v>
      </c>
      <c r="D1180" t="s">
        <v>113</v>
      </c>
      <c r="E1180" t="s">
        <v>53</v>
      </c>
      <c r="F1180" t="s">
        <v>114</v>
      </c>
      <c r="G1180">
        <v>119062</v>
      </c>
      <c r="H1180" s="75">
        <v>40477</v>
      </c>
      <c r="I1180" t="s">
        <v>115</v>
      </c>
      <c r="J1180">
        <v>5000</v>
      </c>
      <c r="K1180">
        <v>235.69900000000001</v>
      </c>
      <c r="L1180">
        <v>21.2135</v>
      </c>
      <c r="M1180">
        <v>1669.527</v>
      </c>
      <c r="N1180" t="s">
        <v>15</v>
      </c>
    </row>
    <row r="1181" spans="1:15" x14ac:dyDescent="0.2">
      <c r="A1181" t="s">
        <v>18</v>
      </c>
      <c r="B1181" t="s">
        <v>129</v>
      </c>
      <c r="C1181" t="s">
        <v>130</v>
      </c>
      <c r="D1181" t="s">
        <v>113</v>
      </c>
      <c r="E1181" t="s">
        <v>53</v>
      </c>
      <c r="F1181" t="s">
        <v>114</v>
      </c>
      <c r="G1181">
        <v>119062</v>
      </c>
      <c r="H1181" s="75">
        <v>40507</v>
      </c>
      <c r="I1181" t="s">
        <v>115</v>
      </c>
      <c r="J1181">
        <v>5000</v>
      </c>
      <c r="K1181">
        <v>239.83600000000001</v>
      </c>
      <c r="L1181">
        <v>20.8476</v>
      </c>
      <c r="M1181">
        <v>1909.3630000000001</v>
      </c>
      <c r="N1181" t="s">
        <v>15</v>
      </c>
    </row>
    <row r="1182" spans="1:15" x14ac:dyDescent="0.2">
      <c r="A1182" t="s">
        <v>18</v>
      </c>
      <c r="B1182" t="s">
        <v>129</v>
      </c>
      <c r="C1182" t="s">
        <v>130</v>
      </c>
      <c r="D1182" t="s">
        <v>113</v>
      </c>
      <c r="E1182" t="s">
        <v>53</v>
      </c>
      <c r="F1182" t="s">
        <v>114</v>
      </c>
      <c r="G1182">
        <v>119062</v>
      </c>
      <c r="H1182" s="75">
        <v>40537</v>
      </c>
      <c r="I1182" t="s">
        <v>115</v>
      </c>
      <c r="J1182">
        <v>5000</v>
      </c>
      <c r="K1182">
        <v>243.30699999999999</v>
      </c>
      <c r="L1182">
        <v>20.5502</v>
      </c>
      <c r="M1182">
        <v>2152.67</v>
      </c>
      <c r="N1182" t="s">
        <v>15</v>
      </c>
    </row>
    <row r="1183" spans="1:15" x14ac:dyDescent="0.2">
      <c r="A1183" t="s">
        <v>18</v>
      </c>
      <c r="B1183" t="s">
        <v>129</v>
      </c>
      <c r="C1183" t="s">
        <v>130</v>
      </c>
      <c r="D1183" t="s">
        <v>113</v>
      </c>
      <c r="E1183" t="s">
        <v>53</v>
      </c>
      <c r="F1183" t="s">
        <v>114</v>
      </c>
      <c r="G1183">
        <v>119062</v>
      </c>
      <c r="H1183" s="75">
        <v>40567</v>
      </c>
      <c r="I1183" t="s">
        <v>115</v>
      </c>
      <c r="J1183">
        <v>5000</v>
      </c>
      <c r="K1183">
        <v>248.23400000000001</v>
      </c>
      <c r="L1183">
        <v>20.142299999999999</v>
      </c>
      <c r="M1183">
        <v>2400.9029999999998</v>
      </c>
      <c r="N1183" t="s">
        <v>15</v>
      </c>
    </row>
    <row r="1184" spans="1:15" x14ac:dyDescent="0.2">
      <c r="A1184" t="s">
        <v>18</v>
      </c>
      <c r="B1184" t="s">
        <v>129</v>
      </c>
      <c r="C1184" t="s">
        <v>130</v>
      </c>
      <c r="D1184" t="s">
        <v>113</v>
      </c>
      <c r="E1184" t="s">
        <v>53</v>
      </c>
      <c r="F1184" t="s">
        <v>114</v>
      </c>
      <c r="G1184">
        <v>119062</v>
      </c>
      <c r="H1184" s="75">
        <v>40597</v>
      </c>
      <c r="I1184" t="s">
        <v>115</v>
      </c>
      <c r="J1184">
        <v>5000</v>
      </c>
      <c r="K1184">
        <v>241.40199999999999</v>
      </c>
      <c r="L1184">
        <v>20.712399999999999</v>
      </c>
      <c r="M1184">
        <v>2642.3049999999998</v>
      </c>
      <c r="N1184" t="s">
        <v>15</v>
      </c>
    </row>
    <row r="1185" spans="1:14" x14ac:dyDescent="0.2">
      <c r="A1185" t="s">
        <v>18</v>
      </c>
      <c r="B1185" t="s">
        <v>129</v>
      </c>
      <c r="C1185" t="s">
        <v>130</v>
      </c>
      <c r="D1185" t="s">
        <v>113</v>
      </c>
      <c r="E1185" t="s">
        <v>53</v>
      </c>
      <c r="F1185" t="s">
        <v>114</v>
      </c>
      <c r="G1185">
        <v>119062</v>
      </c>
      <c r="H1185" s="75">
        <v>40627</v>
      </c>
      <c r="I1185" t="s">
        <v>115</v>
      </c>
      <c r="J1185">
        <v>5000</v>
      </c>
      <c r="K1185">
        <v>241.173</v>
      </c>
      <c r="L1185">
        <v>20.731999999999999</v>
      </c>
      <c r="M1185">
        <v>2883.4780000000001</v>
      </c>
      <c r="N1185" t="s">
        <v>15</v>
      </c>
    </row>
    <row r="1186" spans="1:14" x14ac:dyDescent="0.2">
      <c r="A1186" t="s">
        <v>18</v>
      </c>
      <c r="B1186" t="s">
        <v>129</v>
      </c>
      <c r="C1186" t="s">
        <v>130</v>
      </c>
      <c r="D1186" t="s">
        <v>113</v>
      </c>
      <c r="E1186" t="s">
        <v>53</v>
      </c>
      <c r="F1186" t="s">
        <v>114</v>
      </c>
      <c r="G1186">
        <v>119062</v>
      </c>
      <c r="H1186" s="75">
        <v>40657</v>
      </c>
      <c r="I1186" t="s">
        <v>115</v>
      </c>
      <c r="J1186">
        <v>5000</v>
      </c>
      <c r="K1186">
        <v>238.83199999999999</v>
      </c>
      <c r="L1186">
        <v>20.935199999999998</v>
      </c>
      <c r="M1186">
        <v>3122.3090000000002</v>
      </c>
      <c r="N1186" t="s">
        <v>15</v>
      </c>
    </row>
    <row r="1187" spans="1:14" x14ac:dyDescent="0.2">
      <c r="A1187" t="s">
        <v>18</v>
      </c>
      <c r="B1187" t="s">
        <v>129</v>
      </c>
      <c r="C1187" t="s">
        <v>130</v>
      </c>
      <c r="D1187" t="s">
        <v>113</v>
      </c>
      <c r="E1187" t="s">
        <v>53</v>
      </c>
      <c r="F1187" t="s">
        <v>114</v>
      </c>
      <c r="G1187">
        <v>119062</v>
      </c>
      <c r="H1187" s="75">
        <v>40687</v>
      </c>
      <c r="I1187" t="s">
        <v>115</v>
      </c>
      <c r="J1187">
        <v>5000</v>
      </c>
      <c r="K1187">
        <v>239.34399999999999</v>
      </c>
      <c r="L1187">
        <v>20.8904</v>
      </c>
      <c r="M1187">
        <v>3361.654</v>
      </c>
      <c r="N1187" t="s">
        <v>15</v>
      </c>
    </row>
    <row r="1188" spans="1:14" x14ac:dyDescent="0.2">
      <c r="A1188" t="s">
        <v>18</v>
      </c>
      <c r="B1188" t="s">
        <v>129</v>
      </c>
      <c r="C1188" t="s">
        <v>130</v>
      </c>
      <c r="D1188" t="s">
        <v>113</v>
      </c>
      <c r="E1188" t="s">
        <v>53</v>
      </c>
      <c r="F1188" t="s">
        <v>114</v>
      </c>
      <c r="G1188">
        <v>119062</v>
      </c>
      <c r="H1188" s="75">
        <v>40717</v>
      </c>
      <c r="I1188" t="s">
        <v>115</v>
      </c>
      <c r="J1188">
        <v>5000</v>
      </c>
      <c r="K1188">
        <v>240.98699999999999</v>
      </c>
      <c r="L1188">
        <v>20.748000000000001</v>
      </c>
      <c r="M1188">
        <v>3602.64</v>
      </c>
      <c r="N1188" t="s">
        <v>15</v>
      </c>
    </row>
    <row r="1189" spans="1:14" x14ac:dyDescent="0.2">
      <c r="A1189" t="s">
        <v>18</v>
      </c>
      <c r="B1189" t="s">
        <v>129</v>
      </c>
      <c r="C1189" t="s">
        <v>130</v>
      </c>
      <c r="D1189" t="s">
        <v>113</v>
      </c>
      <c r="E1189" t="s">
        <v>53</v>
      </c>
      <c r="F1189" t="s">
        <v>114</v>
      </c>
      <c r="G1189">
        <v>119062</v>
      </c>
      <c r="H1189" s="75">
        <v>40747</v>
      </c>
      <c r="I1189" t="s">
        <v>115</v>
      </c>
      <c r="J1189">
        <v>5000</v>
      </c>
      <c r="K1189">
        <v>240.703</v>
      </c>
      <c r="L1189">
        <v>20.772500000000001</v>
      </c>
      <c r="M1189">
        <v>3843.3429999999998</v>
      </c>
      <c r="N1189" t="s">
        <v>15</v>
      </c>
    </row>
    <row r="1190" spans="1:14" x14ac:dyDescent="0.2">
      <c r="A1190" t="s">
        <v>18</v>
      </c>
      <c r="B1190" t="s">
        <v>129</v>
      </c>
      <c r="C1190" t="s">
        <v>130</v>
      </c>
      <c r="D1190" t="s">
        <v>113</v>
      </c>
      <c r="E1190" t="s">
        <v>53</v>
      </c>
      <c r="F1190" t="s">
        <v>114</v>
      </c>
      <c r="G1190">
        <v>119062</v>
      </c>
      <c r="H1190" s="75">
        <v>40777</v>
      </c>
      <c r="I1190" t="s">
        <v>115</v>
      </c>
      <c r="J1190">
        <v>5000</v>
      </c>
      <c r="K1190">
        <v>237.14099999999999</v>
      </c>
      <c r="L1190">
        <v>21.084499999999998</v>
      </c>
      <c r="M1190">
        <v>4080.4839999999999</v>
      </c>
      <c r="N1190" t="s">
        <v>15</v>
      </c>
    </row>
    <row r="1191" spans="1:14" x14ac:dyDescent="0.2">
      <c r="A1191" t="s">
        <v>18</v>
      </c>
      <c r="B1191" t="s">
        <v>129</v>
      </c>
      <c r="C1191" t="s">
        <v>130</v>
      </c>
      <c r="D1191" t="s">
        <v>113</v>
      </c>
      <c r="E1191" t="s">
        <v>53</v>
      </c>
      <c r="F1191" t="s">
        <v>114</v>
      </c>
      <c r="G1191">
        <v>119062</v>
      </c>
      <c r="H1191" s="75">
        <v>40807</v>
      </c>
      <c r="I1191" t="s">
        <v>115</v>
      </c>
      <c r="J1191">
        <v>5000</v>
      </c>
      <c r="K1191">
        <v>239.386</v>
      </c>
      <c r="L1191">
        <v>20.886800000000001</v>
      </c>
      <c r="M1191">
        <v>4319.87</v>
      </c>
      <c r="N1191" t="s">
        <v>15</v>
      </c>
    </row>
    <row r="1192" spans="1:14" x14ac:dyDescent="0.2">
      <c r="A1192" t="s">
        <v>18</v>
      </c>
      <c r="B1192" t="s">
        <v>129</v>
      </c>
      <c r="C1192" t="s">
        <v>130</v>
      </c>
      <c r="D1192" t="s">
        <v>113</v>
      </c>
      <c r="E1192" t="s">
        <v>53</v>
      </c>
      <c r="F1192" t="s">
        <v>114</v>
      </c>
      <c r="G1192">
        <v>119062</v>
      </c>
      <c r="H1192" s="75">
        <v>40807</v>
      </c>
      <c r="I1192" t="s">
        <v>117</v>
      </c>
      <c r="J1192">
        <v>2.5</v>
      </c>
      <c r="K1192">
        <v>0</v>
      </c>
      <c r="M1192">
        <v>4319.87</v>
      </c>
      <c r="N1192" t="s">
        <v>46</v>
      </c>
    </row>
    <row r="1193" spans="1:14" x14ac:dyDescent="0.2">
      <c r="A1193" t="s">
        <v>18</v>
      </c>
      <c r="B1193" t="s">
        <v>129</v>
      </c>
      <c r="C1193" t="s">
        <v>130</v>
      </c>
      <c r="D1193" t="s">
        <v>113</v>
      </c>
      <c r="E1193" t="s">
        <v>53</v>
      </c>
      <c r="F1193" t="s">
        <v>114</v>
      </c>
      <c r="G1193">
        <v>119062</v>
      </c>
      <c r="H1193" s="75">
        <v>40837</v>
      </c>
      <c r="I1193" t="s">
        <v>115</v>
      </c>
      <c r="J1193">
        <v>5000</v>
      </c>
      <c r="K1193">
        <v>237.023</v>
      </c>
      <c r="L1193">
        <v>21.094999999999999</v>
      </c>
      <c r="M1193">
        <v>4556.8919999999998</v>
      </c>
      <c r="N1193" t="s">
        <v>15</v>
      </c>
    </row>
    <row r="1194" spans="1:14" x14ac:dyDescent="0.2">
      <c r="A1194" t="s">
        <v>18</v>
      </c>
      <c r="B1194" t="s">
        <v>129</v>
      </c>
      <c r="C1194" t="s">
        <v>130</v>
      </c>
      <c r="D1194" t="s">
        <v>113</v>
      </c>
      <c r="E1194" t="s">
        <v>53</v>
      </c>
      <c r="F1194" t="s">
        <v>114</v>
      </c>
      <c r="G1194">
        <v>119062</v>
      </c>
      <c r="H1194" s="75">
        <v>40867</v>
      </c>
      <c r="I1194" t="s">
        <v>115</v>
      </c>
      <c r="J1194">
        <v>5000</v>
      </c>
      <c r="K1194">
        <v>230.65799999999999</v>
      </c>
      <c r="L1194">
        <v>21.677099999999999</v>
      </c>
      <c r="M1194">
        <v>4787.55</v>
      </c>
      <c r="N1194" t="s">
        <v>15</v>
      </c>
    </row>
    <row r="1195" spans="1:14" x14ac:dyDescent="0.2">
      <c r="A1195" t="s">
        <v>18</v>
      </c>
      <c r="B1195" t="s">
        <v>129</v>
      </c>
      <c r="C1195" t="s">
        <v>130</v>
      </c>
      <c r="D1195" t="s">
        <v>113</v>
      </c>
      <c r="E1195" t="s">
        <v>53</v>
      </c>
      <c r="F1195" t="s">
        <v>114</v>
      </c>
      <c r="G1195">
        <v>119062</v>
      </c>
      <c r="H1195" s="75">
        <v>40897</v>
      </c>
      <c r="I1195" t="s">
        <v>115</v>
      </c>
      <c r="J1195">
        <v>5000</v>
      </c>
      <c r="K1195">
        <v>224.001</v>
      </c>
      <c r="L1195">
        <v>22.321300000000001</v>
      </c>
      <c r="M1195">
        <v>5011.5510000000004</v>
      </c>
      <c r="N1195" t="s">
        <v>15</v>
      </c>
    </row>
    <row r="1196" spans="1:14" x14ac:dyDescent="0.2">
      <c r="A1196" t="s">
        <v>18</v>
      </c>
      <c r="B1196" t="s">
        <v>129</v>
      </c>
      <c r="C1196" t="s">
        <v>130</v>
      </c>
      <c r="D1196" t="s">
        <v>113</v>
      </c>
      <c r="E1196" t="s">
        <v>53</v>
      </c>
      <c r="F1196" t="s">
        <v>114</v>
      </c>
      <c r="G1196">
        <v>119062</v>
      </c>
      <c r="H1196" s="75">
        <v>40927</v>
      </c>
      <c r="I1196" t="s">
        <v>115</v>
      </c>
      <c r="J1196">
        <v>5000</v>
      </c>
      <c r="K1196">
        <v>217.595</v>
      </c>
      <c r="L1196">
        <v>22.9785</v>
      </c>
      <c r="M1196">
        <v>5229.1459999999997</v>
      </c>
      <c r="N1196" t="s">
        <v>15</v>
      </c>
    </row>
    <row r="1197" spans="1:14" x14ac:dyDescent="0.2">
      <c r="A1197" t="s">
        <v>18</v>
      </c>
      <c r="B1197" t="s">
        <v>129</v>
      </c>
      <c r="C1197" t="s">
        <v>130</v>
      </c>
      <c r="D1197" t="s">
        <v>113</v>
      </c>
      <c r="E1197" t="s">
        <v>53</v>
      </c>
      <c r="F1197" t="s">
        <v>114</v>
      </c>
      <c r="G1197">
        <v>119062</v>
      </c>
      <c r="H1197" s="75">
        <v>40957</v>
      </c>
      <c r="I1197" t="s">
        <v>115</v>
      </c>
      <c r="J1197">
        <v>5000</v>
      </c>
      <c r="K1197">
        <v>221.79</v>
      </c>
      <c r="L1197">
        <v>22.543900000000001</v>
      </c>
      <c r="M1197">
        <v>5450.9359999999997</v>
      </c>
      <c r="N1197" t="s">
        <v>15</v>
      </c>
    </row>
    <row r="1198" spans="1:14" x14ac:dyDescent="0.2">
      <c r="A1198" t="s">
        <v>18</v>
      </c>
      <c r="B1198" t="s">
        <v>129</v>
      </c>
      <c r="C1198" t="s">
        <v>130</v>
      </c>
      <c r="D1198" t="s">
        <v>113</v>
      </c>
      <c r="E1198" t="s">
        <v>53</v>
      </c>
      <c r="F1198" t="s">
        <v>114</v>
      </c>
      <c r="G1198">
        <v>119062</v>
      </c>
      <c r="H1198" s="75">
        <v>40987</v>
      </c>
      <c r="I1198" t="s">
        <v>115</v>
      </c>
      <c r="J1198">
        <v>5000</v>
      </c>
      <c r="K1198">
        <v>216.80799999999999</v>
      </c>
      <c r="L1198">
        <v>23.061900000000001</v>
      </c>
      <c r="M1198">
        <v>5667.7439999999997</v>
      </c>
      <c r="N1198" t="s">
        <v>15</v>
      </c>
    </row>
    <row r="1199" spans="1:14" x14ac:dyDescent="0.2">
      <c r="A1199" t="s">
        <v>18</v>
      </c>
      <c r="B1199" t="s">
        <v>129</v>
      </c>
      <c r="C1199" t="s">
        <v>130</v>
      </c>
      <c r="D1199" t="s">
        <v>113</v>
      </c>
      <c r="E1199" t="s">
        <v>53</v>
      </c>
      <c r="F1199" t="s">
        <v>114</v>
      </c>
      <c r="G1199">
        <v>119062</v>
      </c>
      <c r="H1199" s="75">
        <v>41017</v>
      </c>
      <c r="I1199" t="s">
        <v>115</v>
      </c>
      <c r="J1199">
        <v>5000</v>
      </c>
      <c r="K1199">
        <v>220.203</v>
      </c>
      <c r="L1199">
        <v>22.706299999999999</v>
      </c>
      <c r="M1199">
        <v>5887.9470000000001</v>
      </c>
      <c r="N1199" t="s">
        <v>15</v>
      </c>
    </row>
    <row r="1200" spans="1:14" x14ac:dyDescent="0.2">
      <c r="A1200" t="s">
        <v>18</v>
      </c>
      <c r="B1200" t="s">
        <v>129</v>
      </c>
      <c r="C1200" t="s">
        <v>130</v>
      </c>
      <c r="D1200" t="s">
        <v>113</v>
      </c>
      <c r="E1200" t="s">
        <v>53</v>
      </c>
      <c r="F1200" t="s">
        <v>114</v>
      </c>
      <c r="G1200">
        <v>119062</v>
      </c>
      <c r="H1200" s="75">
        <v>41017</v>
      </c>
      <c r="I1200" t="s">
        <v>117</v>
      </c>
      <c r="J1200">
        <v>2.5</v>
      </c>
      <c r="K1200">
        <v>0</v>
      </c>
      <c r="M1200">
        <v>5887.9470000000001</v>
      </c>
      <c r="N1200" t="s">
        <v>46</v>
      </c>
    </row>
    <row r="1201" spans="1:14" x14ac:dyDescent="0.2">
      <c r="A1201" t="s">
        <v>18</v>
      </c>
      <c r="B1201" t="s">
        <v>129</v>
      </c>
      <c r="C1201" t="s">
        <v>130</v>
      </c>
      <c r="D1201" t="s">
        <v>113</v>
      </c>
      <c r="E1201" t="s">
        <v>53</v>
      </c>
      <c r="F1201" t="s">
        <v>114</v>
      </c>
      <c r="G1201">
        <v>119062</v>
      </c>
      <c r="H1201" s="75">
        <v>41047</v>
      </c>
      <c r="I1201" t="s">
        <v>115</v>
      </c>
      <c r="J1201">
        <v>5000</v>
      </c>
      <c r="K1201">
        <v>222.636</v>
      </c>
      <c r="L1201">
        <v>22.458200000000001</v>
      </c>
      <c r="M1201">
        <v>6110.5829999999996</v>
      </c>
      <c r="N1201" t="s">
        <v>15</v>
      </c>
    </row>
    <row r="1202" spans="1:14" x14ac:dyDescent="0.2">
      <c r="A1202" t="s">
        <v>18</v>
      </c>
      <c r="B1202" t="s">
        <v>129</v>
      </c>
      <c r="C1202" t="s">
        <v>130</v>
      </c>
      <c r="D1202" t="s">
        <v>113</v>
      </c>
      <c r="E1202" t="s">
        <v>53</v>
      </c>
      <c r="F1202" t="s">
        <v>114</v>
      </c>
      <c r="G1202">
        <v>119062</v>
      </c>
      <c r="H1202" s="75">
        <v>41077</v>
      </c>
      <c r="I1202" t="s">
        <v>115</v>
      </c>
      <c r="J1202">
        <v>5000</v>
      </c>
      <c r="K1202">
        <v>218.69399999999999</v>
      </c>
      <c r="L1202">
        <v>22.863</v>
      </c>
      <c r="M1202">
        <v>6329.277</v>
      </c>
      <c r="N1202" t="s">
        <v>15</v>
      </c>
    </row>
    <row r="1203" spans="1:14" x14ac:dyDescent="0.2">
      <c r="A1203" t="s">
        <v>18</v>
      </c>
      <c r="B1203" t="s">
        <v>129</v>
      </c>
      <c r="C1203" t="s">
        <v>130</v>
      </c>
      <c r="D1203" t="s">
        <v>113</v>
      </c>
      <c r="E1203" t="s">
        <v>53</v>
      </c>
      <c r="F1203" t="s">
        <v>114</v>
      </c>
      <c r="G1203">
        <v>119062</v>
      </c>
      <c r="H1203" s="75">
        <v>41107</v>
      </c>
      <c r="I1203" t="s">
        <v>115</v>
      </c>
      <c r="J1203">
        <v>5000</v>
      </c>
      <c r="K1203">
        <v>222.268</v>
      </c>
      <c r="L1203">
        <v>22.4954</v>
      </c>
      <c r="M1203">
        <v>6551.5450000000001</v>
      </c>
      <c r="N1203" t="s">
        <v>15</v>
      </c>
    </row>
    <row r="1204" spans="1:14" x14ac:dyDescent="0.2">
      <c r="A1204" t="s">
        <v>18</v>
      </c>
      <c r="B1204" t="s">
        <v>129</v>
      </c>
      <c r="C1204" t="s">
        <v>130</v>
      </c>
      <c r="D1204" t="s">
        <v>113</v>
      </c>
      <c r="E1204" t="s">
        <v>53</v>
      </c>
      <c r="F1204" t="s">
        <v>114</v>
      </c>
      <c r="G1204">
        <v>119062</v>
      </c>
      <c r="H1204" s="75">
        <v>41137</v>
      </c>
      <c r="I1204" t="s">
        <v>115</v>
      </c>
      <c r="J1204">
        <v>5000</v>
      </c>
      <c r="K1204">
        <v>217.09</v>
      </c>
      <c r="L1204">
        <v>23.0319</v>
      </c>
      <c r="M1204">
        <v>6768.6350000000002</v>
      </c>
      <c r="N1204" t="s">
        <v>15</v>
      </c>
    </row>
    <row r="1205" spans="1:14" x14ac:dyDescent="0.2">
      <c r="A1205" t="s">
        <v>18</v>
      </c>
      <c r="B1205" t="s">
        <v>129</v>
      </c>
      <c r="C1205" t="s">
        <v>130</v>
      </c>
      <c r="D1205" t="s">
        <v>113</v>
      </c>
      <c r="E1205" t="s">
        <v>53</v>
      </c>
      <c r="F1205" t="s">
        <v>114</v>
      </c>
      <c r="G1205">
        <v>119062</v>
      </c>
      <c r="H1205" s="75">
        <v>41137</v>
      </c>
      <c r="I1205" t="s">
        <v>116</v>
      </c>
      <c r="J1205">
        <v>2.5</v>
      </c>
      <c r="K1205">
        <v>0</v>
      </c>
      <c r="M1205">
        <v>6768.6350000000002</v>
      </c>
      <c r="N1205" t="s">
        <v>17</v>
      </c>
    </row>
    <row r="1206" spans="1:14" x14ac:dyDescent="0.2">
      <c r="A1206" t="s">
        <v>18</v>
      </c>
      <c r="B1206" t="s">
        <v>129</v>
      </c>
      <c r="C1206" t="s">
        <v>130</v>
      </c>
      <c r="D1206" t="s">
        <v>113</v>
      </c>
      <c r="E1206" t="s">
        <v>53</v>
      </c>
      <c r="F1206" t="s">
        <v>114</v>
      </c>
      <c r="G1206">
        <v>119062</v>
      </c>
      <c r="H1206" s="75">
        <v>41167</v>
      </c>
      <c r="I1206" t="s">
        <v>115</v>
      </c>
      <c r="J1206">
        <v>5000</v>
      </c>
      <c r="K1206">
        <v>212.27500000000001</v>
      </c>
      <c r="L1206">
        <v>23.554400000000001</v>
      </c>
      <c r="M1206">
        <v>6980.91</v>
      </c>
      <c r="N1206" t="s">
        <v>15</v>
      </c>
    </row>
    <row r="1207" spans="1:14" x14ac:dyDescent="0.2">
      <c r="A1207" t="s">
        <v>18</v>
      </c>
      <c r="B1207" t="s">
        <v>129</v>
      </c>
      <c r="C1207" t="s">
        <v>130</v>
      </c>
      <c r="D1207" t="s">
        <v>113</v>
      </c>
      <c r="E1207" t="s">
        <v>53</v>
      </c>
      <c r="F1207" t="s">
        <v>114</v>
      </c>
      <c r="G1207">
        <v>119062</v>
      </c>
      <c r="H1207" s="75">
        <v>41197</v>
      </c>
      <c r="I1207" t="s">
        <v>115</v>
      </c>
      <c r="J1207">
        <v>5000</v>
      </c>
      <c r="K1207">
        <v>210.24600000000001</v>
      </c>
      <c r="L1207">
        <v>23.781600000000001</v>
      </c>
      <c r="M1207">
        <v>7191.1559999999999</v>
      </c>
      <c r="N1207" t="s">
        <v>15</v>
      </c>
    </row>
    <row r="1208" spans="1:14" x14ac:dyDescent="0.2">
      <c r="A1208" t="s">
        <v>18</v>
      </c>
      <c r="B1208" t="s">
        <v>129</v>
      </c>
      <c r="C1208" t="s">
        <v>130</v>
      </c>
      <c r="D1208" t="s">
        <v>113</v>
      </c>
      <c r="E1208" t="s">
        <v>53</v>
      </c>
      <c r="F1208" t="s">
        <v>114</v>
      </c>
      <c r="G1208">
        <v>119062</v>
      </c>
      <c r="H1208" s="75">
        <v>41227</v>
      </c>
      <c r="I1208" t="s">
        <v>115</v>
      </c>
      <c r="J1208">
        <v>5000</v>
      </c>
      <c r="K1208">
        <v>207.387</v>
      </c>
      <c r="L1208">
        <v>24.109500000000001</v>
      </c>
      <c r="M1208">
        <v>7398.5439999999999</v>
      </c>
      <c r="N1208" t="s">
        <v>15</v>
      </c>
    </row>
    <row r="1209" spans="1:14" x14ac:dyDescent="0.2">
      <c r="A1209" t="s">
        <v>18</v>
      </c>
      <c r="B1209" t="s">
        <v>129</v>
      </c>
      <c r="C1209" t="s">
        <v>130</v>
      </c>
      <c r="D1209" t="s">
        <v>113</v>
      </c>
      <c r="E1209" t="s">
        <v>53</v>
      </c>
      <c r="F1209" t="s">
        <v>114</v>
      </c>
      <c r="G1209">
        <v>119062</v>
      </c>
      <c r="H1209" s="75">
        <v>41257</v>
      </c>
      <c r="I1209" t="s">
        <v>115</v>
      </c>
      <c r="J1209">
        <v>5000</v>
      </c>
      <c r="K1209">
        <v>207.73</v>
      </c>
      <c r="L1209">
        <v>24.069700000000001</v>
      </c>
      <c r="M1209">
        <v>7606.2730000000001</v>
      </c>
      <c r="N1209" t="s">
        <v>15</v>
      </c>
    </row>
    <row r="1210" spans="1:14" x14ac:dyDescent="0.2">
      <c r="A1210" t="s">
        <v>18</v>
      </c>
      <c r="B1210" t="s">
        <v>129</v>
      </c>
      <c r="C1210" t="s">
        <v>130</v>
      </c>
      <c r="D1210" t="s">
        <v>113</v>
      </c>
      <c r="E1210" t="s">
        <v>53</v>
      </c>
      <c r="F1210" t="s">
        <v>114</v>
      </c>
      <c r="G1210">
        <v>119062</v>
      </c>
      <c r="H1210" s="75">
        <v>41257</v>
      </c>
      <c r="I1210" t="s">
        <v>116</v>
      </c>
      <c r="J1210">
        <v>2.5</v>
      </c>
      <c r="K1210">
        <v>0</v>
      </c>
      <c r="M1210">
        <v>7606.2730000000001</v>
      </c>
      <c r="N1210" t="s">
        <v>17</v>
      </c>
    </row>
    <row r="1211" spans="1:14" x14ac:dyDescent="0.2">
      <c r="A1211" t="s">
        <v>18</v>
      </c>
      <c r="B1211" t="s">
        <v>129</v>
      </c>
      <c r="C1211" t="s">
        <v>130</v>
      </c>
      <c r="D1211" t="s">
        <v>113</v>
      </c>
      <c r="E1211" t="s">
        <v>53</v>
      </c>
      <c r="F1211" t="s">
        <v>114</v>
      </c>
      <c r="G1211">
        <v>119062</v>
      </c>
      <c r="H1211" s="75">
        <v>41287</v>
      </c>
      <c r="I1211" t="s">
        <v>115</v>
      </c>
      <c r="J1211">
        <v>5000</v>
      </c>
      <c r="K1211">
        <v>210.34800000000001</v>
      </c>
      <c r="L1211">
        <v>23.770099999999999</v>
      </c>
      <c r="M1211">
        <v>7816.6220000000003</v>
      </c>
      <c r="N1211" t="s">
        <v>15</v>
      </c>
    </row>
    <row r="1212" spans="1:14" x14ac:dyDescent="0.2">
      <c r="A1212" t="s">
        <v>18</v>
      </c>
      <c r="B1212" t="s">
        <v>129</v>
      </c>
      <c r="C1212" t="s">
        <v>130</v>
      </c>
      <c r="D1212" t="s">
        <v>113</v>
      </c>
      <c r="E1212" t="s">
        <v>53</v>
      </c>
      <c r="F1212" t="s">
        <v>114</v>
      </c>
      <c r="G1212">
        <v>119062</v>
      </c>
      <c r="H1212" s="75">
        <v>41317</v>
      </c>
      <c r="I1212" t="s">
        <v>115</v>
      </c>
      <c r="J1212">
        <v>5000</v>
      </c>
      <c r="K1212">
        <v>209.05699999999999</v>
      </c>
      <c r="L1212">
        <v>23.916899999999998</v>
      </c>
      <c r="M1212">
        <v>8025.6790000000001</v>
      </c>
      <c r="N1212" t="s">
        <v>15</v>
      </c>
    </row>
    <row r="1213" spans="1:14" x14ac:dyDescent="0.2">
      <c r="A1213" t="s">
        <v>18</v>
      </c>
      <c r="B1213" t="s">
        <v>129</v>
      </c>
      <c r="C1213" t="s">
        <v>130</v>
      </c>
      <c r="D1213" t="s">
        <v>113</v>
      </c>
      <c r="E1213" t="s">
        <v>53</v>
      </c>
      <c r="F1213" t="s">
        <v>114</v>
      </c>
      <c r="G1213">
        <v>119062</v>
      </c>
      <c r="H1213" s="75">
        <v>41347</v>
      </c>
      <c r="I1213" t="s">
        <v>115</v>
      </c>
      <c r="J1213">
        <v>5000</v>
      </c>
      <c r="K1213">
        <v>210.13</v>
      </c>
      <c r="L1213">
        <v>23.794799999999999</v>
      </c>
      <c r="M1213">
        <v>8235.8089999999993</v>
      </c>
      <c r="N1213" t="s">
        <v>15</v>
      </c>
    </row>
    <row r="1214" spans="1:14" x14ac:dyDescent="0.2">
      <c r="A1214" t="s">
        <v>18</v>
      </c>
      <c r="B1214" t="s">
        <v>129</v>
      </c>
      <c r="C1214" t="s">
        <v>130</v>
      </c>
      <c r="D1214" t="s">
        <v>113</v>
      </c>
      <c r="E1214" t="s">
        <v>53</v>
      </c>
      <c r="F1214" t="s">
        <v>114</v>
      </c>
      <c r="G1214">
        <v>119062</v>
      </c>
      <c r="H1214" s="75">
        <v>41377</v>
      </c>
      <c r="I1214" t="s">
        <v>115</v>
      </c>
      <c r="J1214">
        <v>5000</v>
      </c>
      <c r="K1214">
        <v>213.83799999999999</v>
      </c>
      <c r="L1214">
        <v>23.382200000000001</v>
      </c>
      <c r="M1214">
        <v>8449.6470000000008</v>
      </c>
      <c r="N1214" t="s">
        <v>15</v>
      </c>
    </row>
    <row r="1215" spans="1:14" x14ac:dyDescent="0.2">
      <c r="A1215" t="s">
        <v>18</v>
      </c>
      <c r="B1215" t="s">
        <v>129</v>
      </c>
      <c r="C1215" t="s">
        <v>130</v>
      </c>
      <c r="D1215" t="s">
        <v>113</v>
      </c>
      <c r="E1215" t="s">
        <v>53</v>
      </c>
      <c r="F1215" t="s">
        <v>114</v>
      </c>
      <c r="G1215">
        <v>119062</v>
      </c>
      <c r="H1215" s="75">
        <v>41407</v>
      </c>
      <c r="I1215" t="s">
        <v>115</v>
      </c>
      <c r="J1215">
        <v>5000</v>
      </c>
      <c r="K1215">
        <v>211.33500000000001</v>
      </c>
      <c r="L1215">
        <v>23.659099999999999</v>
      </c>
      <c r="M1215">
        <v>8660.982</v>
      </c>
      <c r="N1215" t="s">
        <v>15</v>
      </c>
    </row>
    <row r="1216" spans="1:14" x14ac:dyDescent="0.2">
      <c r="A1216" t="s">
        <v>18</v>
      </c>
      <c r="B1216" t="s">
        <v>129</v>
      </c>
      <c r="C1216" t="s">
        <v>130</v>
      </c>
      <c r="D1216" t="s">
        <v>113</v>
      </c>
      <c r="E1216" t="s">
        <v>53</v>
      </c>
      <c r="F1216" t="s">
        <v>114</v>
      </c>
      <c r="G1216">
        <v>119062</v>
      </c>
      <c r="H1216" s="75">
        <v>41437</v>
      </c>
      <c r="I1216" t="s">
        <v>115</v>
      </c>
      <c r="J1216">
        <v>5000</v>
      </c>
      <c r="K1216">
        <v>206.43899999999999</v>
      </c>
      <c r="L1216">
        <v>24.220199999999998</v>
      </c>
      <c r="M1216">
        <v>8867.4210000000003</v>
      </c>
      <c r="N1216" t="s">
        <v>15</v>
      </c>
    </row>
    <row r="1217" spans="1:14" x14ac:dyDescent="0.2">
      <c r="A1217" t="s">
        <v>18</v>
      </c>
      <c r="B1217" t="s">
        <v>129</v>
      </c>
      <c r="C1217" t="s">
        <v>130</v>
      </c>
      <c r="D1217" t="s">
        <v>113</v>
      </c>
      <c r="E1217" t="s">
        <v>53</v>
      </c>
      <c r="F1217" t="s">
        <v>114</v>
      </c>
      <c r="G1217">
        <v>119062</v>
      </c>
      <c r="H1217" s="75">
        <v>41437</v>
      </c>
      <c r="I1217" t="s">
        <v>117</v>
      </c>
      <c r="J1217">
        <v>2.5</v>
      </c>
      <c r="K1217">
        <v>0</v>
      </c>
      <c r="M1217">
        <v>8867.4210000000003</v>
      </c>
      <c r="N1217" t="s">
        <v>46</v>
      </c>
    </row>
    <row r="1218" spans="1:14" x14ac:dyDescent="0.2">
      <c r="A1218" t="s">
        <v>18</v>
      </c>
      <c r="B1218" t="s">
        <v>129</v>
      </c>
      <c r="C1218" t="s">
        <v>130</v>
      </c>
      <c r="D1218" t="s">
        <v>113</v>
      </c>
      <c r="E1218" t="s">
        <v>53</v>
      </c>
      <c r="F1218" t="s">
        <v>114</v>
      </c>
      <c r="G1218">
        <v>119062</v>
      </c>
      <c r="H1218" s="75">
        <v>41467</v>
      </c>
      <c r="I1218" t="s">
        <v>115</v>
      </c>
      <c r="J1218">
        <v>5000</v>
      </c>
      <c r="K1218">
        <v>201.178</v>
      </c>
      <c r="L1218">
        <v>24.8537</v>
      </c>
      <c r="M1218">
        <v>9068.598</v>
      </c>
      <c r="N1218" t="s">
        <v>15</v>
      </c>
    </row>
    <row r="1219" spans="1:14" x14ac:dyDescent="0.2">
      <c r="A1219" t="s">
        <v>18</v>
      </c>
      <c r="B1219" t="s">
        <v>129</v>
      </c>
      <c r="C1219" t="s">
        <v>130</v>
      </c>
      <c r="D1219" t="s">
        <v>113</v>
      </c>
      <c r="E1219" t="s">
        <v>53</v>
      </c>
      <c r="F1219" t="s">
        <v>114</v>
      </c>
      <c r="G1219">
        <v>119062</v>
      </c>
      <c r="H1219" s="75">
        <v>41467</v>
      </c>
      <c r="I1219" t="s">
        <v>117</v>
      </c>
      <c r="J1219">
        <v>2.5</v>
      </c>
      <c r="K1219">
        <v>0</v>
      </c>
      <c r="M1219">
        <v>9068.598</v>
      </c>
      <c r="N1219" t="s">
        <v>46</v>
      </c>
    </row>
    <row r="1220" spans="1:14" x14ac:dyDescent="0.2">
      <c r="A1220" t="s">
        <v>18</v>
      </c>
      <c r="B1220" t="s">
        <v>129</v>
      </c>
      <c r="C1220" t="s">
        <v>130</v>
      </c>
      <c r="D1220" t="s">
        <v>113</v>
      </c>
      <c r="E1220" t="s">
        <v>53</v>
      </c>
      <c r="F1220" t="s">
        <v>114</v>
      </c>
      <c r="G1220">
        <v>119062</v>
      </c>
      <c r="H1220" s="75">
        <v>41497</v>
      </c>
      <c r="I1220" t="s">
        <v>115</v>
      </c>
      <c r="J1220">
        <v>5000</v>
      </c>
      <c r="K1220">
        <v>196.96100000000001</v>
      </c>
      <c r="L1220">
        <v>25.3857</v>
      </c>
      <c r="M1220">
        <v>9265.5589999999993</v>
      </c>
      <c r="N1220" t="s">
        <v>15</v>
      </c>
    </row>
    <row r="1221" spans="1:14" x14ac:dyDescent="0.2">
      <c r="A1221" t="s">
        <v>18</v>
      </c>
      <c r="B1221" t="s">
        <v>129</v>
      </c>
      <c r="C1221" t="s">
        <v>130</v>
      </c>
      <c r="D1221" t="s">
        <v>113</v>
      </c>
      <c r="E1221" t="s">
        <v>53</v>
      </c>
      <c r="F1221" t="s">
        <v>114</v>
      </c>
      <c r="G1221">
        <v>119062</v>
      </c>
      <c r="H1221" s="75">
        <v>41527</v>
      </c>
      <c r="I1221" t="s">
        <v>115</v>
      </c>
      <c r="J1221">
        <v>5000</v>
      </c>
      <c r="K1221">
        <v>193.42500000000001</v>
      </c>
      <c r="L1221">
        <v>25.849799999999998</v>
      </c>
      <c r="M1221">
        <v>9458.9840000000004</v>
      </c>
      <c r="N1221" t="s">
        <v>15</v>
      </c>
    </row>
    <row r="1222" spans="1:14" x14ac:dyDescent="0.2">
      <c r="A1222" t="s">
        <v>18</v>
      </c>
      <c r="B1222" t="s">
        <v>129</v>
      </c>
      <c r="C1222" t="s">
        <v>130</v>
      </c>
      <c r="D1222" t="s">
        <v>113</v>
      </c>
      <c r="E1222" t="s">
        <v>53</v>
      </c>
      <c r="F1222" t="s">
        <v>114</v>
      </c>
      <c r="G1222">
        <v>119062</v>
      </c>
      <c r="H1222" s="75">
        <v>41557</v>
      </c>
      <c r="I1222" t="s">
        <v>115</v>
      </c>
      <c r="J1222">
        <v>5000</v>
      </c>
      <c r="K1222">
        <v>193.239</v>
      </c>
      <c r="L1222">
        <v>25.874700000000001</v>
      </c>
      <c r="M1222">
        <v>9652.223</v>
      </c>
      <c r="N1222" t="s">
        <v>15</v>
      </c>
    </row>
    <row r="1223" spans="1:14" x14ac:dyDescent="0.2">
      <c r="A1223" t="s">
        <v>18</v>
      </c>
      <c r="B1223" t="s">
        <v>129</v>
      </c>
      <c r="C1223" t="s">
        <v>130</v>
      </c>
      <c r="D1223" t="s">
        <v>113</v>
      </c>
      <c r="E1223" t="s">
        <v>53</v>
      </c>
      <c r="F1223" t="s">
        <v>114</v>
      </c>
      <c r="G1223">
        <v>119062</v>
      </c>
      <c r="H1223" s="75">
        <v>41587</v>
      </c>
      <c r="I1223" t="s">
        <v>115</v>
      </c>
      <c r="J1223">
        <v>5000</v>
      </c>
      <c r="K1223">
        <v>190.77199999999999</v>
      </c>
      <c r="L1223">
        <v>26.209199999999999</v>
      </c>
      <c r="M1223">
        <v>9842.9950000000008</v>
      </c>
      <c r="N1223" t="s">
        <v>15</v>
      </c>
    </row>
    <row r="1224" spans="1:14" x14ac:dyDescent="0.2">
      <c r="A1224" t="s">
        <v>18</v>
      </c>
      <c r="B1224" t="s">
        <v>129</v>
      </c>
      <c r="C1224" t="s">
        <v>130</v>
      </c>
      <c r="D1224" t="s">
        <v>113</v>
      </c>
      <c r="E1224" t="s">
        <v>53</v>
      </c>
      <c r="F1224" t="s">
        <v>114</v>
      </c>
      <c r="G1224">
        <v>119062</v>
      </c>
      <c r="H1224" s="75">
        <v>41617</v>
      </c>
      <c r="I1224" t="s">
        <v>115</v>
      </c>
      <c r="J1224">
        <v>5000</v>
      </c>
      <c r="K1224">
        <v>189.81399999999999</v>
      </c>
      <c r="L1224">
        <v>26.3415</v>
      </c>
      <c r="M1224">
        <v>10032.81</v>
      </c>
      <c r="N1224" t="s">
        <v>15</v>
      </c>
    </row>
    <row r="1225" spans="1:14" x14ac:dyDescent="0.2">
      <c r="A1225" t="s">
        <v>18</v>
      </c>
      <c r="B1225" t="s">
        <v>129</v>
      </c>
      <c r="C1225" t="s">
        <v>130</v>
      </c>
      <c r="D1225" t="s">
        <v>113</v>
      </c>
      <c r="E1225" t="s">
        <v>53</v>
      </c>
      <c r="F1225" t="s">
        <v>114</v>
      </c>
      <c r="G1225">
        <v>119062</v>
      </c>
      <c r="H1225" s="75">
        <v>41647</v>
      </c>
      <c r="I1225" t="s">
        <v>115</v>
      </c>
      <c r="J1225">
        <v>5000</v>
      </c>
      <c r="K1225">
        <v>191.47499999999999</v>
      </c>
      <c r="L1225">
        <v>26.113099999999999</v>
      </c>
      <c r="M1225">
        <v>10224.284</v>
      </c>
      <c r="N1225" t="s">
        <v>15</v>
      </c>
    </row>
    <row r="1226" spans="1:14" x14ac:dyDescent="0.2">
      <c r="A1226" t="s">
        <v>18</v>
      </c>
      <c r="B1226" t="s">
        <v>129</v>
      </c>
      <c r="C1226" t="s">
        <v>130</v>
      </c>
      <c r="D1226" t="s">
        <v>113</v>
      </c>
      <c r="E1226" t="s">
        <v>53</v>
      </c>
      <c r="F1226" t="s">
        <v>114</v>
      </c>
      <c r="G1226">
        <v>119062</v>
      </c>
      <c r="H1226" s="75">
        <v>41677</v>
      </c>
      <c r="I1226" t="s">
        <v>115</v>
      </c>
      <c r="J1226">
        <v>5000</v>
      </c>
      <c r="K1226">
        <v>194.33</v>
      </c>
      <c r="L1226">
        <v>25.729500000000002</v>
      </c>
      <c r="M1226">
        <v>10418.614</v>
      </c>
      <c r="N1226" t="s">
        <v>15</v>
      </c>
    </row>
    <row r="1227" spans="1:14" x14ac:dyDescent="0.2">
      <c r="A1227" t="s">
        <v>18</v>
      </c>
      <c r="B1227" t="s">
        <v>129</v>
      </c>
      <c r="C1227" t="s">
        <v>130</v>
      </c>
      <c r="D1227" t="s">
        <v>113</v>
      </c>
      <c r="E1227" t="s">
        <v>53</v>
      </c>
      <c r="F1227" t="s">
        <v>114</v>
      </c>
      <c r="G1227">
        <v>119062</v>
      </c>
      <c r="H1227" s="75">
        <v>41707</v>
      </c>
      <c r="I1227" t="s">
        <v>115</v>
      </c>
      <c r="J1227">
        <v>5000</v>
      </c>
      <c r="K1227">
        <v>195.221</v>
      </c>
      <c r="L1227">
        <v>25.611999999999998</v>
      </c>
      <c r="M1227">
        <v>10613.834999999999</v>
      </c>
      <c r="N1227" t="s">
        <v>15</v>
      </c>
    </row>
    <row r="1228" spans="1:14" x14ac:dyDescent="0.2">
      <c r="A1228" t="s">
        <v>18</v>
      </c>
      <c r="B1228" t="s">
        <v>129</v>
      </c>
      <c r="C1228" t="s">
        <v>130</v>
      </c>
      <c r="D1228" t="s">
        <v>113</v>
      </c>
      <c r="E1228" t="s">
        <v>53</v>
      </c>
      <c r="F1228" t="s">
        <v>114</v>
      </c>
      <c r="G1228">
        <v>119062</v>
      </c>
      <c r="H1228" s="75">
        <v>41737</v>
      </c>
      <c r="I1228" t="s">
        <v>115</v>
      </c>
      <c r="J1228">
        <v>5000</v>
      </c>
      <c r="K1228">
        <v>195.81700000000001</v>
      </c>
      <c r="L1228">
        <v>25.534099999999999</v>
      </c>
      <c r="M1228">
        <v>10809.652</v>
      </c>
      <c r="N1228" t="s">
        <v>15</v>
      </c>
    </row>
    <row r="1229" spans="1:14" x14ac:dyDescent="0.2">
      <c r="A1229" t="s">
        <v>18</v>
      </c>
      <c r="B1229" t="s">
        <v>129</v>
      </c>
      <c r="C1229" t="s">
        <v>130</v>
      </c>
      <c r="D1229" t="s">
        <v>113</v>
      </c>
      <c r="E1229" t="s">
        <v>53</v>
      </c>
      <c r="F1229" t="s">
        <v>114</v>
      </c>
      <c r="G1229">
        <v>119062</v>
      </c>
      <c r="H1229" s="75">
        <v>41737</v>
      </c>
      <c r="I1229" t="s">
        <v>25</v>
      </c>
      <c r="J1229">
        <v>-55202.93</v>
      </c>
      <c r="K1229">
        <v>-2161.9299999999998</v>
      </c>
      <c r="L1229">
        <v>25.534099999999999</v>
      </c>
      <c r="M1229">
        <v>8647.7219999999998</v>
      </c>
      <c r="N1229" t="s">
        <v>16</v>
      </c>
    </row>
    <row r="1230" spans="1:14" x14ac:dyDescent="0.2">
      <c r="A1230" t="s">
        <v>18</v>
      </c>
      <c r="B1230" t="s">
        <v>129</v>
      </c>
      <c r="C1230" t="s">
        <v>130</v>
      </c>
      <c r="D1230" t="s">
        <v>113</v>
      </c>
      <c r="E1230" t="s">
        <v>53</v>
      </c>
      <c r="F1230" t="s">
        <v>114</v>
      </c>
      <c r="G1230">
        <v>119062</v>
      </c>
      <c r="H1230" s="75">
        <v>41767</v>
      </c>
      <c r="I1230" t="s">
        <v>115</v>
      </c>
      <c r="J1230">
        <v>5000</v>
      </c>
      <c r="K1230">
        <v>197.31399999999999</v>
      </c>
      <c r="L1230">
        <v>25.340399999999999</v>
      </c>
      <c r="M1230">
        <v>8845.0349999999999</v>
      </c>
      <c r="N1230" t="s">
        <v>15</v>
      </c>
    </row>
    <row r="1231" spans="1:14" x14ac:dyDescent="0.2">
      <c r="A1231" t="s">
        <v>18</v>
      </c>
      <c r="B1231" t="s">
        <v>129</v>
      </c>
      <c r="C1231" t="s">
        <v>130</v>
      </c>
      <c r="D1231" t="s">
        <v>113</v>
      </c>
      <c r="E1231" t="s">
        <v>53</v>
      </c>
      <c r="F1231" t="s">
        <v>114</v>
      </c>
      <c r="G1231">
        <v>119062</v>
      </c>
      <c r="H1231" s="75">
        <v>41767</v>
      </c>
      <c r="I1231" t="s">
        <v>116</v>
      </c>
      <c r="J1231">
        <v>2.5</v>
      </c>
      <c r="K1231">
        <v>0</v>
      </c>
      <c r="M1231">
        <v>8845.0349999999999</v>
      </c>
      <c r="N1231" t="s">
        <v>17</v>
      </c>
    </row>
    <row r="1232" spans="1:14" x14ac:dyDescent="0.2">
      <c r="A1232" t="s">
        <v>18</v>
      </c>
      <c r="B1232" t="s">
        <v>129</v>
      </c>
      <c r="C1232" t="s">
        <v>130</v>
      </c>
      <c r="D1232" t="s">
        <v>113</v>
      </c>
      <c r="E1232" t="s">
        <v>53</v>
      </c>
      <c r="F1232" t="s">
        <v>114</v>
      </c>
      <c r="G1232">
        <v>119062</v>
      </c>
      <c r="H1232" s="75">
        <v>41797</v>
      </c>
      <c r="I1232" t="s">
        <v>115</v>
      </c>
      <c r="J1232">
        <v>5000</v>
      </c>
      <c r="K1232">
        <v>194.21799999999999</v>
      </c>
      <c r="L1232">
        <v>25.744199999999999</v>
      </c>
      <c r="M1232">
        <v>9039.2540000000008</v>
      </c>
      <c r="N1232" t="s">
        <v>15</v>
      </c>
    </row>
    <row r="1233" spans="1:15" x14ac:dyDescent="0.2">
      <c r="A1233" t="s">
        <v>18</v>
      </c>
      <c r="B1233" t="s">
        <v>129</v>
      </c>
      <c r="C1233" t="s">
        <v>130</v>
      </c>
      <c r="D1233" t="s">
        <v>113</v>
      </c>
      <c r="E1233" t="s">
        <v>53</v>
      </c>
      <c r="F1233" t="s">
        <v>114</v>
      </c>
      <c r="G1233">
        <v>119062</v>
      </c>
      <c r="H1233" s="75">
        <v>41827</v>
      </c>
      <c r="I1233" t="s">
        <v>115</v>
      </c>
      <c r="J1233">
        <v>5000</v>
      </c>
      <c r="K1233">
        <v>195.339</v>
      </c>
      <c r="L1233">
        <v>25.596499999999999</v>
      </c>
      <c r="M1233">
        <v>9234.5930000000008</v>
      </c>
      <c r="N1233" t="s">
        <v>15</v>
      </c>
    </row>
    <row r="1234" spans="1:15" x14ac:dyDescent="0.2">
      <c r="A1234" t="s">
        <v>18</v>
      </c>
      <c r="B1234" t="s">
        <v>129</v>
      </c>
      <c r="C1234" t="s">
        <v>130</v>
      </c>
      <c r="D1234" t="s">
        <v>113</v>
      </c>
      <c r="E1234" t="s">
        <v>53</v>
      </c>
      <c r="F1234" t="s">
        <v>114</v>
      </c>
      <c r="G1234">
        <v>119062</v>
      </c>
      <c r="H1234" s="75">
        <v>41827</v>
      </c>
      <c r="I1234" t="s">
        <v>117</v>
      </c>
      <c r="J1234">
        <v>2.5</v>
      </c>
      <c r="K1234">
        <v>0</v>
      </c>
      <c r="M1234">
        <v>9234.5930000000008</v>
      </c>
      <c r="N1234" t="s">
        <v>46</v>
      </c>
    </row>
    <row r="1235" spans="1:15" x14ac:dyDescent="0.2">
      <c r="A1235" t="s">
        <v>18</v>
      </c>
      <c r="B1235" t="s">
        <v>129</v>
      </c>
      <c r="C1235" t="s">
        <v>130</v>
      </c>
      <c r="D1235" t="s">
        <v>113</v>
      </c>
      <c r="E1235" t="s">
        <v>53</v>
      </c>
      <c r="F1235" t="s">
        <v>114</v>
      </c>
      <c r="G1235">
        <v>119062</v>
      </c>
      <c r="H1235" s="75">
        <v>41857</v>
      </c>
      <c r="I1235" t="s">
        <v>115</v>
      </c>
      <c r="J1235">
        <v>5000</v>
      </c>
      <c r="K1235">
        <v>192.85400000000001</v>
      </c>
      <c r="L1235">
        <v>25.926300000000001</v>
      </c>
      <c r="M1235">
        <v>9427.4470000000001</v>
      </c>
      <c r="N1235" t="s">
        <v>15</v>
      </c>
    </row>
    <row r="1236" spans="1:15" x14ac:dyDescent="0.2">
      <c r="A1236" t="s">
        <v>18</v>
      </c>
      <c r="B1236" t="s">
        <v>129</v>
      </c>
      <c r="C1236" t="s">
        <v>130</v>
      </c>
      <c r="D1236" t="s">
        <v>113</v>
      </c>
      <c r="E1236" t="s">
        <v>53</v>
      </c>
      <c r="F1236" t="s">
        <v>114</v>
      </c>
      <c r="G1236">
        <v>119062</v>
      </c>
      <c r="H1236" s="75">
        <v>41887</v>
      </c>
      <c r="I1236" t="s">
        <v>115</v>
      </c>
      <c r="J1236">
        <v>5000</v>
      </c>
      <c r="K1236">
        <v>190.77500000000001</v>
      </c>
      <c r="L1236">
        <v>26.2088</v>
      </c>
      <c r="M1236">
        <v>9618.2219999999998</v>
      </c>
      <c r="N1236" t="s">
        <v>15</v>
      </c>
    </row>
    <row r="1237" spans="1:15" x14ac:dyDescent="0.2">
      <c r="A1237" t="s">
        <v>18</v>
      </c>
      <c r="B1237" t="s">
        <v>129</v>
      </c>
      <c r="C1237" t="s">
        <v>130</v>
      </c>
      <c r="D1237" t="s">
        <v>113</v>
      </c>
      <c r="E1237" t="s">
        <v>53</v>
      </c>
      <c r="F1237" t="s">
        <v>114</v>
      </c>
      <c r="G1237">
        <v>119062</v>
      </c>
      <c r="H1237" s="75">
        <v>41917</v>
      </c>
      <c r="I1237" t="s">
        <v>115</v>
      </c>
      <c r="J1237">
        <v>5000</v>
      </c>
      <c r="K1237">
        <v>186.852</v>
      </c>
      <c r="L1237">
        <v>26.7591</v>
      </c>
      <c r="M1237">
        <v>9805.0750000000007</v>
      </c>
      <c r="N1237" t="s">
        <v>15</v>
      </c>
    </row>
    <row r="1238" spans="1:15" x14ac:dyDescent="0.2">
      <c r="A1238" t="s">
        <v>18</v>
      </c>
      <c r="B1238" t="s">
        <v>129</v>
      </c>
      <c r="C1238" t="s">
        <v>130</v>
      </c>
      <c r="D1238" t="s">
        <v>113</v>
      </c>
      <c r="E1238" t="s">
        <v>53</v>
      </c>
      <c r="F1238" t="s">
        <v>114</v>
      </c>
      <c r="G1238">
        <v>119062</v>
      </c>
      <c r="H1238" s="75">
        <v>41947</v>
      </c>
      <c r="I1238" t="s">
        <v>115</v>
      </c>
      <c r="J1238">
        <v>5000</v>
      </c>
      <c r="K1238">
        <v>182.137</v>
      </c>
      <c r="L1238">
        <v>27.451799999999999</v>
      </c>
      <c r="M1238">
        <v>9987.2119999999995</v>
      </c>
      <c r="N1238" t="s">
        <v>15</v>
      </c>
    </row>
    <row r="1239" spans="1:15" x14ac:dyDescent="0.2">
      <c r="A1239" t="s">
        <v>18</v>
      </c>
      <c r="B1239" t="s">
        <v>129</v>
      </c>
      <c r="C1239" t="s">
        <v>130</v>
      </c>
      <c r="D1239" t="s">
        <v>113</v>
      </c>
      <c r="E1239" t="s">
        <v>53</v>
      </c>
      <c r="F1239" t="s">
        <v>114</v>
      </c>
      <c r="G1239">
        <v>119062</v>
      </c>
      <c r="H1239" s="75">
        <v>41977</v>
      </c>
      <c r="I1239" t="s">
        <v>115</v>
      </c>
      <c r="J1239">
        <v>5000</v>
      </c>
      <c r="K1239">
        <v>180.74799999999999</v>
      </c>
      <c r="L1239">
        <v>27.662800000000001</v>
      </c>
      <c r="M1239">
        <v>10167.959999999999</v>
      </c>
      <c r="N1239" t="s">
        <v>15</v>
      </c>
    </row>
    <row r="1240" spans="1:15" x14ac:dyDescent="0.2">
      <c r="A1240" t="s">
        <v>18</v>
      </c>
      <c r="B1240" t="s">
        <v>129</v>
      </c>
      <c r="C1240" t="s">
        <v>130</v>
      </c>
      <c r="D1240" t="s">
        <v>113</v>
      </c>
      <c r="E1240" t="s">
        <v>53</v>
      </c>
      <c r="F1240" t="s">
        <v>114</v>
      </c>
      <c r="G1240">
        <v>119062</v>
      </c>
      <c r="H1240" s="75">
        <v>42007</v>
      </c>
      <c r="I1240" t="s">
        <v>115</v>
      </c>
      <c r="J1240">
        <v>5000</v>
      </c>
      <c r="K1240">
        <v>180.81800000000001</v>
      </c>
      <c r="L1240">
        <v>27.652100000000001</v>
      </c>
      <c r="M1240">
        <v>10348.778</v>
      </c>
      <c r="N1240" t="s">
        <v>15</v>
      </c>
    </row>
    <row r="1241" spans="1:15" x14ac:dyDescent="0.2">
      <c r="A1241" t="s">
        <v>18</v>
      </c>
      <c r="B1241" t="s">
        <v>129</v>
      </c>
      <c r="C1241" t="s">
        <v>130</v>
      </c>
      <c r="D1241" t="s">
        <v>113</v>
      </c>
      <c r="E1241" t="s">
        <v>53</v>
      </c>
      <c r="F1241" t="s">
        <v>114</v>
      </c>
      <c r="G1241">
        <v>119062</v>
      </c>
      <c r="H1241" s="75">
        <v>42037</v>
      </c>
      <c r="I1241" t="s">
        <v>115</v>
      </c>
      <c r="J1241">
        <v>5000</v>
      </c>
      <c r="K1241">
        <v>184.499</v>
      </c>
      <c r="L1241">
        <v>27.1004</v>
      </c>
      <c r="M1241">
        <v>10533.278</v>
      </c>
      <c r="N1241" t="s">
        <v>15</v>
      </c>
    </row>
    <row r="1242" spans="1:15" x14ac:dyDescent="0.2">
      <c r="A1242" t="s">
        <v>18</v>
      </c>
      <c r="B1242" t="s">
        <v>129</v>
      </c>
      <c r="C1242" t="s">
        <v>130</v>
      </c>
      <c r="D1242" t="s">
        <v>113</v>
      </c>
      <c r="E1242" t="s">
        <v>53</v>
      </c>
      <c r="F1242" t="s">
        <v>114</v>
      </c>
      <c r="G1242">
        <v>119062</v>
      </c>
      <c r="H1242" s="75">
        <v>42067</v>
      </c>
      <c r="I1242" t="s">
        <v>115</v>
      </c>
      <c r="J1242">
        <v>5000</v>
      </c>
      <c r="K1242">
        <v>179.54</v>
      </c>
      <c r="L1242">
        <v>27.8489</v>
      </c>
      <c r="M1242">
        <v>10712.817999999999</v>
      </c>
      <c r="N1242" t="s">
        <v>15</v>
      </c>
    </row>
    <row r="1243" spans="1:15" x14ac:dyDescent="0.2">
      <c r="A1243" t="s">
        <v>18</v>
      </c>
      <c r="B1243" t="s">
        <v>129</v>
      </c>
      <c r="C1243" t="s">
        <v>130</v>
      </c>
      <c r="D1243" t="s">
        <v>113</v>
      </c>
      <c r="E1243" t="s">
        <v>53</v>
      </c>
      <c r="F1243" t="s">
        <v>114</v>
      </c>
      <c r="G1243">
        <v>119062</v>
      </c>
      <c r="H1243" s="75">
        <v>42097</v>
      </c>
      <c r="I1243" t="s">
        <v>115</v>
      </c>
      <c r="J1243">
        <v>5000</v>
      </c>
      <c r="K1243">
        <v>176.726</v>
      </c>
      <c r="L1243">
        <v>28.292400000000001</v>
      </c>
      <c r="M1243">
        <v>10889.544</v>
      </c>
      <c r="N1243" t="s">
        <v>15</v>
      </c>
    </row>
    <row r="1244" spans="1:15" x14ac:dyDescent="0.2">
      <c r="A1244" t="s">
        <v>18</v>
      </c>
      <c r="B1244" t="s">
        <v>129</v>
      </c>
      <c r="C1244" t="s">
        <v>130</v>
      </c>
      <c r="D1244" t="s">
        <v>113</v>
      </c>
      <c r="E1244" t="s">
        <v>53</v>
      </c>
      <c r="F1244" t="s">
        <v>114</v>
      </c>
      <c r="G1244">
        <v>119062</v>
      </c>
      <c r="H1244" s="75">
        <v>42127</v>
      </c>
      <c r="I1244" t="s">
        <v>115</v>
      </c>
      <c r="J1244">
        <v>5000</v>
      </c>
      <c r="K1244">
        <v>174.85300000000001</v>
      </c>
      <c r="L1244">
        <v>28.595500000000001</v>
      </c>
      <c r="M1244">
        <v>11064.396000000001</v>
      </c>
      <c r="N1244" t="s">
        <v>15</v>
      </c>
    </row>
    <row r="1245" spans="1:15" x14ac:dyDescent="0.2">
      <c r="A1245" t="s">
        <v>18</v>
      </c>
      <c r="B1245" t="s">
        <v>129</v>
      </c>
      <c r="C1245" t="s">
        <v>130</v>
      </c>
      <c r="D1245" t="s">
        <v>113</v>
      </c>
      <c r="E1245" t="s">
        <v>53</v>
      </c>
      <c r="F1245" t="s">
        <v>114</v>
      </c>
      <c r="G1245">
        <v>119062</v>
      </c>
      <c r="H1245" s="75">
        <v>42157</v>
      </c>
      <c r="I1245" t="s">
        <v>115</v>
      </c>
      <c r="J1245">
        <v>5000</v>
      </c>
      <c r="K1245">
        <v>176.12200000000001</v>
      </c>
      <c r="L1245">
        <v>28.389399999999998</v>
      </c>
      <c r="M1245">
        <v>11240.518</v>
      </c>
      <c r="N1245" t="s">
        <v>15</v>
      </c>
    </row>
    <row r="1246" spans="1:15" x14ac:dyDescent="0.2">
      <c r="A1246" t="s">
        <v>18</v>
      </c>
      <c r="B1246" t="s">
        <v>129</v>
      </c>
      <c r="C1246" t="s">
        <v>130</v>
      </c>
      <c r="D1246" t="s">
        <v>113</v>
      </c>
      <c r="E1246" t="s">
        <v>53</v>
      </c>
      <c r="F1246" t="s">
        <v>114</v>
      </c>
      <c r="G1246">
        <v>119062</v>
      </c>
      <c r="H1246" s="75">
        <v>42187</v>
      </c>
      <c r="I1246" t="s">
        <v>115</v>
      </c>
      <c r="J1246">
        <v>5000</v>
      </c>
      <c r="K1246">
        <v>175.47200000000001</v>
      </c>
      <c r="L1246">
        <v>28.494599999999998</v>
      </c>
      <c r="M1246">
        <v>11415.99</v>
      </c>
      <c r="N1246" t="s">
        <v>15</v>
      </c>
    </row>
    <row r="1247" spans="1:15" x14ac:dyDescent="0.2">
      <c r="A1247" t="s">
        <v>18</v>
      </c>
      <c r="B1247" t="s">
        <v>129</v>
      </c>
      <c r="C1247" t="s">
        <v>130</v>
      </c>
      <c r="D1247" t="s">
        <v>113</v>
      </c>
      <c r="E1247" t="s">
        <v>53</v>
      </c>
      <c r="F1247" t="s">
        <v>114</v>
      </c>
      <c r="G1247">
        <v>119062</v>
      </c>
      <c r="H1247" s="75">
        <v>42217</v>
      </c>
      <c r="I1247" t="s">
        <v>115</v>
      </c>
      <c r="J1247">
        <v>5000</v>
      </c>
      <c r="K1247">
        <v>177.57499999999999</v>
      </c>
      <c r="L1247">
        <v>28.1571</v>
      </c>
      <c r="M1247">
        <v>11593.565000000001</v>
      </c>
      <c r="N1247" t="s">
        <v>15</v>
      </c>
    </row>
    <row r="1248" spans="1:15" x14ac:dyDescent="0.2">
      <c r="A1248" t="s">
        <v>18</v>
      </c>
      <c r="B1248" t="s">
        <v>129</v>
      </c>
      <c r="C1248" t="s">
        <v>130</v>
      </c>
      <c r="D1248" t="s">
        <v>113</v>
      </c>
      <c r="E1248" t="s">
        <v>53</v>
      </c>
      <c r="F1248" t="s">
        <v>114</v>
      </c>
      <c r="G1248">
        <v>119062</v>
      </c>
      <c r="H1248" s="75">
        <v>42217</v>
      </c>
      <c r="I1248" t="s">
        <v>118</v>
      </c>
      <c r="J1248">
        <v>5796.78</v>
      </c>
      <c r="K1248">
        <v>0</v>
      </c>
      <c r="M1248">
        <v>11593.565000000001</v>
      </c>
      <c r="N1248" t="s">
        <v>19</v>
      </c>
      <c r="O1248">
        <v>5796.78</v>
      </c>
    </row>
    <row r="1249" spans="1:14" x14ac:dyDescent="0.2">
      <c r="A1249" t="s">
        <v>18</v>
      </c>
      <c r="B1249" t="s">
        <v>129</v>
      </c>
      <c r="C1249" t="s">
        <v>130</v>
      </c>
      <c r="D1249" t="s">
        <v>113</v>
      </c>
      <c r="E1249" t="s">
        <v>53</v>
      </c>
      <c r="F1249" t="s">
        <v>114</v>
      </c>
      <c r="G1249">
        <v>119062</v>
      </c>
      <c r="H1249" s="75">
        <v>42217</v>
      </c>
      <c r="I1249" t="s">
        <v>25</v>
      </c>
      <c r="J1249">
        <v>-65288.19</v>
      </c>
      <c r="K1249">
        <v>-2318.7130000000002</v>
      </c>
      <c r="L1249">
        <v>28.1571</v>
      </c>
      <c r="M1249">
        <v>9274.8520000000008</v>
      </c>
      <c r="N1249" t="s">
        <v>16</v>
      </c>
    </row>
    <row r="1250" spans="1:14" x14ac:dyDescent="0.2">
      <c r="A1250" t="s">
        <v>18</v>
      </c>
      <c r="B1250" t="s">
        <v>129</v>
      </c>
      <c r="C1250" t="s">
        <v>130</v>
      </c>
      <c r="D1250" t="s">
        <v>113</v>
      </c>
      <c r="E1250" t="s">
        <v>53</v>
      </c>
      <c r="F1250" t="s">
        <v>114</v>
      </c>
      <c r="G1250">
        <v>119062</v>
      </c>
      <c r="H1250" s="75">
        <v>42247</v>
      </c>
      <c r="I1250" t="s">
        <v>115</v>
      </c>
      <c r="J1250">
        <v>5000</v>
      </c>
      <c r="K1250">
        <v>179.405</v>
      </c>
      <c r="L1250">
        <v>27.869900000000001</v>
      </c>
      <c r="M1250">
        <v>9454.2569999999996</v>
      </c>
      <c r="N1250" t="s">
        <v>15</v>
      </c>
    </row>
    <row r="1251" spans="1:14" x14ac:dyDescent="0.2">
      <c r="A1251" t="s">
        <v>18</v>
      </c>
      <c r="B1251" t="s">
        <v>129</v>
      </c>
      <c r="C1251" t="s">
        <v>130</v>
      </c>
      <c r="D1251" t="s">
        <v>113</v>
      </c>
      <c r="E1251" t="s">
        <v>53</v>
      </c>
      <c r="F1251" t="s">
        <v>114</v>
      </c>
      <c r="G1251">
        <v>119062</v>
      </c>
      <c r="H1251" s="75">
        <v>42277</v>
      </c>
      <c r="I1251" t="s">
        <v>115</v>
      </c>
      <c r="J1251">
        <v>5000</v>
      </c>
      <c r="K1251">
        <v>178.82900000000001</v>
      </c>
      <c r="L1251">
        <v>27.959599999999998</v>
      </c>
      <c r="M1251">
        <v>9633.0859999999993</v>
      </c>
      <c r="N1251" t="s">
        <v>15</v>
      </c>
    </row>
    <row r="1252" spans="1:14" x14ac:dyDescent="0.2">
      <c r="A1252" t="s">
        <v>18</v>
      </c>
      <c r="B1252" t="s">
        <v>129</v>
      </c>
      <c r="C1252" t="s">
        <v>130</v>
      </c>
      <c r="D1252" t="s">
        <v>113</v>
      </c>
      <c r="E1252" t="s">
        <v>53</v>
      </c>
      <c r="F1252" t="s">
        <v>114</v>
      </c>
      <c r="G1252">
        <v>119062</v>
      </c>
      <c r="H1252" s="75">
        <v>42307</v>
      </c>
      <c r="I1252" t="s">
        <v>115</v>
      </c>
      <c r="J1252">
        <v>5000</v>
      </c>
      <c r="K1252">
        <v>181.24</v>
      </c>
      <c r="L1252">
        <v>27.587700000000002</v>
      </c>
      <c r="M1252">
        <v>9814.3259999999991</v>
      </c>
      <c r="N1252" t="s">
        <v>15</v>
      </c>
    </row>
    <row r="1253" spans="1:14" x14ac:dyDescent="0.2">
      <c r="A1253" t="s">
        <v>18</v>
      </c>
      <c r="B1253" t="s">
        <v>129</v>
      </c>
      <c r="C1253" t="s">
        <v>130</v>
      </c>
      <c r="D1253" t="s">
        <v>113</v>
      </c>
      <c r="E1253" t="s">
        <v>53</v>
      </c>
      <c r="F1253" t="s">
        <v>114</v>
      </c>
      <c r="G1253">
        <v>119062</v>
      </c>
      <c r="H1253" s="75">
        <v>42337</v>
      </c>
      <c r="I1253" t="s">
        <v>115</v>
      </c>
      <c r="J1253">
        <v>5000</v>
      </c>
      <c r="K1253">
        <v>178.173</v>
      </c>
      <c r="L1253">
        <v>28.0626</v>
      </c>
      <c r="M1253">
        <v>9992.4989999999998</v>
      </c>
      <c r="N1253" t="s">
        <v>15</v>
      </c>
    </row>
    <row r="1254" spans="1:14" x14ac:dyDescent="0.2">
      <c r="A1254" t="s">
        <v>18</v>
      </c>
      <c r="B1254" t="s">
        <v>129</v>
      </c>
      <c r="C1254" t="s">
        <v>130</v>
      </c>
      <c r="D1254" t="s">
        <v>113</v>
      </c>
      <c r="E1254" t="s">
        <v>53</v>
      </c>
      <c r="F1254" t="s">
        <v>114</v>
      </c>
      <c r="G1254">
        <v>119062</v>
      </c>
      <c r="H1254" s="75">
        <v>42367</v>
      </c>
      <c r="I1254" t="s">
        <v>115</v>
      </c>
      <c r="J1254">
        <v>5000</v>
      </c>
      <c r="K1254">
        <v>181.50899999999999</v>
      </c>
      <c r="L1254">
        <v>27.546900000000001</v>
      </c>
      <c r="M1254">
        <v>10174.008</v>
      </c>
      <c r="N1254" t="s">
        <v>15</v>
      </c>
    </row>
    <row r="1255" spans="1:14" x14ac:dyDescent="0.2">
      <c r="A1255" t="s">
        <v>18</v>
      </c>
      <c r="B1255" t="s">
        <v>129</v>
      </c>
      <c r="C1255" t="s">
        <v>130</v>
      </c>
      <c r="D1255" t="s">
        <v>113</v>
      </c>
      <c r="E1255" t="s">
        <v>53</v>
      </c>
      <c r="F1255" t="s">
        <v>114</v>
      </c>
      <c r="G1255">
        <v>119062</v>
      </c>
      <c r="H1255" s="75">
        <v>42367</v>
      </c>
      <c r="I1255" t="s">
        <v>117</v>
      </c>
      <c r="J1255">
        <v>2.5</v>
      </c>
      <c r="K1255">
        <v>0</v>
      </c>
      <c r="M1255">
        <v>10174.008</v>
      </c>
      <c r="N1255" t="s">
        <v>46</v>
      </c>
    </row>
    <row r="1256" spans="1:14" x14ac:dyDescent="0.2">
      <c r="A1256" t="s">
        <v>18</v>
      </c>
      <c r="B1256" t="s">
        <v>129</v>
      </c>
      <c r="C1256" t="s">
        <v>130</v>
      </c>
      <c r="D1256" t="s">
        <v>113</v>
      </c>
      <c r="E1256" t="s">
        <v>53</v>
      </c>
      <c r="F1256" t="s">
        <v>114</v>
      </c>
      <c r="G1256">
        <v>119062</v>
      </c>
      <c r="H1256" s="75">
        <v>42397</v>
      </c>
      <c r="I1256" t="s">
        <v>115</v>
      </c>
      <c r="J1256">
        <v>5000</v>
      </c>
      <c r="K1256">
        <v>176.619</v>
      </c>
      <c r="L1256">
        <v>28.3096</v>
      </c>
      <c r="M1256">
        <v>10350.627</v>
      </c>
      <c r="N1256" t="s">
        <v>15</v>
      </c>
    </row>
    <row r="1257" spans="1:14" x14ac:dyDescent="0.2">
      <c r="A1257" t="s">
        <v>18</v>
      </c>
      <c r="B1257" t="s">
        <v>129</v>
      </c>
      <c r="C1257" t="s">
        <v>130</v>
      </c>
      <c r="D1257" t="s">
        <v>113</v>
      </c>
      <c r="E1257" t="s">
        <v>53</v>
      </c>
      <c r="F1257" t="s">
        <v>114</v>
      </c>
      <c r="G1257">
        <v>119062</v>
      </c>
      <c r="H1257" s="75">
        <v>42427</v>
      </c>
      <c r="I1257" t="s">
        <v>115</v>
      </c>
      <c r="J1257">
        <v>5000</v>
      </c>
      <c r="K1257">
        <v>176.119</v>
      </c>
      <c r="L1257">
        <v>28.39</v>
      </c>
      <c r="M1257">
        <v>10526.745999999999</v>
      </c>
      <c r="N1257" t="s">
        <v>15</v>
      </c>
    </row>
    <row r="1258" spans="1:14" x14ac:dyDescent="0.2">
      <c r="A1258" t="s">
        <v>18</v>
      </c>
      <c r="B1258" t="s">
        <v>129</v>
      </c>
      <c r="C1258" t="s">
        <v>130</v>
      </c>
      <c r="D1258" t="s">
        <v>113</v>
      </c>
      <c r="E1258" t="s">
        <v>53</v>
      </c>
      <c r="F1258" t="s">
        <v>114</v>
      </c>
      <c r="G1258">
        <v>119062</v>
      </c>
      <c r="H1258" s="75">
        <v>42457</v>
      </c>
      <c r="I1258" t="s">
        <v>115</v>
      </c>
      <c r="J1258">
        <v>5000</v>
      </c>
      <c r="K1258">
        <v>177.655</v>
      </c>
      <c r="L1258">
        <v>28.144500000000001</v>
      </c>
      <c r="M1258">
        <v>10704.4</v>
      </c>
      <c r="N1258" t="s">
        <v>15</v>
      </c>
    </row>
    <row r="1259" spans="1:14" x14ac:dyDescent="0.2">
      <c r="A1259" t="s">
        <v>18</v>
      </c>
      <c r="B1259" t="s">
        <v>129</v>
      </c>
      <c r="C1259" t="s">
        <v>130</v>
      </c>
      <c r="D1259" t="s">
        <v>113</v>
      </c>
      <c r="E1259" t="s">
        <v>53</v>
      </c>
      <c r="F1259" t="s">
        <v>114</v>
      </c>
      <c r="G1259">
        <v>119062</v>
      </c>
      <c r="H1259" s="75">
        <v>42457</v>
      </c>
      <c r="I1259" t="s">
        <v>117</v>
      </c>
      <c r="J1259">
        <v>2.5</v>
      </c>
      <c r="K1259">
        <v>0</v>
      </c>
      <c r="M1259">
        <v>10704.4</v>
      </c>
      <c r="N1259" t="s">
        <v>46</v>
      </c>
    </row>
    <row r="1260" spans="1:14" x14ac:dyDescent="0.2">
      <c r="A1260" t="s">
        <v>18</v>
      </c>
      <c r="B1260" t="s">
        <v>129</v>
      </c>
      <c r="C1260" t="s">
        <v>130</v>
      </c>
      <c r="D1260" t="s">
        <v>113</v>
      </c>
      <c r="E1260" t="s">
        <v>53</v>
      </c>
      <c r="F1260" t="s">
        <v>114</v>
      </c>
      <c r="G1260">
        <v>119062</v>
      </c>
      <c r="H1260" s="75">
        <v>42487</v>
      </c>
      <c r="I1260" t="s">
        <v>115</v>
      </c>
      <c r="J1260">
        <v>5000</v>
      </c>
      <c r="K1260">
        <v>174.40899999999999</v>
      </c>
      <c r="L1260">
        <v>28.668299999999999</v>
      </c>
      <c r="M1260">
        <v>10878.808999999999</v>
      </c>
      <c r="N1260" t="s">
        <v>15</v>
      </c>
    </row>
    <row r="1261" spans="1:14" x14ac:dyDescent="0.2">
      <c r="A1261" t="s">
        <v>18</v>
      </c>
      <c r="B1261" t="s">
        <v>129</v>
      </c>
      <c r="C1261" t="s">
        <v>130</v>
      </c>
      <c r="D1261" t="s">
        <v>113</v>
      </c>
      <c r="E1261" t="s">
        <v>53</v>
      </c>
      <c r="F1261" t="s">
        <v>114</v>
      </c>
      <c r="G1261">
        <v>119062</v>
      </c>
      <c r="H1261" s="75">
        <v>42517</v>
      </c>
      <c r="I1261" t="s">
        <v>115</v>
      </c>
      <c r="J1261">
        <v>5000</v>
      </c>
      <c r="K1261">
        <v>176.215</v>
      </c>
      <c r="L1261">
        <v>28.374400000000001</v>
      </c>
      <c r="M1261">
        <v>11055.023999999999</v>
      </c>
      <c r="N1261" t="s">
        <v>15</v>
      </c>
    </row>
    <row r="1262" spans="1:14" x14ac:dyDescent="0.2">
      <c r="A1262" t="s">
        <v>18</v>
      </c>
      <c r="B1262" t="s">
        <v>129</v>
      </c>
      <c r="C1262" t="s">
        <v>130</v>
      </c>
      <c r="D1262" t="s">
        <v>113</v>
      </c>
      <c r="E1262" t="s">
        <v>53</v>
      </c>
      <c r="F1262" t="s">
        <v>114</v>
      </c>
      <c r="G1262">
        <v>119062</v>
      </c>
      <c r="H1262" s="75">
        <v>42547</v>
      </c>
      <c r="I1262" t="s">
        <v>115</v>
      </c>
      <c r="J1262">
        <v>5000</v>
      </c>
      <c r="K1262">
        <v>172.81</v>
      </c>
      <c r="L1262">
        <v>28.933599999999998</v>
      </c>
      <c r="M1262">
        <v>11227.834000000001</v>
      </c>
      <c r="N1262" t="s">
        <v>15</v>
      </c>
    </row>
    <row r="1263" spans="1:14" x14ac:dyDescent="0.2">
      <c r="A1263" t="s">
        <v>18</v>
      </c>
      <c r="B1263" t="s">
        <v>129</v>
      </c>
      <c r="C1263" t="s">
        <v>130</v>
      </c>
      <c r="D1263" t="s">
        <v>113</v>
      </c>
      <c r="E1263" t="s">
        <v>53</v>
      </c>
      <c r="F1263" t="s">
        <v>114</v>
      </c>
      <c r="G1263">
        <v>119062</v>
      </c>
      <c r="H1263" s="75">
        <v>42577</v>
      </c>
      <c r="I1263" t="s">
        <v>115</v>
      </c>
      <c r="J1263">
        <v>5000</v>
      </c>
      <c r="K1263">
        <v>175.75899999999999</v>
      </c>
      <c r="L1263">
        <v>28.4481</v>
      </c>
      <c r="M1263">
        <v>11403.593000000001</v>
      </c>
      <c r="N1263" t="s">
        <v>15</v>
      </c>
    </row>
    <row r="1264" spans="1:14" x14ac:dyDescent="0.2">
      <c r="A1264" t="s">
        <v>18</v>
      </c>
      <c r="B1264" t="s">
        <v>129</v>
      </c>
      <c r="C1264" t="s">
        <v>130</v>
      </c>
      <c r="D1264" t="s">
        <v>113</v>
      </c>
      <c r="E1264" t="s">
        <v>53</v>
      </c>
      <c r="F1264" t="s">
        <v>114</v>
      </c>
      <c r="G1264">
        <v>119062</v>
      </c>
      <c r="H1264" s="75">
        <v>42607</v>
      </c>
      <c r="I1264" t="s">
        <v>115</v>
      </c>
      <c r="J1264">
        <v>5000</v>
      </c>
      <c r="K1264">
        <v>175.48599999999999</v>
      </c>
      <c r="L1264">
        <v>28.4922</v>
      </c>
      <c r="M1264">
        <v>11579.079</v>
      </c>
      <c r="N1264" t="s">
        <v>15</v>
      </c>
    </row>
    <row r="1265" spans="1:14" x14ac:dyDescent="0.2">
      <c r="A1265" t="s">
        <v>18</v>
      </c>
      <c r="B1265" t="s">
        <v>129</v>
      </c>
      <c r="C1265" t="s">
        <v>130</v>
      </c>
      <c r="D1265" t="s">
        <v>113</v>
      </c>
      <c r="E1265" t="s">
        <v>53</v>
      </c>
      <c r="F1265" t="s">
        <v>114</v>
      </c>
      <c r="G1265">
        <v>119062</v>
      </c>
      <c r="H1265" s="75">
        <v>42637</v>
      </c>
      <c r="I1265" t="s">
        <v>115</v>
      </c>
      <c r="J1265">
        <v>5000</v>
      </c>
      <c r="K1265">
        <v>172.77699999999999</v>
      </c>
      <c r="L1265">
        <v>28.9391</v>
      </c>
      <c r="M1265">
        <v>11751.856</v>
      </c>
      <c r="N1265" t="s">
        <v>15</v>
      </c>
    </row>
    <row r="1266" spans="1:14" x14ac:dyDescent="0.2">
      <c r="A1266" t="s">
        <v>18</v>
      </c>
      <c r="B1266" t="s">
        <v>129</v>
      </c>
      <c r="C1266" t="s">
        <v>130</v>
      </c>
      <c r="D1266" t="s">
        <v>113</v>
      </c>
      <c r="E1266" t="s">
        <v>53</v>
      </c>
      <c r="F1266" t="s">
        <v>114</v>
      </c>
      <c r="G1266">
        <v>119062</v>
      </c>
      <c r="H1266" s="75">
        <v>42667</v>
      </c>
      <c r="I1266" t="s">
        <v>115</v>
      </c>
      <c r="J1266">
        <v>5000</v>
      </c>
      <c r="K1266">
        <v>176.09899999999999</v>
      </c>
      <c r="L1266">
        <v>28.3931</v>
      </c>
      <c r="M1266">
        <v>11927.955</v>
      </c>
      <c r="N1266" t="s">
        <v>15</v>
      </c>
    </row>
    <row r="1267" spans="1:14" x14ac:dyDescent="0.2">
      <c r="A1267" t="s">
        <v>18</v>
      </c>
      <c r="B1267" t="s">
        <v>129</v>
      </c>
      <c r="C1267" t="s">
        <v>130</v>
      </c>
      <c r="D1267" t="s">
        <v>113</v>
      </c>
      <c r="E1267" t="s">
        <v>53</v>
      </c>
      <c r="F1267" t="s">
        <v>114</v>
      </c>
      <c r="G1267">
        <v>119062</v>
      </c>
      <c r="H1267" s="75">
        <v>42697</v>
      </c>
      <c r="I1267" t="s">
        <v>115</v>
      </c>
      <c r="J1267">
        <v>5000</v>
      </c>
      <c r="K1267">
        <v>177.91200000000001</v>
      </c>
      <c r="L1267">
        <v>28.1037</v>
      </c>
      <c r="M1267">
        <v>12105.867</v>
      </c>
      <c r="N1267" t="s">
        <v>15</v>
      </c>
    </row>
    <row r="1268" spans="1:14" x14ac:dyDescent="0.2">
      <c r="A1268" t="s">
        <v>18</v>
      </c>
      <c r="B1268" t="s">
        <v>129</v>
      </c>
      <c r="C1268" t="s">
        <v>130</v>
      </c>
      <c r="D1268" t="s">
        <v>113</v>
      </c>
      <c r="E1268" t="s">
        <v>53</v>
      </c>
      <c r="F1268" t="s">
        <v>114</v>
      </c>
      <c r="G1268">
        <v>119062</v>
      </c>
      <c r="H1268" s="75">
        <v>42727</v>
      </c>
      <c r="I1268" t="s">
        <v>115</v>
      </c>
      <c r="J1268">
        <v>5000</v>
      </c>
      <c r="K1268">
        <v>178.358</v>
      </c>
      <c r="L1268">
        <v>28.0335</v>
      </c>
      <c r="M1268">
        <v>12284.225</v>
      </c>
      <c r="N1268" t="s">
        <v>15</v>
      </c>
    </row>
    <row r="1269" spans="1:14" x14ac:dyDescent="0.2">
      <c r="A1269" t="s">
        <v>18</v>
      </c>
      <c r="B1269" t="s">
        <v>129</v>
      </c>
      <c r="C1269" t="s">
        <v>130</v>
      </c>
      <c r="D1269" t="s">
        <v>113</v>
      </c>
      <c r="E1269" t="s">
        <v>53</v>
      </c>
      <c r="F1269" t="s">
        <v>114</v>
      </c>
      <c r="G1269">
        <v>119062</v>
      </c>
      <c r="H1269" s="75">
        <v>42757</v>
      </c>
      <c r="I1269" t="s">
        <v>115</v>
      </c>
      <c r="J1269">
        <v>5000</v>
      </c>
      <c r="K1269">
        <v>174.70699999999999</v>
      </c>
      <c r="L1269">
        <v>28.619299999999999</v>
      </c>
      <c r="M1269">
        <v>12458.933000000001</v>
      </c>
      <c r="N1269" t="s">
        <v>15</v>
      </c>
    </row>
    <row r="1270" spans="1:14" x14ac:dyDescent="0.2">
      <c r="A1270" t="s">
        <v>18</v>
      </c>
      <c r="B1270" t="s">
        <v>129</v>
      </c>
      <c r="C1270" t="s">
        <v>130</v>
      </c>
      <c r="D1270" t="s">
        <v>113</v>
      </c>
      <c r="E1270" t="s">
        <v>53</v>
      </c>
      <c r="F1270" t="s">
        <v>114</v>
      </c>
      <c r="G1270">
        <v>119062</v>
      </c>
      <c r="H1270" s="75">
        <v>42787</v>
      </c>
      <c r="I1270" t="s">
        <v>115</v>
      </c>
      <c r="J1270">
        <v>5000</v>
      </c>
      <c r="K1270">
        <v>170.18</v>
      </c>
      <c r="L1270">
        <v>29.380600000000001</v>
      </c>
      <c r="M1270">
        <v>12629.112999999999</v>
      </c>
      <c r="N1270" t="s">
        <v>15</v>
      </c>
    </row>
    <row r="1271" spans="1:14" x14ac:dyDescent="0.2">
      <c r="A1271" t="s">
        <v>18</v>
      </c>
      <c r="B1271" t="s">
        <v>129</v>
      </c>
      <c r="C1271" t="s">
        <v>130</v>
      </c>
      <c r="D1271" t="s">
        <v>113</v>
      </c>
      <c r="E1271" t="s">
        <v>53</v>
      </c>
      <c r="F1271" t="s">
        <v>114</v>
      </c>
      <c r="G1271">
        <v>119062</v>
      </c>
      <c r="H1271" s="75">
        <v>42817</v>
      </c>
      <c r="I1271" t="s">
        <v>115</v>
      </c>
      <c r="J1271">
        <v>5000</v>
      </c>
      <c r="K1271">
        <v>170.65100000000001</v>
      </c>
      <c r="L1271">
        <v>29.299600000000002</v>
      </c>
      <c r="M1271">
        <v>12799.763999999999</v>
      </c>
      <c r="N1271" t="s">
        <v>15</v>
      </c>
    </row>
    <row r="1272" spans="1:14" x14ac:dyDescent="0.2">
      <c r="A1272" t="s">
        <v>18</v>
      </c>
      <c r="B1272" t="s">
        <v>129</v>
      </c>
      <c r="C1272" t="s">
        <v>130</v>
      </c>
      <c r="D1272" t="s">
        <v>113</v>
      </c>
      <c r="E1272" t="s">
        <v>53</v>
      </c>
      <c r="F1272" t="s">
        <v>114</v>
      </c>
      <c r="G1272">
        <v>119062</v>
      </c>
      <c r="H1272" s="75">
        <v>42847</v>
      </c>
      <c r="I1272" t="s">
        <v>115</v>
      </c>
      <c r="J1272">
        <v>5000</v>
      </c>
      <c r="K1272">
        <v>166.28</v>
      </c>
      <c r="L1272">
        <v>30.069800000000001</v>
      </c>
      <c r="M1272">
        <v>12966.043</v>
      </c>
      <c r="N1272" t="s">
        <v>15</v>
      </c>
    </row>
    <row r="1273" spans="1:14" x14ac:dyDescent="0.2">
      <c r="A1273" t="s">
        <v>18</v>
      </c>
      <c r="B1273" t="s">
        <v>129</v>
      </c>
      <c r="C1273" t="s">
        <v>130</v>
      </c>
      <c r="D1273" t="s">
        <v>113</v>
      </c>
      <c r="E1273" t="s">
        <v>53</v>
      </c>
      <c r="F1273" t="s">
        <v>114</v>
      </c>
      <c r="G1273">
        <v>119062</v>
      </c>
      <c r="H1273" s="75">
        <v>42877</v>
      </c>
      <c r="I1273" t="s">
        <v>115</v>
      </c>
      <c r="J1273">
        <v>5000</v>
      </c>
      <c r="K1273">
        <v>167.14099999999999</v>
      </c>
      <c r="L1273">
        <v>29.9148</v>
      </c>
      <c r="M1273">
        <v>13133.184999999999</v>
      </c>
      <c r="N1273" t="s">
        <v>15</v>
      </c>
    </row>
    <row r="1274" spans="1:14" x14ac:dyDescent="0.2">
      <c r="A1274" t="s">
        <v>18</v>
      </c>
      <c r="B1274" t="s">
        <v>129</v>
      </c>
      <c r="C1274" t="s">
        <v>130</v>
      </c>
      <c r="D1274" t="s">
        <v>113</v>
      </c>
      <c r="E1274" t="s">
        <v>53</v>
      </c>
      <c r="F1274" t="s">
        <v>114</v>
      </c>
      <c r="G1274">
        <v>119062</v>
      </c>
      <c r="H1274" s="75">
        <v>42907</v>
      </c>
      <c r="I1274" t="s">
        <v>115</v>
      </c>
      <c r="J1274">
        <v>5000</v>
      </c>
      <c r="K1274">
        <v>167.57499999999999</v>
      </c>
      <c r="L1274">
        <v>29.837399999999999</v>
      </c>
      <c r="M1274">
        <v>13300.76</v>
      </c>
      <c r="N1274" t="s">
        <v>15</v>
      </c>
    </row>
    <row r="1275" spans="1:14" x14ac:dyDescent="0.2">
      <c r="A1275" t="s">
        <v>18</v>
      </c>
      <c r="B1275" t="s">
        <v>129</v>
      </c>
      <c r="C1275" t="s">
        <v>130</v>
      </c>
      <c r="D1275" t="s">
        <v>113</v>
      </c>
      <c r="E1275" t="s">
        <v>53</v>
      </c>
      <c r="F1275" t="s">
        <v>114</v>
      </c>
      <c r="G1275">
        <v>119062</v>
      </c>
      <c r="H1275" s="75">
        <v>42937</v>
      </c>
      <c r="I1275" t="s">
        <v>115</v>
      </c>
      <c r="J1275">
        <v>5000</v>
      </c>
      <c r="K1275">
        <v>164.33199999999999</v>
      </c>
      <c r="L1275">
        <v>30.426100000000002</v>
      </c>
      <c r="M1275">
        <v>13465.092000000001</v>
      </c>
      <c r="N1275" t="s">
        <v>15</v>
      </c>
    </row>
    <row r="1276" spans="1:14" x14ac:dyDescent="0.2">
      <c r="A1276" t="s">
        <v>18</v>
      </c>
      <c r="B1276" t="s">
        <v>129</v>
      </c>
      <c r="C1276" t="s">
        <v>130</v>
      </c>
      <c r="D1276" t="s">
        <v>113</v>
      </c>
      <c r="E1276" t="s">
        <v>53</v>
      </c>
      <c r="F1276" t="s">
        <v>114</v>
      </c>
      <c r="G1276">
        <v>119062</v>
      </c>
      <c r="H1276" s="75">
        <v>42967</v>
      </c>
      <c r="I1276" t="s">
        <v>115</v>
      </c>
      <c r="J1276">
        <v>5000</v>
      </c>
      <c r="K1276">
        <v>164.02699999999999</v>
      </c>
      <c r="L1276">
        <v>30.482800000000001</v>
      </c>
      <c r="M1276">
        <v>13629.12</v>
      </c>
      <c r="N1276" t="s">
        <v>15</v>
      </c>
    </row>
    <row r="1277" spans="1:14" x14ac:dyDescent="0.2">
      <c r="A1277" t="s">
        <v>18</v>
      </c>
      <c r="B1277" t="s">
        <v>129</v>
      </c>
      <c r="C1277" t="s">
        <v>130</v>
      </c>
      <c r="D1277" t="s">
        <v>113</v>
      </c>
      <c r="E1277" t="s">
        <v>53</v>
      </c>
      <c r="F1277" t="s">
        <v>114</v>
      </c>
      <c r="G1277">
        <v>119062</v>
      </c>
      <c r="H1277" s="75">
        <v>42997</v>
      </c>
      <c r="I1277" t="s">
        <v>115</v>
      </c>
      <c r="J1277">
        <v>5000</v>
      </c>
      <c r="K1277">
        <v>162.96</v>
      </c>
      <c r="L1277">
        <v>30.682400000000001</v>
      </c>
      <c r="M1277">
        <v>13792.079</v>
      </c>
      <c r="N1277" t="s">
        <v>15</v>
      </c>
    </row>
    <row r="1278" spans="1:14" x14ac:dyDescent="0.2">
      <c r="A1278" t="s">
        <v>18</v>
      </c>
      <c r="B1278" t="s">
        <v>129</v>
      </c>
      <c r="C1278" t="s">
        <v>130</v>
      </c>
      <c r="D1278" t="s">
        <v>113</v>
      </c>
      <c r="E1278" t="s">
        <v>53</v>
      </c>
      <c r="F1278" t="s">
        <v>114</v>
      </c>
      <c r="G1278">
        <v>119062</v>
      </c>
      <c r="H1278" s="75">
        <v>43027</v>
      </c>
      <c r="I1278" t="s">
        <v>115</v>
      </c>
      <c r="J1278">
        <v>5000</v>
      </c>
      <c r="K1278">
        <v>163.65899999999999</v>
      </c>
      <c r="L1278">
        <v>30.551400000000001</v>
      </c>
      <c r="M1278">
        <v>13955.737999999999</v>
      </c>
      <c r="N1278" t="s">
        <v>15</v>
      </c>
    </row>
    <row r="1279" spans="1:14" x14ac:dyDescent="0.2">
      <c r="A1279" t="s">
        <v>18</v>
      </c>
      <c r="B1279" t="s">
        <v>129</v>
      </c>
      <c r="C1279" t="s">
        <v>130</v>
      </c>
      <c r="D1279" t="s">
        <v>113</v>
      </c>
      <c r="E1279" t="s">
        <v>53</v>
      </c>
      <c r="F1279" t="s">
        <v>114</v>
      </c>
      <c r="G1279">
        <v>119062</v>
      </c>
      <c r="H1279" s="75">
        <v>43027</v>
      </c>
      <c r="I1279" t="s">
        <v>25</v>
      </c>
      <c r="J1279">
        <v>-85273.37</v>
      </c>
      <c r="K1279">
        <v>-2791.1480000000001</v>
      </c>
      <c r="L1279">
        <v>30.551400000000001</v>
      </c>
      <c r="M1279">
        <v>11164.59</v>
      </c>
      <c r="N1279" t="s">
        <v>16</v>
      </c>
    </row>
    <row r="1280" spans="1:14" x14ac:dyDescent="0.2">
      <c r="A1280" t="s">
        <v>18</v>
      </c>
      <c r="B1280" t="s">
        <v>129</v>
      </c>
      <c r="C1280" t="s">
        <v>130</v>
      </c>
      <c r="D1280" t="s">
        <v>113</v>
      </c>
      <c r="E1280" t="s">
        <v>53</v>
      </c>
      <c r="F1280" t="s">
        <v>114</v>
      </c>
      <c r="G1280">
        <v>119062</v>
      </c>
      <c r="H1280" s="75">
        <v>43057</v>
      </c>
      <c r="I1280" t="s">
        <v>115</v>
      </c>
      <c r="J1280">
        <v>5000</v>
      </c>
      <c r="K1280">
        <v>159.52799999999999</v>
      </c>
      <c r="L1280">
        <v>31.342400000000001</v>
      </c>
      <c r="M1280">
        <v>11324.119000000001</v>
      </c>
      <c r="N1280" t="s">
        <v>15</v>
      </c>
    </row>
    <row r="1281" spans="1:14" x14ac:dyDescent="0.2">
      <c r="A1281" t="s">
        <v>18</v>
      </c>
      <c r="B1281" t="s">
        <v>129</v>
      </c>
      <c r="C1281" t="s">
        <v>130</v>
      </c>
      <c r="D1281" t="s">
        <v>113</v>
      </c>
      <c r="E1281" t="s">
        <v>53</v>
      </c>
      <c r="F1281" t="s">
        <v>114</v>
      </c>
      <c r="G1281">
        <v>119062</v>
      </c>
      <c r="H1281" s="75">
        <v>43057</v>
      </c>
      <c r="I1281" t="s">
        <v>117</v>
      </c>
      <c r="J1281">
        <v>2.5</v>
      </c>
      <c r="K1281">
        <v>0</v>
      </c>
      <c r="M1281">
        <v>11324.119000000001</v>
      </c>
      <c r="N1281" t="s">
        <v>46</v>
      </c>
    </row>
    <row r="1282" spans="1:14" x14ac:dyDescent="0.2">
      <c r="A1282" t="s">
        <v>18</v>
      </c>
      <c r="B1282" t="s">
        <v>129</v>
      </c>
      <c r="C1282" t="s">
        <v>130</v>
      </c>
      <c r="D1282" t="s">
        <v>113</v>
      </c>
      <c r="E1282" t="s">
        <v>53</v>
      </c>
      <c r="F1282" t="s">
        <v>114</v>
      </c>
      <c r="G1282">
        <v>119062</v>
      </c>
      <c r="H1282" s="75">
        <v>43087</v>
      </c>
      <c r="I1282" t="s">
        <v>115</v>
      </c>
      <c r="J1282">
        <v>5000</v>
      </c>
      <c r="K1282">
        <v>155.35499999999999</v>
      </c>
      <c r="L1282">
        <v>32.1843</v>
      </c>
      <c r="M1282">
        <v>11479.474</v>
      </c>
      <c r="N1282" t="s">
        <v>15</v>
      </c>
    </row>
    <row r="1283" spans="1:14" x14ac:dyDescent="0.2">
      <c r="A1283" t="s">
        <v>18</v>
      </c>
      <c r="B1283" t="s">
        <v>129</v>
      </c>
      <c r="C1283" t="s">
        <v>130</v>
      </c>
      <c r="D1283" t="s">
        <v>113</v>
      </c>
      <c r="E1283" t="s">
        <v>53</v>
      </c>
      <c r="F1283" t="s">
        <v>114</v>
      </c>
      <c r="G1283">
        <v>119062</v>
      </c>
      <c r="H1283" s="75">
        <v>43087</v>
      </c>
      <c r="I1283" t="s">
        <v>116</v>
      </c>
      <c r="J1283">
        <v>2.5</v>
      </c>
      <c r="K1283">
        <v>0</v>
      </c>
      <c r="M1283">
        <v>11479.474</v>
      </c>
      <c r="N1283" t="s">
        <v>17</v>
      </c>
    </row>
    <row r="1284" spans="1:14" x14ac:dyDescent="0.2">
      <c r="A1284" t="s">
        <v>18</v>
      </c>
      <c r="B1284" t="s">
        <v>129</v>
      </c>
      <c r="C1284" t="s">
        <v>130</v>
      </c>
      <c r="D1284" t="s">
        <v>113</v>
      </c>
      <c r="E1284" t="s">
        <v>53</v>
      </c>
      <c r="F1284" t="s">
        <v>114</v>
      </c>
      <c r="G1284">
        <v>119062</v>
      </c>
      <c r="H1284" s="75">
        <v>43117</v>
      </c>
      <c r="I1284" t="s">
        <v>115</v>
      </c>
      <c r="J1284">
        <v>5000</v>
      </c>
      <c r="K1284">
        <v>152.976</v>
      </c>
      <c r="L1284">
        <v>32.684899999999999</v>
      </c>
      <c r="M1284">
        <v>11632.449000000001</v>
      </c>
      <c r="N1284" t="s">
        <v>15</v>
      </c>
    </row>
    <row r="1285" spans="1:14" x14ac:dyDescent="0.2">
      <c r="A1285" t="s">
        <v>18</v>
      </c>
      <c r="B1285" t="s">
        <v>129</v>
      </c>
      <c r="C1285" t="s">
        <v>130</v>
      </c>
      <c r="D1285" t="s">
        <v>113</v>
      </c>
      <c r="E1285" t="s">
        <v>53</v>
      </c>
      <c r="F1285" t="s">
        <v>114</v>
      </c>
      <c r="G1285">
        <v>119062</v>
      </c>
      <c r="H1285" s="75">
        <v>43117</v>
      </c>
      <c r="I1285" t="s">
        <v>117</v>
      </c>
      <c r="J1285">
        <v>2.5</v>
      </c>
      <c r="K1285">
        <v>0</v>
      </c>
      <c r="M1285">
        <v>11632.449000000001</v>
      </c>
      <c r="N1285" t="s">
        <v>46</v>
      </c>
    </row>
    <row r="1286" spans="1:14" x14ac:dyDescent="0.2">
      <c r="A1286" t="s">
        <v>18</v>
      </c>
      <c r="B1286" t="s">
        <v>129</v>
      </c>
      <c r="C1286" t="s">
        <v>130</v>
      </c>
      <c r="D1286" t="s">
        <v>113</v>
      </c>
      <c r="E1286" t="s">
        <v>53</v>
      </c>
      <c r="F1286" t="s">
        <v>114</v>
      </c>
      <c r="G1286">
        <v>119062</v>
      </c>
      <c r="H1286" s="75">
        <v>43147</v>
      </c>
      <c r="I1286" t="s">
        <v>115</v>
      </c>
      <c r="J1286">
        <v>5000</v>
      </c>
      <c r="K1286">
        <v>149.28800000000001</v>
      </c>
      <c r="L1286">
        <v>33.492199999999997</v>
      </c>
      <c r="M1286">
        <v>11781.737999999999</v>
      </c>
      <c r="N1286" t="s">
        <v>15</v>
      </c>
    </row>
    <row r="1287" spans="1:14" x14ac:dyDescent="0.2">
      <c r="A1287" t="s">
        <v>18</v>
      </c>
      <c r="B1287" t="s">
        <v>129</v>
      </c>
      <c r="C1287" t="s">
        <v>130</v>
      </c>
      <c r="D1287" t="s">
        <v>113</v>
      </c>
      <c r="E1287" t="s">
        <v>53</v>
      </c>
      <c r="F1287" t="s">
        <v>114</v>
      </c>
      <c r="G1287">
        <v>119062</v>
      </c>
      <c r="H1287" s="75">
        <v>43177</v>
      </c>
      <c r="I1287" t="s">
        <v>115</v>
      </c>
      <c r="J1287">
        <v>5000</v>
      </c>
      <c r="K1287">
        <v>149.26499999999999</v>
      </c>
      <c r="L1287">
        <v>33.497399999999999</v>
      </c>
      <c r="M1287">
        <v>11931.003000000001</v>
      </c>
      <c r="N1287" t="s">
        <v>15</v>
      </c>
    </row>
    <row r="1288" spans="1:14" x14ac:dyDescent="0.2">
      <c r="A1288" t="s">
        <v>18</v>
      </c>
      <c r="B1288" t="s">
        <v>129</v>
      </c>
      <c r="C1288" t="s">
        <v>130</v>
      </c>
      <c r="D1288" t="s">
        <v>113</v>
      </c>
      <c r="E1288" t="s">
        <v>53</v>
      </c>
      <c r="F1288" t="s">
        <v>114</v>
      </c>
      <c r="G1288">
        <v>119062</v>
      </c>
      <c r="H1288" s="75">
        <v>43207</v>
      </c>
      <c r="I1288" t="s">
        <v>115</v>
      </c>
      <c r="J1288">
        <v>5000</v>
      </c>
      <c r="K1288">
        <v>149.648</v>
      </c>
      <c r="L1288">
        <v>33.411799999999999</v>
      </c>
      <c r="M1288">
        <v>12080.65</v>
      </c>
      <c r="N1288" t="s">
        <v>15</v>
      </c>
    </row>
    <row r="1289" spans="1:14" x14ac:dyDescent="0.2">
      <c r="A1289" t="s">
        <v>18</v>
      </c>
      <c r="B1289" t="s">
        <v>129</v>
      </c>
      <c r="C1289" t="s">
        <v>130</v>
      </c>
      <c r="D1289" t="s">
        <v>113</v>
      </c>
      <c r="E1289" t="s">
        <v>53</v>
      </c>
      <c r="F1289" t="s">
        <v>114</v>
      </c>
      <c r="G1289">
        <v>119062</v>
      </c>
      <c r="H1289" s="75">
        <v>43237</v>
      </c>
      <c r="I1289" t="s">
        <v>115</v>
      </c>
      <c r="J1289">
        <v>5000</v>
      </c>
      <c r="K1289">
        <v>149.80699999999999</v>
      </c>
      <c r="L1289">
        <v>33.376300000000001</v>
      </c>
      <c r="M1289">
        <v>12230.457</v>
      </c>
      <c r="N1289" t="s">
        <v>15</v>
      </c>
    </row>
    <row r="1290" spans="1:14" x14ac:dyDescent="0.2">
      <c r="A1290" t="s">
        <v>18</v>
      </c>
      <c r="B1290" t="s">
        <v>129</v>
      </c>
      <c r="C1290" t="s">
        <v>130</v>
      </c>
      <c r="D1290" t="s">
        <v>113</v>
      </c>
      <c r="E1290" t="s">
        <v>53</v>
      </c>
      <c r="F1290" t="s">
        <v>114</v>
      </c>
      <c r="G1290">
        <v>119062</v>
      </c>
      <c r="H1290" s="75">
        <v>43267</v>
      </c>
      <c r="I1290" t="s">
        <v>115</v>
      </c>
      <c r="J1290">
        <v>5000</v>
      </c>
      <c r="K1290">
        <v>150.69</v>
      </c>
      <c r="L1290">
        <v>33.180799999999998</v>
      </c>
      <c r="M1290">
        <v>12381.147000000001</v>
      </c>
      <c r="N1290" t="s">
        <v>15</v>
      </c>
    </row>
    <row r="1291" spans="1:14" x14ac:dyDescent="0.2">
      <c r="A1291" t="s">
        <v>18</v>
      </c>
      <c r="B1291" t="s">
        <v>129</v>
      </c>
      <c r="C1291" t="s">
        <v>130</v>
      </c>
      <c r="D1291" t="s">
        <v>113</v>
      </c>
      <c r="E1291" t="s">
        <v>53</v>
      </c>
      <c r="F1291" t="s">
        <v>114</v>
      </c>
      <c r="G1291">
        <v>119062</v>
      </c>
      <c r="H1291" s="75">
        <v>43297</v>
      </c>
      <c r="I1291" t="s">
        <v>115</v>
      </c>
      <c r="J1291">
        <v>5000</v>
      </c>
      <c r="K1291">
        <v>150.03100000000001</v>
      </c>
      <c r="L1291">
        <v>33.3264</v>
      </c>
      <c r="M1291">
        <v>12531.178</v>
      </c>
      <c r="N1291" t="s">
        <v>15</v>
      </c>
    </row>
    <row r="1292" spans="1:14" x14ac:dyDescent="0.2">
      <c r="A1292" t="s">
        <v>18</v>
      </c>
      <c r="B1292" t="s">
        <v>129</v>
      </c>
      <c r="C1292" t="s">
        <v>130</v>
      </c>
      <c r="D1292" t="s">
        <v>113</v>
      </c>
      <c r="E1292" t="s">
        <v>53</v>
      </c>
      <c r="F1292" t="s">
        <v>114</v>
      </c>
      <c r="G1292">
        <v>119062</v>
      </c>
      <c r="H1292" s="75">
        <v>43327</v>
      </c>
      <c r="I1292" t="s">
        <v>115</v>
      </c>
      <c r="J1292">
        <v>5000</v>
      </c>
      <c r="K1292">
        <v>149.49</v>
      </c>
      <c r="L1292">
        <v>33.447099999999999</v>
      </c>
      <c r="M1292">
        <v>12680.668</v>
      </c>
      <c r="N1292" t="s">
        <v>15</v>
      </c>
    </row>
    <row r="1293" spans="1:14" x14ac:dyDescent="0.2">
      <c r="A1293" t="s">
        <v>18</v>
      </c>
      <c r="B1293" t="s">
        <v>129</v>
      </c>
      <c r="C1293" t="s">
        <v>130</v>
      </c>
      <c r="D1293" t="s">
        <v>113</v>
      </c>
      <c r="E1293" t="s">
        <v>53</v>
      </c>
      <c r="F1293" t="s">
        <v>114</v>
      </c>
      <c r="G1293">
        <v>119062</v>
      </c>
      <c r="H1293" s="75">
        <v>43357</v>
      </c>
      <c r="I1293" t="s">
        <v>115</v>
      </c>
      <c r="J1293">
        <v>5000</v>
      </c>
      <c r="K1293">
        <v>151.089</v>
      </c>
      <c r="L1293">
        <v>33.0931</v>
      </c>
      <c r="M1293">
        <v>12831.757</v>
      </c>
      <c r="N1293" t="s">
        <v>15</v>
      </c>
    </row>
    <row r="1294" spans="1:14" x14ac:dyDescent="0.2">
      <c r="A1294" t="s">
        <v>18</v>
      </c>
      <c r="B1294" t="s">
        <v>129</v>
      </c>
      <c r="C1294" t="s">
        <v>130</v>
      </c>
      <c r="D1294" t="s">
        <v>113</v>
      </c>
      <c r="E1294" t="s">
        <v>53</v>
      </c>
      <c r="F1294" t="s">
        <v>114</v>
      </c>
      <c r="G1294">
        <v>119062</v>
      </c>
      <c r="H1294" s="75">
        <v>43387</v>
      </c>
      <c r="I1294" t="s">
        <v>115</v>
      </c>
      <c r="J1294">
        <v>5000</v>
      </c>
      <c r="K1294">
        <v>149.86799999999999</v>
      </c>
      <c r="L1294">
        <v>33.3626</v>
      </c>
      <c r="M1294">
        <v>12981.625</v>
      </c>
      <c r="N1294" t="s">
        <v>15</v>
      </c>
    </row>
    <row r="1295" spans="1:14" x14ac:dyDescent="0.2">
      <c r="A1295" t="s">
        <v>18</v>
      </c>
      <c r="B1295" t="s">
        <v>129</v>
      </c>
      <c r="C1295" t="s">
        <v>130</v>
      </c>
      <c r="D1295" t="s">
        <v>113</v>
      </c>
      <c r="E1295" t="s">
        <v>53</v>
      </c>
      <c r="F1295" t="s">
        <v>114</v>
      </c>
      <c r="G1295">
        <v>119062</v>
      </c>
      <c r="H1295" s="75">
        <v>43417</v>
      </c>
      <c r="I1295" t="s">
        <v>115</v>
      </c>
      <c r="J1295">
        <v>5000</v>
      </c>
      <c r="K1295">
        <v>147.50200000000001</v>
      </c>
      <c r="L1295">
        <v>33.897799999999997</v>
      </c>
      <c r="M1295">
        <v>13129.127</v>
      </c>
      <c r="N1295" t="s">
        <v>15</v>
      </c>
    </row>
    <row r="1296" spans="1:14" x14ac:dyDescent="0.2">
      <c r="A1296" t="s">
        <v>18</v>
      </c>
      <c r="B1296" t="s">
        <v>129</v>
      </c>
      <c r="C1296" t="s">
        <v>130</v>
      </c>
      <c r="D1296" t="s">
        <v>113</v>
      </c>
      <c r="E1296" t="s">
        <v>53</v>
      </c>
      <c r="F1296" t="s">
        <v>114</v>
      </c>
      <c r="G1296">
        <v>119062</v>
      </c>
      <c r="H1296" s="75">
        <v>43447</v>
      </c>
      <c r="I1296" t="s">
        <v>115</v>
      </c>
      <c r="J1296">
        <v>5000</v>
      </c>
      <c r="K1296">
        <v>147.36199999999999</v>
      </c>
      <c r="L1296">
        <v>33.930100000000003</v>
      </c>
      <c r="M1296">
        <v>13276.489</v>
      </c>
      <c r="N1296" t="s">
        <v>15</v>
      </c>
    </row>
    <row r="1297" spans="1:15" x14ac:dyDescent="0.2">
      <c r="A1297" t="s">
        <v>18</v>
      </c>
      <c r="B1297" t="s">
        <v>129</v>
      </c>
      <c r="C1297" t="s">
        <v>130</v>
      </c>
      <c r="D1297" t="s">
        <v>113</v>
      </c>
      <c r="E1297" t="s">
        <v>53</v>
      </c>
      <c r="F1297" t="s">
        <v>114</v>
      </c>
      <c r="G1297">
        <v>119062</v>
      </c>
      <c r="H1297" s="75">
        <v>43477</v>
      </c>
      <c r="I1297" t="s">
        <v>115</v>
      </c>
      <c r="J1297">
        <v>5000</v>
      </c>
      <c r="K1297">
        <v>149.90899999999999</v>
      </c>
      <c r="L1297">
        <v>33.3536</v>
      </c>
      <c r="M1297">
        <v>13426.397999999999</v>
      </c>
      <c r="N1297" t="s">
        <v>15</v>
      </c>
    </row>
    <row r="1298" spans="1:15" x14ac:dyDescent="0.2">
      <c r="A1298" t="s">
        <v>18</v>
      </c>
      <c r="B1298" t="s">
        <v>129</v>
      </c>
      <c r="C1298" t="s">
        <v>130</v>
      </c>
      <c r="D1298" t="s">
        <v>113</v>
      </c>
      <c r="E1298" t="s">
        <v>53</v>
      </c>
      <c r="F1298" t="s">
        <v>114</v>
      </c>
      <c r="G1298">
        <v>119062</v>
      </c>
      <c r="H1298" s="75">
        <v>43477</v>
      </c>
      <c r="I1298" t="s">
        <v>116</v>
      </c>
      <c r="J1298">
        <v>2.5</v>
      </c>
      <c r="K1298">
        <v>0</v>
      </c>
      <c r="M1298">
        <v>13426.397999999999</v>
      </c>
      <c r="N1298" t="s">
        <v>17</v>
      </c>
    </row>
    <row r="1299" spans="1:15" x14ac:dyDescent="0.2">
      <c r="A1299" t="s">
        <v>18</v>
      </c>
      <c r="B1299" t="s">
        <v>129</v>
      </c>
      <c r="C1299" t="s">
        <v>130</v>
      </c>
      <c r="D1299" t="s">
        <v>113</v>
      </c>
      <c r="E1299" t="s">
        <v>53</v>
      </c>
      <c r="F1299" t="s">
        <v>114</v>
      </c>
      <c r="G1299">
        <v>119062</v>
      </c>
      <c r="H1299" s="75">
        <v>43507</v>
      </c>
      <c r="I1299" t="s">
        <v>115</v>
      </c>
      <c r="J1299">
        <v>5000</v>
      </c>
      <c r="K1299">
        <v>146.422</v>
      </c>
      <c r="L1299">
        <v>34.1479</v>
      </c>
      <c r="M1299">
        <v>13572.82</v>
      </c>
      <c r="N1299" t="s">
        <v>15</v>
      </c>
    </row>
    <row r="1300" spans="1:15" x14ac:dyDescent="0.2">
      <c r="A1300" t="s">
        <v>18</v>
      </c>
      <c r="B1300" t="s">
        <v>129</v>
      </c>
      <c r="C1300" t="s">
        <v>130</v>
      </c>
      <c r="D1300" t="s">
        <v>113</v>
      </c>
      <c r="E1300" t="s">
        <v>53</v>
      </c>
      <c r="F1300" t="s">
        <v>114</v>
      </c>
      <c r="G1300">
        <v>119062</v>
      </c>
      <c r="H1300" s="75">
        <v>43537</v>
      </c>
      <c r="I1300" t="s">
        <v>115</v>
      </c>
      <c r="J1300">
        <v>5000</v>
      </c>
      <c r="K1300">
        <v>142.196</v>
      </c>
      <c r="L1300">
        <v>35.162799999999997</v>
      </c>
      <c r="M1300">
        <v>13715.014999999999</v>
      </c>
      <c r="N1300" t="s">
        <v>15</v>
      </c>
    </row>
    <row r="1301" spans="1:15" x14ac:dyDescent="0.2">
      <c r="A1301" t="s">
        <v>18</v>
      </c>
      <c r="B1301" t="s">
        <v>129</v>
      </c>
      <c r="C1301" t="s">
        <v>130</v>
      </c>
      <c r="D1301" t="s">
        <v>113</v>
      </c>
      <c r="E1301" t="s">
        <v>53</v>
      </c>
      <c r="F1301" t="s">
        <v>114</v>
      </c>
      <c r="G1301">
        <v>119062</v>
      </c>
      <c r="H1301" s="75">
        <v>43537</v>
      </c>
      <c r="I1301" t="s">
        <v>118</v>
      </c>
      <c r="J1301">
        <v>6857.51</v>
      </c>
      <c r="K1301">
        <v>0</v>
      </c>
      <c r="M1301">
        <v>13715.014999999999</v>
      </c>
      <c r="N1301" t="s">
        <v>19</v>
      </c>
      <c r="O1301">
        <v>6857.51</v>
      </c>
    </row>
    <row r="1302" spans="1:15" x14ac:dyDescent="0.2">
      <c r="A1302" t="s">
        <v>18</v>
      </c>
      <c r="B1302" t="s">
        <v>129</v>
      </c>
      <c r="C1302" t="s">
        <v>130</v>
      </c>
      <c r="D1302" t="s">
        <v>113</v>
      </c>
      <c r="E1302" t="s">
        <v>53</v>
      </c>
      <c r="F1302" t="s">
        <v>114</v>
      </c>
      <c r="G1302">
        <v>119062</v>
      </c>
      <c r="H1302" s="75">
        <v>43567</v>
      </c>
      <c r="I1302" t="s">
        <v>115</v>
      </c>
      <c r="J1302">
        <v>5000</v>
      </c>
      <c r="K1302">
        <v>143.971</v>
      </c>
      <c r="L1302">
        <v>34.729100000000003</v>
      </c>
      <c r="M1302">
        <v>13858.986000000001</v>
      </c>
      <c r="N1302" t="s">
        <v>15</v>
      </c>
    </row>
    <row r="1303" spans="1:15" x14ac:dyDescent="0.2">
      <c r="A1303" t="s">
        <v>18</v>
      </c>
      <c r="B1303" t="s">
        <v>129</v>
      </c>
      <c r="C1303" t="s">
        <v>130</v>
      </c>
      <c r="D1303" t="s">
        <v>113</v>
      </c>
      <c r="E1303" t="s">
        <v>53</v>
      </c>
      <c r="F1303" t="s">
        <v>114</v>
      </c>
      <c r="G1303">
        <v>119062</v>
      </c>
      <c r="H1303" s="75">
        <v>43597</v>
      </c>
      <c r="I1303" t="s">
        <v>115</v>
      </c>
      <c r="J1303">
        <v>5000</v>
      </c>
      <c r="K1303">
        <v>143.22499999999999</v>
      </c>
      <c r="L1303">
        <v>34.9101</v>
      </c>
      <c r="M1303">
        <v>14002.212</v>
      </c>
      <c r="N1303" t="s">
        <v>15</v>
      </c>
    </row>
    <row r="1304" spans="1:15" x14ac:dyDescent="0.2">
      <c r="A1304" t="s">
        <v>18</v>
      </c>
      <c r="B1304" t="s">
        <v>129</v>
      </c>
      <c r="C1304" t="s">
        <v>130</v>
      </c>
      <c r="D1304" t="s">
        <v>113</v>
      </c>
      <c r="E1304" t="s">
        <v>53</v>
      </c>
      <c r="F1304" t="s">
        <v>114</v>
      </c>
      <c r="G1304">
        <v>119062</v>
      </c>
      <c r="H1304" s="75">
        <v>43627</v>
      </c>
      <c r="I1304" t="s">
        <v>115</v>
      </c>
      <c r="J1304">
        <v>5000</v>
      </c>
      <c r="K1304">
        <v>141.078</v>
      </c>
      <c r="L1304">
        <v>35.441299999999998</v>
      </c>
      <c r="M1304">
        <v>14143.29</v>
      </c>
      <c r="N1304" t="s">
        <v>15</v>
      </c>
    </row>
    <row r="1305" spans="1:15" x14ac:dyDescent="0.2">
      <c r="A1305" t="s">
        <v>18</v>
      </c>
      <c r="B1305" t="s">
        <v>129</v>
      </c>
      <c r="C1305" t="s">
        <v>130</v>
      </c>
      <c r="D1305" t="s">
        <v>113</v>
      </c>
      <c r="E1305" t="s">
        <v>53</v>
      </c>
      <c r="F1305" t="s">
        <v>114</v>
      </c>
      <c r="G1305">
        <v>119062</v>
      </c>
      <c r="H1305" s="75">
        <v>43657</v>
      </c>
      <c r="I1305" t="s">
        <v>115</v>
      </c>
      <c r="J1305">
        <v>5000</v>
      </c>
      <c r="K1305">
        <v>140.41800000000001</v>
      </c>
      <c r="L1305">
        <v>35.6081</v>
      </c>
      <c r="M1305">
        <v>14283.708000000001</v>
      </c>
      <c r="N1305" t="s">
        <v>15</v>
      </c>
    </row>
    <row r="1306" spans="1:15" x14ac:dyDescent="0.2">
      <c r="A1306" t="s">
        <v>18</v>
      </c>
      <c r="B1306" t="s">
        <v>129</v>
      </c>
      <c r="C1306" t="s">
        <v>130</v>
      </c>
      <c r="D1306" t="s">
        <v>113</v>
      </c>
      <c r="E1306" t="s">
        <v>53</v>
      </c>
      <c r="F1306" t="s">
        <v>114</v>
      </c>
      <c r="G1306">
        <v>119062</v>
      </c>
      <c r="H1306" s="75">
        <v>43657</v>
      </c>
      <c r="I1306" t="s">
        <v>25</v>
      </c>
      <c r="J1306">
        <v>-101723.01</v>
      </c>
      <c r="K1306">
        <v>-2856.7420000000002</v>
      </c>
      <c r="L1306">
        <v>35.6081</v>
      </c>
      <c r="M1306">
        <v>11426.966</v>
      </c>
      <c r="N1306" t="s">
        <v>16</v>
      </c>
    </row>
    <row r="1307" spans="1:15" x14ac:dyDescent="0.2">
      <c r="A1307" t="s">
        <v>18</v>
      </c>
      <c r="B1307" t="s">
        <v>129</v>
      </c>
      <c r="C1307" t="s">
        <v>130</v>
      </c>
      <c r="D1307" t="s">
        <v>113</v>
      </c>
      <c r="E1307" t="s">
        <v>53</v>
      </c>
      <c r="F1307" t="s">
        <v>114</v>
      </c>
      <c r="G1307">
        <v>119062</v>
      </c>
      <c r="H1307" s="75">
        <v>43687</v>
      </c>
      <c r="I1307" t="s">
        <v>115</v>
      </c>
      <c r="J1307">
        <v>5000</v>
      </c>
      <c r="K1307">
        <v>142.227</v>
      </c>
      <c r="L1307">
        <v>35.155099999999997</v>
      </c>
      <c r="M1307">
        <v>11569.192999999999</v>
      </c>
      <c r="N1307" t="s">
        <v>15</v>
      </c>
    </row>
    <row r="1308" spans="1:15" x14ac:dyDescent="0.2">
      <c r="A1308" t="s">
        <v>18</v>
      </c>
      <c r="B1308" t="s">
        <v>129</v>
      </c>
      <c r="C1308" t="s">
        <v>130</v>
      </c>
      <c r="D1308" t="s">
        <v>113</v>
      </c>
      <c r="E1308" t="s">
        <v>53</v>
      </c>
      <c r="F1308" t="s">
        <v>114</v>
      </c>
      <c r="G1308">
        <v>119062</v>
      </c>
      <c r="H1308" s="75">
        <v>43687</v>
      </c>
      <c r="I1308" t="s">
        <v>116</v>
      </c>
      <c r="J1308">
        <v>2.5</v>
      </c>
      <c r="K1308">
        <v>0</v>
      </c>
      <c r="M1308">
        <v>11569.192999999999</v>
      </c>
      <c r="N1308" t="s">
        <v>17</v>
      </c>
    </row>
    <row r="1309" spans="1:15" x14ac:dyDescent="0.2">
      <c r="A1309" t="s">
        <v>18</v>
      </c>
      <c r="B1309" t="s">
        <v>129</v>
      </c>
      <c r="C1309" t="s">
        <v>130</v>
      </c>
      <c r="D1309" t="s">
        <v>113</v>
      </c>
      <c r="E1309" t="s">
        <v>53</v>
      </c>
      <c r="F1309" t="s">
        <v>114</v>
      </c>
      <c r="G1309">
        <v>119062</v>
      </c>
      <c r="H1309" s="75">
        <v>43717</v>
      </c>
      <c r="I1309" t="s">
        <v>115</v>
      </c>
      <c r="J1309">
        <v>5000</v>
      </c>
      <c r="K1309">
        <v>143.21700000000001</v>
      </c>
      <c r="L1309">
        <v>34.911999999999999</v>
      </c>
      <c r="M1309">
        <v>11712.41</v>
      </c>
      <c r="N1309" t="s">
        <v>15</v>
      </c>
    </row>
    <row r="1310" spans="1:15" x14ac:dyDescent="0.2">
      <c r="A1310" t="s">
        <v>18</v>
      </c>
      <c r="B1310" t="s">
        <v>129</v>
      </c>
      <c r="C1310" t="s">
        <v>130</v>
      </c>
      <c r="D1310" t="s">
        <v>113</v>
      </c>
      <c r="E1310" t="s">
        <v>53</v>
      </c>
      <c r="F1310" t="s">
        <v>114</v>
      </c>
      <c r="G1310">
        <v>119062</v>
      </c>
      <c r="H1310" s="75">
        <v>43747</v>
      </c>
      <c r="I1310" t="s">
        <v>115</v>
      </c>
      <c r="J1310">
        <v>5000</v>
      </c>
      <c r="K1310">
        <v>140.709</v>
      </c>
      <c r="L1310">
        <v>35.534199999999998</v>
      </c>
      <c r="M1310">
        <v>11853.119000000001</v>
      </c>
      <c r="N1310" t="s">
        <v>15</v>
      </c>
    </row>
    <row r="1311" spans="1:15" x14ac:dyDescent="0.2">
      <c r="A1311" t="s">
        <v>18</v>
      </c>
      <c r="B1311" t="s">
        <v>129</v>
      </c>
      <c r="C1311" t="s">
        <v>130</v>
      </c>
      <c r="D1311" t="s">
        <v>113</v>
      </c>
      <c r="E1311" t="s">
        <v>53</v>
      </c>
      <c r="F1311" t="s">
        <v>114</v>
      </c>
      <c r="G1311">
        <v>119062</v>
      </c>
      <c r="H1311" s="75">
        <v>43747</v>
      </c>
      <c r="I1311" t="s">
        <v>116</v>
      </c>
      <c r="J1311">
        <v>2.5</v>
      </c>
      <c r="K1311">
        <v>0</v>
      </c>
      <c r="M1311">
        <v>11853.119000000001</v>
      </c>
      <c r="N1311" t="s">
        <v>17</v>
      </c>
    </row>
    <row r="1312" spans="1:15" x14ac:dyDescent="0.2">
      <c r="A1312" t="s">
        <v>18</v>
      </c>
      <c r="B1312" t="s">
        <v>129</v>
      </c>
      <c r="C1312" t="s">
        <v>130</v>
      </c>
      <c r="D1312" t="s">
        <v>113</v>
      </c>
      <c r="E1312" t="s">
        <v>53</v>
      </c>
      <c r="F1312" t="s">
        <v>114</v>
      </c>
      <c r="G1312">
        <v>119062</v>
      </c>
      <c r="H1312" s="75">
        <v>43777</v>
      </c>
      <c r="I1312" t="s">
        <v>115</v>
      </c>
      <c r="J1312">
        <v>5000</v>
      </c>
      <c r="K1312">
        <v>140.727</v>
      </c>
      <c r="L1312">
        <v>35.529699999999998</v>
      </c>
      <c r="M1312">
        <v>11993.847</v>
      </c>
      <c r="N1312" t="s">
        <v>15</v>
      </c>
    </row>
    <row r="1313" spans="1:14" x14ac:dyDescent="0.2">
      <c r="A1313" t="s">
        <v>18</v>
      </c>
      <c r="B1313" t="s">
        <v>129</v>
      </c>
      <c r="C1313" t="s">
        <v>130</v>
      </c>
      <c r="D1313" t="s">
        <v>113</v>
      </c>
      <c r="E1313" t="s">
        <v>53</v>
      </c>
      <c r="F1313" t="s">
        <v>114</v>
      </c>
      <c r="G1313">
        <v>119062</v>
      </c>
      <c r="H1313" s="75">
        <v>43777</v>
      </c>
      <c r="I1313" t="s">
        <v>116</v>
      </c>
      <c r="J1313">
        <v>2.5</v>
      </c>
      <c r="K1313">
        <v>0</v>
      </c>
      <c r="M1313">
        <v>11993.847</v>
      </c>
      <c r="N1313" t="s">
        <v>17</v>
      </c>
    </row>
    <row r="1314" spans="1:14" x14ac:dyDescent="0.2">
      <c r="A1314" t="s">
        <v>18</v>
      </c>
      <c r="B1314" t="s">
        <v>129</v>
      </c>
      <c r="C1314" t="s">
        <v>130</v>
      </c>
      <c r="D1314" t="s">
        <v>113</v>
      </c>
      <c r="E1314" t="s">
        <v>53</v>
      </c>
      <c r="F1314" t="s">
        <v>114</v>
      </c>
      <c r="G1314">
        <v>119062</v>
      </c>
      <c r="H1314" s="75">
        <v>43807</v>
      </c>
      <c r="I1314" t="s">
        <v>115</v>
      </c>
      <c r="J1314">
        <v>5000</v>
      </c>
      <c r="K1314">
        <v>143.25800000000001</v>
      </c>
      <c r="L1314">
        <v>34.902000000000001</v>
      </c>
      <c r="M1314">
        <v>12137.105</v>
      </c>
      <c r="N1314" t="s">
        <v>15</v>
      </c>
    </row>
    <row r="1315" spans="1:14" x14ac:dyDescent="0.2">
      <c r="A1315" t="s">
        <v>18</v>
      </c>
      <c r="B1315" t="s">
        <v>129</v>
      </c>
      <c r="C1315" t="s">
        <v>130</v>
      </c>
      <c r="D1315" t="s">
        <v>113</v>
      </c>
      <c r="E1315" t="s">
        <v>53</v>
      </c>
      <c r="F1315" t="s">
        <v>114</v>
      </c>
      <c r="G1315">
        <v>119062</v>
      </c>
      <c r="H1315" s="75">
        <v>43837</v>
      </c>
      <c r="I1315" t="s">
        <v>115</v>
      </c>
      <c r="J1315">
        <v>5000</v>
      </c>
      <c r="K1315">
        <v>142.77199999999999</v>
      </c>
      <c r="L1315">
        <v>35.020899999999997</v>
      </c>
      <c r="M1315">
        <v>12279.877</v>
      </c>
      <c r="N1315" t="s">
        <v>15</v>
      </c>
    </row>
    <row r="1316" spans="1:14" x14ac:dyDescent="0.2">
      <c r="A1316" t="s">
        <v>18</v>
      </c>
      <c r="B1316" t="s">
        <v>129</v>
      </c>
      <c r="C1316" t="s">
        <v>130</v>
      </c>
      <c r="D1316" t="s">
        <v>113</v>
      </c>
      <c r="E1316" t="s">
        <v>53</v>
      </c>
      <c r="F1316" t="s">
        <v>114</v>
      </c>
      <c r="G1316">
        <v>119062</v>
      </c>
      <c r="H1316" s="75">
        <v>43837</v>
      </c>
      <c r="I1316" t="s">
        <v>116</v>
      </c>
      <c r="J1316">
        <v>2.5</v>
      </c>
      <c r="K1316">
        <v>0</v>
      </c>
      <c r="M1316">
        <v>12279.877</v>
      </c>
      <c r="N1316" t="s">
        <v>17</v>
      </c>
    </row>
    <row r="1317" spans="1:14" x14ac:dyDescent="0.2">
      <c r="A1317" t="s">
        <v>18</v>
      </c>
      <c r="B1317" t="s">
        <v>129</v>
      </c>
      <c r="C1317" t="s">
        <v>130</v>
      </c>
      <c r="D1317" t="s">
        <v>113</v>
      </c>
      <c r="E1317" t="s">
        <v>53</v>
      </c>
      <c r="F1317" t="s">
        <v>114</v>
      </c>
      <c r="G1317">
        <v>119062</v>
      </c>
      <c r="H1317" s="75">
        <v>43867</v>
      </c>
      <c r="I1317" t="s">
        <v>115</v>
      </c>
      <c r="J1317">
        <v>5000</v>
      </c>
      <c r="K1317">
        <v>141.50299999999999</v>
      </c>
      <c r="L1317">
        <v>35.334899999999998</v>
      </c>
      <c r="M1317">
        <v>12421.38</v>
      </c>
      <c r="N1317" t="s">
        <v>15</v>
      </c>
    </row>
    <row r="1318" spans="1:14" x14ac:dyDescent="0.2">
      <c r="A1318" t="s">
        <v>18</v>
      </c>
      <c r="B1318" t="s">
        <v>129</v>
      </c>
      <c r="C1318" t="s">
        <v>130</v>
      </c>
      <c r="D1318" t="s">
        <v>113</v>
      </c>
      <c r="E1318" t="s">
        <v>53</v>
      </c>
      <c r="F1318" t="s">
        <v>114</v>
      </c>
      <c r="G1318">
        <v>119062</v>
      </c>
      <c r="H1318" s="75">
        <v>43897</v>
      </c>
      <c r="I1318" t="s">
        <v>115</v>
      </c>
      <c r="J1318">
        <v>5000</v>
      </c>
      <c r="K1318">
        <v>142.57</v>
      </c>
      <c r="L1318">
        <v>35.070599999999999</v>
      </c>
      <c r="M1318">
        <v>12563.95</v>
      </c>
      <c r="N1318" t="s">
        <v>15</v>
      </c>
    </row>
    <row r="1319" spans="1:14" x14ac:dyDescent="0.2">
      <c r="A1319" t="s">
        <v>18</v>
      </c>
      <c r="B1319" t="s">
        <v>129</v>
      </c>
      <c r="C1319" t="s">
        <v>130</v>
      </c>
      <c r="D1319" t="s">
        <v>113</v>
      </c>
      <c r="E1319" t="s">
        <v>53</v>
      </c>
      <c r="F1319" t="s">
        <v>114</v>
      </c>
      <c r="G1319">
        <v>119062</v>
      </c>
      <c r="H1319" s="75">
        <v>43927</v>
      </c>
      <c r="I1319" t="s">
        <v>115</v>
      </c>
      <c r="J1319">
        <v>5000</v>
      </c>
      <c r="K1319">
        <v>142.76499999999999</v>
      </c>
      <c r="L1319">
        <v>35.022500000000001</v>
      </c>
      <c r="M1319">
        <v>12706.715</v>
      </c>
      <c r="N1319" t="s">
        <v>15</v>
      </c>
    </row>
    <row r="1320" spans="1:14" x14ac:dyDescent="0.2">
      <c r="A1320" t="s">
        <v>18</v>
      </c>
      <c r="B1320" t="s">
        <v>129</v>
      </c>
      <c r="C1320" t="s">
        <v>130</v>
      </c>
      <c r="D1320" t="s">
        <v>113</v>
      </c>
      <c r="E1320" t="s">
        <v>53</v>
      </c>
      <c r="F1320" t="s">
        <v>114</v>
      </c>
      <c r="G1320">
        <v>119062</v>
      </c>
      <c r="H1320" s="75">
        <v>43957</v>
      </c>
      <c r="I1320" t="s">
        <v>115</v>
      </c>
      <c r="J1320">
        <v>5000</v>
      </c>
      <c r="K1320">
        <v>142.185</v>
      </c>
      <c r="L1320">
        <v>35.165500000000002</v>
      </c>
      <c r="M1320">
        <v>12848.9</v>
      </c>
      <c r="N1320" t="s">
        <v>15</v>
      </c>
    </row>
    <row r="1321" spans="1:14" x14ac:dyDescent="0.2">
      <c r="A1321" t="s">
        <v>18</v>
      </c>
      <c r="B1321" t="s">
        <v>129</v>
      </c>
      <c r="C1321" t="s">
        <v>130</v>
      </c>
      <c r="D1321" t="s">
        <v>113</v>
      </c>
      <c r="E1321" t="s">
        <v>53</v>
      </c>
      <c r="F1321" t="s">
        <v>114</v>
      </c>
      <c r="G1321">
        <v>119062</v>
      </c>
      <c r="H1321" s="75">
        <v>43987</v>
      </c>
      <c r="I1321" t="s">
        <v>115</v>
      </c>
      <c r="J1321">
        <v>5000</v>
      </c>
      <c r="K1321">
        <v>141.096</v>
      </c>
      <c r="L1321">
        <v>35.436900000000001</v>
      </c>
      <c r="M1321">
        <v>12989.995000000001</v>
      </c>
      <c r="N1321" t="s">
        <v>15</v>
      </c>
    </row>
    <row r="1322" spans="1:14" x14ac:dyDescent="0.2">
      <c r="A1322" t="s">
        <v>18</v>
      </c>
      <c r="B1322" t="s">
        <v>129</v>
      </c>
      <c r="C1322" t="s">
        <v>130</v>
      </c>
      <c r="D1322" t="s">
        <v>113</v>
      </c>
      <c r="E1322" t="s">
        <v>53</v>
      </c>
      <c r="F1322" t="s">
        <v>114</v>
      </c>
      <c r="G1322">
        <v>119062</v>
      </c>
      <c r="H1322" s="75">
        <v>44017</v>
      </c>
      <c r="I1322" t="s">
        <v>115</v>
      </c>
      <c r="J1322">
        <v>5000</v>
      </c>
      <c r="K1322">
        <v>143.28200000000001</v>
      </c>
      <c r="L1322">
        <v>34.896299999999997</v>
      </c>
      <c r="M1322">
        <v>13133.277</v>
      </c>
      <c r="N1322" t="s">
        <v>15</v>
      </c>
    </row>
    <row r="1323" spans="1:14" x14ac:dyDescent="0.2">
      <c r="A1323" t="s">
        <v>18</v>
      </c>
      <c r="B1323" t="s">
        <v>129</v>
      </c>
      <c r="C1323" t="s">
        <v>130</v>
      </c>
      <c r="D1323" t="s">
        <v>113</v>
      </c>
      <c r="E1323" t="s">
        <v>53</v>
      </c>
      <c r="F1323" t="s">
        <v>114</v>
      </c>
      <c r="G1323">
        <v>119062</v>
      </c>
      <c r="H1323" s="75">
        <v>44047</v>
      </c>
      <c r="I1323" t="s">
        <v>115</v>
      </c>
      <c r="J1323">
        <v>5000</v>
      </c>
      <c r="K1323">
        <v>140.43100000000001</v>
      </c>
      <c r="L1323">
        <v>35.604599999999998</v>
      </c>
      <c r="M1323">
        <v>13273.709000000001</v>
      </c>
      <c r="N1323" t="s">
        <v>15</v>
      </c>
    </row>
    <row r="1324" spans="1:14" x14ac:dyDescent="0.2">
      <c r="A1324" t="s">
        <v>18</v>
      </c>
      <c r="B1324" t="s">
        <v>129</v>
      </c>
      <c r="C1324" t="s">
        <v>130</v>
      </c>
      <c r="D1324" t="s">
        <v>113</v>
      </c>
      <c r="E1324" t="s">
        <v>53</v>
      </c>
      <c r="F1324" t="s">
        <v>114</v>
      </c>
      <c r="G1324">
        <v>119062</v>
      </c>
      <c r="H1324" s="75">
        <v>44077</v>
      </c>
      <c r="I1324" t="s">
        <v>115</v>
      </c>
      <c r="J1324">
        <v>5000</v>
      </c>
      <c r="K1324">
        <v>137.77799999999999</v>
      </c>
      <c r="L1324">
        <v>36.290300000000002</v>
      </c>
      <c r="M1324">
        <v>13411.486999999999</v>
      </c>
      <c r="N1324" t="s">
        <v>15</v>
      </c>
    </row>
    <row r="1325" spans="1:14" x14ac:dyDescent="0.2">
      <c r="A1325" t="s">
        <v>18</v>
      </c>
      <c r="B1325" t="s">
        <v>129</v>
      </c>
      <c r="C1325" t="s">
        <v>130</v>
      </c>
      <c r="D1325" t="s">
        <v>113</v>
      </c>
      <c r="E1325" t="s">
        <v>53</v>
      </c>
      <c r="F1325" t="s">
        <v>114</v>
      </c>
      <c r="G1325">
        <v>119062</v>
      </c>
      <c r="H1325" s="75">
        <v>44107</v>
      </c>
      <c r="I1325" t="s">
        <v>115</v>
      </c>
      <c r="J1325">
        <v>5000</v>
      </c>
      <c r="K1325">
        <v>135.53399999999999</v>
      </c>
      <c r="L1325">
        <v>36.890999999999998</v>
      </c>
      <c r="M1325">
        <v>13547.021000000001</v>
      </c>
      <c r="N1325" t="s">
        <v>15</v>
      </c>
    </row>
    <row r="1326" spans="1:14" x14ac:dyDescent="0.2">
      <c r="A1326" t="s">
        <v>18</v>
      </c>
      <c r="B1326" t="s">
        <v>129</v>
      </c>
      <c r="C1326" t="s">
        <v>130</v>
      </c>
      <c r="D1326" t="s">
        <v>113</v>
      </c>
      <c r="E1326" t="s">
        <v>53</v>
      </c>
      <c r="F1326" t="s">
        <v>114</v>
      </c>
      <c r="G1326">
        <v>119062</v>
      </c>
      <c r="H1326" s="75">
        <v>44137</v>
      </c>
      <c r="I1326" t="s">
        <v>115</v>
      </c>
      <c r="J1326">
        <v>5000</v>
      </c>
      <c r="K1326">
        <v>135.798</v>
      </c>
      <c r="L1326">
        <v>36.819400000000002</v>
      </c>
      <c r="M1326">
        <v>13682.819</v>
      </c>
      <c r="N1326" t="s">
        <v>15</v>
      </c>
    </row>
    <row r="1327" spans="1:14" x14ac:dyDescent="0.2">
      <c r="A1327" t="s">
        <v>18</v>
      </c>
      <c r="B1327" t="s">
        <v>129</v>
      </c>
      <c r="C1327" t="s">
        <v>130</v>
      </c>
      <c r="D1327" t="s">
        <v>113</v>
      </c>
      <c r="E1327" t="s">
        <v>53</v>
      </c>
      <c r="F1327" t="s">
        <v>114</v>
      </c>
      <c r="G1327">
        <v>119062</v>
      </c>
      <c r="H1327" s="75">
        <v>44167</v>
      </c>
      <c r="I1327" t="s">
        <v>115</v>
      </c>
      <c r="J1327">
        <v>5000</v>
      </c>
      <c r="K1327">
        <v>137.37100000000001</v>
      </c>
      <c r="L1327">
        <v>36.3977</v>
      </c>
      <c r="M1327">
        <v>13820.19</v>
      </c>
      <c r="N1327" t="s">
        <v>15</v>
      </c>
    </row>
    <row r="1328" spans="1:14" x14ac:dyDescent="0.2">
      <c r="A1328" t="s">
        <v>18</v>
      </c>
      <c r="B1328" t="s">
        <v>129</v>
      </c>
      <c r="C1328" t="s">
        <v>130</v>
      </c>
      <c r="D1328" t="s">
        <v>113</v>
      </c>
      <c r="E1328" t="s">
        <v>53</v>
      </c>
      <c r="F1328" t="s">
        <v>114</v>
      </c>
      <c r="G1328">
        <v>119062</v>
      </c>
      <c r="H1328" s="75">
        <v>44197</v>
      </c>
      <c r="I1328" t="s">
        <v>115</v>
      </c>
      <c r="J1328">
        <v>5000</v>
      </c>
      <c r="K1328">
        <v>137.95699999999999</v>
      </c>
      <c r="L1328">
        <v>36.243200000000002</v>
      </c>
      <c r="M1328">
        <v>13958.147000000001</v>
      </c>
      <c r="N1328" t="s">
        <v>15</v>
      </c>
    </row>
    <row r="1329" spans="1:14" x14ac:dyDescent="0.2">
      <c r="A1329" t="s">
        <v>18</v>
      </c>
      <c r="B1329" t="s">
        <v>129</v>
      </c>
      <c r="C1329" t="s">
        <v>130</v>
      </c>
      <c r="D1329" t="s">
        <v>113</v>
      </c>
      <c r="E1329" t="s">
        <v>53</v>
      </c>
      <c r="F1329" t="s">
        <v>114</v>
      </c>
      <c r="G1329">
        <v>119062</v>
      </c>
      <c r="H1329" s="75">
        <v>44227</v>
      </c>
      <c r="I1329" t="s">
        <v>115</v>
      </c>
      <c r="J1329">
        <v>5000</v>
      </c>
      <c r="K1329">
        <v>137.346</v>
      </c>
      <c r="L1329">
        <v>36.404299999999999</v>
      </c>
      <c r="M1329">
        <v>14095.494000000001</v>
      </c>
      <c r="N1329" t="s">
        <v>15</v>
      </c>
    </row>
    <row r="1330" spans="1:14" x14ac:dyDescent="0.2">
      <c r="A1330" t="s">
        <v>18</v>
      </c>
      <c r="B1330" t="s">
        <v>129</v>
      </c>
      <c r="C1330" t="s">
        <v>130</v>
      </c>
      <c r="D1330" t="s">
        <v>113</v>
      </c>
      <c r="E1330" t="s">
        <v>53</v>
      </c>
      <c r="F1330" t="s">
        <v>114</v>
      </c>
      <c r="G1330">
        <v>119062</v>
      </c>
      <c r="H1330" s="75">
        <v>44257</v>
      </c>
      <c r="I1330" t="s">
        <v>115</v>
      </c>
      <c r="J1330">
        <v>5000</v>
      </c>
      <c r="K1330">
        <v>134.32900000000001</v>
      </c>
      <c r="L1330">
        <v>37.222200000000001</v>
      </c>
      <c r="M1330">
        <v>14229.822</v>
      </c>
      <c r="N1330" t="s">
        <v>15</v>
      </c>
    </row>
    <row r="1331" spans="1:14" x14ac:dyDescent="0.2">
      <c r="A1331" t="s">
        <v>18</v>
      </c>
      <c r="B1331" t="s">
        <v>129</v>
      </c>
      <c r="C1331" t="s">
        <v>130</v>
      </c>
      <c r="D1331" t="s">
        <v>113</v>
      </c>
      <c r="E1331" t="s">
        <v>53</v>
      </c>
      <c r="F1331" t="s">
        <v>114</v>
      </c>
      <c r="G1331">
        <v>119062</v>
      </c>
      <c r="H1331" s="75">
        <v>44287</v>
      </c>
      <c r="I1331" t="s">
        <v>115</v>
      </c>
      <c r="J1331">
        <v>5000</v>
      </c>
      <c r="K1331">
        <v>130.881</v>
      </c>
      <c r="L1331">
        <v>38.202500000000001</v>
      </c>
      <c r="M1331">
        <v>14360.704</v>
      </c>
      <c r="N1331" t="s">
        <v>15</v>
      </c>
    </row>
    <row r="1332" spans="1:14" x14ac:dyDescent="0.2">
      <c r="A1332" t="s">
        <v>18</v>
      </c>
      <c r="B1332" t="s">
        <v>129</v>
      </c>
      <c r="C1332" t="s">
        <v>130</v>
      </c>
      <c r="D1332" t="s">
        <v>113</v>
      </c>
      <c r="E1332" t="s">
        <v>53</v>
      </c>
      <c r="F1332" t="s">
        <v>114</v>
      </c>
      <c r="G1332">
        <v>119062</v>
      </c>
      <c r="H1332" s="75">
        <v>44317</v>
      </c>
      <c r="I1332" t="s">
        <v>115</v>
      </c>
      <c r="J1332">
        <v>5000</v>
      </c>
      <c r="K1332">
        <v>131.79300000000001</v>
      </c>
      <c r="L1332">
        <v>37.938400000000001</v>
      </c>
      <c r="M1332">
        <v>14492.495999999999</v>
      </c>
      <c r="N1332" t="s">
        <v>15</v>
      </c>
    </row>
    <row r="1333" spans="1:14" x14ac:dyDescent="0.2">
      <c r="A1333" t="s">
        <v>18</v>
      </c>
      <c r="B1333" t="s">
        <v>129</v>
      </c>
      <c r="C1333" t="s">
        <v>130</v>
      </c>
      <c r="D1333" t="s">
        <v>113</v>
      </c>
      <c r="E1333" t="s">
        <v>53</v>
      </c>
      <c r="F1333" t="s">
        <v>114</v>
      </c>
      <c r="G1333">
        <v>119062</v>
      </c>
      <c r="H1333" s="75">
        <v>44347</v>
      </c>
      <c r="I1333" t="s">
        <v>115</v>
      </c>
      <c r="J1333">
        <v>5000</v>
      </c>
      <c r="K1333">
        <v>133.92699999999999</v>
      </c>
      <c r="L1333">
        <v>37.3337</v>
      </c>
      <c r="M1333">
        <v>14626.423000000001</v>
      </c>
      <c r="N1333" t="s">
        <v>15</v>
      </c>
    </row>
    <row r="1334" spans="1:14" x14ac:dyDescent="0.2">
      <c r="A1334" t="s">
        <v>18</v>
      </c>
      <c r="B1334" t="s">
        <v>129</v>
      </c>
      <c r="C1334" t="s">
        <v>130</v>
      </c>
      <c r="D1334" t="s">
        <v>113</v>
      </c>
      <c r="E1334" t="s">
        <v>53</v>
      </c>
      <c r="F1334" t="s">
        <v>114</v>
      </c>
      <c r="G1334">
        <v>119062</v>
      </c>
      <c r="H1334" s="75">
        <v>44377</v>
      </c>
      <c r="I1334" t="s">
        <v>115</v>
      </c>
      <c r="J1334">
        <v>5000</v>
      </c>
      <c r="K1334">
        <v>136.16</v>
      </c>
      <c r="L1334">
        <v>36.721400000000003</v>
      </c>
      <c r="M1334">
        <v>14762.584000000001</v>
      </c>
      <c r="N1334" t="s">
        <v>15</v>
      </c>
    </row>
    <row r="1335" spans="1:14" x14ac:dyDescent="0.2">
      <c r="A1335" t="s">
        <v>18</v>
      </c>
      <c r="B1335" t="s">
        <v>129</v>
      </c>
      <c r="C1335" t="s">
        <v>130</v>
      </c>
      <c r="D1335" t="s">
        <v>113</v>
      </c>
      <c r="E1335" t="s">
        <v>53</v>
      </c>
      <c r="F1335" t="s">
        <v>114</v>
      </c>
      <c r="G1335">
        <v>119062</v>
      </c>
      <c r="H1335" s="75">
        <v>44377</v>
      </c>
      <c r="I1335" t="s">
        <v>116</v>
      </c>
      <c r="J1335">
        <v>2.5</v>
      </c>
      <c r="K1335">
        <v>0</v>
      </c>
      <c r="M1335">
        <v>14762.584000000001</v>
      </c>
      <c r="N1335" t="s">
        <v>17</v>
      </c>
    </row>
    <row r="1336" spans="1:14" x14ac:dyDescent="0.2">
      <c r="A1336" t="s">
        <v>18</v>
      </c>
      <c r="B1336" t="s">
        <v>129</v>
      </c>
      <c r="C1336" t="s">
        <v>130</v>
      </c>
      <c r="D1336" t="s">
        <v>113</v>
      </c>
      <c r="E1336" t="s">
        <v>53</v>
      </c>
      <c r="F1336" t="s">
        <v>114</v>
      </c>
      <c r="G1336">
        <v>119062</v>
      </c>
      <c r="H1336" s="75">
        <v>44407</v>
      </c>
      <c r="I1336" t="s">
        <v>115</v>
      </c>
      <c r="J1336">
        <v>5000</v>
      </c>
      <c r="K1336">
        <v>135.17099999999999</v>
      </c>
      <c r="L1336">
        <v>36.990099999999998</v>
      </c>
      <c r="M1336">
        <v>14897.754999999999</v>
      </c>
      <c r="N1336" t="s">
        <v>15</v>
      </c>
    </row>
    <row r="1337" spans="1:14" x14ac:dyDescent="0.2">
      <c r="A1337" t="s">
        <v>18</v>
      </c>
      <c r="B1337" t="s">
        <v>129</v>
      </c>
      <c r="C1337" t="s">
        <v>130</v>
      </c>
      <c r="D1337" t="s">
        <v>113</v>
      </c>
      <c r="E1337" t="s">
        <v>53</v>
      </c>
      <c r="F1337" t="s">
        <v>114</v>
      </c>
      <c r="G1337">
        <v>119062</v>
      </c>
      <c r="H1337" s="75">
        <v>44437</v>
      </c>
      <c r="I1337" t="s">
        <v>115</v>
      </c>
      <c r="J1337">
        <v>5000</v>
      </c>
      <c r="K1337">
        <v>131.44399999999999</v>
      </c>
      <c r="L1337">
        <v>38.039099999999998</v>
      </c>
      <c r="M1337">
        <v>15029.199000000001</v>
      </c>
      <c r="N1337" t="s">
        <v>15</v>
      </c>
    </row>
    <row r="1338" spans="1:14" x14ac:dyDescent="0.2">
      <c r="A1338" t="s">
        <v>18</v>
      </c>
      <c r="B1338" t="s">
        <v>129</v>
      </c>
      <c r="C1338" t="s">
        <v>130</v>
      </c>
      <c r="D1338" t="s">
        <v>113</v>
      </c>
      <c r="E1338" t="s">
        <v>53</v>
      </c>
      <c r="F1338" t="s">
        <v>114</v>
      </c>
      <c r="G1338">
        <v>119062</v>
      </c>
      <c r="H1338" s="75">
        <v>44467</v>
      </c>
      <c r="I1338" t="s">
        <v>115</v>
      </c>
      <c r="J1338">
        <v>5000</v>
      </c>
      <c r="K1338">
        <v>132.71799999999999</v>
      </c>
      <c r="L1338">
        <v>37.673999999999999</v>
      </c>
      <c r="M1338">
        <v>15161.915999999999</v>
      </c>
      <c r="N1338" t="s">
        <v>15</v>
      </c>
    </row>
    <row r="1339" spans="1:14" x14ac:dyDescent="0.2">
      <c r="A1339" t="s">
        <v>18</v>
      </c>
      <c r="B1339" t="s">
        <v>129</v>
      </c>
      <c r="C1339" t="s">
        <v>130</v>
      </c>
      <c r="D1339" t="s">
        <v>113</v>
      </c>
      <c r="E1339" t="s">
        <v>53</v>
      </c>
      <c r="F1339" t="s">
        <v>114</v>
      </c>
      <c r="G1339">
        <v>119062</v>
      </c>
      <c r="H1339" s="75">
        <v>44497</v>
      </c>
      <c r="I1339" t="s">
        <v>115</v>
      </c>
      <c r="J1339">
        <v>5000</v>
      </c>
      <c r="K1339">
        <v>129.59700000000001</v>
      </c>
      <c r="L1339">
        <v>38.581099999999999</v>
      </c>
      <c r="M1339">
        <v>15291.513000000001</v>
      </c>
      <c r="N1339" t="s">
        <v>15</v>
      </c>
    </row>
    <row r="1340" spans="1:14" x14ac:dyDescent="0.2">
      <c r="A1340" t="s">
        <v>18</v>
      </c>
      <c r="B1340" t="s">
        <v>129</v>
      </c>
      <c r="C1340" t="s">
        <v>130</v>
      </c>
      <c r="D1340" t="s">
        <v>113</v>
      </c>
      <c r="E1340" t="s">
        <v>53</v>
      </c>
      <c r="F1340" t="s">
        <v>114</v>
      </c>
      <c r="G1340">
        <v>119062</v>
      </c>
      <c r="H1340" s="75">
        <v>44527</v>
      </c>
      <c r="I1340" t="s">
        <v>115</v>
      </c>
      <c r="J1340">
        <v>5000</v>
      </c>
      <c r="K1340">
        <v>129.70099999999999</v>
      </c>
      <c r="L1340">
        <v>38.550199999999997</v>
      </c>
      <c r="M1340">
        <v>15421.215</v>
      </c>
      <c r="N1340" t="s">
        <v>15</v>
      </c>
    </row>
    <row r="1341" spans="1:14" x14ac:dyDescent="0.2">
      <c r="A1341" t="s">
        <v>18</v>
      </c>
      <c r="B1341" t="s">
        <v>129</v>
      </c>
      <c r="C1341" t="s">
        <v>130</v>
      </c>
      <c r="D1341" t="s">
        <v>113</v>
      </c>
      <c r="E1341" t="s">
        <v>53</v>
      </c>
      <c r="F1341" t="s">
        <v>114</v>
      </c>
      <c r="G1341">
        <v>119062</v>
      </c>
      <c r="H1341" s="75">
        <v>44557</v>
      </c>
      <c r="I1341" t="s">
        <v>115</v>
      </c>
      <c r="J1341">
        <v>5000</v>
      </c>
      <c r="K1341">
        <v>126.797</v>
      </c>
      <c r="L1341">
        <v>39.433199999999999</v>
      </c>
      <c r="M1341">
        <v>15548.011</v>
      </c>
      <c r="N1341" t="s">
        <v>15</v>
      </c>
    </row>
    <row r="1342" spans="1:14" x14ac:dyDescent="0.2">
      <c r="A1342" t="s">
        <v>18</v>
      </c>
      <c r="B1342" t="s">
        <v>129</v>
      </c>
      <c r="C1342" t="s">
        <v>130</v>
      </c>
      <c r="D1342" t="s">
        <v>113</v>
      </c>
      <c r="E1342" t="s">
        <v>53</v>
      </c>
      <c r="F1342" t="s">
        <v>114</v>
      </c>
      <c r="G1342">
        <v>119062</v>
      </c>
      <c r="H1342" s="75">
        <v>44587</v>
      </c>
      <c r="I1342" t="s">
        <v>115</v>
      </c>
      <c r="J1342">
        <v>5000</v>
      </c>
      <c r="K1342">
        <v>128.67599999999999</v>
      </c>
      <c r="L1342">
        <v>38.857199999999999</v>
      </c>
      <c r="M1342">
        <v>15676.687</v>
      </c>
      <c r="N1342" t="s">
        <v>15</v>
      </c>
    </row>
    <row r="1343" spans="1:14" x14ac:dyDescent="0.2">
      <c r="A1343" t="s">
        <v>18</v>
      </c>
      <c r="B1343" t="s">
        <v>129</v>
      </c>
      <c r="C1343" t="s">
        <v>130</v>
      </c>
      <c r="D1343" t="s">
        <v>113</v>
      </c>
      <c r="E1343" t="s">
        <v>53</v>
      </c>
      <c r="F1343" t="s">
        <v>114</v>
      </c>
      <c r="G1343">
        <v>119062</v>
      </c>
      <c r="H1343" s="75">
        <v>44617</v>
      </c>
      <c r="I1343" t="s">
        <v>115</v>
      </c>
      <c r="J1343">
        <v>5000</v>
      </c>
      <c r="K1343">
        <v>128.196</v>
      </c>
      <c r="L1343">
        <v>39.002800000000001</v>
      </c>
      <c r="M1343">
        <v>15804.883</v>
      </c>
      <c r="N1343" t="s">
        <v>15</v>
      </c>
    </row>
    <row r="1344" spans="1:14" x14ac:dyDescent="0.2">
      <c r="A1344" t="s">
        <v>18</v>
      </c>
      <c r="B1344" t="s">
        <v>129</v>
      </c>
      <c r="C1344" t="s">
        <v>130</v>
      </c>
      <c r="D1344" t="s">
        <v>113</v>
      </c>
      <c r="E1344" t="s">
        <v>53</v>
      </c>
      <c r="F1344" t="s">
        <v>114</v>
      </c>
      <c r="G1344">
        <v>119062</v>
      </c>
      <c r="H1344" s="75">
        <v>44647</v>
      </c>
      <c r="I1344" t="s">
        <v>115</v>
      </c>
      <c r="J1344">
        <v>5000</v>
      </c>
      <c r="K1344">
        <v>125.74</v>
      </c>
      <c r="L1344">
        <v>39.764699999999998</v>
      </c>
      <c r="M1344">
        <v>15930.623</v>
      </c>
      <c r="N1344" t="s">
        <v>15</v>
      </c>
    </row>
    <row r="1345" spans="1:15" x14ac:dyDescent="0.2">
      <c r="A1345" t="s">
        <v>18</v>
      </c>
      <c r="B1345" t="s">
        <v>129</v>
      </c>
      <c r="C1345" t="s">
        <v>130</v>
      </c>
      <c r="D1345" t="s">
        <v>113</v>
      </c>
      <c r="E1345" t="s">
        <v>53</v>
      </c>
      <c r="F1345" t="s">
        <v>114</v>
      </c>
      <c r="G1345">
        <v>119062</v>
      </c>
      <c r="H1345" s="75">
        <v>44677</v>
      </c>
      <c r="I1345" t="s">
        <v>115</v>
      </c>
      <c r="J1345">
        <v>5000</v>
      </c>
      <c r="K1345">
        <v>127.149</v>
      </c>
      <c r="L1345">
        <v>39.324100000000001</v>
      </c>
      <c r="M1345">
        <v>16057.771000000001</v>
      </c>
      <c r="N1345" t="s">
        <v>15</v>
      </c>
    </row>
    <row r="1346" spans="1:15" x14ac:dyDescent="0.2">
      <c r="A1346" t="s">
        <v>18</v>
      </c>
      <c r="B1346" t="s">
        <v>129</v>
      </c>
      <c r="C1346" t="s">
        <v>130</v>
      </c>
      <c r="D1346" t="s">
        <v>113</v>
      </c>
      <c r="E1346" t="s">
        <v>53</v>
      </c>
      <c r="F1346" t="s">
        <v>114</v>
      </c>
      <c r="G1346">
        <v>119062</v>
      </c>
      <c r="H1346" s="75">
        <v>44707</v>
      </c>
      <c r="I1346" t="s">
        <v>115</v>
      </c>
      <c r="J1346">
        <v>5000</v>
      </c>
      <c r="K1346">
        <v>124.074</v>
      </c>
      <c r="L1346">
        <v>40.298699999999997</v>
      </c>
      <c r="M1346">
        <v>16181.844999999999</v>
      </c>
      <c r="N1346" t="s">
        <v>15</v>
      </c>
    </row>
    <row r="1347" spans="1:15" x14ac:dyDescent="0.2">
      <c r="A1347" t="s">
        <v>18</v>
      </c>
      <c r="B1347" t="s">
        <v>129</v>
      </c>
      <c r="C1347" t="s">
        <v>130</v>
      </c>
      <c r="D1347" t="s">
        <v>113</v>
      </c>
      <c r="E1347" t="s">
        <v>53</v>
      </c>
      <c r="F1347" t="s">
        <v>114</v>
      </c>
      <c r="G1347">
        <v>119062</v>
      </c>
      <c r="H1347" s="75">
        <v>44707</v>
      </c>
      <c r="I1347" t="s">
        <v>116</v>
      </c>
      <c r="J1347">
        <v>2.5</v>
      </c>
      <c r="K1347">
        <v>0</v>
      </c>
      <c r="M1347">
        <v>16181.844999999999</v>
      </c>
      <c r="N1347" t="s">
        <v>17</v>
      </c>
    </row>
    <row r="1348" spans="1:15" x14ac:dyDescent="0.2">
      <c r="A1348" t="s">
        <v>18</v>
      </c>
      <c r="B1348" t="s">
        <v>129</v>
      </c>
      <c r="C1348" t="s">
        <v>130</v>
      </c>
      <c r="D1348" t="s">
        <v>113</v>
      </c>
      <c r="E1348" t="s">
        <v>53</v>
      </c>
      <c r="F1348" t="s">
        <v>114</v>
      </c>
      <c r="G1348">
        <v>119062</v>
      </c>
      <c r="H1348" s="75">
        <v>44737</v>
      </c>
      <c r="I1348" t="s">
        <v>115</v>
      </c>
      <c r="J1348">
        <v>5000</v>
      </c>
      <c r="K1348">
        <v>121.184</v>
      </c>
      <c r="L1348">
        <v>41.259399999999999</v>
      </c>
      <c r="M1348">
        <v>16303.029</v>
      </c>
      <c r="N1348" t="s">
        <v>15</v>
      </c>
    </row>
    <row r="1349" spans="1:15" x14ac:dyDescent="0.2">
      <c r="A1349" t="s">
        <v>18</v>
      </c>
      <c r="B1349" t="s">
        <v>129</v>
      </c>
      <c r="C1349" t="s">
        <v>130</v>
      </c>
      <c r="D1349" t="s">
        <v>113</v>
      </c>
      <c r="E1349" t="s">
        <v>53</v>
      </c>
      <c r="F1349" t="s">
        <v>114</v>
      </c>
      <c r="G1349">
        <v>119062</v>
      </c>
      <c r="H1349" s="75">
        <v>44767</v>
      </c>
      <c r="I1349" t="s">
        <v>115</v>
      </c>
      <c r="J1349">
        <v>5000</v>
      </c>
      <c r="K1349">
        <v>120.045</v>
      </c>
      <c r="L1349">
        <v>41.651200000000003</v>
      </c>
      <c r="M1349">
        <v>16423.074000000001</v>
      </c>
      <c r="N1349" t="s">
        <v>15</v>
      </c>
    </row>
    <row r="1350" spans="1:15" x14ac:dyDescent="0.2">
      <c r="A1350" t="s">
        <v>18</v>
      </c>
      <c r="B1350" t="s">
        <v>129</v>
      </c>
      <c r="C1350" t="s">
        <v>130</v>
      </c>
      <c r="D1350" t="s">
        <v>113</v>
      </c>
      <c r="E1350" t="s">
        <v>53</v>
      </c>
      <c r="F1350" t="s">
        <v>114</v>
      </c>
      <c r="G1350">
        <v>119062</v>
      </c>
      <c r="H1350" s="75">
        <v>44767</v>
      </c>
      <c r="I1350" t="s">
        <v>117</v>
      </c>
      <c r="J1350">
        <v>2.5</v>
      </c>
      <c r="K1350">
        <v>0</v>
      </c>
      <c r="M1350">
        <v>16423.074000000001</v>
      </c>
      <c r="N1350" t="s">
        <v>46</v>
      </c>
    </row>
    <row r="1351" spans="1:15" x14ac:dyDescent="0.2">
      <c r="A1351" t="s">
        <v>18</v>
      </c>
      <c r="B1351" t="s">
        <v>129</v>
      </c>
      <c r="C1351" t="s">
        <v>130</v>
      </c>
      <c r="D1351" t="s">
        <v>113</v>
      </c>
      <c r="E1351" t="s">
        <v>53</v>
      </c>
      <c r="F1351" t="s">
        <v>114</v>
      </c>
      <c r="G1351">
        <v>119062</v>
      </c>
      <c r="H1351" s="75">
        <v>44767</v>
      </c>
      <c r="I1351" t="s">
        <v>118</v>
      </c>
      <c r="J1351">
        <v>8211.5400000000009</v>
      </c>
      <c r="K1351">
        <v>0</v>
      </c>
      <c r="M1351">
        <v>16423.074000000001</v>
      </c>
      <c r="N1351" t="s">
        <v>19</v>
      </c>
      <c r="O1351">
        <v>8211.5400000000009</v>
      </c>
    </row>
    <row r="1352" spans="1:15" x14ac:dyDescent="0.2">
      <c r="A1352" t="s">
        <v>18</v>
      </c>
      <c r="B1352" t="s">
        <v>129</v>
      </c>
      <c r="C1352" t="s">
        <v>130</v>
      </c>
      <c r="D1352" t="s">
        <v>113</v>
      </c>
      <c r="E1352" t="s">
        <v>53</v>
      </c>
      <c r="F1352" t="s">
        <v>114</v>
      </c>
      <c r="G1352">
        <v>119062</v>
      </c>
      <c r="H1352" s="75">
        <v>44797</v>
      </c>
      <c r="I1352" t="s">
        <v>115</v>
      </c>
      <c r="J1352">
        <v>5000</v>
      </c>
      <c r="K1352">
        <v>121.187</v>
      </c>
      <c r="L1352">
        <v>41.258600000000001</v>
      </c>
      <c r="M1352">
        <v>16544.260999999999</v>
      </c>
      <c r="N1352" t="s">
        <v>15</v>
      </c>
    </row>
    <row r="1353" spans="1:15" x14ac:dyDescent="0.2">
      <c r="A1353" t="s">
        <v>18</v>
      </c>
      <c r="B1353" t="s">
        <v>129</v>
      </c>
      <c r="C1353" t="s">
        <v>130</v>
      </c>
      <c r="D1353" t="s">
        <v>113</v>
      </c>
      <c r="E1353" t="s">
        <v>53</v>
      </c>
      <c r="F1353" t="s">
        <v>114</v>
      </c>
      <c r="G1353">
        <v>119062</v>
      </c>
      <c r="H1353" s="75">
        <v>44827</v>
      </c>
      <c r="I1353" t="s">
        <v>115</v>
      </c>
      <c r="J1353">
        <v>5000</v>
      </c>
      <c r="K1353">
        <v>118.994</v>
      </c>
      <c r="L1353">
        <v>42.018999999999998</v>
      </c>
      <c r="M1353">
        <v>16663.254000000001</v>
      </c>
      <c r="N1353" t="s">
        <v>15</v>
      </c>
    </row>
    <row r="1354" spans="1:15" x14ac:dyDescent="0.2">
      <c r="A1354" t="s">
        <v>18</v>
      </c>
      <c r="B1354" t="s">
        <v>129</v>
      </c>
      <c r="C1354" t="s">
        <v>130</v>
      </c>
      <c r="D1354" t="s">
        <v>113</v>
      </c>
      <c r="E1354" t="s">
        <v>53</v>
      </c>
      <c r="F1354" t="s">
        <v>114</v>
      </c>
      <c r="G1354">
        <v>119062</v>
      </c>
      <c r="H1354" s="75">
        <v>44827</v>
      </c>
      <c r="I1354" t="s">
        <v>117</v>
      </c>
      <c r="J1354">
        <v>2.5</v>
      </c>
      <c r="K1354">
        <v>0</v>
      </c>
      <c r="M1354">
        <v>16663.254000000001</v>
      </c>
      <c r="N1354" t="s">
        <v>46</v>
      </c>
    </row>
    <row r="1355" spans="1:15" x14ac:dyDescent="0.2">
      <c r="A1355" t="s">
        <v>18</v>
      </c>
      <c r="B1355" t="s">
        <v>129</v>
      </c>
      <c r="C1355" t="s">
        <v>130</v>
      </c>
      <c r="D1355" t="s">
        <v>113</v>
      </c>
      <c r="E1355" t="s">
        <v>53</v>
      </c>
      <c r="F1355" t="s">
        <v>114</v>
      </c>
      <c r="G1355">
        <v>119062</v>
      </c>
      <c r="H1355" s="75">
        <v>44857</v>
      </c>
      <c r="I1355" t="s">
        <v>115</v>
      </c>
      <c r="J1355">
        <v>5000</v>
      </c>
      <c r="K1355">
        <v>120.76300000000001</v>
      </c>
      <c r="L1355">
        <v>41.403500000000001</v>
      </c>
      <c r="M1355">
        <v>16784.017</v>
      </c>
      <c r="N1355" t="s">
        <v>15</v>
      </c>
    </row>
    <row r="1356" spans="1:15" x14ac:dyDescent="0.2">
      <c r="A1356" t="s">
        <v>18</v>
      </c>
      <c r="B1356" t="s">
        <v>129</v>
      </c>
      <c r="C1356" t="s">
        <v>130</v>
      </c>
      <c r="D1356" t="s">
        <v>113</v>
      </c>
      <c r="E1356" t="s">
        <v>53</v>
      </c>
      <c r="F1356" t="s">
        <v>114</v>
      </c>
      <c r="G1356">
        <v>119062</v>
      </c>
      <c r="H1356" s="75">
        <v>44857</v>
      </c>
      <c r="I1356" t="s">
        <v>116</v>
      </c>
      <c r="J1356">
        <v>2.5</v>
      </c>
      <c r="K1356">
        <v>0</v>
      </c>
      <c r="M1356">
        <v>16784.017</v>
      </c>
      <c r="N1356" t="s">
        <v>17</v>
      </c>
    </row>
    <row r="1357" spans="1:15" x14ac:dyDescent="0.2">
      <c r="A1357" t="s">
        <v>18</v>
      </c>
      <c r="B1357" t="s">
        <v>129</v>
      </c>
      <c r="C1357" t="s">
        <v>130</v>
      </c>
      <c r="D1357" t="s">
        <v>113</v>
      </c>
      <c r="E1357" t="s">
        <v>53</v>
      </c>
      <c r="F1357" t="s">
        <v>114</v>
      </c>
      <c r="G1357">
        <v>119062</v>
      </c>
      <c r="H1357" s="75">
        <v>44887</v>
      </c>
      <c r="I1357" t="s">
        <v>115</v>
      </c>
      <c r="J1357">
        <v>5000</v>
      </c>
      <c r="K1357">
        <v>122.455</v>
      </c>
      <c r="L1357">
        <v>40.831299999999999</v>
      </c>
      <c r="M1357">
        <v>16906.472000000002</v>
      </c>
      <c r="N1357" t="s">
        <v>15</v>
      </c>
    </row>
    <row r="1358" spans="1:15" x14ac:dyDescent="0.2">
      <c r="A1358" t="s">
        <v>18</v>
      </c>
      <c r="B1358" t="s">
        <v>129</v>
      </c>
      <c r="C1358" t="s">
        <v>130</v>
      </c>
      <c r="D1358" t="s">
        <v>113</v>
      </c>
      <c r="E1358" t="s">
        <v>53</v>
      </c>
      <c r="F1358" t="s">
        <v>114</v>
      </c>
      <c r="G1358">
        <v>119062</v>
      </c>
      <c r="H1358" s="75">
        <v>44917</v>
      </c>
      <c r="I1358" t="s">
        <v>115</v>
      </c>
      <c r="J1358">
        <v>5000</v>
      </c>
      <c r="K1358">
        <v>122.73099999999999</v>
      </c>
      <c r="L1358">
        <v>40.739600000000003</v>
      </c>
      <c r="M1358">
        <v>17029.203000000001</v>
      </c>
      <c r="N1358" t="s">
        <v>15</v>
      </c>
    </row>
    <row r="1359" spans="1:15" x14ac:dyDescent="0.2">
      <c r="A1359" t="s">
        <v>18</v>
      </c>
      <c r="B1359" t="s">
        <v>129</v>
      </c>
      <c r="C1359" t="s">
        <v>130</v>
      </c>
      <c r="D1359" t="s">
        <v>113</v>
      </c>
      <c r="E1359" t="s">
        <v>53</v>
      </c>
      <c r="F1359" t="s">
        <v>114</v>
      </c>
      <c r="G1359">
        <v>119062</v>
      </c>
      <c r="H1359" s="75">
        <v>44947</v>
      </c>
      <c r="I1359" t="s">
        <v>115</v>
      </c>
      <c r="J1359">
        <v>5000</v>
      </c>
      <c r="K1359">
        <v>121.702</v>
      </c>
      <c r="L1359">
        <v>41.084000000000003</v>
      </c>
      <c r="M1359">
        <v>17150.903999999999</v>
      </c>
      <c r="N1359" t="s">
        <v>15</v>
      </c>
    </row>
    <row r="1360" spans="1:15" x14ac:dyDescent="0.2">
      <c r="A1360" t="s">
        <v>18</v>
      </c>
      <c r="B1360" t="s">
        <v>129</v>
      </c>
      <c r="C1360" t="s">
        <v>130</v>
      </c>
      <c r="D1360" t="s">
        <v>113</v>
      </c>
      <c r="E1360" t="s">
        <v>53</v>
      </c>
      <c r="F1360" t="s">
        <v>114</v>
      </c>
      <c r="G1360">
        <v>119062</v>
      </c>
      <c r="H1360" s="75">
        <v>44977</v>
      </c>
      <c r="I1360" t="s">
        <v>115</v>
      </c>
      <c r="J1360">
        <v>5000</v>
      </c>
      <c r="K1360">
        <v>124.044</v>
      </c>
      <c r="L1360">
        <v>40.308199999999999</v>
      </c>
      <c r="M1360">
        <v>17274.949000000001</v>
      </c>
      <c r="N1360" t="s">
        <v>15</v>
      </c>
    </row>
    <row r="1361" spans="1:15" x14ac:dyDescent="0.2">
      <c r="A1361" t="s">
        <v>18</v>
      </c>
      <c r="B1361" t="s">
        <v>129</v>
      </c>
      <c r="C1361" t="s">
        <v>130</v>
      </c>
      <c r="D1361" t="s">
        <v>113</v>
      </c>
      <c r="E1361" t="s">
        <v>53</v>
      </c>
      <c r="F1361" t="s">
        <v>114</v>
      </c>
      <c r="G1361">
        <v>119062</v>
      </c>
      <c r="H1361" s="75">
        <v>44977</v>
      </c>
      <c r="I1361" t="s">
        <v>116</v>
      </c>
      <c r="J1361">
        <v>2.5</v>
      </c>
      <c r="K1361">
        <v>0</v>
      </c>
      <c r="M1361">
        <v>17274.949000000001</v>
      </c>
      <c r="N1361" t="s">
        <v>17</v>
      </c>
    </row>
    <row r="1362" spans="1:15" x14ac:dyDescent="0.2">
      <c r="A1362" t="s">
        <v>18</v>
      </c>
      <c r="B1362" t="s">
        <v>129</v>
      </c>
      <c r="C1362" t="s">
        <v>130</v>
      </c>
      <c r="D1362" t="s">
        <v>113</v>
      </c>
      <c r="E1362" t="s">
        <v>53</v>
      </c>
      <c r="F1362" t="s">
        <v>114</v>
      </c>
      <c r="G1362">
        <v>119062</v>
      </c>
      <c r="H1362" s="75">
        <v>45007</v>
      </c>
      <c r="I1362" t="s">
        <v>115</v>
      </c>
      <c r="J1362">
        <v>5000</v>
      </c>
      <c r="K1362">
        <v>125.738</v>
      </c>
      <c r="L1362">
        <v>39.765099999999997</v>
      </c>
      <c r="M1362">
        <v>17400.687000000002</v>
      </c>
      <c r="N1362" t="s">
        <v>15</v>
      </c>
    </row>
    <row r="1363" spans="1:15" x14ac:dyDescent="0.2">
      <c r="A1363" t="s">
        <v>18</v>
      </c>
      <c r="B1363" t="s">
        <v>129</v>
      </c>
      <c r="C1363" t="s">
        <v>130</v>
      </c>
      <c r="D1363" t="s">
        <v>113</v>
      </c>
      <c r="E1363" t="s">
        <v>53</v>
      </c>
      <c r="F1363" t="s">
        <v>114</v>
      </c>
      <c r="G1363">
        <v>119062</v>
      </c>
      <c r="H1363" s="75">
        <v>45037</v>
      </c>
      <c r="I1363" t="s">
        <v>115</v>
      </c>
      <c r="J1363">
        <v>5000</v>
      </c>
      <c r="K1363">
        <v>126.639</v>
      </c>
      <c r="L1363">
        <v>39.482399999999998</v>
      </c>
      <c r="M1363">
        <v>17527.326000000001</v>
      </c>
      <c r="N1363" t="s">
        <v>15</v>
      </c>
    </row>
    <row r="1364" spans="1:15" x14ac:dyDescent="0.2">
      <c r="A1364" t="s">
        <v>18</v>
      </c>
      <c r="B1364" t="s">
        <v>129</v>
      </c>
      <c r="C1364" t="s">
        <v>130</v>
      </c>
      <c r="D1364" t="s">
        <v>113</v>
      </c>
      <c r="E1364" t="s">
        <v>53</v>
      </c>
      <c r="F1364" t="s">
        <v>114</v>
      </c>
      <c r="G1364">
        <v>119062</v>
      </c>
      <c r="H1364" s="75">
        <v>45067</v>
      </c>
      <c r="I1364" t="s">
        <v>115</v>
      </c>
      <c r="J1364">
        <v>5000</v>
      </c>
      <c r="K1364">
        <v>126.17400000000001</v>
      </c>
      <c r="L1364">
        <v>39.627899999999997</v>
      </c>
      <c r="M1364">
        <v>17653.5</v>
      </c>
      <c r="N1364" t="s">
        <v>15</v>
      </c>
    </row>
    <row r="1365" spans="1:15" x14ac:dyDescent="0.2">
      <c r="A1365" t="s">
        <v>18</v>
      </c>
      <c r="B1365" t="s">
        <v>129</v>
      </c>
      <c r="C1365" t="s">
        <v>130</v>
      </c>
      <c r="D1365" t="s">
        <v>113</v>
      </c>
      <c r="E1365" t="s">
        <v>53</v>
      </c>
      <c r="F1365" t="s">
        <v>114</v>
      </c>
      <c r="G1365">
        <v>119062</v>
      </c>
      <c r="H1365" s="75">
        <v>45097</v>
      </c>
      <c r="I1365" t="s">
        <v>115</v>
      </c>
      <c r="J1365">
        <v>5000</v>
      </c>
      <c r="K1365">
        <v>127.633</v>
      </c>
      <c r="L1365">
        <v>39.174700000000001</v>
      </c>
      <c r="M1365">
        <v>17781.133000000002</v>
      </c>
      <c r="N1365" t="s">
        <v>15</v>
      </c>
    </row>
    <row r="1366" spans="1:15" x14ac:dyDescent="0.2">
      <c r="A1366" t="s">
        <v>18</v>
      </c>
      <c r="B1366" t="s">
        <v>129</v>
      </c>
      <c r="C1366" t="s">
        <v>130</v>
      </c>
      <c r="D1366" t="s">
        <v>113</v>
      </c>
      <c r="E1366" t="s">
        <v>53</v>
      </c>
      <c r="F1366" t="s">
        <v>114</v>
      </c>
      <c r="G1366">
        <v>119062</v>
      </c>
      <c r="H1366" s="75">
        <v>45127</v>
      </c>
      <c r="I1366" t="s">
        <v>115</v>
      </c>
      <c r="J1366">
        <v>5000</v>
      </c>
      <c r="K1366">
        <v>124.459</v>
      </c>
      <c r="L1366">
        <v>40.1738</v>
      </c>
      <c r="M1366">
        <v>17905.592000000001</v>
      </c>
      <c r="N1366" t="s">
        <v>15</v>
      </c>
    </row>
    <row r="1367" spans="1:15" x14ac:dyDescent="0.2">
      <c r="A1367" t="s">
        <v>18</v>
      </c>
      <c r="B1367" t="s">
        <v>129</v>
      </c>
      <c r="C1367" t="s">
        <v>130</v>
      </c>
      <c r="D1367" t="s">
        <v>113</v>
      </c>
      <c r="E1367" t="s">
        <v>53</v>
      </c>
      <c r="F1367" t="s">
        <v>114</v>
      </c>
      <c r="G1367">
        <v>119062</v>
      </c>
      <c r="H1367" s="75">
        <v>45157</v>
      </c>
      <c r="I1367" t="s">
        <v>115</v>
      </c>
      <c r="J1367">
        <v>5000</v>
      </c>
      <c r="K1367">
        <v>126.526</v>
      </c>
      <c r="L1367">
        <v>39.517400000000002</v>
      </c>
      <c r="M1367">
        <v>18032.118999999999</v>
      </c>
      <c r="N1367" t="s">
        <v>15</v>
      </c>
    </row>
    <row r="1368" spans="1:15" x14ac:dyDescent="0.2">
      <c r="A1368" t="s">
        <v>18</v>
      </c>
      <c r="B1368" t="s">
        <v>129</v>
      </c>
      <c r="C1368" t="s">
        <v>130</v>
      </c>
      <c r="D1368" t="s">
        <v>113</v>
      </c>
      <c r="E1368" t="s">
        <v>53</v>
      </c>
      <c r="F1368" t="s">
        <v>114</v>
      </c>
      <c r="G1368">
        <v>119062</v>
      </c>
      <c r="H1368" s="75">
        <v>45187</v>
      </c>
      <c r="I1368" t="s">
        <v>115</v>
      </c>
      <c r="J1368">
        <v>5000</v>
      </c>
      <c r="K1368">
        <v>123.869</v>
      </c>
      <c r="L1368">
        <v>40.365299999999998</v>
      </c>
      <c r="M1368">
        <v>18155.987000000001</v>
      </c>
      <c r="N1368" t="s">
        <v>15</v>
      </c>
    </row>
    <row r="1369" spans="1:15" x14ac:dyDescent="0.2">
      <c r="A1369" t="s">
        <v>18</v>
      </c>
      <c r="B1369" t="s">
        <v>129</v>
      </c>
      <c r="C1369" t="s">
        <v>130</v>
      </c>
      <c r="D1369" t="s">
        <v>113</v>
      </c>
      <c r="E1369" t="s">
        <v>53</v>
      </c>
      <c r="F1369" t="s">
        <v>114</v>
      </c>
      <c r="G1369">
        <v>119062</v>
      </c>
      <c r="H1369" s="75">
        <v>45217</v>
      </c>
      <c r="I1369" t="s">
        <v>115</v>
      </c>
      <c r="J1369">
        <v>5000</v>
      </c>
      <c r="K1369">
        <v>121.691</v>
      </c>
      <c r="L1369">
        <v>41.087800000000001</v>
      </c>
      <c r="M1369">
        <v>18277.678</v>
      </c>
      <c r="N1369" t="s">
        <v>15</v>
      </c>
    </row>
    <row r="1370" spans="1:15" x14ac:dyDescent="0.2">
      <c r="A1370" t="s">
        <v>18</v>
      </c>
      <c r="B1370" t="s">
        <v>129</v>
      </c>
      <c r="C1370" t="s">
        <v>130</v>
      </c>
      <c r="D1370" t="s">
        <v>113</v>
      </c>
      <c r="E1370" t="s">
        <v>53</v>
      </c>
      <c r="F1370" t="s">
        <v>114</v>
      </c>
      <c r="G1370">
        <v>119062</v>
      </c>
      <c r="H1370" s="75">
        <v>45247</v>
      </c>
      <c r="I1370" t="s">
        <v>115</v>
      </c>
      <c r="J1370">
        <v>5000</v>
      </c>
      <c r="K1370">
        <v>122.099</v>
      </c>
      <c r="L1370">
        <v>40.950200000000002</v>
      </c>
      <c r="M1370">
        <v>18399.776999999998</v>
      </c>
      <c r="N1370" t="s">
        <v>15</v>
      </c>
    </row>
    <row r="1371" spans="1:15" x14ac:dyDescent="0.2">
      <c r="A1371" t="s">
        <v>18</v>
      </c>
      <c r="B1371" t="s">
        <v>129</v>
      </c>
      <c r="C1371" t="s">
        <v>130</v>
      </c>
      <c r="D1371" t="s">
        <v>113</v>
      </c>
      <c r="E1371" t="s">
        <v>53</v>
      </c>
      <c r="F1371" t="s">
        <v>114</v>
      </c>
      <c r="G1371">
        <v>119062</v>
      </c>
      <c r="H1371" s="75">
        <v>45277</v>
      </c>
      <c r="I1371" t="s">
        <v>115</v>
      </c>
      <c r="J1371">
        <v>5000</v>
      </c>
      <c r="K1371">
        <v>123.938</v>
      </c>
      <c r="L1371">
        <v>40.342799999999997</v>
      </c>
      <c r="M1371">
        <v>18523.715</v>
      </c>
      <c r="N1371" t="s">
        <v>15</v>
      </c>
    </row>
    <row r="1372" spans="1:15" x14ac:dyDescent="0.2">
      <c r="A1372" t="s">
        <v>18</v>
      </c>
      <c r="B1372" t="s">
        <v>129</v>
      </c>
      <c r="C1372" t="s">
        <v>130</v>
      </c>
      <c r="D1372" t="s">
        <v>113</v>
      </c>
      <c r="E1372" t="s">
        <v>53</v>
      </c>
      <c r="F1372" t="s">
        <v>114</v>
      </c>
      <c r="G1372">
        <v>119062</v>
      </c>
      <c r="H1372" s="75">
        <v>45277</v>
      </c>
      <c r="I1372" t="s">
        <v>116</v>
      </c>
      <c r="J1372">
        <v>2.5</v>
      </c>
      <c r="K1372">
        <v>0</v>
      </c>
      <c r="M1372">
        <v>18523.715</v>
      </c>
      <c r="N1372" t="s">
        <v>17</v>
      </c>
    </row>
    <row r="1373" spans="1:15" x14ac:dyDescent="0.2">
      <c r="A1373" t="s">
        <v>18</v>
      </c>
      <c r="B1373" t="s">
        <v>129</v>
      </c>
      <c r="C1373" t="s">
        <v>130</v>
      </c>
      <c r="D1373" t="s">
        <v>113</v>
      </c>
      <c r="E1373" t="s">
        <v>53</v>
      </c>
      <c r="F1373" t="s">
        <v>114</v>
      </c>
      <c r="G1373">
        <v>119062</v>
      </c>
      <c r="H1373" s="75">
        <v>45277</v>
      </c>
      <c r="I1373" t="s">
        <v>118</v>
      </c>
      <c r="J1373">
        <v>9261.86</v>
      </c>
      <c r="K1373">
        <v>0</v>
      </c>
      <c r="M1373">
        <v>18523.715</v>
      </c>
      <c r="N1373" t="s">
        <v>19</v>
      </c>
      <c r="O1373">
        <v>9261.86</v>
      </c>
    </row>
    <row r="1374" spans="1:15" x14ac:dyDescent="0.2">
      <c r="A1374" t="s">
        <v>18</v>
      </c>
      <c r="B1374" t="s">
        <v>129</v>
      </c>
      <c r="C1374" t="s">
        <v>130</v>
      </c>
      <c r="D1374" t="s">
        <v>113</v>
      </c>
      <c r="E1374" t="s">
        <v>53</v>
      </c>
      <c r="F1374" t="s">
        <v>114</v>
      </c>
      <c r="G1374">
        <v>119062</v>
      </c>
      <c r="H1374" s="75">
        <v>45307</v>
      </c>
      <c r="I1374" t="s">
        <v>115</v>
      </c>
      <c r="J1374">
        <v>5000</v>
      </c>
      <c r="K1374">
        <v>122.613</v>
      </c>
      <c r="L1374">
        <v>40.778700000000001</v>
      </c>
      <c r="M1374">
        <v>18646.328000000001</v>
      </c>
      <c r="N1374" t="s">
        <v>15</v>
      </c>
    </row>
    <row r="1375" spans="1:15" x14ac:dyDescent="0.2">
      <c r="A1375" t="s">
        <v>18</v>
      </c>
      <c r="B1375" t="s">
        <v>129</v>
      </c>
      <c r="C1375" t="s">
        <v>130</v>
      </c>
      <c r="D1375" t="s">
        <v>113</v>
      </c>
      <c r="E1375" t="s">
        <v>53</v>
      </c>
      <c r="F1375" t="s">
        <v>114</v>
      </c>
      <c r="G1375">
        <v>119062</v>
      </c>
      <c r="H1375" s="75">
        <v>45337</v>
      </c>
      <c r="I1375" t="s">
        <v>115</v>
      </c>
      <c r="J1375">
        <v>5000</v>
      </c>
      <c r="K1375">
        <v>125.095</v>
      </c>
      <c r="L1375">
        <v>39.9696</v>
      </c>
      <c r="M1375">
        <v>18771.422999999999</v>
      </c>
      <c r="N1375" t="s">
        <v>15</v>
      </c>
    </row>
    <row r="1376" spans="1:15" x14ac:dyDescent="0.2">
      <c r="A1376" t="s">
        <v>18</v>
      </c>
      <c r="B1376" t="s">
        <v>129</v>
      </c>
      <c r="C1376" t="s">
        <v>130</v>
      </c>
      <c r="D1376" t="s">
        <v>113</v>
      </c>
      <c r="E1376" t="s">
        <v>53</v>
      </c>
      <c r="F1376" t="s">
        <v>114</v>
      </c>
      <c r="G1376">
        <v>119062</v>
      </c>
      <c r="H1376" s="75">
        <v>45367</v>
      </c>
      <c r="I1376" t="s">
        <v>115</v>
      </c>
      <c r="J1376">
        <v>5000</v>
      </c>
      <c r="K1376">
        <v>122.619</v>
      </c>
      <c r="L1376">
        <v>40.776699999999998</v>
      </c>
      <c r="M1376">
        <v>18894.042000000001</v>
      </c>
      <c r="N1376" t="s">
        <v>15</v>
      </c>
    </row>
    <row r="1377" spans="1:14" x14ac:dyDescent="0.2">
      <c r="A1377" t="s">
        <v>18</v>
      </c>
      <c r="B1377" t="s">
        <v>129</v>
      </c>
      <c r="C1377" t="s">
        <v>130</v>
      </c>
      <c r="D1377" t="s">
        <v>113</v>
      </c>
      <c r="E1377" t="s">
        <v>53</v>
      </c>
      <c r="F1377" t="s">
        <v>114</v>
      </c>
      <c r="G1377">
        <v>119062</v>
      </c>
      <c r="H1377" s="75">
        <v>45397</v>
      </c>
      <c r="I1377" t="s">
        <v>115</v>
      </c>
      <c r="J1377">
        <v>5000</v>
      </c>
      <c r="K1377">
        <v>124.068</v>
      </c>
      <c r="L1377">
        <v>40.3005</v>
      </c>
      <c r="M1377">
        <v>19018.11</v>
      </c>
      <c r="N1377" t="s">
        <v>15</v>
      </c>
    </row>
    <row r="1378" spans="1:14" x14ac:dyDescent="0.2">
      <c r="A1378" t="s">
        <v>18</v>
      </c>
      <c r="B1378" t="s">
        <v>129</v>
      </c>
      <c r="C1378" t="s">
        <v>130</v>
      </c>
      <c r="D1378" t="s">
        <v>113</v>
      </c>
      <c r="E1378" t="s">
        <v>53</v>
      </c>
      <c r="F1378" t="s">
        <v>114</v>
      </c>
      <c r="G1378">
        <v>119062</v>
      </c>
      <c r="H1378" s="75">
        <v>45427</v>
      </c>
      <c r="I1378" t="s">
        <v>115</v>
      </c>
      <c r="J1378">
        <v>5000</v>
      </c>
      <c r="K1378">
        <v>125.875</v>
      </c>
      <c r="L1378">
        <v>39.721899999999998</v>
      </c>
      <c r="M1378">
        <v>19143.985000000001</v>
      </c>
      <c r="N1378" t="s">
        <v>15</v>
      </c>
    </row>
    <row r="1379" spans="1:14" x14ac:dyDescent="0.2">
      <c r="A1379" t="s">
        <v>18</v>
      </c>
      <c r="B1379" t="s">
        <v>129</v>
      </c>
      <c r="C1379" t="s">
        <v>130</v>
      </c>
      <c r="D1379" t="s">
        <v>113</v>
      </c>
      <c r="E1379" t="s">
        <v>53</v>
      </c>
      <c r="F1379" t="s">
        <v>114</v>
      </c>
      <c r="G1379">
        <v>119062</v>
      </c>
      <c r="H1379" s="75">
        <v>45457</v>
      </c>
      <c r="I1379" t="s">
        <v>115</v>
      </c>
      <c r="J1379">
        <v>5000</v>
      </c>
      <c r="K1379">
        <v>125.836</v>
      </c>
      <c r="L1379">
        <v>39.734200000000001</v>
      </c>
      <c r="M1379">
        <v>19269.822</v>
      </c>
      <c r="N1379" t="s">
        <v>15</v>
      </c>
    </row>
    <row r="1380" spans="1:14" x14ac:dyDescent="0.2">
      <c r="A1380" t="s">
        <v>18</v>
      </c>
      <c r="B1380" t="s">
        <v>129</v>
      </c>
      <c r="C1380" t="s">
        <v>130</v>
      </c>
      <c r="D1380" t="s">
        <v>113</v>
      </c>
      <c r="E1380" t="s">
        <v>53</v>
      </c>
      <c r="F1380" t="s">
        <v>114</v>
      </c>
      <c r="G1380">
        <v>119062</v>
      </c>
      <c r="H1380" s="75">
        <v>45487</v>
      </c>
      <c r="I1380" t="s">
        <v>115</v>
      </c>
      <c r="J1380">
        <v>5000</v>
      </c>
      <c r="K1380">
        <v>123.60899999999999</v>
      </c>
      <c r="L1380">
        <v>40.450000000000003</v>
      </c>
      <c r="M1380">
        <v>19393.431</v>
      </c>
      <c r="N1380" t="s">
        <v>15</v>
      </c>
    </row>
    <row r="1381" spans="1:14" x14ac:dyDescent="0.2">
      <c r="A1381" t="s">
        <v>18</v>
      </c>
      <c r="B1381" t="s">
        <v>129</v>
      </c>
      <c r="C1381" t="s">
        <v>130</v>
      </c>
      <c r="D1381" t="s">
        <v>113</v>
      </c>
      <c r="E1381" t="s">
        <v>53</v>
      </c>
      <c r="F1381" t="s">
        <v>114</v>
      </c>
      <c r="G1381">
        <v>119062</v>
      </c>
      <c r="H1381" s="75">
        <v>45517</v>
      </c>
      <c r="I1381" t="s">
        <v>115</v>
      </c>
      <c r="J1381">
        <v>5000</v>
      </c>
      <c r="K1381">
        <v>123.991</v>
      </c>
      <c r="L1381">
        <v>40.325499999999998</v>
      </c>
      <c r="M1381">
        <v>19517.421999999999</v>
      </c>
      <c r="N1381" t="s">
        <v>15</v>
      </c>
    </row>
    <row r="1382" spans="1:14" x14ac:dyDescent="0.2">
      <c r="A1382" t="s">
        <v>18</v>
      </c>
      <c r="B1382" t="s">
        <v>129</v>
      </c>
      <c r="C1382" t="s">
        <v>130</v>
      </c>
      <c r="D1382" t="s">
        <v>113</v>
      </c>
      <c r="E1382" t="s">
        <v>53</v>
      </c>
      <c r="F1382" t="s">
        <v>114</v>
      </c>
      <c r="G1382">
        <v>119062</v>
      </c>
      <c r="H1382" s="75">
        <v>45517</v>
      </c>
      <c r="I1382" t="s">
        <v>117</v>
      </c>
      <c r="J1382">
        <v>2.5</v>
      </c>
      <c r="K1382">
        <v>0</v>
      </c>
      <c r="M1382">
        <v>19517.421999999999</v>
      </c>
      <c r="N1382" t="s">
        <v>46</v>
      </c>
    </row>
    <row r="1383" spans="1:14" x14ac:dyDescent="0.2">
      <c r="A1383" t="s">
        <v>18</v>
      </c>
      <c r="B1383" t="s">
        <v>129</v>
      </c>
      <c r="C1383" t="s">
        <v>130</v>
      </c>
      <c r="D1383" t="s">
        <v>113</v>
      </c>
      <c r="E1383" t="s">
        <v>53</v>
      </c>
      <c r="F1383" t="s">
        <v>114</v>
      </c>
      <c r="G1383">
        <v>119062</v>
      </c>
      <c r="H1383" s="75">
        <v>45547</v>
      </c>
      <c r="I1383" t="s">
        <v>115</v>
      </c>
      <c r="J1383">
        <v>5000</v>
      </c>
      <c r="K1383">
        <v>121.319</v>
      </c>
      <c r="L1383">
        <v>41.2136</v>
      </c>
      <c r="M1383">
        <v>19638.741000000002</v>
      </c>
      <c r="N1383" t="s">
        <v>15</v>
      </c>
    </row>
    <row r="1384" spans="1:14" x14ac:dyDescent="0.2">
      <c r="A1384" t="s">
        <v>18</v>
      </c>
      <c r="B1384" t="s">
        <v>129</v>
      </c>
      <c r="C1384" t="s">
        <v>130</v>
      </c>
      <c r="D1384" t="s">
        <v>113</v>
      </c>
      <c r="E1384" t="s">
        <v>53</v>
      </c>
      <c r="F1384" t="s">
        <v>114</v>
      </c>
      <c r="G1384">
        <v>119062</v>
      </c>
      <c r="H1384" s="75">
        <v>45577</v>
      </c>
      <c r="I1384" t="s">
        <v>115</v>
      </c>
      <c r="J1384">
        <v>5000</v>
      </c>
      <c r="K1384">
        <v>118.652</v>
      </c>
      <c r="L1384">
        <v>42.14</v>
      </c>
      <c r="M1384">
        <v>19757.393</v>
      </c>
      <c r="N1384" t="s">
        <v>15</v>
      </c>
    </row>
    <row r="1385" spans="1:14" x14ac:dyDescent="0.2">
      <c r="A1385" t="s">
        <v>18</v>
      </c>
      <c r="B1385" t="s">
        <v>129</v>
      </c>
      <c r="C1385" t="s">
        <v>130</v>
      </c>
      <c r="D1385" t="s">
        <v>113</v>
      </c>
      <c r="E1385" t="s">
        <v>53</v>
      </c>
      <c r="F1385" t="s">
        <v>114</v>
      </c>
      <c r="G1385">
        <v>119062</v>
      </c>
      <c r="H1385" s="75">
        <v>45577</v>
      </c>
      <c r="I1385" t="s">
        <v>117</v>
      </c>
      <c r="J1385">
        <v>2.5</v>
      </c>
      <c r="K1385">
        <v>0</v>
      </c>
      <c r="M1385">
        <v>19757.393</v>
      </c>
      <c r="N1385" t="s">
        <v>46</v>
      </c>
    </row>
    <row r="1386" spans="1:14" x14ac:dyDescent="0.2">
      <c r="A1386" t="s">
        <v>18</v>
      </c>
      <c r="B1386" t="s">
        <v>129</v>
      </c>
      <c r="C1386" t="s">
        <v>130</v>
      </c>
      <c r="D1386" t="s">
        <v>113</v>
      </c>
      <c r="E1386" t="s">
        <v>53</v>
      </c>
      <c r="F1386" t="s">
        <v>114</v>
      </c>
      <c r="G1386">
        <v>119062</v>
      </c>
      <c r="H1386" s="75">
        <v>45607</v>
      </c>
      <c r="I1386" t="s">
        <v>115</v>
      </c>
      <c r="J1386">
        <v>5000</v>
      </c>
      <c r="K1386">
        <v>119.714</v>
      </c>
      <c r="L1386">
        <v>41.766100000000002</v>
      </c>
      <c r="M1386">
        <v>19877.107</v>
      </c>
      <c r="N1386" t="s">
        <v>15</v>
      </c>
    </row>
    <row r="1387" spans="1:14" x14ac:dyDescent="0.2">
      <c r="A1387" t="s">
        <v>18</v>
      </c>
      <c r="B1387" t="s">
        <v>129</v>
      </c>
      <c r="C1387" t="s">
        <v>130</v>
      </c>
      <c r="D1387" t="s">
        <v>113</v>
      </c>
      <c r="E1387" t="s">
        <v>53</v>
      </c>
      <c r="F1387" t="s">
        <v>114</v>
      </c>
      <c r="G1387">
        <v>119062</v>
      </c>
      <c r="H1387" s="75">
        <v>45637</v>
      </c>
      <c r="I1387" t="s">
        <v>115</v>
      </c>
      <c r="J1387">
        <v>5000</v>
      </c>
      <c r="K1387">
        <v>119.34099999999999</v>
      </c>
      <c r="L1387">
        <v>41.896700000000003</v>
      </c>
      <c r="M1387">
        <v>19996.448</v>
      </c>
      <c r="N1387" t="s">
        <v>15</v>
      </c>
    </row>
    <row r="1388" spans="1:14" x14ac:dyDescent="0.2">
      <c r="A1388" t="s">
        <v>18</v>
      </c>
      <c r="B1388" t="s">
        <v>129</v>
      </c>
      <c r="C1388" t="s">
        <v>130</v>
      </c>
      <c r="D1388" t="s">
        <v>113</v>
      </c>
      <c r="E1388" t="s">
        <v>53</v>
      </c>
      <c r="F1388" t="s">
        <v>114</v>
      </c>
      <c r="G1388">
        <v>119062</v>
      </c>
      <c r="H1388" s="75">
        <v>45637</v>
      </c>
      <c r="I1388" t="s">
        <v>116</v>
      </c>
      <c r="J1388">
        <v>2.5</v>
      </c>
      <c r="K1388">
        <v>0</v>
      </c>
      <c r="M1388">
        <v>19996.448</v>
      </c>
      <c r="N1388" t="s">
        <v>17</v>
      </c>
    </row>
    <row r="1389" spans="1:14" x14ac:dyDescent="0.2">
      <c r="A1389" t="s">
        <v>18</v>
      </c>
      <c r="B1389" t="s">
        <v>129</v>
      </c>
      <c r="C1389" t="s">
        <v>130</v>
      </c>
      <c r="D1389" t="s">
        <v>113</v>
      </c>
      <c r="E1389" t="s">
        <v>53</v>
      </c>
      <c r="F1389" t="s">
        <v>114</v>
      </c>
      <c r="G1389">
        <v>119062</v>
      </c>
      <c r="H1389" s="75">
        <v>45667</v>
      </c>
      <c r="I1389" t="s">
        <v>115</v>
      </c>
      <c r="J1389">
        <v>5000</v>
      </c>
      <c r="K1389">
        <v>116.373</v>
      </c>
      <c r="L1389">
        <v>42.965299999999999</v>
      </c>
      <c r="M1389">
        <v>20112.821</v>
      </c>
      <c r="N1389" t="s">
        <v>15</v>
      </c>
    </row>
    <row r="1390" spans="1:14" x14ac:dyDescent="0.2">
      <c r="A1390" t="s">
        <v>18</v>
      </c>
      <c r="B1390" t="s">
        <v>129</v>
      </c>
      <c r="C1390" t="s">
        <v>130</v>
      </c>
      <c r="D1390" t="s">
        <v>113</v>
      </c>
      <c r="E1390" t="s">
        <v>53</v>
      </c>
      <c r="F1390" t="s">
        <v>114</v>
      </c>
      <c r="G1390">
        <v>119062</v>
      </c>
      <c r="H1390" s="75">
        <v>45697</v>
      </c>
      <c r="I1390" t="s">
        <v>115</v>
      </c>
      <c r="J1390">
        <v>5000</v>
      </c>
      <c r="K1390">
        <v>116.59399999999999</v>
      </c>
      <c r="L1390">
        <v>42.883800000000001</v>
      </c>
      <c r="M1390">
        <v>20229.416000000001</v>
      </c>
      <c r="N1390" t="s">
        <v>15</v>
      </c>
    </row>
    <row r="1391" spans="1:14" x14ac:dyDescent="0.2">
      <c r="A1391" t="s">
        <v>18</v>
      </c>
      <c r="B1391" t="s">
        <v>129</v>
      </c>
      <c r="C1391" t="s">
        <v>130</v>
      </c>
      <c r="D1391" t="s">
        <v>113</v>
      </c>
      <c r="E1391" t="s">
        <v>53</v>
      </c>
      <c r="F1391" t="s">
        <v>114</v>
      </c>
      <c r="G1391">
        <v>119062</v>
      </c>
      <c r="H1391" s="75">
        <v>45727</v>
      </c>
      <c r="I1391" t="s">
        <v>115</v>
      </c>
      <c r="J1391">
        <v>5000</v>
      </c>
      <c r="K1391">
        <v>117.73099999999999</v>
      </c>
      <c r="L1391">
        <v>42.469900000000003</v>
      </c>
      <c r="M1391">
        <v>20347.146000000001</v>
      </c>
      <c r="N1391" t="s">
        <v>15</v>
      </c>
    </row>
    <row r="1392" spans="1:14" x14ac:dyDescent="0.2">
      <c r="A1392" t="s">
        <v>18</v>
      </c>
      <c r="B1392" t="s">
        <v>129</v>
      </c>
      <c r="C1392" t="s">
        <v>130</v>
      </c>
      <c r="D1392" t="s">
        <v>113</v>
      </c>
      <c r="E1392" t="s">
        <v>53</v>
      </c>
      <c r="F1392" t="s">
        <v>114</v>
      </c>
      <c r="G1392">
        <v>119062</v>
      </c>
      <c r="H1392" s="75">
        <v>45757</v>
      </c>
      <c r="I1392" t="s">
        <v>115</v>
      </c>
      <c r="J1392">
        <v>5000</v>
      </c>
      <c r="K1392">
        <v>117.767</v>
      </c>
      <c r="L1392">
        <v>42.456600000000002</v>
      </c>
      <c r="M1392">
        <v>20464.913</v>
      </c>
      <c r="N1392" t="s">
        <v>15</v>
      </c>
    </row>
    <row r="1393" spans="1:14" x14ac:dyDescent="0.2">
      <c r="A1393" t="s">
        <v>18</v>
      </c>
      <c r="B1393" t="s">
        <v>129</v>
      </c>
      <c r="C1393" t="s">
        <v>130</v>
      </c>
      <c r="D1393" t="s">
        <v>113</v>
      </c>
      <c r="E1393" t="s">
        <v>53</v>
      </c>
      <c r="F1393" t="s">
        <v>114</v>
      </c>
      <c r="G1393">
        <v>119062</v>
      </c>
      <c r="H1393" s="75">
        <v>45757</v>
      </c>
      <c r="I1393" t="s">
        <v>117</v>
      </c>
      <c r="J1393">
        <v>2.5</v>
      </c>
      <c r="K1393">
        <v>0</v>
      </c>
      <c r="M1393">
        <v>20464.913</v>
      </c>
      <c r="N1393" t="s">
        <v>46</v>
      </c>
    </row>
    <row r="1394" spans="1:14" x14ac:dyDescent="0.2">
      <c r="A1394" t="s">
        <v>18</v>
      </c>
      <c r="B1394" t="s">
        <v>129</v>
      </c>
      <c r="C1394" t="s">
        <v>130</v>
      </c>
      <c r="D1394" t="s">
        <v>113</v>
      </c>
      <c r="E1394" t="s">
        <v>53</v>
      </c>
      <c r="F1394" t="s">
        <v>114</v>
      </c>
      <c r="G1394">
        <v>119062</v>
      </c>
      <c r="H1394" s="75">
        <v>45787</v>
      </c>
      <c r="I1394" t="s">
        <v>115</v>
      </c>
      <c r="J1394">
        <v>5000</v>
      </c>
      <c r="K1394">
        <v>115.41500000000001</v>
      </c>
      <c r="L1394">
        <v>43.322099999999999</v>
      </c>
      <c r="M1394">
        <v>20580.328000000001</v>
      </c>
      <c r="N1394" t="s">
        <v>15</v>
      </c>
    </row>
    <row r="1395" spans="1:14" x14ac:dyDescent="0.2">
      <c r="A1395" t="s">
        <v>18</v>
      </c>
      <c r="B1395" t="s">
        <v>129</v>
      </c>
      <c r="C1395" t="s">
        <v>130</v>
      </c>
      <c r="D1395" t="s">
        <v>113</v>
      </c>
      <c r="E1395" t="s">
        <v>53</v>
      </c>
      <c r="F1395" t="s">
        <v>114</v>
      </c>
      <c r="G1395">
        <v>119062</v>
      </c>
      <c r="H1395" s="75">
        <v>45817</v>
      </c>
      <c r="I1395" t="s">
        <v>115</v>
      </c>
      <c r="J1395">
        <v>5000</v>
      </c>
      <c r="K1395">
        <v>115.773</v>
      </c>
      <c r="L1395">
        <v>43.187800000000003</v>
      </c>
      <c r="M1395">
        <v>20696.100999999999</v>
      </c>
      <c r="N1395" t="s">
        <v>15</v>
      </c>
    </row>
    <row r="1396" spans="1:14" x14ac:dyDescent="0.2">
      <c r="A1396" t="s">
        <v>18</v>
      </c>
      <c r="B1396" t="s">
        <v>129</v>
      </c>
      <c r="C1396" t="s">
        <v>130</v>
      </c>
      <c r="D1396" t="s">
        <v>113</v>
      </c>
      <c r="E1396" t="s">
        <v>53</v>
      </c>
      <c r="F1396" t="s">
        <v>114</v>
      </c>
      <c r="G1396">
        <v>119062</v>
      </c>
      <c r="H1396" s="75">
        <v>45847</v>
      </c>
      <c r="I1396" t="s">
        <v>115</v>
      </c>
      <c r="J1396">
        <v>5000</v>
      </c>
      <c r="K1396">
        <v>112.5</v>
      </c>
      <c r="L1396">
        <v>44.444499999999998</v>
      </c>
      <c r="M1396">
        <v>20808.600999999999</v>
      </c>
      <c r="N1396" t="s">
        <v>15</v>
      </c>
    </row>
    <row r="1397" spans="1:14" x14ac:dyDescent="0.2">
      <c r="A1397" t="s">
        <v>18</v>
      </c>
      <c r="B1397" t="s">
        <v>129</v>
      </c>
      <c r="C1397" t="s">
        <v>130</v>
      </c>
      <c r="D1397" t="s">
        <v>113</v>
      </c>
      <c r="E1397" t="s">
        <v>53</v>
      </c>
      <c r="F1397" t="s">
        <v>114</v>
      </c>
      <c r="G1397">
        <v>119062</v>
      </c>
      <c r="H1397" s="75">
        <v>45877</v>
      </c>
      <c r="I1397" t="s">
        <v>115</v>
      </c>
      <c r="J1397">
        <v>5000</v>
      </c>
      <c r="K1397">
        <v>114.54300000000001</v>
      </c>
      <c r="L1397">
        <v>43.651600000000002</v>
      </c>
      <c r="M1397">
        <v>20923.145</v>
      </c>
      <c r="N1397" t="s">
        <v>15</v>
      </c>
    </row>
    <row r="1398" spans="1:14" x14ac:dyDescent="0.2">
      <c r="A1398" t="s">
        <v>18</v>
      </c>
      <c r="B1398" t="s">
        <v>129</v>
      </c>
      <c r="C1398" t="s">
        <v>130</v>
      </c>
      <c r="D1398" t="s">
        <v>113</v>
      </c>
      <c r="E1398" t="s">
        <v>53</v>
      </c>
      <c r="F1398" t="s">
        <v>114</v>
      </c>
      <c r="G1398">
        <v>119062</v>
      </c>
      <c r="H1398" s="75">
        <v>45907</v>
      </c>
      <c r="I1398" t="s">
        <v>115</v>
      </c>
      <c r="J1398">
        <v>5000</v>
      </c>
      <c r="K1398">
        <v>116.358</v>
      </c>
      <c r="L1398">
        <v>42.970799999999997</v>
      </c>
      <c r="M1398">
        <v>21039.503000000001</v>
      </c>
      <c r="N1398" t="s">
        <v>15</v>
      </c>
    </row>
    <row r="1399" spans="1:14" x14ac:dyDescent="0.2">
      <c r="A1399" t="s">
        <v>18</v>
      </c>
      <c r="B1399" t="s">
        <v>129</v>
      </c>
      <c r="C1399" t="s">
        <v>130</v>
      </c>
      <c r="D1399" t="s">
        <v>113</v>
      </c>
      <c r="E1399" t="s">
        <v>53</v>
      </c>
      <c r="F1399" t="s">
        <v>114</v>
      </c>
      <c r="G1399">
        <v>119062</v>
      </c>
      <c r="H1399" s="75">
        <v>45937</v>
      </c>
      <c r="I1399" t="s">
        <v>115</v>
      </c>
      <c r="J1399">
        <v>5000</v>
      </c>
      <c r="K1399">
        <v>115.092</v>
      </c>
      <c r="L1399">
        <v>43.4437</v>
      </c>
      <c r="M1399">
        <v>21154.594000000001</v>
      </c>
      <c r="N1399" t="s">
        <v>15</v>
      </c>
    </row>
    <row r="1400" spans="1:14" x14ac:dyDescent="0.2">
      <c r="A1400" t="s">
        <v>18</v>
      </c>
      <c r="B1400" t="s">
        <v>129</v>
      </c>
      <c r="C1400" t="s">
        <v>130</v>
      </c>
      <c r="D1400" t="s">
        <v>113</v>
      </c>
      <c r="E1400" t="s">
        <v>53</v>
      </c>
      <c r="F1400" t="s">
        <v>114</v>
      </c>
      <c r="G1400">
        <v>119062</v>
      </c>
      <c r="H1400" s="75">
        <v>45967</v>
      </c>
      <c r="I1400" t="s">
        <v>115</v>
      </c>
      <c r="J1400">
        <v>5000</v>
      </c>
      <c r="K1400">
        <v>115.812</v>
      </c>
      <c r="L1400">
        <v>43.173499999999997</v>
      </c>
      <c r="M1400">
        <v>21270.405999999999</v>
      </c>
      <c r="N1400" t="s">
        <v>15</v>
      </c>
    </row>
    <row r="1401" spans="1:14" x14ac:dyDescent="0.2">
      <c r="A1401" t="s">
        <v>18</v>
      </c>
      <c r="B1401" t="s">
        <v>129</v>
      </c>
      <c r="C1401" t="s">
        <v>130</v>
      </c>
      <c r="D1401" t="s">
        <v>113</v>
      </c>
      <c r="E1401" t="s">
        <v>53</v>
      </c>
      <c r="F1401" t="s">
        <v>114</v>
      </c>
      <c r="G1401">
        <v>119062</v>
      </c>
      <c r="H1401" s="75">
        <v>45967</v>
      </c>
      <c r="I1401" t="s">
        <v>117</v>
      </c>
      <c r="J1401">
        <v>2.5</v>
      </c>
      <c r="K1401">
        <v>0</v>
      </c>
      <c r="M1401">
        <v>21270.405999999999</v>
      </c>
      <c r="N1401" t="s">
        <v>46</v>
      </c>
    </row>
    <row r="1402" spans="1:14" x14ac:dyDescent="0.2">
      <c r="A1402" t="s">
        <v>18</v>
      </c>
      <c r="B1402" t="s">
        <v>129</v>
      </c>
      <c r="C1402" t="s">
        <v>130</v>
      </c>
      <c r="D1402" t="s">
        <v>113</v>
      </c>
      <c r="E1402" t="s">
        <v>53</v>
      </c>
      <c r="F1402" t="s">
        <v>114</v>
      </c>
      <c r="G1402">
        <v>119062</v>
      </c>
      <c r="H1402" s="75">
        <v>45997</v>
      </c>
      <c r="I1402" t="s">
        <v>115</v>
      </c>
      <c r="J1402">
        <v>5000</v>
      </c>
      <c r="K1402">
        <v>115.367</v>
      </c>
      <c r="L1402">
        <v>43.3401</v>
      </c>
      <c r="M1402">
        <v>21385.773000000001</v>
      </c>
      <c r="N1402" t="s">
        <v>15</v>
      </c>
    </row>
    <row r="1403" spans="1:14" x14ac:dyDescent="0.2">
      <c r="A1403" t="s">
        <v>18</v>
      </c>
      <c r="B1403" t="s">
        <v>129</v>
      </c>
      <c r="C1403" t="s">
        <v>130</v>
      </c>
      <c r="D1403" t="s">
        <v>113</v>
      </c>
      <c r="E1403" t="s">
        <v>53</v>
      </c>
      <c r="F1403" t="s">
        <v>114</v>
      </c>
      <c r="G1403">
        <v>119062</v>
      </c>
      <c r="H1403" s="75">
        <v>46027</v>
      </c>
      <c r="I1403" t="s">
        <v>115</v>
      </c>
      <c r="J1403">
        <v>5000</v>
      </c>
      <c r="K1403">
        <v>117.267</v>
      </c>
      <c r="L1403">
        <v>42.637799999999999</v>
      </c>
      <c r="M1403">
        <v>21503.039000000001</v>
      </c>
      <c r="N1403" t="s">
        <v>15</v>
      </c>
    </row>
    <row r="1404" spans="1:14" x14ac:dyDescent="0.2">
      <c r="A1404" t="s">
        <v>18</v>
      </c>
      <c r="B1404" t="s">
        <v>129</v>
      </c>
      <c r="C1404" t="s">
        <v>130</v>
      </c>
      <c r="D1404" t="s">
        <v>113</v>
      </c>
      <c r="E1404" t="s">
        <v>53</v>
      </c>
      <c r="F1404" t="s">
        <v>114</v>
      </c>
      <c r="G1404">
        <v>119062</v>
      </c>
      <c r="H1404" s="75">
        <v>46057</v>
      </c>
      <c r="I1404" t="s">
        <v>115</v>
      </c>
      <c r="J1404">
        <v>5000</v>
      </c>
      <c r="K1404">
        <v>116.4</v>
      </c>
      <c r="L1404">
        <v>42.955300000000001</v>
      </c>
      <c r="M1404">
        <v>21619.438999999998</v>
      </c>
      <c r="N1404" t="s">
        <v>15</v>
      </c>
    </row>
    <row r="1405" spans="1:14" x14ac:dyDescent="0.2">
      <c r="A1405" t="s">
        <v>18</v>
      </c>
      <c r="B1405" t="s">
        <v>129</v>
      </c>
      <c r="C1405" t="s">
        <v>130</v>
      </c>
      <c r="D1405" t="s">
        <v>113</v>
      </c>
      <c r="E1405" t="s">
        <v>53</v>
      </c>
      <c r="F1405" t="s">
        <v>114</v>
      </c>
      <c r="G1405">
        <v>119062</v>
      </c>
      <c r="H1405" s="75">
        <v>46057</v>
      </c>
      <c r="I1405" t="s">
        <v>116</v>
      </c>
      <c r="J1405">
        <v>2.5</v>
      </c>
      <c r="K1405">
        <v>0</v>
      </c>
      <c r="M1405">
        <v>21619.438999999998</v>
      </c>
      <c r="N1405" t="s">
        <v>17</v>
      </c>
    </row>
    <row r="1406" spans="1:14" x14ac:dyDescent="0.2">
      <c r="A1406" t="s">
        <v>18</v>
      </c>
      <c r="B1406" t="s">
        <v>129</v>
      </c>
      <c r="C1406" t="s">
        <v>130</v>
      </c>
      <c r="D1406" t="s">
        <v>113</v>
      </c>
      <c r="E1406" t="s">
        <v>53</v>
      </c>
      <c r="F1406" t="s">
        <v>114</v>
      </c>
      <c r="G1406">
        <v>119062</v>
      </c>
      <c r="H1406" s="75">
        <v>46087</v>
      </c>
      <c r="I1406" t="s">
        <v>115</v>
      </c>
      <c r="J1406">
        <v>5000</v>
      </c>
      <c r="K1406">
        <v>113.065</v>
      </c>
      <c r="L1406">
        <v>44.2224</v>
      </c>
      <c r="M1406">
        <v>21732.504000000001</v>
      </c>
      <c r="N1406" t="s">
        <v>15</v>
      </c>
    </row>
    <row r="1407" spans="1:14" x14ac:dyDescent="0.2">
      <c r="A1407" t="s">
        <v>18</v>
      </c>
      <c r="B1407" t="s">
        <v>129</v>
      </c>
      <c r="C1407" t="s">
        <v>130</v>
      </c>
      <c r="D1407" t="s">
        <v>113</v>
      </c>
      <c r="E1407" t="s">
        <v>53</v>
      </c>
      <c r="F1407" t="s">
        <v>114</v>
      </c>
      <c r="G1407">
        <v>119062</v>
      </c>
      <c r="H1407" s="75">
        <v>46087</v>
      </c>
      <c r="I1407" t="s">
        <v>116</v>
      </c>
      <c r="J1407">
        <v>2.5</v>
      </c>
      <c r="K1407">
        <v>0</v>
      </c>
      <c r="M1407">
        <v>21732.504000000001</v>
      </c>
      <c r="N1407" t="s">
        <v>17</v>
      </c>
    </row>
    <row r="1408" spans="1:14" x14ac:dyDescent="0.2">
      <c r="A1408" t="s">
        <v>18</v>
      </c>
      <c r="B1408" t="s">
        <v>129</v>
      </c>
      <c r="C1408" t="s">
        <v>130</v>
      </c>
      <c r="D1408" t="s">
        <v>113</v>
      </c>
      <c r="E1408" t="s">
        <v>53</v>
      </c>
      <c r="F1408" t="s">
        <v>114</v>
      </c>
      <c r="G1408">
        <v>119062</v>
      </c>
      <c r="H1408" s="75">
        <v>46117</v>
      </c>
      <c r="I1408" t="s">
        <v>115</v>
      </c>
      <c r="J1408">
        <v>5000</v>
      </c>
      <c r="K1408">
        <v>114.496</v>
      </c>
      <c r="L1408">
        <v>43.669600000000003</v>
      </c>
      <c r="M1408">
        <v>21847</v>
      </c>
      <c r="N1408" t="s">
        <v>15</v>
      </c>
    </row>
    <row r="1409" spans="1:15" x14ac:dyDescent="0.2">
      <c r="A1409" t="s">
        <v>18</v>
      </c>
      <c r="B1409" t="s">
        <v>129</v>
      </c>
      <c r="C1409" t="s">
        <v>130</v>
      </c>
      <c r="D1409" t="s">
        <v>113</v>
      </c>
      <c r="E1409" t="s">
        <v>53</v>
      </c>
      <c r="F1409" t="s">
        <v>114</v>
      </c>
      <c r="G1409">
        <v>119062</v>
      </c>
      <c r="H1409" s="75">
        <v>46117</v>
      </c>
      <c r="I1409" t="s">
        <v>116</v>
      </c>
      <c r="J1409">
        <v>2.5</v>
      </c>
      <c r="K1409">
        <v>0</v>
      </c>
      <c r="M1409">
        <v>21847</v>
      </c>
      <c r="N1409" t="s">
        <v>17</v>
      </c>
    </row>
    <row r="1410" spans="1:15" x14ac:dyDescent="0.2">
      <c r="A1410" t="s">
        <v>18</v>
      </c>
      <c r="B1410" t="s">
        <v>129</v>
      </c>
      <c r="C1410" t="s">
        <v>130</v>
      </c>
      <c r="D1410" t="s">
        <v>113</v>
      </c>
      <c r="E1410" t="s">
        <v>53</v>
      </c>
      <c r="F1410" t="s">
        <v>114</v>
      </c>
      <c r="G1410">
        <v>119062</v>
      </c>
      <c r="H1410" s="75">
        <v>46147</v>
      </c>
      <c r="I1410" t="s">
        <v>115</v>
      </c>
      <c r="J1410">
        <v>5000</v>
      </c>
      <c r="K1410">
        <v>115.166</v>
      </c>
      <c r="L1410">
        <v>43.415700000000001</v>
      </c>
      <c r="M1410">
        <v>21962.166000000001</v>
      </c>
      <c r="N1410" t="s">
        <v>15</v>
      </c>
    </row>
    <row r="1411" spans="1:15" x14ac:dyDescent="0.2">
      <c r="A1411" t="s">
        <v>18</v>
      </c>
      <c r="B1411" t="s">
        <v>129</v>
      </c>
      <c r="C1411" t="s">
        <v>130</v>
      </c>
      <c r="D1411" t="s">
        <v>113</v>
      </c>
      <c r="E1411" t="s">
        <v>53</v>
      </c>
      <c r="F1411" t="s">
        <v>114</v>
      </c>
      <c r="G1411">
        <v>119062</v>
      </c>
      <c r="H1411" s="75">
        <v>46177</v>
      </c>
      <c r="I1411" t="s">
        <v>115</v>
      </c>
      <c r="J1411">
        <v>5000</v>
      </c>
      <c r="K1411">
        <v>112.56699999999999</v>
      </c>
      <c r="L1411">
        <v>44.417999999999999</v>
      </c>
      <c r="M1411">
        <v>22074.733</v>
      </c>
      <c r="N1411" t="s">
        <v>15</v>
      </c>
    </row>
    <row r="1412" spans="1:15" x14ac:dyDescent="0.2">
      <c r="A1412" t="s">
        <v>119</v>
      </c>
      <c r="B1412" t="s">
        <v>131</v>
      </c>
      <c r="C1412" t="s">
        <v>130</v>
      </c>
      <c r="D1412" t="s">
        <v>121</v>
      </c>
      <c r="E1412" t="s">
        <v>53</v>
      </c>
      <c r="F1412" t="s">
        <v>114</v>
      </c>
      <c r="G1412">
        <v>122639</v>
      </c>
      <c r="H1412" s="75">
        <v>40291</v>
      </c>
      <c r="I1412" t="s">
        <v>115</v>
      </c>
      <c r="J1412">
        <v>5000</v>
      </c>
      <c r="K1412">
        <v>249.43700000000001</v>
      </c>
      <c r="L1412">
        <v>20.045200000000001</v>
      </c>
      <c r="M1412">
        <v>249.43700000000001</v>
      </c>
      <c r="N1412" t="s">
        <v>15</v>
      </c>
    </row>
    <row r="1413" spans="1:15" x14ac:dyDescent="0.2">
      <c r="A1413" t="s">
        <v>119</v>
      </c>
      <c r="B1413" t="s">
        <v>131</v>
      </c>
      <c r="C1413" t="s">
        <v>130</v>
      </c>
      <c r="D1413" t="s">
        <v>121</v>
      </c>
      <c r="E1413" t="s">
        <v>53</v>
      </c>
      <c r="F1413" t="s">
        <v>114</v>
      </c>
      <c r="G1413">
        <v>122639</v>
      </c>
      <c r="H1413" s="75">
        <v>40291</v>
      </c>
      <c r="I1413" t="s">
        <v>25</v>
      </c>
      <c r="J1413">
        <v>-1000</v>
      </c>
      <c r="K1413">
        <v>-49.887</v>
      </c>
      <c r="L1413">
        <v>20.045200000000001</v>
      </c>
      <c r="M1413">
        <v>199.54900000000001</v>
      </c>
      <c r="N1413" t="s">
        <v>16</v>
      </c>
    </row>
    <row r="1414" spans="1:15" x14ac:dyDescent="0.2">
      <c r="A1414" t="s">
        <v>119</v>
      </c>
      <c r="B1414" t="s">
        <v>131</v>
      </c>
      <c r="C1414" t="s">
        <v>130</v>
      </c>
      <c r="D1414" t="s">
        <v>121</v>
      </c>
      <c r="E1414" t="s">
        <v>53</v>
      </c>
      <c r="F1414" t="s">
        <v>114</v>
      </c>
      <c r="G1414">
        <v>122639</v>
      </c>
      <c r="H1414" s="75">
        <v>40321</v>
      </c>
      <c r="I1414" t="s">
        <v>115</v>
      </c>
      <c r="J1414">
        <v>5000</v>
      </c>
      <c r="K1414">
        <v>242.68799999999999</v>
      </c>
      <c r="L1414">
        <v>20.602599999999999</v>
      </c>
      <c r="M1414">
        <v>442.23700000000002</v>
      </c>
      <c r="N1414" t="s">
        <v>15</v>
      </c>
    </row>
    <row r="1415" spans="1:15" x14ac:dyDescent="0.2">
      <c r="A1415" t="s">
        <v>119</v>
      </c>
      <c r="B1415" t="s">
        <v>131</v>
      </c>
      <c r="C1415" t="s">
        <v>130</v>
      </c>
      <c r="D1415" t="s">
        <v>121</v>
      </c>
      <c r="E1415" t="s">
        <v>53</v>
      </c>
      <c r="F1415" t="s">
        <v>114</v>
      </c>
      <c r="G1415">
        <v>122639</v>
      </c>
      <c r="H1415" s="75">
        <v>40321</v>
      </c>
      <c r="I1415" t="s">
        <v>118</v>
      </c>
      <c r="J1415">
        <v>221.12</v>
      </c>
      <c r="K1415">
        <v>0</v>
      </c>
      <c r="M1415">
        <v>442.23700000000002</v>
      </c>
      <c r="N1415" t="s">
        <v>19</v>
      </c>
      <c r="O1415">
        <v>221.12</v>
      </c>
    </row>
    <row r="1416" spans="1:15" x14ac:dyDescent="0.2">
      <c r="A1416" t="s">
        <v>119</v>
      </c>
      <c r="B1416" t="s">
        <v>131</v>
      </c>
      <c r="C1416" t="s">
        <v>130</v>
      </c>
      <c r="D1416" t="s">
        <v>121</v>
      </c>
      <c r="E1416" t="s">
        <v>53</v>
      </c>
      <c r="F1416" t="s">
        <v>114</v>
      </c>
      <c r="G1416">
        <v>122639</v>
      </c>
      <c r="H1416" s="75">
        <v>40351</v>
      </c>
      <c r="I1416" t="s">
        <v>115</v>
      </c>
      <c r="J1416">
        <v>5000</v>
      </c>
      <c r="K1416">
        <v>242.239</v>
      </c>
      <c r="L1416">
        <v>20.640799999999999</v>
      </c>
      <c r="M1416">
        <v>684.476</v>
      </c>
      <c r="N1416" t="s">
        <v>15</v>
      </c>
    </row>
    <row r="1417" spans="1:15" x14ac:dyDescent="0.2">
      <c r="A1417" t="s">
        <v>119</v>
      </c>
      <c r="B1417" t="s">
        <v>131</v>
      </c>
      <c r="C1417" t="s">
        <v>130</v>
      </c>
      <c r="D1417" t="s">
        <v>121</v>
      </c>
      <c r="E1417" t="s">
        <v>53</v>
      </c>
      <c r="F1417" t="s">
        <v>114</v>
      </c>
      <c r="G1417">
        <v>122639</v>
      </c>
      <c r="H1417" s="75">
        <v>40381</v>
      </c>
      <c r="I1417" t="s">
        <v>115</v>
      </c>
      <c r="J1417">
        <v>5000</v>
      </c>
      <c r="K1417">
        <v>237.626</v>
      </c>
      <c r="L1417">
        <v>21.041499999999999</v>
      </c>
      <c r="M1417">
        <v>922.10199999999998</v>
      </c>
      <c r="N1417" t="s">
        <v>15</v>
      </c>
    </row>
    <row r="1418" spans="1:15" x14ac:dyDescent="0.2">
      <c r="A1418" t="s">
        <v>119</v>
      </c>
      <c r="B1418" t="s">
        <v>131</v>
      </c>
      <c r="C1418" t="s">
        <v>130</v>
      </c>
      <c r="D1418" t="s">
        <v>121</v>
      </c>
      <c r="E1418" t="s">
        <v>53</v>
      </c>
      <c r="F1418" t="s">
        <v>114</v>
      </c>
      <c r="G1418">
        <v>122639</v>
      </c>
      <c r="H1418" s="75">
        <v>40381</v>
      </c>
      <c r="I1418" t="s">
        <v>117</v>
      </c>
      <c r="J1418">
        <v>2.5</v>
      </c>
      <c r="K1418">
        <v>0</v>
      </c>
      <c r="M1418">
        <v>922.10199999999998</v>
      </c>
      <c r="N1418" t="s">
        <v>46</v>
      </c>
    </row>
    <row r="1419" spans="1:15" x14ac:dyDescent="0.2">
      <c r="A1419" t="s">
        <v>119</v>
      </c>
      <c r="B1419" t="s">
        <v>131</v>
      </c>
      <c r="C1419" t="s">
        <v>130</v>
      </c>
      <c r="D1419" t="s">
        <v>121</v>
      </c>
      <c r="E1419" t="s">
        <v>53</v>
      </c>
      <c r="F1419" t="s">
        <v>114</v>
      </c>
      <c r="G1419">
        <v>122639</v>
      </c>
      <c r="H1419" s="75">
        <v>40411</v>
      </c>
      <c r="I1419" t="s">
        <v>115</v>
      </c>
      <c r="J1419">
        <v>5000</v>
      </c>
      <c r="K1419">
        <v>234.31700000000001</v>
      </c>
      <c r="L1419">
        <v>21.338699999999999</v>
      </c>
      <c r="M1419">
        <v>1156.4179999999999</v>
      </c>
      <c r="N1419" t="s">
        <v>15</v>
      </c>
    </row>
    <row r="1420" spans="1:15" x14ac:dyDescent="0.2">
      <c r="A1420" t="s">
        <v>119</v>
      </c>
      <c r="B1420" t="s">
        <v>131</v>
      </c>
      <c r="C1420" t="s">
        <v>130</v>
      </c>
      <c r="D1420" t="s">
        <v>121</v>
      </c>
      <c r="E1420" t="s">
        <v>53</v>
      </c>
      <c r="F1420" t="s">
        <v>114</v>
      </c>
      <c r="G1420">
        <v>122639</v>
      </c>
      <c r="H1420" s="75">
        <v>40441</v>
      </c>
      <c r="I1420" t="s">
        <v>115</v>
      </c>
      <c r="J1420">
        <v>5000</v>
      </c>
      <c r="K1420">
        <v>231.87799999999999</v>
      </c>
      <c r="L1420">
        <v>21.563099999999999</v>
      </c>
      <c r="M1420">
        <v>1388.296</v>
      </c>
      <c r="N1420" t="s">
        <v>15</v>
      </c>
    </row>
    <row r="1421" spans="1:15" x14ac:dyDescent="0.2">
      <c r="A1421" t="s">
        <v>119</v>
      </c>
      <c r="B1421" t="s">
        <v>131</v>
      </c>
      <c r="C1421" t="s">
        <v>130</v>
      </c>
      <c r="D1421" t="s">
        <v>121</v>
      </c>
      <c r="E1421" t="s">
        <v>53</v>
      </c>
      <c r="F1421" t="s">
        <v>114</v>
      </c>
      <c r="G1421">
        <v>122639</v>
      </c>
      <c r="H1421" s="75">
        <v>40471</v>
      </c>
      <c r="I1421" t="s">
        <v>115</v>
      </c>
      <c r="J1421">
        <v>5000</v>
      </c>
      <c r="K1421">
        <v>235.773</v>
      </c>
      <c r="L1421">
        <v>21.206800000000001</v>
      </c>
      <c r="M1421">
        <v>1624.069</v>
      </c>
      <c r="N1421" t="s">
        <v>15</v>
      </c>
    </row>
    <row r="1422" spans="1:15" x14ac:dyDescent="0.2">
      <c r="A1422" t="s">
        <v>119</v>
      </c>
      <c r="B1422" t="s">
        <v>131</v>
      </c>
      <c r="C1422" t="s">
        <v>130</v>
      </c>
      <c r="D1422" t="s">
        <v>121</v>
      </c>
      <c r="E1422" t="s">
        <v>53</v>
      </c>
      <c r="F1422" t="s">
        <v>114</v>
      </c>
      <c r="G1422">
        <v>122639</v>
      </c>
      <c r="H1422" s="75">
        <v>40471</v>
      </c>
      <c r="I1422" t="s">
        <v>117</v>
      </c>
      <c r="J1422">
        <v>2.5</v>
      </c>
      <c r="K1422">
        <v>0</v>
      </c>
      <c r="M1422">
        <v>1624.069</v>
      </c>
      <c r="N1422" t="s">
        <v>46</v>
      </c>
    </row>
    <row r="1423" spans="1:15" x14ac:dyDescent="0.2">
      <c r="A1423" t="s">
        <v>119</v>
      </c>
      <c r="B1423" t="s">
        <v>131</v>
      </c>
      <c r="C1423" t="s">
        <v>130</v>
      </c>
      <c r="D1423" t="s">
        <v>121</v>
      </c>
      <c r="E1423" t="s">
        <v>53</v>
      </c>
      <c r="F1423" t="s">
        <v>114</v>
      </c>
      <c r="G1423">
        <v>122639</v>
      </c>
      <c r="H1423" s="75">
        <v>40501</v>
      </c>
      <c r="I1423" t="s">
        <v>115</v>
      </c>
      <c r="J1423">
        <v>5000</v>
      </c>
      <c r="K1423">
        <v>230.62299999999999</v>
      </c>
      <c r="L1423">
        <v>21.680399999999999</v>
      </c>
      <c r="M1423">
        <v>1854.693</v>
      </c>
      <c r="N1423" t="s">
        <v>15</v>
      </c>
    </row>
    <row r="1424" spans="1:15" x14ac:dyDescent="0.2">
      <c r="A1424" t="s">
        <v>119</v>
      </c>
      <c r="B1424" t="s">
        <v>131</v>
      </c>
      <c r="C1424" t="s">
        <v>130</v>
      </c>
      <c r="D1424" t="s">
        <v>121</v>
      </c>
      <c r="E1424" t="s">
        <v>53</v>
      </c>
      <c r="F1424" t="s">
        <v>114</v>
      </c>
      <c r="G1424">
        <v>122639</v>
      </c>
      <c r="H1424" s="75">
        <v>40531</v>
      </c>
      <c r="I1424" t="s">
        <v>115</v>
      </c>
      <c r="J1424">
        <v>5000</v>
      </c>
      <c r="K1424">
        <v>232.69</v>
      </c>
      <c r="L1424">
        <v>21.4879</v>
      </c>
      <c r="M1424">
        <v>2087.3820000000001</v>
      </c>
      <c r="N1424" t="s">
        <v>15</v>
      </c>
    </row>
    <row r="1425" spans="1:14" x14ac:dyDescent="0.2">
      <c r="A1425" t="s">
        <v>119</v>
      </c>
      <c r="B1425" t="s">
        <v>131</v>
      </c>
      <c r="C1425" t="s">
        <v>130</v>
      </c>
      <c r="D1425" t="s">
        <v>121</v>
      </c>
      <c r="E1425" t="s">
        <v>53</v>
      </c>
      <c r="F1425" t="s">
        <v>114</v>
      </c>
      <c r="G1425">
        <v>122639</v>
      </c>
      <c r="H1425" s="75">
        <v>40561</v>
      </c>
      <c r="I1425" t="s">
        <v>115</v>
      </c>
      <c r="J1425">
        <v>5000</v>
      </c>
      <c r="K1425">
        <v>236.291</v>
      </c>
      <c r="L1425">
        <v>21.160299999999999</v>
      </c>
      <c r="M1425">
        <v>2323.6729999999998</v>
      </c>
      <c r="N1425" t="s">
        <v>15</v>
      </c>
    </row>
    <row r="1426" spans="1:14" x14ac:dyDescent="0.2">
      <c r="A1426" t="s">
        <v>119</v>
      </c>
      <c r="B1426" t="s">
        <v>131</v>
      </c>
      <c r="C1426" t="s">
        <v>130</v>
      </c>
      <c r="D1426" t="s">
        <v>121</v>
      </c>
      <c r="E1426" t="s">
        <v>53</v>
      </c>
      <c r="F1426" t="s">
        <v>114</v>
      </c>
      <c r="G1426">
        <v>122639</v>
      </c>
      <c r="H1426" s="75">
        <v>40591</v>
      </c>
      <c r="I1426" t="s">
        <v>115</v>
      </c>
      <c r="J1426">
        <v>5000</v>
      </c>
      <c r="K1426">
        <v>237.58799999999999</v>
      </c>
      <c r="L1426">
        <v>21.044799999999999</v>
      </c>
      <c r="M1426">
        <v>2561.261</v>
      </c>
      <c r="N1426" t="s">
        <v>15</v>
      </c>
    </row>
    <row r="1427" spans="1:14" x14ac:dyDescent="0.2">
      <c r="A1427" t="s">
        <v>119</v>
      </c>
      <c r="B1427" t="s">
        <v>131</v>
      </c>
      <c r="C1427" t="s">
        <v>130</v>
      </c>
      <c r="D1427" t="s">
        <v>121</v>
      </c>
      <c r="E1427" t="s">
        <v>53</v>
      </c>
      <c r="F1427" t="s">
        <v>114</v>
      </c>
      <c r="G1427">
        <v>122639</v>
      </c>
      <c r="H1427" s="75">
        <v>40591</v>
      </c>
      <c r="I1427" t="s">
        <v>25</v>
      </c>
      <c r="J1427">
        <v>-10780.26</v>
      </c>
      <c r="K1427">
        <v>-512.25199999999995</v>
      </c>
      <c r="L1427">
        <v>21.044799999999999</v>
      </c>
      <c r="M1427">
        <v>2049.009</v>
      </c>
      <c r="N1427" t="s">
        <v>16</v>
      </c>
    </row>
    <row r="1428" spans="1:14" x14ac:dyDescent="0.2">
      <c r="A1428" t="s">
        <v>119</v>
      </c>
      <c r="B1428" t="s">
        <v>131</v>
      </c>
      <c r="C1428" t="s">
        <v>130</v>
      </c>
      <c r="D1428" t="s">
        <v>121</v>
      </c>
      <c r="E1428" t="s">
        <v>53</v>
      </c>
      <c r="F1428" t="s">
        <v>114</v>
      </c>
      <c r="G1428">
        <v>122639</v>
      </c>
      <c r="H1428" s="75">
        <v>40621</v>
      </c>
      <c r="I1428" t="s">
        <v>115</v>
      </c>
      <c r="J1428">
        <v>5000</v>
      </c>
      <c r="K1428">
        <v>235.542</v>
      </c>
      <c r="L1428">
        <v>21.227599999999999</v>
      </c>
      <c r="M1428">
        <v>2284.5509999999999</v>
      </c>
      <c r="N1428" t="s">
        <v>15</v>
      </c>
    </row>
    <row r="1429" spans="1:14" x14ac:dyDescent="0.2">
      <c r="A1429" t="s">
        <v>119</v>
      </c>
      <c r="B1429" t="s">
        <v>131</v>
      </c>
      <c r="C1429" t="s">
        <v>130</v>
      </c>
      <c r="D1429" t="s">
        <v>121</v>
      </c>
      <c r="E1429" t="s">
        <v>53</v>
      </c>
      <c r="F1429" t="s">
        <v>114</v>
      </c>
      <c r="G1429">
        <v>122639</v>
      </c>
      <c r="H1429" s="75">
        <v>40621</v>
      </c>
      <c r="I1429" t="s">
        <v>117</v>
      </c>
      <c r="J1429">
        <v>2.5</v>
      </c>
      <c r="K1429">
        <v>0</v>
      </c>
      <c r="M1429">
        <v>2284.5509999999999</v>
      </c>
      <c r="N1429" t="s">
        <v>46</v>
      </c>
    </row>
    <row r="1430" spans="1:14" x14ac:dyDescent="0.2">
      <c r="A1430" t="s">
        <v>119</v>
      </c>
      <c r="B1430" t="s">
        <v>131</v>
      </c>
      <c r="C1430" t="s">
        <v>130</v>
      </c>
      <c r="D1430" t="s">
        <v>121</v>
      </c>
      <c r="E1430" t="s">
        <v>53</v>
      </c>
      <c r="F1430" t="s">
        <v>114</v>
      </c>
      <c r="G1430">
        <v>122639</v>
      </c>
      <c r="H1430" s="75">
        <v>40651</v>
      </c>
      <c r="I1430" t="s">
        <v>115</v>
      </c>
      <c r="J1430">
        <v>5000</v>
      </c>
      <c r="K1430">
        <v>234.15199999999999</v>
      </c>
      <c r="L1430">
        <v>21.3537</v>
      </c>
      <c r="M1430">
        <v>2518.703</v>
      </c>
      <c r="N1430" t="s">
        <v>15</v>
      </c>
    </row>
    <row r="1431" spans="1:14" x14ac:dyDescent="0.2">
      <c r="A1431" t="s">
        <v>119</v>
      </c>
      <c r="B1431" t="s">
        <v>131</v>
      </c>
      <c r="C1431" t="s">
        <v>130</v>
      </c>
      <c r="D1431" t="s">
        <v>121</v>
      </c>
      <c r="E1431" t="s">
        <v>53</v>
      </c>
      <c r="F1431" t="s">
        <v>114</v>
      </c>
      <c r="G1431">
        <v>122639</v>
      </c>
      <c r="H1431" s="75">
        <v>40651</v>
      </c>
      <c r="I1431" t="s">
        <v>117</v>
      </c>
      <c r="J1431">
        <v>2.5</v>
      </c>
      <c r="K1431">
        <v>0</v>
      </c>
      <c r="M1431">
        <v>2518.703</v>
      </c>
      <c r="N1431" t="s">
        <v>46</v>
      </c>
    </row>
    <row r="1432" spans="1:14" x14ac:dyDescent="0.2">
      <c r="A1432" t="s">
        <v>119</v>
      </c>
      <c r="B1432" t="s">
        <v>131</v>
      </c>
      <c r="C1432" t="s">
        <v>130</v>
      </c>
      <c r="D1432" t="s">
        <v>121</v>
      </c>
      <c r="E1432" t="s">
        <v>53</v>
      </c>
      <c r="F1432" t="s">
        <v>114</v>
      </c>
      <c r="G1432">
        <v>122639</v>
      </c>
      <c r="H1432" s="75">
        <v>40681</v>
      </c>
      <c r="I1432" t="s">
        <v>115</v>
      </c>
      <c r="J1432">
        <v>5000</v>
      </c>
      <c r="K1432">
        <v>229.67599999999999</v>
      </c>
      <c r="L1432">
        <v>21.7698</v>
      </c>
      <c r="M1432">
        <v>2748.3780000000002</v>
      </c>
      <c r="N1432" t="s">
        <v>15</v>
      </c>
    </row>
    <row r="1433" spans="1:14" x14ac:dyDescent="0.2">
      <c r="A1433" t="s">
        <v>119</v>
      </c>
      <c r="B1433" t="s">
        <v>131</v>
      </c>
      <c r="C1433" t="s">
        <v>130</v>
      </c>
      <c r="D1433" t="s">
        <v>121</v>
      </c>
      <c r="E1433" t="s">
        <v>53</v>
      </c>
      <c r="F1433" t="s">
        <v>114</v>
      </c>
      <c r="G1433">
        <v>122639</v>
      </c>
      <c r="H1433" s="75">
        <v>40711</v>
      </c>
      <c r="I1433" t="s">
        <v>115</v>
      </c>
      <c r="J1433">
        <v>5000</v>
      </c>
      <c r="K1433">
        <v>225.93899999999999</v>
      </c>
      <c r="L1433">
        <v>22.129899999999999</v>
      </c>
      <c r="M1433">
        <v>2974.317</v>
      </c>
      <c r="N1433" t="s">
        <v>15</v>
      </c>
    </row>
    <row r="1434" spans="1:14" x14ac:dyDescent="0.2">
      <c r="A1434" t="s">
        <v>119</v>
      </c>
      <c r="B1434" t="s">
        <v>131</v>
      </c>
      <c r="C1434" t="s">
        <v>130</v>
      </c>
      <c r="D1434" t="s">
        <v>121</v>
      </c>
      <c r="E1434" t="s">
        <v>53</v>
      </c>
      <c r="F1434" t="s">
        <v>114</v>
      </c>
      <c r="G1434">
        <v>122639</v>
      </c>
      <c r="H1434" s="75">
        <v>40741</v>
      </c>
      <c r="I1434" t="s">
        <v>115</v>
      </c>
      <c r="J1434">
        <v>5000</v>
      </c>
      <c r="K1434">
        <v>229.77500000000001</v>
      </c>
      <c r="L1434">
        <v>21.760400000000001</v>
      </c>
      <c r="M1434">
        <v>3204.0920000000001</v>
      </c>
      <c r="N1434" t="s">
        <v>15</v>
      </c>
    </row>
    <row r="1435" spans="1:14" x14ac:dyDescent="0.2">
      <c r="A1435" t="s">
        <v>119</v>
      </c>
      <c r="B1435" t="s">
        <v>131</v>
      </c>
      <c r="C1435" t="s">
        <v>130</v>
      </c>
      <c r="D1435" t="s">
        <v>121</v>
      </c>
      <c r="E1435" t="s">
        <v>53</v>
      </c>
      <c r="F1435" t="s">
        <v>114</v>
      </c>
      <c r="G1435">
        <v>122639</v>
      </c>
      <c r="H1435" s="75">
        <v>40741</v>
      </c>
      <c r="I1435" t="s">
        <v>25</v>
      </c>
      <c r="J1435">
        <v>-13944.48</v>
      </c>
      <c r="K1435">
        <v>-640.81799999999998</v>
      </c>
      <c r="L1435">
        <v>21.760400000000001</v>
      </c>
      <c r="M1435">
        <v>2563.2739999999999</v>
      </c>
      <c r="N1435" t="s">
        <v>16</v>
      </c>
    </row>
    <row r="1436" spans="1:14" x14ac:dyDescent="0.2">
      <c r="A1436" t="s">
        <v>119</v>
      </c>
      <c r="B1436" t="s">
        <v>131</v>
      </c>
      <c r="C1436" t="s">
        <v>130</v>
      </c>
      <c r="D1436" t="s">
        <v>121</v>
      </c>
      <c r="E1436" t="s">
        <v>53</v>
      </c>
      <c r="F1436" t="s">
        <v>114</v>
      </c>
      <c r="G1436">
        <v>122639</v>
      </c>
      <c r="H1436" s="75">
        <v>40771</v>
      </c>
      <c r="I1436" t="s">
        <v>115</v>
      </c>
      <c r="J1436">
        <v>5000</v>
      </c>
      <c r="K1436">
        <v>234.25399999999999</v>
      </c>
      <c r="L1436">
        <v>21.3444</v>
      </c>
      <c r="M1436">
        <v>2797.5279999999998</v>
      </c>
      <c r="N1436" t="s">
        <v>15</v>
      </c>
    </row>
    <row r="1437" spans="1:14" x14ac:dyDescent="0.2">
      <c r="A1437" t="s">
        <v>119</v>
      </c>
      <c r="B1437" t="s">
        <v>131</v>
      </c>
      <c r="C1437" t="s">
        <v>130</v>
      </c>
      <c r="D1437" t="s">
        <v>121</v>
      </c>
      <c r="E1437" t="s">
        <v>53</v>
      </c>
      <c r="F1437" t="s">
        <v>114</v>
      </c>
      <c r="G1437">
        <v>122639</v>
      </c>
      <c r="H1437" s="75">
        <v>40801</v>
      </c>
      <c r="I1437" t="s">
        <v>115</v>
      </c>
      <c r="J1437">
        <v>5000</v>
      </c>
      <c r="K1437">
        <v>231.48</v>
      </c>
      <c r="L1437">
        <v>21.600100000000001</v>
      </c>
      <c r="M1437">
        <v>3029.0079999999998</v>
      </c>
      <c r="N1437" t="s">
        <v>15</v>
      </c>
    </row>
    <row r="1438" spans="1:14" x14ac:dyDescent="0.2">
      <c r="A1438" t="s">
        <v>119</v>
      </c>
      <c r="B1438" t="s">
        <v>131</v>
      </c>
      <c r="C1438" t="s">
        <v>130</v>
      </c>
      <c r="D1438" t="s">
        <v>121</v>
      </c>
      <c r="E1438" t="s">
        <v>53</v>
      </c>
      <c r="F1438" t="s">
        <v>114</v>
      </c>
      <c r="G1438">
        <v>122639</v>
      </c>
      <c r="H1438" s="75">
        <v>40831</v>
      </c>
      <c r="I1438" t="s">
        <v>115</v>
      </c>
      <c r="J1438">
        <v>5000</v>
      </c>
      <c r="K1438">
        <v>230.96</v>
      </c>
      <c r="L1438">
        <v>21.648800000000001</v>
      </c>
      <c r="M1438">
        <v>3259.9679999999998</v>
      </c>
      <c r="N1438" t="s">
        <v>15</v>
      </c>
    </row>
    <row r="1439" spans="1:14" x14ac:dyDescent="0.2">
      <c r="A1439" t="s">
        <v>119</v>
      </c>
      <c r="B1439" t="s">
        <v>131</v>
      </c>
      <c r="C1439" t="s">
        <v>130</v>
      </c>
      <c r="D1439" t="s">
        <v>121</v>
      </c>
      <c r="E1439" t="s">
        <v>53</v>
      </c>
      <c r="F1439" t="s">
        <v>114</v>
      </c>
      <c r="G1439">
        <v>122639</v>
      </c>
      <c r="H1439" s="75">
        <v>40861</v>
      </c>
      <c r="I1439" t="s">
        <v>115</v>
      </c>
      <c r="J1439">
        <v>5000</v>
      </c>
      <c r="K1439">
        <v>225.84100000000001</v>
      </c>
      <c r="L1439">
        <v>22.139399999999998</v>
      </c>
      <c r="M1439">
        <v>3485.8090000000002</v>
      </c>
      <c r="N1439" t="s">
        <v>15</v>
      </c>
    </row>
    <row r="1440" spans="1:14" x14ac:dyDescent="0.2">
      <c r="A1440" t="s">
        <v>119</v>
      </c>
      <c r="B1440" t="s">
        <v>131</v>
      </c>
      <c r="C1440" t="s">
        <v>130</v>
      </c>
      <c r="D1440" t="s">
        <v>121</v>
      </c>
      <c r="E1440" t="s">
        <v>53</v>
      </c>
      <c r="F1440" t="s">
        <v>114</v>
      </c>
      <c r="G1440">
        <v>122639</v>
      </c>
      <c r="H1440" s="75">
        <v>40891</v>
      </c>
      <c r="I1440" t="s">
        <v>115</v>
      </c>
      <c r="J1440">
        <v>5000</v>
      </c>
      <c r="K1440">
        <v>224.86699999999999</v>
      </c>
      <c r="L1440">
        <v>22.235399999999998</v>
      </c>
      <c r="M1440">
        <v>3710.6759999999999</v>
      </c>
      <c r="N1440" t="s">
        <v>15</v>
      </c>
    </row>
    <row r="1441" spans="1:14" x14ac:dyDescent="0.2">
      <c r="A1441" t="s">
        <v>119</v>
      </c>
      <c r="B1441" t="s">
        <v>131</v>
      </c>
      <c r="C1441" t="s">
        <v>130</v>
      </c>
      <c r="D1441" t="s">
        <v>121</v>
      </c>
      <c r="E1441" t="s">
        <v>53</v>
      </c>
      <c r="F1441" t="s">
        <v>114</v>
      </c>
      <c r="G1441">
        <v>122639</v>
      </c>
      <c r="H1441" s="75">
        <v>40921</v>
      </c>
      <c r="I1441" t="s">
        <v>115</v>
      </c>
      <c r="J1441">
        <v>5000</v>
      </c>
      <c r="K1441">
        <v>228.256</v>
      </c>
      <c r="L1441">
        <v>21.905200000000001</v>
      </c>
      <c r="M1441">
        <v>3938.9319999999998</v>
      </c>
      <c r="N1441" t="s">
        <v>15</v>
      </c>
    </row>
    <row r="1442" spans="1:14" x14ac:dyDescent="0.2">
      <c r="A1442" t="s">
        <v>119</v>
      </c>
      <c r="B1442" t="s">
        <v>131</v>
      </c>
      <c r="C1442" t="s">
        <v>130</v>
      </c>
      <c r="D1442" t="s">
        <v>121</v>
      </c>
      <c r="E1442" t="s">
        <v>53</v>
      </c>
      <c r="F1442" t="s">
        <v>114</v>
      </c>
      <c r="G1442">
        <v>122639</v>
      </c>
      <c r="H1442" s="75">
        <v>40951</v>
      </c>
      <c r="I1442" t="s">
        <v>115</v>
      </c>
      <c r="J1442">
        <v>5000</v>
      </c>
      <c r="K1442">
        <v>222.29400000000001</v>
      </c>
      <c r="L1442">
        <v>22.492799999999999</v>
      </c>
      <c r="M1442">
        <v>4161.2250000000004</v>
      </c>
      <c r="N1442" t="s">
        <v>15</v>
      </c>
    </row>
    <row r="1443" spans="1:14" x14ac:dyDescent="0.2">
      <c r="A1443" t="s">
        <v>119</v>
      </c>
      <c r="B1443" t="s">
        <v>131</v>
      </c>
      <c r="C1443" t="s">
        <v>130</v>
      </c>
      <c r="D1443" t="s">
        <v>121</v>
      </c>
      <c r="E1443" t="s">
        <v>53</v>
      </c>
      <c r="F1443" t="s">
        <v>114</v>
      </c>
      <c r="G1443">
        <v>122639</v>
      </c>
      <c r="H1443" s="75">
        <v>40981</v>
      </c>
      <c r="I1443" t="s">
        <v>115</v>
      </c>
      <c r="J1443">
        <v>5000</v>
      </c>
      <c r="K1443">
        <v>225.55500000000001</v>
      </c>
      <c r="L1443">
        <v>22.1676</v>
      </c>
      <c r="M1443">
        <v>4386.78</v>
      </c>
      <c r="N1443" t="s">
        <v>15</v>
      </c>
    </row>
    <row r="1444" spans="1:14" x14ac:dyDescent="0.2">
      <c r="A1444" t="s">
        <v>119</v>
      </c>
      <c r="B1444" t="s">
        <v>131</v>
      </c>
      <c r="C1444" t="s">
        <v>130</v>
      </c>
      <c r="D1444" t="s">
        <v>121</v>
      </c>
      <c r="E1444" t="s">
        <v>53</v>
      </c>
      <c r="F1444" t="s">
        <v>114</v>
      </c>
      <c r="G1444">
        <v>122639</v>
      </c>
      <c r="H1444" s="75">
        <v>41011</v>
      </c>
      <c r="I1444" t="s">
        <v>115</v>
      </c>
      <c r="J1444">
        <v>5000</v>
      </c>
      <c r="K1444">
        <v>222.864</v>
      </c>
      <c r="L1444">
        <v>22.435199999999998</v>
      </c>
      <c r="M1444">
        <v>4609.6450000000004</v>
      </c>
      <c r="N1444" t="s">
        <v>15</v>
      </c>
    </row>
    <row r="1445" spans="1:14" x14ac:dyDescent="0.2">
      <c r="A1445" t="s">
        <v>119</v>
      </c>
      <c r="B1445" t="s">
        <v>131</v>
      </c>
      <c r="C1445" t="s">
        <v>130</v>
      </c>
      <c r="D1445" t="s">
        <v>121</v>
      </c>
      <c r="E1445" t="s">
        <v>53</v>
      </c>
      <c r="F1445" t="s">
        <v>114</v>
      </c>
      <c r="G1445">
        <v>122639</v>
      </c>
      <c r="H1445" s="75">
        <v>41011</v>
      </c>
      <c r="I1445" t="s">
        <v>116</v>
      </c>
      <c r="J1445">
        <v>2.5</v>
      </c>
      <c r="K1445">
        <v>0</v>
      </c>
      <c r="M1445">
        <v>4609.6450000000004</v>
      </c>
      <c r="N1445" t="s">
        <v>17</v>
      </c>
    </row>
    <row r="1446" spans="1:14" x14ac:dyDescent="0.2">
      <c r="A1446" t="s">
        <v>119</v>
      </c>
      <c r="B1446" t="s">
        <v>131</v>
      </c>
      <c r="C1446" t="s">
        <v>130</v>
      </c>
      <c r="D1446" t="s">
        <v>121</v>
      </c>
      <c r="E1446" t="s">
        <v>53</v>
      </c>
      <c r="F1446" t="s">
        <v>114</v>
      </c>
      <c r="G1446">
        <v>122639</v>
      </c>
      <c r="H1446" s="75">
        <v>41041</v>
      </c>
      <c r="I1446" t="s">
        <v>115</v>
      </c>
      <c r="J1446">
        <v>5000</v>
      </c>
      <c r="K1446">
        <v>226.35300000000001</v>
      </c>
      <c r="L1446">
        <v>22.089400000000001</v>
      </c>
      <c r="M1446">
        <v>4835.9979999999996</v>
      </c>
      <c r="N1446" t="s">
        <v>15</v>
      </c>
    </row>
    <row r="1447" spans="1:14" x14ac:dyDescent="0.2">
      <c r="A1447" t="s">
        <v>119</v>
      </c>
      <c r="B1447" t="s">
        <v>131</v>
      </c>
      <c r="C1447" t="s">
        <v>130</v>
      </c>
      <c r="D1447" t="s">
        <v>121</v>
      </c>
      <c r="E1447" t="s">
        <v>53</v>
      </c>
      <c r="F1447" t="s">
        <v>114</v>
      </c>
      <c r="G1447">
        <v>122639</v>
      </c>
      <c r="H1447" s="75">
        <v>41041</v>
      </c>
      <c r="I1447" t="s">
        <v>117</v>
      </c>
      <c r="J1447">
        <v>2.5</v>
      </c>
      <c r="K1447">
        <v>0</v>
      </c>
      <c r="M1447">
        <v>4835.9979999999996</v>
      </c>
      <c r="N1447" t="s">
        <v>46</v>
      </c>
    </row>
    <row r="1448" spans="1:14" x14ac:dyDescent="0.2">
      <c r="A1448" t="s">
        <v>119</v>
      </c>
      <c r="B1448" t="s">
        <v>131</v>
      </c>
      <c r="C1448" t="s">
        <v>130</v>
      </c>
      <c r="D1448" t="s">
        <v>121</v>
      </c>
      <c r="E1448" t="s">
        <v>53</v>
      </c>
      <c r="F1448" t="s">
        <v>114</v>
      </c>
      <c r="G1448">
        <v>122639</v>
      </c>
      <c r="H1448" s="75">
        <v>41071</v>
      </c>
      <c r="I1448" t="s">
        <v>115</v>
      </c>
      <c r="J1448">
        <v>5000</v>
      </c>
      <c r="K1448">
        <v>225.11</v>
      </c>
      <c r="L1448">
        <v>22.211300000000001</v>
      </c>
      <c r="M1448">
        <v>5061.1080000000002</v>
      </c>
      <c r="N1448" t="s">
        <v>15</v>
      </c>
    </row>
    <row r="1449" spans="1:14" x14ac:dyDescent="0.2">
      <c r="A1449" t="s">
        <v>119</v>
      </c>
      <c r="B1449" t="s">
        <v>131</v>
      </c>
      <c r="C1449" t="s">
        <v>130</v>
      </c>
      <c r="D1449" t="s">
        <v>121</v>
      </c>
      <c r="E1449" t="s">
        <v>53</v>
      </c>
      <c r="F1449" t="s">
        <v>114</v>
      </c>
      <c r="G1449">
        <v>122639</v>
      </c>
      <c r="H1449" s="75">
        <v>41101</v>
      </c>
      <c r="I1449" t="s">
        <v>115</v>
      </c>
      <c r="J1449">
        <v>5000</v>
      </c>
      <c r="K1449">
        <v>219.21100000000001</v>
      </c>
      <c r="L1449">
        <v>22.809000000000001</v>
      </c>
      <c r="M1449">
        <v>5280.32</v>
      </c>
      <c r="N1449" t="s">
        <v>15</v>
      </c>
    </row>
    <row r="1450" spans="1:14" x14ac:dyDescent="0.2">
      <c r="A1450" t="s">
        <v>119</v>
      </c>
      <c r="B1450" t="s">
        <v>131</v>
      </c>
      <c r="C1450" t="s">
        <v>130</v>
      </c>
      <c r="D1450" t="s">
        <v>121</v>
      </c>
      <c r="E1450" t="s">
        <v>53</v>
      </c>
      <c r="F1450" t="s">
        <v>114</v>
      </c>
      <c r="G1450">
        <v>122639</v>
      </c>
      <c r="H1450" s="75">
        <v>41101</v>
      </c>
      <c r="I1450" t="s">
        <v>116</v>
      </c>
      <c r="J1450">
        <v>2.5</v>
      </c>
      <c r="K1450">
        <v>0</v>
      </c>
      <c r="M1450">
        <v>5280.32</v>
      </c>
      <c r="N1450" t="s">
        <v>17</v>
      </c>
    </row>
    <row r="1451" spans="1:14" x14ac:dyDescent="0.2">
      <c r="A1451" t="s">
        <v>119</v>
      </c>
      <c r="B1451" t="s">
        <v>131</v>
      </c>
      <c r="C1451" t="s">
        <v>130</v>
      </c>
      <c r="D1451" t="s">
        <v>121</v>
      </c>
      <c r="E1451" t="s">
        <v>53</v>
      </c>
      <c r="F1451" t="s">
        <v>114</v>
      </c>
      <c r="G1451">
        <v>122639</v>
      </c>
      <c r="H1451" s="75">
        <v>41131</v>
      </c>
      <c r="I1451" t="s">
        <v>115</v>
      </c>
      <c r="J1451">
        <v>5000</v>
      </c>
      <c r="K1451">
        <v>221.75200000000001</v>
      </c>
      <c r="L1451">
        <v>22.547699999999999</v>
      </c>
      <c r="M1451">
        <v>5502.0720000000001</v>
      </c>
      <c r="N1451" t="s">
        <v>15</v>
      </c>
    </row>
    <row r="1452" spans="1:14" x14ac:dyDescent="0.2">
      <c r="A1452" t="s">
        <v>119</v>
      </c>
      <c r="B1452" t="s">
        <v>131</v>
      </c>
      <c r="C1452" t="s">
        <v>130</v>
      </c>
      <c r="D1452" t="s">
        <v>121</v>
      </c>
      <c r="E1452" t="s">
        <v>53</v>
      </c>
      <c r="F1452" t="s">
        <v>114</v>
      </c>
      <c r="G1452">
        <v>122639</v>
      </c>
      <c r="H1452" s="75">
        <v>41161</v>
      </c>
      <c r="I1452" t="s">
        <v>115</v>
      </c>
      <c r="J1452">
        <v>5000</v>
      </c>
      <c r="K1452">
        <v>218.91200000000001</v>
      </c>
      <c r="L1452">
        <v>22.840199999999999</v>
      </c>
      <c r="M1452">
        <v>5720.9840000000004</v>
      </c>
      <c r="N1452" t="s">
        <v>15</v>
      </c>
    </row>
    <row r="1453" spans="1:14" x14ac:dyDescent="0.2">
      <c r="A1453" t="s">
        <v>119</v>
      </c>
      <c r="B1453" t="s">
        <v>131</v>
      </c>
      <c r="C1453" t="s">
        <v>130</v>
      </c>
      <c r="D1453" t="s">
        <v>121</v>
      </c>
      <c r="E1453" t="s">
        <v>53</v>
      </c>
      <c r="F1453" t="s">
        <v>114</v>
      </c>
      <c r="G1453">
        <v>122639</v>
      </c>
      <c r="H1453" s="75">
        <v>41161</v>
      </c>
      <c r="I1453" t="s">
        <v>116</v>
      </c>
      <c r="J1453">
        <v>2.5</v>
      </c>
      <c r="K1453">
        <v>0</v>
      </c>
      <c r="M1453">
        <v>5720.9840000000004</v>
      </c>
      <c r="N1453" t="s">
        <v>17</v>
      </c>
    </row>
    <row r="1454" spans="1:14" x14ac:dyDescent="0.2">
      <c r="A1454" t="s">
        <v>119</v>
      </c>
      <c r="B1454" t="s">
        <v>131</v>
      </c>
      <c r="C1454" t="s">
        <v>130</v>
      </c>
      <c r="D1454" t="s">
        <v>121</v>
      </c>
      <c r="E1454" t="s">
        <v>53</v>
      </c>
      <c r="F1454" t="s">
        <v>114</v>
      </c>
      <c r="G1454">
        <v>122639</v>
      </c>
      <c r="H1454" s="75">
        <v>41191</v>
      </c>
      <c r="I1454" t="s">
        <v>115</v>
      </c>
      <c r="J1454">
        <v>5000</v>
      </c>
      <c r="K1454">
        <v>216.37299999999999</v>
      </c>
      <c r="L1454">
        <v>23.1083</v>
      </c>
      <c r="M1454">
        <v>5937.3559999999998</v>
      </c>
      <c r="N1454" t="s">
        <v>15</v>
      </c>
    </row>
    <row r="1455" spans="1:14" x14ac:dyDescent="0.2">
      <c r="A1455" t="s">
        <v>119</v>
      </c>
      <c r="B1455" t="s">
        <v>131</v>
      </c>
      <c r="C1455" t="s">
        <v>130</v>
      </c>
      <c r="D1455" t="s">
        <v>121</v>
      </c>
      <c r="E1455" t="s">
        <v>53</v>
      </c>
      <c r="F1455" t="s">
        <v>114</v>
      </c>
      <c r="G1455">
        <v>122639</v>
      </c>
      <c r="H1455" s="75">
        <v>41221</v>
      </c>
      <c r="I1455" t="s">
        <v>115</v>
      </c>
      <c r="J1455">
        <v>5000</v>
      </c>
      <c r="K1455">
        <v>219.08699999999999</v>
      </c>
      <c r="L1455">
        <v>22.821999999999999</v>
      </c>
      <c r="M1455">
        <v>6156.4430000000002</v>
      </c>
      <c r="N1455" t="s">
        <v>15</v>
      </c>
    </row>
    <row r="1456" spans="1:14" x14ac:dyDescent="0.2">
      <c r="A1456" t="s">
        <v>119</v>
      </c>
      <c r="B1456" t="s">
        <v>131</v>
      </c>
      <c r="C1456" t="s">
        <v>130</v>
      </c>
      <c r="D1456" t="s">
        <v>121</v>
      </c>
      <c r="E1456" t="s">
        <v>53</v>
      </c>
      <c r="F1456" t="s">
        <v>114</v>
      </c>
      <c r="G1456">
        <v>122639</v>
      </c>
      <c r="H1456" s="75">
        <v>41251</v>
      </c>
      <c r="I1456" t="s">
        <v>115</v>
      </c>
      <c r="J1456">
        <v>5000</v>
      </c>
      <c r="K1456">
        <v>222.583</v>
      </c>
      <c r="L1456">
        <v>22.4635</v>
      </c>
      <c r="M1456">
        <v>6379.0259999999998</v>
      </c>
      <c r="N1456" t="s">
        <v>15</v>
      </c>
    </row>
    <row r="1457" spans="1:14" x14ac:dyDescent="0.2">
      <c r="A1457" t="s">
        <v>119</v>
      </c>
      <c r="B1457" t="s">
        <v>131</v>
      </c>
      <c r="C1457" t="s">
        <v>130</v>
      </c>
      <c r="D1457" t="s">
        <v>121</v>
      </c>
      <c r="E1457" t="s">
        <v>53</v>
      </c>
      <c r="F1457" t="s">
        <v>114</v>
      </c>
      <c r="G1457">
        <v>122639</v>
      </c>
      <c r="H1457" s="75">
        <v>41281</v>
      </c>
      <c r="I1457" t="s">
        <v>115</v>
      </c>
      <c r="J1457">
        <v>5000</v>
      </c>
      <c r="K1457">
        <v>216.499</v>
      </c>
      <c r="L1457">
        <v>23.0947</v>
      </c>
      <c r="M1457">
        <v>6595.5249999999996</v>
      </c>
      <c r="N1457" t="s">
        <v>15</v>
      </c>
    </row>
    <row r="1458" spans="1:14" x14ac:dyDescent="0.2">
      <c r="A1458" t="s">
        <v>119</v>
      </c>
      <c r="B1458" t="s">
        <v>131</v>
      </c>
      <c r="C1458" t="s">
        <v>130</v>
      </c>
      <c r="D1458" t="s">
        <v>121</v>
      </c>
      <c r="E1458" t="s">
        <v>53</v>
      </c>
      <c r="F1458" t="s">
        <v>114</v>
      </c>
      <c r="G1458">
        <v>122639</v>
      </c>
      <c r="H1458" s="75">
        <v>41311</v>
      </c>
      <c r="I1458" t="s">
        <v>115</v>
      </c>
      <c r="J1458">
        <v>5000</v>
      </c>
      <c r="K1458">
        <v>217</v>
      </c>
      <c r="L1458">
        <v>23.041499999999999</v>
      </c>
      <c r="M1458">
        <v>6812.5259999999998</v>
      </c>
      <c r="N1458" t="s">
        <v>15</v>
      </c>
    </row>
    <row r="1459" spans="1:14" x14ac:dyDescent="0.2">
      <c r="A1459" t="s">
        <v>119</v>
      </c>
      <c r="B1459" t="s">
        <v>131</v>
      </c>
      <c r="C1459" t="s">
        <v>130</v>
      </c>
      <c r="D1459" t="s">
        <v>121</v>
      </c>
      <c r="E1459" t="s">
        <v>53</v>
      </c>
      <c r="F1459" t="s">
        <v>114</v>
      </c>
      <c r="G1459">
        <v>122639</v>
      </c>
      <c r="H1459" s="75">
        <v>41341</v>
      </c>
      <c r="I1459" t="s">
        <v>115</v>
      </c>
      <c r="J1459">
        <v>5000</v>
      </c>
      <c r="K1459">
        <v>215.13800000000001</v>
      </c>
      <c r="L1459">
        <v>23.2409</v>
      </c>
      <c r="M1459">
        <v>7027.6639999999998</v>
      </c>
      <c r="N1459" t="s">
        <v>15</v>
      </c>
    </row>
    <row r="1460" spans="1:14" x14ac:dyDescent="0.2">
      <c r="A1460" t="s">
        <v>119</v>
      </c>
      <c r="B1460" t="s">
        <v>131</v>
      </c>
      <c r="C1460" t="s">
        <v>130</v>
      </c>
      <c r="D1460" t="s">
        <v>121</v>
      </c>
      <c r="E1460" t="s">
        <v>53</v>
      </c>
      <c r="F1460" t="s">
        <v>114</v>
      </c>
      <c r="G1460">
        <v>122639</v>
      </c>
      <c r="H1460" s="75">
        <v>41341</v>
      </c>
      <c r="I1460" t="s">
        <v>116</v>
      </c>
      <c r="J1460">
        <v>2.5</v>
      </c>
      <c r="K1460">
        <v>0</v>
      </c>
      <c r="M1460">
        <v>7027.6639999999998</v>
      </c>
      <c r="N1460" t="s">
        <v>17</v>
      </c>
    </row>
    <row r="1461" spans="1:14" x14ac:dyDescent="0.2">
      <c r="A1461" t="s">
        <v>119</v>
      </c>
      <c r="B1461" t="s">
        <v>131</v>
      </c>
      <c r="C1461" t="s">
        <v>130</v>
      </c>
      <c r="D1461" t="s">
        <v>121</v>
      </c>
      <c r="E1461" t="s">
        <v>53</v>
      </c>
      <c r="F1461" t="s">
        <v>114</v>
      </c>
      <c r="G1461">
        <v>122639</v>
      </c>
      <c r="H1461" s="75">
        <v>41371</v>
      </c>
      <c r="I1461" t="s">
        <v>115</v>
      </c>
      <c r="J1461">
        <v>5000</v>
      </c>
      <c r="K1461">
        <v>214.01400000000001</v>
      </c>
      <c r="L1461">
        <v>23.3629</v>
      </c>
      <c r="M1461">
        <v>7241.6779999999999</v>
      </c>
      <c r="N1461" t="s">
        <v>15</v>
      </c>
    </row>
    <row r="1462" spans="1:14" x14ac:dyDescent="0.2">
      <c r="A1462" t="s">
        <v>119</v>
      </c>
      <c r="B1462" t="s">
        <v>131</v>
      </c>
      <c r="C1462" t="s">
        <v>130</v>
      </c>
      <c r="D1462" t="s">
        <v>121</v>
      </c>
      <c r="E1462" t="s">
        <v>53</v>
      </c>
      <c r="F1462" t="s">
        <v>114</v>
      </c>
      <c r="G1462">
        <v>122639</v>
      </c>
      <c r="H1462" s="75">
        <v>41401</v>
      </c>
      <c r="I1462" t="s">
        <v>115</v>
      </c>
      <c r="J1462">
        <v>5000</v>
      </c>
      <c r="K1462">
        <v>216.93299999999999</v>
      </c>
      <c r="L1462">
        <v>23.0486</v>
      </c>
      <c r="M1462">
        <v>7458.6109999999999</v>
      </c>
      <c r="N1462" t="s">
        <v>15</v>
      </c>
    </row>
    <row r="1463" spans="1:14" x14ac:dyDescent="0.2">
      <c r="A1463" t="s">
        <v>119</v>
      </c>
      <c r="B1463" t="s">
        <v>131</v>
      </c>
      <c r="C1463" t="s">
        <v>130</v>
      </c>
      <c r="D1463" t="s">
        <v>121</v>
      </c>
      <c r="E1463" t="s">
        <v>53</v>
      </c>
      <c r="F1463" t="s">
        <v>114</v>
      </c>
      <c r="G1463">
        <v>122639</v>
      </c>
      <c r="H1463" s="75">
        <v>41431</v>
      </c>
      <c r="I1463" t="s">
        <v>115</v>
      </c>
      <c r="J1463">
        <v>5000</v>
      </c>
      <c r="K1463">
        <v>211.874</v>
      </c>
      <c r="L1463">
        <v>23.599</v>
      </c>
      <c r="M1463">
        <v>7670.4840000000004</v>
      </c>
      <c r="N1463" t="s">
        <v>15</v>
      </c>
    </row>
    <row r="1464" spans="1:14" x14ac:dyDescent="0.2">
      <c r="A1464" t="s">
        <v>119</v>
      </c>
      <c r="B1464" t="s">
        <v>131</v>
      </c>
      <c r="C1464" t="s">
        <v>130</v>
      </c>
      <c r="D1464" t="s">
        <v>121</v>
      </c>
      <c r="E1464" t="s">
        <v>53</v>
      </c>
      <c r="F1464" t="s">
        <v>114</v>
      </c>
      <c r="G1464">
        <v>122639</v>
      </c>
      <c r="H1464" s="75">
        <v>41461</v>
      </c>
      <c r="I1464" t="s">
        <v>115</v>
      </c>
      <c r="J1464">
        <v>5000</v>
      </c>
      <c r="K1464">
        <v>214.92</v>
      </c>
      <c r="L1464">
        <v>23.264500000000002</v>
      </c>
      <c r="M1464">
        <v>7885.4040000000005</v>
      </c>
      <c r="N1464" t="s">
        <v>15</v>
      </c>
    </row>
    <row r="1465" spans="1:14" x14ac:dyDescent="0.2">
      <c r="A1465" t="s">
        <v>119</v>
      </c>
      <c r="B1465" t="s">
        <v>131</v>
      </c>
      <c r="C1465" t="s">
        <v>130</v>
      </c>
      <c r="D1465" t="s">
        <v>121</v>
      </c>
      <c r="E1465" t="s">
        <v>53</v>
      </c>
      <c r="F1465" t="s">
        <v>114</v>
      </c>
      <c r="G1465">
        <v>122639</v>
      </c>
      <c r="H1465" s="75">
        <v>41491</v>
      </c>
      <c r="I1465" t="s">
        <v>115</v>
      </c>
      <c r="J1465">
        <v>5000</v>
      </c>
      <c r="K1465">
        <v>209.262</v>
      </c>
      <c r="L1465">
        <v>23.8935</v>
      </c>
      <c r="M1465">
        <v>8094.6660000000002</v>
      </c>
      <c r="N1465" t="s">
        <v>15</v>
      </c>
    </row>
    <row r="1466" spans="1:14" x14ac:dyDescent="0.2">
      <c r="A1466" t="s">
        <v>119</v>
      </c>
      <c r="B1466" t="s">
        <v>131</v>
      </c>
      <c r="C1466" t="s">
        <v>130</v>
      </c>
      <c r="D1466" t="s">
        <v>121</v>
      </c>
      <c r="E1466" t="s">
        <v>53</v>
      </c>
      <c r="F1466" t="s">
        <v>114</v>
      </c>
      <c r="G1466">
        <v>122639</v>
      </c>
      <c r="H1466" s="75">
        <v>41521</v>
      </c>
      <c r="I1466" t="s">
        <v>115</v>
      </c>
      <c r="J1466">
        <v>5000</v>
      </c>
      <c r="K1466">
        <v>204.18299999999999</v>
      </c>
      <c r="L1466">
        <v>24.4879</v>
      </c>
      <c r="M1466">
        <v>8298.8490000000002</v>
      </c>
      <c r="N1466" t="s">
        <v>15</v>
      </c>
    </row>
    <row r="1467" spans="1:14" x14ac:dyDescent="0.2">
      <c r="A1467" t="s">
        <v>119</v>
      </c>
      <c r="B1467" t="s">
        <v>131</v>
      </c>
      <c r="C1467" t="s">
        <v>130</v>
      </c>
      <c r="D1467" t="s">
        <v>121</v>
      </c>
      <c r="E1467" t="s">
        <v>53</v>
      </c>
      <c r="F1467" t="s">
        <v>114</v>
      </c>
      <c r="G1467">
        <v>122639</v>
      </c>
      <c r="H1467" s="75">
        <v>41551</v>
      </c>
      <c r="I1467" t="s">
        <v>115</v>
      </c>
      <c r="J1467">
        <v>5000</v>
      </c>
      <c r="K1467">
        <v>199.81100000000001</v>
      </c>
      <c r="L1467">
        <v>25.023700000000002</v>
      </c>
      <c r="M1467">
        <v>8498.66</v>
      </c>
      <c r="N1467" t="s">
        <v>15</v>
      </c>
    </row>
    <row r="1468" spans="1:14" x14ac:dyDescent="0.2">
      <c r="A1468" t="s">
        <v>119</v>
      </c>
      <c r="B1468" t="s">
        <v>131</v>
      </c>
      <c r="C1468" t="s">
        <v>130</v>
      </c>
      <c r="D1468" t="s">
        <v>121</v>
      </c>
      <c r="E1468" t="s">
        <v>53</v>
      </c>
      <c r="F1468" t="s">
        <v>114</v>
      </c>
      <c r="G1468">
        <v>122639</v>
      </c>
      <c r="H1468" s="75">
        <v>41551</v>
      </c>
      <c r="I1468" t="s">
        <v>25</v>
      </c>
      <c r="J1468">
        <v>-42533.5</v>
      </c>
      <c r="K1468">
        <v>-1699.732</v>
      </c>
      <c r="L1468">
        <v>25.023700000000002</v>
      </c>
      <c r="M1468">
        <v>6798.9279999999999</v>
      </c>
      <c r="N1468" t="s">
        <v>16</v>
      </c>
    </row>
    <row r="1469" spans="1:14" x14ac:dyDescent="0.2">
      <c r="A1469" t="s">
        <v>119</v>
      </c>
      <c r="B1469" t="s">
        <v>131</v>
      </c>
      <c r="C1469" t="s">
        <v>130</v>
      </c>
      <c r="D1469" t="s">
        <v>121</v>
      </c>
      <c r="E1469" t="s">
        <v>53</v>
      </c>
      <c r="F1469" t="s">
        <v>114</v>
      </c>
      <c r="G1469">
        <v>122639</v>
      </c>
      <c r="H1469" s="75">
        <v>41581</v>
      </c>
      <c r="I1469" t="s">
        <v>115</v>
      </c>
      <c r="J1469">
        <v>5000</v>
      </c>
      <c r="K1469">
        <v>203.51900000000001</v>
      </c>
      <c r="L1469">
        <v>24.567699999999999</v>
      </c>
      <c r="M1469">
        <v>7002.4470000000001</v>
      </c>
      <c r="N1469" t="s">
        <v>15</v>
      </c>
    </row>
    <row r="1470" spans="1:14" x14ac:dyDescent="0.2">
      <c r="A1470" t="s">
        <v>119</v>
      </c>
      <c r="B1470" t="s">
        <v>131</v>
      </c>
      <c r="C1470" t="s">
        <v>130</v>
      </c>
      <c r="D1470" t="s">
        <v>121</v>
      </c>
      <c r="E1470" t="s">
        <v>53</v>
      </c>
      <c r="F1470" t="s">
        <v>114</v>
      </c>
      <c r="G1470">
        <v>122639</v>
      </c>
      <c r="H1470" s="75">
        <v>41611</v>
      </c>
      <c r="I1470" t="s">
        <v>115</v>
      </c>
      <c r="J1470">
        <v>5000</v>
      </c>
      <c r="K1470">
        <v>199.22900000000001</v>
      </c>
      <c r="L1470">
        <v>25.096699999999998</v>
      </c>
      <c r="M1470">
        <v>7201.6769999999997</v>
      </c>
      <c r="N1470" t="s">
        <v>15</v>
      </c>
    </row>
    <row r="1471" spans="1:14" x14ac:dyDescent="0.2">
      <c r="A1471" t="s">
        <v>119</v>
      </c>
      <c r="B1471" t="s">
        <v>131</v>
      </c>
      <c r="C1471" t="s">
        <v>130</v>
      </c>
      <c r="D1471" t="s">
        <v>121</v>
      </c>
      <c r="E1471" t="s">
        <v>53</v>
      </c>
      <c r="F1471" t="s">
        <v>114</v>
      </c>
      <c r="G1471">
        <v>122639</v>
      </c>
      <c r="H1471" s="75">
        <v>41641</v>
      </c>
      <c r="I1471" t="s">
        <v>115</v>
      </c>
      <c r="J1471">
        <v>5000</v>
      </c>
      <c r="K1471">
        <v>198.291</v>
      </c>
      <c r="L1471">
        <v>25.215499999999999</v>
      </c>
      <c r="M1471">
        <v>7399.9669999999996</v>
      </c>
      <c r="N1471" t="s">
        <v>15</v>
      </c>
    </row>
    <row r="1472" spans="1:14" x14ac:dyDescent="0.2">
      <c r="A1472" t="s">
        <v>119</v>
      </c>
      <c r="B1472" t="s">
        <v>131</v>
      </c>
      <c r="C1472" t="s">
        <v>130</v>
      </c>
      <c r="D1472" t="s">
        <v>121</v>
      </c>
      <c r="E1472" t="s">
        <v>53</v>
      </c>
      <c r="F1472" t="s">
        <v>114</v>
      </c>
      <c r="G1472">
        <v>122639</v>
      </c>
      <c r="H1472" s="75">
        <v>41671</v>
      </c>
      <c r="I1472" t="s">
        <v>115</v>
      </c>
      <c r="J1472">
        <v>5000</v>
      </c>
      <c r="K1472">
        <v>194.423</v>
      </c>
      <c r="L1472">
        <v>25.717199999999998</v>
      </c>
      <c r="M1472">
        <v>7594.39</v>
      </c>
      <c r="N1472" t="s">
        <v>15</v>
      </c>
    </row>
    <row r="1473" spans="1:15" x14ac:dyDescent="0.2">
      <c r="A1473" t="s">
        <v>119</v>
      </c>
      <c r="B1473" t="s">
        <v>131</v>
      </c>
      <c r="C1473" t="s">
        <v>130</v>
      </c>
      <c r="D1473" t="s">
        <v>121</v>
      </c>
      <c r="E1473" t="s">
        <v>53</v>
      </c>
      <c r="F1473" t="s">
        <v>114</v>
      </c>
      <c r="G1473">
        <v>122639</v>
      </c>
      <c r="H1473" s="75">
        <v>41701</v>
      </c>
      <c r="I1473" t="s">
        <v>115</v>
      </c>
      <c r="J1473">
        <v>5000</v>
      </c>
      <c r="K1473">
        <v>195.411</v>
      </c>
      <c r="L1473">
        <v>25.5871</v>
      </c>
      <c r="M1473">
        <v>7789.8010000000004</v>
      </c>
      <c r="N1473" t="s">
        <v>15</v>
      </c>
    </row>
    <row r="1474" spans="1:15" x14ac:dyDescent="0.2">
      <c r="A1474" t="s">
        <v>119</v>
      </c>
      <c r="B1474" t="s">
        <v>131</v>
      </c>
      <c r="C1474" t="s">
        <v>130</v>
      </c>
      <c r="D1474" t="s">
        <v>121</v>
      </c>
      <c r="E1474" t="s">
        <v>53</v>
      </c>
      <c r="F1474" t="s">
        <v>114</v>
      </c>
      <c r="G1474">
        <v>122639</v>
      </c>
      <c r="H1474" s="75">
        <v>41701</v>
      </c>
      <c r="I1474" t="s">
        <v>25</v>
      </c>
      <c r="J1474">
        <v>-39863.69</v>
      </c>
      <c r="K1474">
        <v>-1557.96</v>
      </c>
      <c r="L1474">
        <v>25.5871</v>
      </c>
      <c r="M1474">
        <v>6231.8410000000003</v>
      </c>
      <c r="N1474" t="s">
        <v>16</v>
      </c>
    </row>
    <row r="1475" spans="1:15" x14ac:dyDescent="0.2">
      <c r="A1475" t="s">
        <v>119</v>
      </c>
      <c r="B1475" t="s">
        <v>131</v>
      </c>
      <c r="C1475" t="s">
        <v>130</v>
      </c>
      <c r="D1475" t="s">
        <v>121</v>
      </c>
      <c r="E1475" t="s">
        <v>53</v>
      </c>
      <c r="F1475" t="s">
        <v>114</v>
      </c>
      <c r="G1475">
        <v>122639</v>
      </c>
      <c r="H1475" s="75">
        <v>41731</v>
      </c>
      <c r="I1475" t="s">
        <v>115</v>
      </c>
      <c r="J1475">
        <v>5000</v>
      </c>
      <c r="K1475">
        <v>196.84299999999999</v>
      </c>
      <c r="L1475">
        <v>25.401</v>
      </c>
      <c r="M1475">
        <v>6428.683</v>
      </c>
      <c r="N1475" t="s">
        <v>15</v>
      </c>
    </row>
    <row r="1476" spans="1:15" x14ac:dyDescent="0.2">
      <c r="A1476" t="s">
        <v>119</v>
      </c>
      <c r="B1476" t="s">
        <v>131</v>
      </c>
      <c r="C1476" t="s">
        <v>130</v>
      </c>
      <c r="D1476" t="s">
        <v>121</v>
      </c>
      <c r="E1476" t="s">
        <v>53</v>
      </c>
      <c r="F1476" t="s">
        <v>114</v>
      </c>
      <c r="G1476">
        <v>122639</v>
      </c>
      <c r="H1476" s="75">
        <v>41731</v>
      </c>
      <c r="I1476" t="s">
        <v>118</v>
      </c>
      <c r="J1476">
        <v>3214.34</v>
      </c>
      <c r="K1476">
        <v>0</v>
      </c>
      <c r="M1476">
        <v>6428.683</v>
      </c>
      <c r="N1476" t="s">
        <v>19</v>
      </c>
      <c r="O1476">
        <v>3214.34</v>
      </c>
    </row>
    <row r="1477" spans="1:15" x14ac:dyDescent="0.2">
      <c r="A1477" t="s">
        <v>119</v>
      </c>
      <c r="B1477" t="s">
        <v>131</v>
      </c>
      <c r="C1477" t="s">
        <v>130</v>
      </c>
      <c r="D1477" t="s">
        <v>121</v>
      </c>
      <c r="E1477" t="s">
        <v>53</v>
      </c>
      <c r="F1477" t="s">
        <v>114</v>
      </c>
      <c r="G1477">
        <v>122639</v>
      </c>
      <c r="H1477" s="75">
        <v>41761</v>
      </c>
      <c r="I1477" t="s">
        <v>115</v>
      </c>
      <c r="J1477">
        <v>5000</v>
      </c>
      <c r="K1477">
        <v>197.786</v>
      </c>
      <c r="L1477">
        <v>25.279800000000002</v>
      </c>
      <c r="M1477">
        <v>6626.47</v>
      </c>
      <c r="N1477" t="s">
        <v>15</v>
      </c>
    </row>
    <row r="1478" spans="1:15" x14ac:dyDescent="0.2">
      <c r="A1478" t="s">
        <v>119</v>
      </c>
      <c r="B1478" t="s">
        <v>131</v>
      </c>
      <c r="C1478" t="s">
        <v>130</v>
      </c>
      <c r="D1478" t="s">
        <v>121</v>
      </c>
      <c r="E1478" t="s">
        <v>53</v>
      </c>
      <c r="F1478" t="s">
        <v>114</v>
      </c>
      <c r="G1478">
        <v>122639</v>
      </c>
      <c r="H1478" s="75">
        <v>41791</v>
      </c>
      <c r="I1478" t="s">
        <v>115</v>
      </c>
      <c r="J1478">
        <v>5000</v>
      </c>
      <c r="K1478">
        <v>193.68100000000001</v>
      </c>
      <c r="L1478">
        <v>25.8156</v>
      </c>
      <c r="M1478">
        <v>6820.1509999999998</v>
      </c>
      <c r="N1478" t="s">
        <v>15</v>
      </c>
    </row>
    <row r="1479" spans="1:15" x14ac:dyDescent="0.2">
      <c r="A1479" t="s">
        <v>119</v>
      </c>
      <c r="B1479" t="s">
        <v>131</v>
      </c>
      <c r="C1479" t="s">
        <v>130</v>
      </c>
      <c r="D1479" t="s">
        <v>121</v>
      </c>
      <c r="E1479" t="s">
        <v>53</v>
      </c>
      <c r="F1479" t="s">
        <v>114</v>
      </c>
      <c r="G1479">
        <v>122639</v>
      </c>
      <c r="H1479" s="75">
        <v>41821</v>
      </c>
      <c r="I1479" t="s">
        <v>115</v>
      </c>
      <c r="J1479">
        <v>5000</v>
      </c>
      <c r="K1479">
        <v>192.999</v>
      </c>
      <c r="L1479">
        <v>25.9069</v>
      </c>
      <c r="M1479">
        <v>7013.15</v>
      </c>
      <c r="N1479" t="s">
        <v>15</v>
      </c>
    </row>
    <row r="1480" spans="1:15" x14ac:dyDescent="0.2">
      <c r="A1480" t="s">
        <v>119</v>
      </c>
      <c r="B1480" t="s">
        <v>131</v>
      </c>
      <c r="C1480" t="s">
        <v>130</v>
      </c>
      <c r="D1480" t="s">
        <v>121</v>
      </c>
      <c r="E1480" t="s">
        <v>53</v>
      </c>
      <c r="F1480" t="s">
        <v>114</v>
      </c>
      <c r="G1480">
        <v>122639</v>
      </c>
      <c r="H1480" s="75">
        <v>41821</v>
      </c>
      <c r="I1480" t="s">
        <v>117</v>
      </c>
      <c r="J1480">
        <v>2.5</v>
      </c>
      <c r="K1480">
        <v>0</v>
      </c>
      <c r="M1480">
        <v>7013.15</v>
      </c>
      <c r="N1480" t="s">
        <v>46</v>
      </c>
    </row>
    <row r="1481" spans="1:15" x14ac:dyDescent="0.2">
      <c r="A1481" t="s">
        <v>119</v>
      </c>
      <c r="B1481" t="s">
        <v>131</v>
      </c>
      <c r="C1481" t="s">
        <v>130</v>
      </c>
      <c r="D1481" t="s">
        <v>121</v>
      </c>
      <c r="E1481" t="s">
        <v>53</v>
      </c>
      <c r="F1481" t="s">
        <v>114</v>
      </c>
      <c r="G1481">
        <v>122639</v>
      </c>
      <c r="H1481" s="75">
        <v>41851</v>
      </c>
      <c r="I1481" t="s">
        <v>115</v>
      </c>
      <c r="J1481">
        <v>5000</v>
      </c>
      <c r="K1481">
        <v>187.785</v>
      </c>
      <c r="L1481">
        <v>26.626100000000001</v>
      </c>
      <c r="M1481">
        <v>7200.9350000000004</v>
      </c>
      <c r="N1481" t="s">
        <v>15</v>
      </c>
    </row>
    <row r="1482" spans="1:15" x14ac:dyDescent="0.2">
      <c r="A1482" t="s">
        <v>119</v>
      </c>
      <c r="B1482" t="s">
        <v>131</v>
      </c>
      <c r="C1482" t="s">
        <v>130</v>
      </c>
      <c r="D1482" t="s">
        <v>121</v>
      </c>
      <c r="E1482" t="s">
        <v>53</v>
      </c>
      <c r="F1482" t="s">
        <v>114</v>
      </c>
      <c r="G1482">
        <v>122639</v>
      </c>
      <c r="H1482" s="75">
        <v>41881</v>
      </c>
      <c r="I1482" t="s">
        <v>115</v>
      </c>
      <c r="J1482">
        <v>5000</v>
      </c>
      <c r="K1482">
        <v>184.40600000000001</v>
      </c>
      <c r="L1482">
        <v>27.114100000000001</v>
      </c>
      <c r="M1482">
        <v>7385.3410000000003</v>
      </c>
      <c r="N1482" t="s">
        <v>15</v>
      </c>
    </row>
    <row r="1483" spans="1:15" x14ac:dyDescent="0.2">
      <c r="A1483" t="s">
        <v>119</v>
      </c>
      <c r="B1483" t="s">
        <v>131</v>
      </c>
      <c r="C1483" t="s">
        <v>130</v>
      </c>
      <c r="D1483" t="s">
        <v>121</v>
      </c>
      <c r="E1483" t="s">
        <v>53</v>
      </c>
      <c r="F1483" t="s">
        <v>114</v>
      </c>
      <c r="G1483">
        <v>122639</v>
      </c>
      <c r="H1483" s="75">
        <v>41911</v>
      </c>
      <c r="I1483" t="s">
        <v>115</v>
      </c>
      <c r="J1483">
        <v>5000</v>
      </c>
      <c r="K1483">
        <v>180.12299999999999</v>
      </c>
      <c r="L1483">
        <v>27.758900000000001</v>
      </c>
      <c r="M1483">
        <v>7565.4639999999999</v>
      </c>
      <c r="N1483" t="s">
        <v>15</v>
      </c>
    </row>
    <row r="1484" spans="1:15" x14ac:dyDescent="0.2">
      <c r="A1484" t="s">
        <v>119</v>
      </c>
      <c r="B1484" t="s">
        <v>131</v>
      </c>
      <c r="C1484" t="s">
        <v>130</v>
      </c>
      <c r="D1484" t="s">
        <v>121</v>
      </c>
      <c r="E1484" t="s">
        <v>53</v>
      </c>
      <c r="F1484" t="s">
        <v>114</v>
      </c>
      <c r="G1484">
        <v>122639</v>
      </c>
      <c r="H1484" s="75">
        <v>41911</v>
      </c>
      <c r="I1484" t="s">
        <v>116</v>
      </c>
      <c r="J1484">
        <v>2.5</v>
      </c>
      <c r="K1484">
        <v>0</v>
      </c>
      <c r="M1484">
        <v>7565.4639999999999</v>
      </c>
      <c r="N1484" t="s">
        <v>17</v>
      </c>
    </row>
    <row r="1485" spans="1:15" x14ac:dyDescent="0.2">
      <c r="A1485" t="s">
        <v>119</v>
      </c>
      <c r="B1485" t="s">
        <v>131</v>
      </c>
      <c r="C1485" t="s">
        <v>130</v>
      </c>
      <c r="D1485" t="s">
        <v>121</v>
      </c>
      <c r="E1485" t="s">
        <v>53</v>
      </c>
      <c r="F1485" t="s">
        <v>114</v>
      </c>
      <c r="G1485">
        <v>122639</v>
      </c>
      <c r="H1485" s="75">
        <v>41941</v>
      </c>
      <c r="I1485" t="s">
        <v>115</v>
      </c>
      <c r="J1485">
        <v>5000</v>
      </c>
      <c r="K1485">
        <v>177.84700000000001</v>
      </c>
      <c r="L1485">
        <v>28.114000000000001</v>
      </c>
      <c r="M1485">
        <v>7743.3109999999997</v>
      </c>
      <c r="N1485" t="s">
        <v>15</v>
      </c>
    </row>
    <row r="1486" spans="1:15" x14ac:dyDescent="0.2">
      <c r="A1486" t="s">
        <v>119</v>
      </c>
      <c r="B1486" t="s">
        <v>131</v>
      </c>
      <c r="C1486" t="s">
        <v>130</v>
      </c>
      <c r="D1486" t="s">
        <v>121</v>
      </c>
      <c r="E1486" t="s">
        <v>53</v>
      </c>
      <c r="F1486" t="s">
        <v>114</v>
      </c>
      <c r="G1486">
        <v>122639</v>
      </c>
      <c r="H1486" s="75">
        <v>41971</v>
      </c>
      <c r="I1486" t="s">
        <v>115</v>
      </c>
      <c r="J1486">
        <v>5000</v>
      </c>
      <c r="K1486">
        <v>179.44900000000001</v>
      </c>
      <c r="L1486">
        <v>27.863</v>
      </c>
      <c r="M1486">
        <v>7922.7610000000004</v>
      </c>
      <c r="N1486" t="s">
        <v>15</v>
      </c>
    </row>
    <row r="1487" spans="1:15" x14ac:dyDescent="0.2">
      <c r="A1487" t="s">
        <v>119</v>
      </c>
      <c r="B1487" t="s">
        <v>131</v>
      </c>
      <c r="C1487" t="s">
        <v>130</v>
      </c>
      <c r="D1487" t="s">
        <v>121</v>
      </c>
      <c r="E1487" t="s">
        <v>53</v>
      </c>
      <c r="F1487" t="s">
        <v>114</v>
      </c>
      <c r="G1487">
        <v>122639</v>
      </c>
      <c r="H1487" s="75">
        <v>42001</v>
      </c>
      <c r="I1487" t="s">
        <v>115</v>
      </c>
      <c r="J1487">
        <v>5000</v>
      </c>
      <c r="K1487">
        <v>182.55500000000001</v>
      </c>
      <c r="L1487">
        <v>27.389099999999999</v>
      </c>
      <c r="M1487">
        <v>8105.3149999999996</v>
      </c>
      <c r="N1487" t="s">
        <v>15</v>
      </c>
    </row>
    <row r="1488" spans="1:15" x14ac:dyDescent="0.2">
      <c r="A1488" t="s">
        <v>119</v>
      </c>
      <c r="B1488" t="s">
        <v>131</v>
      </c>
      <c r="C1488" t="s">
        <v>130</v>
      </c>
      <c r="D1488" t="s">
        <v>121</v>
      </c>
      <c r="E1488" t="s">
        <v>53</v>
      </c>
      <c r="F1488" t="s">
        <v>114</v>
      </c>
      <c r="G1488">
        <v>122639</v>
      </c>
      <c r="H1488" s="75">
        <v>42001</v>
      </c>
      <c r="I1488" t="s">
        <v>117</v>
      </c>
      <c r="J1488">
        <v>2.5</v>
      </c>
      <c r="K1488">
        <v>0</v>
      </c>
      <c r="M1488">
        <v>8105.3149999999996</v>
      </c>
      <c r="N1488" t="s">
        <v>46</v>
      </c>
    </row>
    <row r="1489" spans="1:15" x14ac:dyDescent="0.2">
      <c r="A1489" t="s">
        <v>119</v>
      </c>
      <c r="B1489" t="s">
        <v>131</v>
      </c>
      <c r="C1489" t="s">
        <v>130</v>
      </c>
      <c r="D1489" t="s">
        <v>121</v>
      </c>
      <c r="E1489" t="s">
        <v>53</v>
      </c>
      <c r="F1489" t="s">
        <v>114</v>
      </c>
      <c r="G1489">
        <v>122639</v>
      </c>
      <c r="H1489" s="75">
        <v>42031</v>
      </c>
      <c r="I1489" t="s">
        <v>115</v>
      </c>
      <c r="J1489">
        <v>5000</v>
      </c>
      <c r="K1489">
        <v>182.089</v>
      </c>
      <c r="L1489">
        <v>27.459099999999999</v>
      </c>
      <c r="M1489">
        <v>8287.4040000000005</v>
      </c>
      <c r="N1489" t="s">
        <v>15</v>
      </c>
    </row>
    <row r="1490" spans="1:15" x14ac:dyDescent="0.2">
      <c r="A1490" t="s">
        <v>119</v>
      </c>
      <c r="B1490" t="s">
        <v>131</v>
      </c>
      <c r="C1490" t="s">
        <v>130</v>
      </c>
      <c r="D1490" t="s">
        <v>121</v>
      </c>
      <c r="E1490" t="s">
        <v>53</v>
      </c>
      <c r="F1490" t="s">
        <v>114</v>
      </c>
      <c r="G1490">
        <v>122639</v>
      </c>
      <c r="H1490" s="75">
        <v>42061</v>
      </c>
      <c r="I1490" t="s">
        <v>115</v>
      </c>
      <c r="J1490">
        <v>5000</v>
      </c>
      <c r="K1490">
        <v>183.672</v>
      </c>
      <c r="L1490">
        <v>27.2225</v>
      </c>
      <c r="M1490">
        <v>8471.0759999999991</v>
      </c>
      <c r="N1490" t="s">
        <v>15</v>
      </c>
    </row>
    <row r="1491" spans="1:15" x14ac:dyDescent="0.2">
      <c r="A1491" t="s">
        <v>119</v>
      </c>
      <c r="B1491" t="s">
        <v>131</v>
      </c>
      <c r="C1491" t="s">
        <v>130</v>
      </c>
      <c r="D1491" t="s">
        <v>121</v>
      </c>
      <c r="E1491" t="s">
        <v>53</v>
      </c>
      <c r="F1491" t="s">
        <v>114</v>
      </c>
      <c r="G1491">
        <v>122639</v>
      </c>
      <c r="H1491" s="75">
        <v>42091</v>
      </c>
      <c r="I1491" t="s">
        <v>115</v>
      </c>
      <c r="J1491">
        <v>5000</v>
      </c>
      <c r="K1491">
        <v>178.48099999999999</v>
      </c>
      <c r="L1491">
        <v>28.014299999999999</v>
      </c>
      <c r="M1491">
        <v>8649.5570000000007</v>
      </c>
      <c r="N1491" t="s">
        <v>15</v>
      </c>
    </row>
    <row r="1492" spans="1:15" x14ac:dyDescent="0.2">
      <c r="A1492" t="s">
        <v>119</v>
      </c>
      <c r="B1492" t="s">
        <v>131</v>
      </c>
      <c r="C1492" t="s">
        <v>130</v>
      </c>
      <c r="D1492" t="s">
        <v>121</v>
      </c>
      <c r="E1492" t="s">
        <v>53</v>
      </c>
      <c r="F1492" t="s">
        <v>114</v>
      </c>
      <c r="G1492">
        <v>122639</v>
      </c>
      <c r="H1492" s="75">
        <v>42091</v>
      </c>
      <c r="I1492" t="s">
        <v>117</v>
      </c>
      <c r="J1492">
        <v>2.5</v>
      </c>
      <c r="K1492">
        <v>0</v>
      </c>
      <c r="M1492">
        <v>8649.5570000000007</v>
      </c>
      <c r="N1492" t="s">
        <v>46</v>
      </c>
    </row>
    <row r="1493" spans="1:15" x14ac:dyDescent="0.2">
      <c r="A1493" t="s">
        <v>119</v>
      </c>
      <c r="B1493" t="s">
        <v>131</v>
      </c>
      <c r="C1493" t="s">
        <v>130</v>
      </c>
      <c r="D1493" t="s">
        <v>121</v>
      </c>
      <c r="E1493" t="s">
        <v>53</v>
      </c>
      <c r="F1493" t="s">
        <v>114</v>
      </c>
      <c r="G1493">
        <v>122639</v>
      </c>
      <c r="H1493" s="75">
        <v>42121</v>
      </c>
      <c r="I1493" t="s">
        <v>115</v>
      </c>
      <c r="J1493">
        <v>5000</v>
      </c>
      <c r="K1493">
        <v>182.07499999999999</v>
      </c>
      <c r="L1493">
        <v>27.461200000000002</v>
      </c>
      <c r="M1493">
        <v>8831.6319999999996</v>
      </c>
      <c r="N1493" t="s">
        <v>15</v>
      </c>
    </row>
    <row r="1494" spans="1:15" x14ac:dyDescent="0.2">
      <c r="A1494" t="s">
        <v>119</v>
      </c>
      <c r="B1494" t="s">
        <v>131</v>
      </c>
      <c r="C1494" t="s">
        <v>130</v>
      </c>
      <c r="D1494" t="s">
        <v>121</v>
      </c>
      <c r="E1494" t="s">
        <v>53</v>
      </c>
      <c r="F1494" t="s">
        <v>114</v>
      </c>
      <c r="G1494">
        <v>122639</v>
      </c>
      <c r="H1494" s="75">
        <v>42151</v>
      </c>
      <c r="I1494" t="s">
        <v>115</v>
      </c>
      <c r="J1494">
        <v>5000</v>
      </c>
      <c r="K1494">
        <v>177.435</v>
      </c>
      <c r="L1494">
        <v>28.179400000000001</v>
      </c>
      <c r="M1494">
        <v>9009.0660000000007</v>
      </c>
      <c r="N1494" t="s">
        <v>15</v>
      </c>
    </row>
    <row r="1495" spans="1:15" x14ac:dyDescent="0.2">
      <c r="A1495" t="s">
        <v>119</v>
      </c>
      <c r="B1495" t="s">
        <v>131</v>
      </c>
      <c r="C1495" t="s">
        <v>130</v>
      </c>
      <c r="D1495" t="s">
        <v>121</v>
      </c>
      <c r="E1495" t="s">
        <v>53</v>
      </c>
      <c r="F1495" t="s">
        <v>114</v>
      </c>
      <c r="G1495">
        <v>122639</v>
      </c>
      <c r="H1495" s="75">
        <v>42181</v>
      </c>
      <c r="I1495" t="s">
        <v>115</v>
      </c>
      <c r="J1495">
        <v>5000</v>
      </c>
      <c r="K1495">
        <v>172.518</v>
      </c>
      <c r="L1495">
        <v>28.982399999999998</v>
      </c>
      <c r="M1495">
        <v>9181.5840000000007</v>
      </c>
      <c r="N1495" t="s">
        <v>15</v>
      </c>
    </row>
    <row r="1496" spans="1:15" x14ac:dyDescent="0.2">
      <c r="A1496" t="s">
        <v>119</v>
      </c>
      <c r="B1496" t="s">
        <v>131</v>
      </c>
      <c r="C1496" t="s">
        <v>130</v>
      </c>
      <c r="D1496" t="s">
        <v>121</v>
      </c>
      <c r="E1496" t="s">
        <v>53</v>
      </c>
      <c r="F1496" t="s">
        <v>114</v>
      </c>
      <c r="G1496">
        <v>122639</v>
      </c>
      <c r="H1496" s="75">
        <v>42211</v>
      </c>
      <c r="I1496" t="s">
        <v>115</v>
      </c>
      <c r="J1496">
        <v>5000</v>
      </c>
      <c r="K1496">
        <v>168.59800000000001</v>
      </c>
      <c r="L1496">
        <v>29.656300000000002</v>
      </c>
      <c r="M1496">
        <v>9350.1830000000009</v>
      </c>
      <c r="N1496" t="s">
        <v>15</v>
      </c>
    </row>
    <row r="1497" spans="1:15" x14ac:dyDescent="0.2">
      <c r="A1497" t="s">
        <v>119</v>
      </c>
      <c r="B1497" t="s">
        <v>131</v>
      </c>
      <c r="C1497" t="s">
        <v>130</v>
      </c>
      <c r="D1497" t="s">
        <v>121</v>
      </c>
      <c r="E1497" t="s">
        <v>53</v>
      </c>
      <c r="F1497" t="s">
        <v>114</v>
      </c>
      <c r="G1497">
        <v>122639</v>
      </c>
      <c r="H1497" s="75">
        <v>42241</v>
      </c>
      <c r="I1497" t="s">
        <v>115</v>
      </c>
      <c r="J1497">
        <v>5000</v>
      </c>
      <c r="K1497">
        <v>168.87899999999999</v>
      </c>
      <c r="L1497">
        <v>29.607099999999999</v>
      </c>
      <c r="M1497">
        <v>9519.0609999999997</v>
      </c>
      <c r="N1497" t="s">
        <v>15</v>
      </c>
    </row>
    <row r="1498" spans="1:15" x14ac:dyDescent="0.2">
      <c r="A1498" t="s">
        <v>119</v>
      </c>
      <c r="B1498" t="s">
        <v>131</v>
      </c>
      <c r="C1498" t="s">
        <v>130</v>
      </c>
      <c r="D1498" t="s">
        <v>121</v>
      </c>
      <c r="E1498" t="s">
        <v>53</v>
      </c>
      <c r="F1498" t="s">
        <v>114</v>
      </c>
      <c r="G1498">
        <v>122639</v>
      </c>
      <c r="H1498" s="75">
        <v>42271</v>
      </c>
      <c r="I1498" t="s">
        <v>115</v>
      </c>
      <c r="J1498">
        <v>5000</v>
      </c>
      <c r="K1498">
        <v>168.62</v>
      </c>
      <c r="L1498">
        <v>29.6524</v>
      </c>
      <c r="M1498">
        <v>9687.6820000000007</v>
      </c>
      <c r="N1498" t="s">
        <v>15</v>
      </c>
    </row>
    <row r="1499" spans="1:15" x14ac:dyDescent="0.2">
      <c r="A1499" t="s">
        <v>119</v>
      </c>
      <c r="B1499" t="s">
        <v>131</v>
      </c>
      <c r="C1499" t="s">
        <v>130</v>
      </c>
      <c r="D1499" t="s">
        <v>121</v>
      </c>
      <c r="E1499" t="s">
        <v>53</v>
      </c>
      <c r="F1499" t="s">
        <v>114</v>
      </c>
      <c r="G1499">
        <v>122639</v>
      </c>
      <c r="H1499" s="75">
        <v>42301</v>
      </c>
      <c r="I1499" t="s">
        <v>115</v>
      </c>
      <c r="J1499">
        <v>5000</v>
      </c>
      <c r="K1499">
        <v>171.98599999999999</v>
      </c>
      <c r="L1499">
        <v>29.072099999999999</v>
      </c>
      <c r="M1499">
        <v>9859.6679999999997</v>
      </c>
      <c r="N1499" t="s">
        <v>15</v>
      </c>
    </row>
    <row r="1500" spans="1:15" x14ac:dyDescent="0.2">
      <c r="A1500" t="s">
        <v>119</v>
      </c>
      <c r="B1500" t="s">
        <v>131</v>
      </c>
      <c r="C1500" t="s">
        <v>130</v>
      </c>
      <c r="D1500" t="s">
        <v>121</v>
      </c>
      <c r="E1500" t="s">
        <v>53</v>
      </c>
      <c r="F1500" t="s">
        <v>114</v>
      </c>
      <c r="G1500">
        <v>122639</v>
      </c>
      <c r="H1500" s="75">
        <v>42301</v>
      </c>
      <c r="I1500" t="s">
        <v>118</v>
      </c>
      <c r="J1500">
        <v>4929.83</v>
      </c>
      <c r="K1500">
        <v>0</v>
      </c>
      <c r="M1500">
        <v>9859.6679999999997</v>
      </c>
      <c r="N1500" t="s">
        <v>19</v>
      </c>
      <c r="O1500">
        <v>4929.83</v>
      </c>
    </row>
    <row r="1501" spans="1:15" x14ac:dyDescent="0.2">
      <c r="A1501" t="s">
        <v>119</v>
      </c>
      <c r="B1501" t="s">
        <v>131</v>
      </c>
      <c r="C1501" t="s">
        <v>130</v>
      </c>
      <c r="D1501" t="s">
        <v>121</v>
      </c>
      <c r="E1501" t="s">
        <v>53</v>
      </c>
      <c r="F1501" t="s">
        <v>114</v>
      </c>
      <c r="G1501">
        <v>122639</v>
      </c>
      <c r="H1501" s="75">
        <v>42331</v>
      </c>
      <c r="I1501" t="s">
        <v>115</v>
      </c>
      <c r="J1501">
        <v>5000</v>
      </c>
      <c r="K1501">
        <v>168.65299999999999</v>
      </c>
      <c r="L1501">
        <v>29.646699999999999</v>
      </c>
      <c r="M1501">
        <v>10028.321</v>
      </c>
      <c r="N1501" t="s">
        <v>15</v>
      </c>
    </row>
    <row r="1502" spans="1:15" x14ac:dyDescent="0.2">
      <c r="A1502" t="s">
        <v>119</v>
      </c>
      <c r="B1502" t="s">
        <v>131</v>
      </c>
      <c r="C1502" t="s">
        <v>130</v>
      </c>
      <c r="D1502" t="s">
        <v>121</v>
      </c>
      <c r="E1502" t="s">
        <v>53</v>
      </c>
      <c r="F1502" t="s">
        <v>114</v>
      </c>
      <c r="G1502">
        <v>122639</v>
      </c>
      <c r="H1502" s="75">
        <v>42331</v>
      </c>
      <c r="I1502" t="s">
        <v>116</v>
      </c>
      <c r="J1502">
        <v>2.5</v>
      </c>
      <c r="K1502">
        <v>0</v>
      </c>
      <c r="M1502">
        <v>10028.321</v>
      </c>
      <c r="N1502" t="s">
        <v>17</v>
      </c>
    </row>
    <row r="1503" spans="1:15" x14ac:dyDescent="0.2">
      <c r="A1503" t="s">
        <v>119</v>
      </c>
      <c r="B1503" t="s">
        <v>131</v>
      </c>
      <c r="C1503" t="s">
        <v>130</v>
      </c>
      <c r="D1503" t="s">
        <v>121</v>
      </c>
      <c r="E1503" t="s">
        <v>53</v>
      </c>
      <c r="F1503" t="s">
        <v>114</v>
      </c>
      <c r="G1503">
        <v>122639</v>
      </c>
      <c r="H1503" s="75">
        <v>42361</v>
      </c>
      <c r="I1503" t="s">
        <v>115</v>
      </c>
      <c r="J1503">
        <v>5000</v>
      </c>
      <c r="K1503">
        <v>167.72</v>
      </c>
      <c r="L1503">
        <v>29.811699999999998</v>
      </c>
      <c r="M1503">
        <v>10196.040999999999</v>
      </c>
      <c r="N1503" t="s">
        <v>15</v>
      </c>
    </row>
    <row r="1504" spans="1:15" x14ac:dyDescent="0.2">
      <c r="A1504" t="s">
        <v>119</v>
      </c>
      <c r="B1504" t="s">
        <v>131</v>
      </c>
      <c r="C1504" t="s">
        <v>130</v>
      </c>
      <c r="D1504" t="s">
        <v>121</v>
      </c>
      <c r="E1504" t="s">
        <v>53</v>
      </c>
      <c r="F1504" t="s">
        <v>114</v>
      </c>
      <c r="G1504">
        <v>122639</v>
      </c>
      <c r="H1504" s="75">
        <v>42391</v>
      </c>
      <c r="I1504" t="s">
        <v>115</v>
      </c>
      <c r="J1504">
        <v>5000</v>
      </c>
      <c r="K1504">
        <v>164.774</v>
      </c>
      <c r="L1504">
        <v>30.3447</v>
      </c>
      <c r="M1504">
        <v>10360.814</v>
      </c>
      <c r="N1504" t="s">
        <v>15</v>
      </c>
    </row>
    <row r="1505" spans="1:15" x14ac:dyDescent="0.2">
      <c r="A1505" t="s">
        <v>119</v>
      </c>
      <c r="B1505" t="s">
        <v>131</v>
      </c>
      <c r="C1505" t="s">
        <v>130</v>
      </c>
      <c r="D1505" t="s">
        <v>121</v>
      </c>
      <c r="E1505" t="s">
        <v>53</v>
      </c>
      <c r="F1505" t="s">
        <v>114</v>
      </c>
      <c r="G1505">
        <v>122639</v>
      </c>
      <c r="H1505" s="75">
        <v>42421</v>
      </c>
      <c r="I1505" t="s">
        <v>115</v>
      </c>
      <c r="J1505">
        <v>5000</v>
      </c>
      <c r="K1505">
        <v>165.98</v>
      </c>
      <c r="L1505">
        <v>30.124099999999999</v>
      </c>
      <c r="M1505">
        <v>10526.795</v>
      </c>
      <c r="N1505" t="s">
        <v>15</v>
      </c>
    </row>
    <row r="1506" spans="1:15" x14ac:dyDescent="0.2">
      <c r="A1506" t="s">
        <v>119</v>
      </c>
      <c r="B1506" t="s">
        <v>131</v>
      </c>
      <c r="C1506" t="s">
        <v>130</v>
      </c>
      <c r="D1506" t="s">
        <v>121</v>
      </c>
      <c r="E1506" t="s">
        <v>53</v>
      </c>
      <c r="F1506" t="s">
        <v>114</v>
      </c>
      <c r="G1506">
        <v>122639</v>
      </c>
      <c r="H1506" s="75">
        <v>42421</v>
      </c>
      <c r="I1506" t="s">
        <v>116</v>
      </c>
      <c r="J1506">
        <v>2.5</v>
      </c>
      <c r="K1506">
        <v>0</v>
      </c>
      <c r="M1506">
        <v>10526.795</v>
      </c>
      <c r="N1506" t="s">
        <v>17</v>
      </c>
    </row>
    <row r="1507" spans="1:15" x14ac:dyDescent="0.2">
      <c r="A1507" t="s">
        <v>119</v>
      </c>
      <c r="B1507" t="s">
        <v>131</v>
      </c>
      <c r="C1507" t="s">
        <v>130</v>
      </c>
      <c r="D1507" t="s">
        <v>121</v>
      </c>
      <c r="E1507" t="s">
        <v>53</v>
      </c>
      <c r="F1507" t="s">
        <v>114</v>
      </c>
      <c r="G1507">
        <v>122639</v>
      </c>
      <c r="H1507" s="75">
        <v>42451</v>
      </c>
      <c r="I1507" t="s">
        <v>115</v>
      </c>
      <c r="J1507">
        <v>5000</v>
      </c>
      <c r="K1507">
        <v>165.75200000000001</v>
      </c>
      <c r="L1507">
        <v>30.165500000000002</v>
      </c>
      <c r="M1507">
        <v>10692.547</v>
      </c>
      <c r="N1507" t="s">
        <v>15</v>
      </c>
    </row>
    <row r="1508" spans="1:15" x14ac:dyDescent="0.2">
      <c r="A1508" t="s">
        <v>119</v>
      </c>
      <c r="B1508" t="s">
        <v>131</v>
      </c>
      <c r="C1508" t="s">
        <v>130</v>
      </c>
      <c r="D1508" t="s">
        <v>121</v>
      </c>
      <c r="E1508" t="s">
        <v>53</v>
      </c>
      <c r="F1508" t="s">
        <v>114</v>
      </c>
      <c r="G1508">
        <v>122639</v>
      </c>
      <c r="H1508" s="75">
        <v>42451</v>
      </c>
      <c r="I1508" t="s">
        <v>118</v>
      </c>
      <c r="J1508">
        <v>5346.27</v>
      </c>
      <c r="K1508">
        <v>0</v>
      </c>
      <c r="M1508">
        <v>10692.547</v>
      </c>
      <c r="N1508" t="s">
        <v>19</v>
      </c>
      <c r="O1508">
        <v>5346.27</v>
      </c>
    </row>
    <row r="1509" spans="1:15" x14ac:dyDescent="0.2">
      <c r="A1509" t="s">
        <v>119</v>
      </c>
      <c r="B1509" t="s">
        <v>131</v>
      </c>
      <c r="C1509" t="s">
        <v>130</v>
      </c>
      <c r="D1509" t="s">
        <v>121</v>
      </c>
      <c r="E1509" t="s">
        <v>53</v>
      </c>
      <c r="F1509" t="s">
        <v>114</v>
      </c>
      <c r="G1509">
        <v>122639</v>
      </c>
      <c r="H1509" s="75">
        <v>42481</v>
      </c>
      <c r="I1509" t="s">
        <v>115</v>
      </c>
      <c r="J1509">
        <v>5000</v>
      </c>
      <c r="K1509">
        <v>165.86500000000001</v>
      </c>
      <c r="L1509">
        <v>30.1449</v>
      </c>
      <c r="M1509">
        <v>10858.412</v>
      </c>
      <c r="N1509" t="s">
        <v>15</v>
      </c>
    </row>
    <row r="1510" spans="1:15" x14ac:dyDescent="0.2">
      <c r="A1510" t="s">
        <v>119</v>
      </c>
      <c r="B1510" t="s">
        <v>131</v>
      </c>
      <c r="C1510" t="s">
        <v>130</v>
      </c>
      <c r="D1510" t="s">
        <v>121</v>
      </c>
      <c r="E1510" t="s">
        <v>53</v>
      </c>
      <c r="F1510" t="s">
        <v>114</v>
      </c>
      <c r="G1510">
        <v>122639</v>
      </c>
      <c r="H1510" s="75">
        <v>42511</v>
      </c>
      <c r="I1510" t="s">
        <v>115</v>
      </c>
      <c r="J1510">
        <v>5000</v>
      </c>
      <c r="K1510">
        <v>161.65</v>
      </c>
      <c r="L1510">
        <v>30.931000000000001</v>
      </c>
      <c r="M1510">
        <v>11020.063</v>
      </c>
      <c r="N1510" t="s">
        <v>15</v>
      </c>
    </row>
    <row r="1511" spans="1:15" x14ac:dyDescent="0.2">
      <c r="A1511" t="s">
        <v>119</v>
      </c>
      <c r="B1511" t="s">
        <v>131</v>
      </c>
      <c r="C1511" t="s">
        <v>130</v>
      </c>
      <c r="D1511" t="s">
        <v>121</v>
      </c>
      <c r="E1511" t="s">
        <v>53</v>
      </c>
      <c r="F1511" t="s">
        <v>114</v>
      </c>
      <c r="G1511">
        <v>122639</v>
      </c>
      <c r="H1511" s="75">
        <v>42541</v>
      </c>
      <c r="I1511" t="s">
        <v>115</v>
      </c>
      <c r="J1511">
        <v>5000</v>
      </c>
      <c r="K1511">
        <v>164.113</v>
      </c>
      <c r="L1511">
        <v>30.466799999999999</v>
      </c>
      <c r="M1511">
        <v>11184.175999999999</v>
      </c>
      <c r="N1511" t="s">
        <v>15</v>
      </c>
    </row>
    <row r="1512" spans="1:15" x14ac:dyDescent="0.2">
      <c r="A1512" t="s">
        <v>119</v>
      </c>
      <c r="B1512" t="s">
        <v>131</v>
      </c>
      <c r="C1512" t="s">
        <v>130</v>
      </c>
      <c r="D1512" t="s">
        <v>121</v>
      </c>
      <c r="E1512" t="s">
        <v>53</v>
      </c>
      <c r="F1512" t="s">
        <v>114</v>
      </c>
      <c r="G1512">
        <v>122639</v>
      </c>
      <c r="H1512" s="75">
        <v>42571</v>
      </c>
      <c r="I1512" t="s">
        <v>115</v>
      </c>
      <c r="J1512">
        <v>5000</v>
      </c>
      <c r="K1512">
        <v>166.95099999999999</v>
      </c>
      <c r="L1512">
        <v>29.948899999999998</v>
      </c>
      <c r="M1512">
        <v>11351.127</v>
      </c>
      <c r="N1512" t="s">
        <v>15</v>
      </c>
    </row>
    <row r="1513" spans="1:15" x14ac:dyDescent="0.2">
      <c r="A1513" t="s">
        <v>119</v>
      </c>
      <c r="B1513" t="s">
        <v>131</v>
      </c>
      <c r="C1513" t="s">
        <v>130</v>
      </c>
      <c r="D1513" t="s">
        <v>121</v>
      </c>
      <c r="E1513" t="s">
        <v>53</v>
      </c>
      <c r="F1513" t="s">
        <v>114</v>
      </c>
      <c r="G1513">
        <v>122639</v>
      </c>
      <c r="H1513" s="75">
        <v>42571</v>
      </c>
      <c r="I1513" t="s">
        <v>25</v>
      </c>
      <c r="J1513">
        <v>-67990.820000000007</v>
      </c>
      <c r="K1513">
        <v>-2270.2249999999999</v>
      </c>
      <c r="L1513">
        <v>29.948899999999998</v>
      </c>
      <c r="M1513">
        <v>9080.9009999999998</v>
      </c>
      <c r="N1513" t="s">
        <v>16</v>
      </c>
    </row>
    <row r="1514" spans="1:15" x14ac:dyDescent="0.2">
      <c r="A1514" t="s">
        <v>119</v>
      </c>
      <c r="B1514" t="s">
        <v>131</v>
      </c>
      <c r="C1514" t="s">
        <v>130</v>
      </c>
      <c r="D1514" t="s">
        <v>121</v>
      </c>
      <c r="E1514" t="s">
        <v>53</v>
      </c>
      <c r="F1514" t="s">
        <v>114</v>
      </c>
      <c r="G1514">
        <v>122639</v>
      </c>
      <c r="H1514" s="75">
        <v>42601</v>
      </c>
      <c r="I1514" t="s">
        <v>115</v>
      </c>
      <c r="J1514">
        <v>5000</v>
      </c>
      <c r="K1514">
        <v>168.76499999999999</v>
      </c>
      <c r="L1514">
        <v>29.626999999999999</v>
      </c>
      <c r="M1514">
        <v>9249.6659999999993</v>
      </c>
      <c r="N1514" t="s">
        <v>15</v>
      </c>
    </row>
    <row r="1515" spans="1:15" x14ac:dyDescent="0.2">
      <c r="A1515" t="s">
        <v>119</v>
      </c>
      <c r="B1515" t="s">
        <v>131</v>
      </c>
      <c r="C1515" t="s">
        <v>130</v>
      </c>
      <c r="D1515" t="s">
        <v>121</v>
      </c>
      <c r="E1515" t="s">
        <v>53</v>
      </c>
      <c r="F1515" t="s">
        <v>114</v>
      </c>
      <c r="G1515">
        <v>122639</v>
      </c>
      <c r="H1515" s="75">
        <v>42631</v>
      </c>
      <c r="I1515" t="s">
        <v>115</v>
      </c>
      <c r="J1515">
        <v>5000</v>
      </c>
      <c r="K1515">
        <v>165.45099999999999</v>
      </c>
      <c r="L1515">
        <v>30.220400000000001</v>
      </c>
      <c r="M1515">
        <v>9415.1170000000002</v>
      </c>
      <c r="N1515" t="s">
        <v>15</v>
      </c>
    </row>
    <row r="1516" spans="1:15" x14ac:dyDescent="0.2">
      <c r="A1516" t="s">
        <v>119</v>
      </c>
      <c r="B1516" t="s">
        <v>131</v>
      </c>
      <c r="C1516" t="s">
        <v>130</v>
      </c>
      <c r="D1516" t="s">
        <v>121</v>
      </c>
      <c r="E1516" t="s">
        <v>53</v>
      </c>
      <c r="F1516" t="s">
        <v>114</v>
      </c>
      <c r="G1516">
        <v>122639</v>
      </c>
      <c r="H1516" s="75">
        <v>42661</v>
      </c>
      <c r="I1516" t="s">
        <v>115</v>
      </c>
      <c r="J1516">
        <v>5000</v>
      </c>
      <c r="K1516">
        <v>165.39400000000001</v>
      </c>
      <c r="L1516">
        <v>30.230899999999998</v>
      </c>
      <c r="M1516">
        <v>9580.5110000000004</v>
      </c>
      <c r="N1516" t="s">
        <v>15</v>
      </c>
    </row>
    <row r="1517" spans="1:15" x14ac:dyDescent="0.2">
      <c r="A1517" t="s">
        <v>119</v>
      </c>
      <c r="B1517" t="s">
        <v>131</v>
      </c>
      <c r="C1517" t="s">
        <v>130</v>
      </c>
      <c r="D1517" t="s">
        <v>121</v>
      </c>
      <c r="E1517" t="s">
        <v>53</v>
      </c>
      <c r="F1517" t="s">
        <v>114</v>
      </c>
      <c r="G1517">
        <v>122639</v>
      </c>
      <c r="H1517" s="75">
        <v>42691</v>
      </c>
      <c r="I1517" t="s">
        <v>115</v>
      </c>
      <c r="J1517">
        <v>5000</v>
      </c>
      <c r="K1517">
        <v>164.05199999999999</v>
      </c>
      <c r="L1517">
        <v>30.478100000000001</v>
      </c>
      <c r="M1517">
        <v>9744.5630000000001</v>
      </c>
      <c r="N1517" t="s">
        <v>15</v>
      </c>
    </row>
    <row r="1518" spans="1:15" x14ac:dyDescent="0.2">
      <c r="A1518" t="s">
        <v>119</v>
      </c>
      <c r="B1518" t="s">
        <v>131</v>
      </c>
      <c r="C1518" t="s">
        <v>130</v>
      </c>
      <c r="D1518" t="s">
        <v>121</v>
      </c>
      <c r="E1518" t="s">
        <v>53</v>
      </c>
      <c r="F1518" t="s">
        <v>114</v>
      </c>
      <c r="G1518">
        <v>122639</v>
      </c>
      <c r="H1518" s="75">
        <v>42691</v>
      </c>
      <c r="I1518" t="s">
        <v>25</v>
      </c>
      <c r="J1518">
        <v>-59399.1</v>
      </c>
      <c r="K1518">
        <v>-1948.913</v>
      </c>
      <c r="L1518">
        <v>30.478100000000001</v>
      </c>
      <c r="M1518">
        <v>7795.6509999999998</v>
      </c>
      <c r="N1518" t="s">
        <v>16</v>
      </c>
    </row>
    <row r="1519" spans="1:15" x14ac:dyDescent="0.2">
      <c r="A1519" t="s">
        <v>119</v>
      </c>
      <c r="B1519" t="s">
        <v>131</v>
      </c>
      <c r="C1519" t="s">
        <v>130</v>
      </c>
      <c r="D1519" t="s">
        <v>121</v>
      </c>
      <c r="E1519" t="s">
        <v>53</v>
      </c>
      <c r="F1519" t="s">
        <v>114</v>
      </c>
      <c r="G1519">
        <v>122639</v>
      </c>
      <c r="H1519" s="75">
        <v>42721</v>
      </c>
      <c r="I1519" t="s">
        <v>115</v>
      </c>
      <c r="J1519">
        <v>5000</v>
      </c>
      <c r="K1519">
        <v>163.11099999999999</v>
      </c>
      <c r="L1519">
        <v>30.654</v>
      </c>
      <c r="M1519">
        <v>7958.7619999999997</v>
      </c>
      <c r="N1519" t="s">
        <v>15</v>
      </c>
    </row>
    <row r="1520" spans="1:15" x14ac:dyDescent="0.2">
      <c r="A1520" t="s">
        <v>119</v>
      </c>
      <c r="B1520" t="s">
        <v>131</v>
      </c>
      <c r="C1520" t="s">
        <v>130</v>
      </c>
      <c r="D1520" t="s">
        <v>121</v>
      </c>
      <c r="E1520" t="s">
        <v>53</v>
      </c>
      <c r="F1520" t="s">
        <v>114</v>
      </c>
      <c r="G1520">
        <v>122639</v>
      </c>
      <c r="H1520" s="75">
        <v>42751</v>
      </c>
      <c r="I1520" t="s">
        <v>115</v>
      </c>
      <c r="J1520">
        <v>5000</v>
      </c>
      <c r="K1520">
        <v>162.34299999999999</v>
      </c>
      <c r="L1520">
        <v>30.7989</v>
      </c>
      <c r="M1520">
        <v>8121.1049999999996</v>
      </c>
      <c r="N1520" t="s">
        <v>15</v>
      </c>
    </row>
    <row r="1521" spans="1:14" x14ac:dyDescent="0.2">
      <c r="A1521" t="s">
        <v>119</v>
      </c>
      <c r="B1521" t="s">
        <v>131</v>
      </c>
      <c r="C1521" t="s">
        <v>130</v>
      </c>
      <c r="D1521" t="s">
        <v>121</v>
      </c>
      <c r="E1521" t="s">
        <v>53</v>
      </c>
      <c r="F1521" t="s">
        <v>114</v>
      </c>
      <c r="G1521">
        <v>122639</v>
      </c>
      <c r="H1521" s="75">
        <v>42781</v>
      </c>
      <c r="I1521" t="s">
        <v>115</v>
      </c>
      <c r="J1521">
        <v>5000</v>
      </c>
      <c r="K1521">
        <v>162.12200000000001</v>
      </c>
      <c r="L1521">
        <v>30.841000000000001</v>
      </c>
      <c r="M1521">
        <v>8283.2270000000008</v>
      </c>
      <c r="N1521" t="s">
        <v>15</v>
      </c>
    </row>
    <row r="1522" spans="1:14" x14ac:dyDescent="0.2">
      <c r="A1522" t="s">
        <v>119</v>
      </c>
      <c r="B1522" t="s">
        <v>131</v>
      </c>
      <c r="C1522" t="s">
        <v>130</v>
      </c>
      <c r="D1522" t="s">
        <v>121</v>
      </c>
      <c r="E1522" t="s">
        <v>53</v>
      </c>
      <c r="F1522" t="s">
        <v>114</v>
      </c>
      <c r="G1522">
        <v>122639</v>
      </c>
      <c r="H1522" s="75">
        <v>42781</v>
      </c>
      <c r="I1522" t="s">
        <v>117</v>
      </c>
      <c r="J1522">
        <v>2.5</v>
      </c>
      <c r="K1522">
        <v>0</v>
      </c>
      <c r="M1522">
        <v>8283.2270000000008</v>
      </c>
      <c r="N1522" t="s">
        <v>46</v>
      </c>
    </row>
    <row r="1523" spans="1:14" x14ac:dyDescent="0.2">
      <c r="A1523" t="s">
        <v>119</v>
      </c>
      <c r="B1523" t="s">
        <v>131</v>
      </c>
      <c r="C1523" t="s">
        <v>130</v>
      </c>
      <c r="D1523" t="s">
        <v>121</v>
      </c>
      <c r="E1523" t="s">
        <v>53</v>
      </c>
      <c r="F1523" t="s">
        <v>114</v>
      </c>
      <c r="G1523">
        <v>122639</v>
      </c>
      <c r="H1523" s="75">
        <v>42811</v>
      </c>
      <c r="I1523" t="s">
        <v>115</v>
      </c>
      <c r="J1523">
        <v>5000</v>
      </c>
      <c r="K1523">
        <v>159.52799999999999</v>
      </c>
      <c r="L1523">
        <v>31.342400000000001</v>
      </c>
      <c r="M1523">
        <v>8442.7549999999992</v>
      </c>
      <c r="N1523" t="s">
        <v>15</v>
      </c>
    </row>
    <row r="1524" spans="1:14" x14ac:dyDescent="0.2">
      <c r="A1524" t="s">
        <v>119</v>
      </c>
      <c r="B1524" t="s">
        <v>131</v>
      </c>
      <c r="C1524" t="s">
        <v>130</v>
      </c>
      <c r="D1524" t="s">
        <v>121</v>
      </c>
      <c r="E1524" t="s">
        <v>53</v>
      </c>
      <c r="F1524" t="s">
        <v>114</v>
      </c>
      <c r="G1524">
        <v>122639</v>
      </c>
      <c r="H1524" s="75">
        <v>42841</v>
      </c>
      <c r="I1524" t="s">
        <v>115</v>
      </c>
      <c r="J1524">
        <v>5000</v>
      </c>
      <c r="K1524">
        <v>156.29300000000001</v>
      </c>
      <c r="L1524">
        <v>31.991199999999999</v>
      </c>
      <c r="M1524">
        <v>8599.0480000000007</v>
      </c>
      <c r="N1524" t="s">
        <v>15</v>
      </c>
    </row>
    <row r="1525" spans="1:14" x14ac:dyDescent="0.2">
      <c r="A1525" t="s">
        <v>119</v>
      </c>
      <c r="B1525" t="s">
        <v>131</v>
      </c>
      <c r="C1525" t="s">
        <v>130</v>
      </c>
      <c r="D1525" t="s">
        <v>121</v>
      </c>
      <c r="E1525" t="s">
        <v>53</v>
      </c>
      <c r="F1525" t="s">
        <v>114</v>
      </c>
      <c r="G1525">
        <v>122639</v>
      </c>
      <c r="H1525" s="75">
        <v>42841</v>
      </c>
      <c r="I1525" t="s">
        <v>117</v>
      </c>
      <c r="J1525">
        <v>2.5</v>
      </c>
      <c r="K1525">
        <v>0</v>
      </c>
      <c r="M1525">
        <v>8599.0480000000007</v>
      </c>
      <c r="N1525" t="s">
        <v>46</v>
      </c>
    </row>
    <row r="1526" spans="1:14" x14ac:dyDescent="0.2">
      <c r="A1526" t="s">
        <v>119</v>
      </c>
      <c r="B1526" t="s">
        <v>131</v>
      </c>
      <c r="C1526" t="s">
        <v>130</v>
      </c>
      <c r="D1526" t="s">
        <v>121</v>
      </c>
      <c r="E1526" t="s">
        <v>53</v>
      </c>
      <c r="F1526" t="s">
        <v>114</v>
      </c>
      <c r="G1526">
        <v>122639</v>
      </c>
      <c r="H1526" s="75">
        <v>42871</v>
      </c>
      <c r="I1526" t="s">
        <v>115</v>
      </c>
      <c r="J1526">
        <v>5000</v>
      </c>
      <c r="K1526">
        <v>152.678</v>
      </c>
      <c r="L1526">
        <v>32.748600000000003</v>
      </c>
      <c r="M1526">
        <v>8751.7260000000006</v>
      </c>
      <c r="N1526" t="s">
        <v>15</v>
      </c>
    </row>
    <row r="1527" spans="1:14" x14ac:dyDescent="0.2">
      <c r="A1527" t="s">
        <v>119</v>
      </c>
      <c r="B1527" t="s">
        <v>131</v>
      </c>
      <c r="C1527" t="s">
        <v>130</v>
      </c>
      <c r="D1527" t="s">
        <v>121</v>
      </c>
      <c r="E1527" t="s">
        <v>53</v>
      </c>
      <c r="F1527" t="s">
        <v>114</v>
      </c>
      <c r="G1527">
        <v>122639</v>
      </c>
      <c r="H1527" s="75">
        <v>42871</v>
      </c>
      <c r="I1527" t="s">
        <v>25</v>
      </c>
      <c r="J1527">
        <v>-57321.34</v>
      </c>
      <c r="K1527">
        <v>-1750.345</v>
      </c>
      <c r="L1527">
        <v>32.748600000000003</v>
      </c>
      <c r="M1527">
        <v>7001.3810000000003</v>
      </c>
      <c r="N1527" t="s">
        <v>16</v>
      </c>
    </row>
    <row r="1528" spans="1:14" x14ac:dyDescent="0.2">
      <c r="A1528" t="s">
        <v>119</v>
      </c>
      <c r="B1528" t="s">
        <v>131</v>
      </c>
      <c r="C1528" t="s">
        <v>130</v>
      </c>
      <c r="D1528" t="s">
        <v>121</v>
      </c>
      <c r="E1528" t="s">
        <v>53</v>
      </c>
      <c r="F1528" t="s">
        <v>114</v>
      </c>
      <c r="G1528">
        <v>122639</v>
      </c>
      <c r="H1528" s="75">
        <v>42901</v>
      </c>
      <c r="I1528" t="s">
        <v>115</v>
      </c>
      <c r="J1528">
        <v>5000</v>
      </c>
      <c r="K1528">
        <v>151.322</v>
      </c>
      <c r="L1528">
        <v>33.042099999999998</v>
      </c>
      <c r="M1528">
        <v>7152.7030000000004</v>
      </c>
      <c r="N1528" t="s">
        <v>15</v>
      </c>
    </row>
    <row r="1529" spans="1:14" x14ac:dyDescent="0.2">
      <c r="A1529" t="s">
        <v>119</v>
      </c>
      <c r="B1529" t="s">
        <v>131</v>
      </c>
      <c r="C1529" t="s">
        <v>130</v>
      </c>
      <c r="D1529" t="s">
        <v>121</v>
      </c>
      <c r="E1529" t="s">
        <v>53</v>
      </c>
      <c r="F1529" t="s">
        <v>114</v>
      </c>
      <c r="G1529">
        <v>122639</v>
      </c>
      <c r="H1529" s="75">
        <v>42931</v>
      </c>
      <c r="I1529" t="s">
        <v>115</v>
      </c>
      <c r="J1529">
        <v>5000</v>
      </c>
      <c r="K1529">
        <v>152.89099999999999</v>
      </c>
      <c r="L1529">
        <v>32.7029</v>
      </c>
      <c r="M1529">
        <v>7305.5950000000003</v>
      </c>
      <c r="N1529" t="s">
        <v>15</v>
      </c>
    </row>
    <row r="1530" spans="1:14" x14ac:dyDescent="0.2">
      <c r="A1530" t="s">
        <v>119</v>
      </c>
      <c r="B1530" t="s">
        <v>131</v>
      </c>
      <c r="C1530" t="s">
        <v>130</v>
      </c>
      <c r="D1530" t="s">
        <v>121</v>
      </c>
      <c r="E1530" t="s">
        <v>53</v>
      </c>
      <c r="F1530" t="s">
        <v>114</v>
      </c>
      <c r="G1530">
        <v>122639</v>
      </c>
      <c r="H1530" s="75">
        <v>42961</v>
      </c>
      <c r="I1530" t="s">
        <v>115</v>
      </c>
      <c r="J1530">
        <v>5000</v>
      </c>
      <c r="K1530">
        <v>155.721</v>
      </c>
      <c r="L1530">
        <v>32.108699999999999</v>
      </c>
      <c r="M1530">
        <v>7461.3159999999998</v>
      </c>
      <c r="N1530" t="s">
        <v>15</v>
      </c>
    </row>
    <row r="1531" spans="1:14" x14ac:dyDescent="0.2">
      <c r="A1531" t="s">
        <v>119</v>
      </c>
      <c r="B1531" t="s">
        <v>131</v>
      </c>
      <c r="C1531" t="s">
        <v>130</v>
      </c>
      <c r="D1531" t="s">
        <v>121</v>
      </c>
      <c r="E1531" t="s">
        <v>53</v>
      </c>
      <c r="F1531" t="s">
        <v>114</v>
      </c>
      <c r="G1531">
        <v>122639</v>
      </c>
      <c r="H1531" s="75">
        <v>42991</v>
      </c>
      <c r="I1531" t="s">
        <v>115</v>
      </c>
      <c r="J1531">
        <v>5000</v>
      </c>
      <c r="K1531">
        <v>158.30699999999999</v>
      </c>
      <c r="L1531">
        <v>31.584199999999999</v>
      </c>
      <c r="M1531">
        <v>7619.6229999999996</v>
      </c>
      <c r="N1531" t="s">
        <v>15</v>
      </c>
    </row>
    <row r="1532" spans="1:14" x14ac:dyDescent="0.2">
      <c r="A1532" t="s">
        <v>119</v>
      </c>
      <c r="B1532" t="s">
        <v>131</v>
      </c>
      <c r="C1532" t="s">
        <v>130</v>
      </c>
      <c r="D1532" t="s">
        <v>121</v>
      </c>
      <c r="E1532" t="s">
        <v>53</v>
      </c>
      <c r="F1532" t="s">
        <v>114</v>
      </c>
      <c r="G1532">
        <v>122639</v>
      </c>
      <c r="H1532" s="75">
        <v>43021</v>
      </c>
      <c r="I1532" t="s">
        <v>115</v>
      </c>
      <c r="J1532">
        <v>5000</v>
      </c>
      <c r="K1532">
        <v>158.40100000000001</v>
      </c>
      <c r="L1532">
        <v>31.5654</v>
      </c>
      <c r="M1532">
        <v>7778.0240000000003</v>
      </c>
      <c r="N1532" t="s">
        <v>15</v>
      </c>
    </row>
    <row r="1533" spans="1:14" x14ac:dyDescent="0.2">
      <c r="A1533" t="s">
        <v>119</v>
      </c>
      <c r="B1533" t="s">
        <v>131</v>
      </c>
      <c r="C1533" t="s">
        <v>130</v>
      </c>
      <c r="D1533" t="s">
        <v>121</v>
      </c>
      <c r="E1533" t="s">
        <v>53</v>
      </c>
      <c r="F1533" t="s">
        <v>114</v>
      </c>
      <c r="G1533">
        <v>122639</v>
      </c>
      <c r="H1533" s="75">
        <v>43021</v>
      </c>
      <c r="I1533" t="s">
        <v>116</v>
      </c>
      <c r="J1533">
        <v>2.5</v>
      </c>
      <c r="K1533">
        <v>0</v>
      </c>
      <c r="M1533">
        <v>7778.0240000000003</v>
      </c>
      <c r="N1533" t="s">
        <v>17</v>
      </c>
    </row>
    <row r="1534" spans="1:14" x14ac:dyDescent="0.2">
      <c r="A1534" t="s">
        <v>119</v>
      </c>
      <c r="B1534" t="s">
        <v>131</v>
      </c>
      <c r="C1534" t="s">
        <v>130</v>
      </c>
      <c r="D1534" t="s">
        <v>121</v>
      </c>
      <c r="E1534" t="s">
        <v>53</v>
      </c>
      <c r="F1534" t="s">
        <v>114</v>
      </c>
      <c r="G1534">
        <v>122639</v>
      </c>
      <c r="H1534" s="75">
        <v>43051</v>
      </c>
      <c r="I1534" t="s">
        <v>115</v>
      </c>
      <c r="J1534">
        <v>5000</v>
      </c>
      <c r="K1534">
        <v>154.74799999999999</v>
      </c>
      <c r="L1534">
        <v>32.310699999999997</v>
      </c>
      <c r="M1534">
        <v>7932.7719999999999</v>
      </c>
      <c r="N1534" t="s">
        <v>15</v>
      </c>
    </row>
    <row r="1535" spans="1:14" x14ac:dyDescent="0.2">
      <c r="A1535" t="s">
        <v>119</v>
      </c>
      <c r="B1535" t="s">
        <v>131</v>
      </c>
      <c r="C1535" t="s">
        <v>130</v>
      </c>
      <c r="D1535" t="s">
        <v>121</v>
      </c>
      <c r="E1535" t="s">
        <v>53</v>
      </c>
      <c r="F1535" t="s">
        <v>114</v>
      </c>
      <c r="G1535">
        <v>122639</v>
      </c>
      <c r="H1535" s="75">
        <v>43081</v>
      </c>
      <c r="I1535" t="s">
        <v>115</v>
      </c>
      <c r="J1535">
        <v>5000</v>
      </c>
      <c r="K1535">
        <v>150.63900000000001</v>
      </c>
      <c r="L1535">
        <v>33.191899999999997</v>
      </c>
      <c r="M1535">
        <v>8083.4110000000001</v>
      </c>
      <c r="N1535" t="s">
        <v>15</v>
      </c>
    </row>
    <row r="1536" spans="1:14" x14ac:dyDescent="0.2">
      <c r="A1536" t="s">
        <v>119</v>
      </c>
      <c r="B1536" t="s">
        <v>131</v>
      </c>
      <c r="C1536" t="s">
        <v>130</v>
      </c>
      <c r="D1536" t="s">
        <v>121</v>
      </c>
      <c r="E1536" t="s">
        <v>53</v>
      </c>
      <c r="F1536" t="s">
        <v>114</v>
      </c>
      <c r="G1536">
        <v>122639</v>
      </c>
      <c r="H1536" s="75">
        <v>43111</v>
      </c>
      <c r="I1536" t="s">
        <v>115</v>
      </c>
      <c r="J1536">
        <v>5000</v>
      </c>
      <c r="K1536">
        <v>151.01599999999999</v>
      </c>
      <c r="L1536">
        <v>33.109000000000002</v>
      </c>
      <c r="M1536">
        <v>8234.4269999999997</v>
      </c>
      <c r="N1536" t="s">
        <v>15</v>
      </c>
    </row>
    <row r="1537" spans="1:15" x14ac:dyDescent="0.2">
      <c r="A1537" t="s">
        <v>119</v>
      </c>
      <c r="B1537" t="s">
        <v>131</v>
      </c>
      <c r="C1537" t="s">
        <v>130</v>
      </c>
      <c r="D1537" t="s">
        <v>121</v>
      </c>
      <c r="E1537" t="s">
        <v>53</v>
      </c>
      <c r="F1537" t="s">
        <v>114</v>
      </c>
      <c r="G1537">
        <v>122639</v>
      </c>
      <c r="H1537" s="75">
        <v>43141</v>
      </c>
      <c r="I1537" t="s">
        <v>115</v>
      </c>
      <c r="J1537">
        <v>5000</v>
      </c>
      <c r="K1537">
        <v>149.60499999999999</v>
      </c>
      <c r="L1537">
        <v>33.421300000000002</v>
      </c>
      <c r="M1537">
        <v>8384.0319999999992</v>
      </c>
      <c r="N1537" t="s">
        <v>15</v>
      </c>
    </row>
    <row r="1538" spans="1:15" x14ac:dyDescent="0.2">
      <c r="A1538" t="s">
        <v>119</v>
      </c>
      <c r="B1538" t="s">
        <v>131</v>
      </c>
      <c r="C1538" t="s">
        <v>130</v>
      </c>
      <c r="D1538" t="s">
        <v>121</v>
      </c>
      <c r="E1538" t="s">
        <v>53</v>
      </c>
      <c r="F1538" t="s">
        <v>114</v>
      </c>
      <c r="G1538">
        <v>122639</v>
      </c>
      <c r="H1538" s="75">
        <v>43171</v>
      </c>
      <c r="I1538" t="s">
        <v>115</v>
      </c>
      <c r="J1538">
        <v>5000</v>
      </c>
      <c r="K1538">
        <v>146.09899999999999</v>
      </c>
      <c r="L1538">
        <v>34.223399999999998</v>
      </c>
      <c r="M1538">
        <v>8530.1309999999994</v>
      </c>
      <c r="N1538" t="s">
        <v>15</v>
      </c>
    </row>
    <row r="1539" spans="1:15" x14ac:dyDescent="0.2">
      <c r="A1539" t="s">
        <v>119</v>
      </c>
      <c r="B1539" t="s">
        <v>131</v>
      </c>
      <c r="C1539" t="s">
        <v>130</v>
      </c>
      <c r="D1539" t="s">
        <v>121</v>
      </c>
      <c r="E1539" t="s">
        <v>53</v>
      </c>
      <c r="F1539" t="s">
        <v>114</v>
      </c>
      <c r="G1539">
        <v>122639</v>
      </c>
      <c r="H1539" s="75">
        <v>43201</v>
      </c>
      <c r="I1539" t="s">
        <v>115</v>
      </c>
      <c r="J1539">
        <v>5000</v>
      </c>
      <c r="K1539">
        <v>143.13499999999999</v>
      </c>
      <c r="L1539">
        <v>34.932200000000002</v>
      </c>
      <c r="M1539">
        <v>8673.2659999999996</v>
      </c>
      <c r="N1539" t="s">
        <v>15</v>
      </c>
    </row>
    <row r="1540" spans="1:15" x14ac:dyDescent="0.2">
      <c r="A1540" t="s">
        <v>119</v>
      </c>
      <c r="B1540" t="s">
        <v>131</v>
      </c>
      <c r="C1540" t="s">
        <v>130</v>
      </c>
      <c r="D1540" t="s">
        <v>121</v>
      </c>
      <c r="E1540" t="s">
        <v>53</v>
      </c>
      <c r="F1540" t="s">
        <v>114</v>
      </c>
      <c r="G1540">
        <v>122639</v>
      </c>
      <c r="H1540" s="75">
        <v>43201</v>
      </c>
      <c r="I1540" t="s">
        <v>117</v>
      </c>
      <c r="J1540">
        <v>2.5</v>
      </c>
      <c r="K1540">
        <v>0</v>
      </c>
      <c r="M1540">
        <v>8673.2659999999996</v>
      </c>
      <c r="N1540" t="s">
        <v>46</v>
      </c>
    </row>
    <row r="1541" spans="1:15" x14ac:dyDescent="0.2">
      <c r="A1541" t="s">
        <v>119</v>
      </c>
      <c r="B1541" t="s">
        <v>131</v>
      </c>
      <c r="C1541" t="s">
        <v>130</v>
      </c>
      <c r="D1541" t="s">
        <v>121</v>
      </c>
      <c r="E1541" t="s">
        <v>53</v>
      </c>
      <c r="F1541" t="s">
        <v>114</v>
      </c>
      <c r="G1541">
        <v>122639</v>
      </c>
      <c r="H1541" s="75">
        <v>43231</v>
      </c>
      <c r="I1541" t="s">
        <v>115</v>
      </c>
      <c r="J1541">
        <v>5000</v>
      </c>
      <c r="K1541">
        <v>144.959</v>
      </c>
      <c r="L1541">
        <v>34.492600000000003</v>
      </c>
      <c r="M1541">
        <v>8818.2240000000002</v>
      </c>
      <c r="N1541" t="s">
        <v>15</v>
      </c>
    </row>
    <row r="1542" spans="1:15" x14ac:dyDescent="0.2">
      <c r="A1542" t="s">
        <v>119</v>
      </c>
      <c r="B1542" t="s">
        <v>131</v>
      </c>
      <c r="C1542" t="s">
        <v>130</v>
      </c>
      <c r="D1542" t="s">
        <v>121</v>
      </c>
      <c r="E1542" t="s">
        <v>53</v>
      </c>
      <c r="F1542" t="s">
        <v>114</v>
      </c>
      <c r="G1542">
        <v>122639</v>
      </c>
      <c r="H1542" s="75">
        <v>43261</v>
      </c>
      <c r="I1542" t="s">
        <v>115</v>
      </c>
      <c r="J1542">
        <v>5000</v>
      </c>
      <c r="K1542">
        <v>147.917</v>
      </c>
      <c r="L1542">
        <v>33.802799999999998</v>
      </c>
      <c r="M1542">
        <v>8966.1409999999996</v>
      </c>
      <c r="N1542" t="s">
        <v>15</v>
      </c>
    </row>
    <row r="1543" spans="1:15" x14ac:dyDescent="0.2">
      <c r="A1543" t="s">
        <v>119</v>
      </c>
      <c r="B1543" t="s">
        <v>131</v>
      </c>
      <c r="C1543" t="s">
        <v>130</v>
      </c>
      <c r="D1543" t="s">
        <v>121</v>
      </c>
      <c r="E1543" t="s">
        <v>53</v>
      </c>
      <c r="F1543" t="s">
        <v>114</v>
      </c>
      <c r="G1543">
        <v>122639</v>
      </c>
      <c r="H1543" s="75">
        <v>43291</v>
      </c>
      <c r="I1543" t="s">
        <v>115</v>
      </c>
      <c r="J1543">
        <v>5000</v>
      </c>
      <c r="K1543">
        <v>150.477</v>
      </c>
      <c r="L1543">
        <v>33.227600000000002</v>
      </c>
      <c r="M1543">
        <v>9116.6180000000004</v>
      </c>
      <c r="N1543" t="s">
        <v>15</v>
      </c>
    </row>
    <row r="1544" spans="1:15" x14ac:dyDescent="0.2">
      <c r="A1544" t="s">
        <v>119</v>
      </c>
      <c r="B1544" t="s">
        <v>131</v>
      </c>
      <c r="C1544" t="s">
        <v>130</v>
      </c>
      <c r="D1544" t="s">
        <v>121</v>
      </c>
      <c r="E1544" t="s">
        <v>53</v>
      </c>
      <c r="F1544" t="s">
        <v>114</v>
      </c>
      <c r="G1544">
        <v>122639</v>
      </c>
      <c r="H1544" s="75">
        <v>43321</v>
      </c>
      <c r="I1544" t="s">
        <v>115</v>
      </c>
      <c r="J1544">
        <v>5000</v>
      </c>
      <c r="K1544">
        <v>150.72200000000001</v>
      </c>
      <c r="L1544">
        <v>33.173699999999997</v>
      </c>
      <c r="M1544">
        <v>9267.34</v>
      </c>
      <c r="N1544" t="s">
        <v>15</v>
      </c>
    </row>
    <row r="1545" spans="1:15" x14ac:dyDescent="0.2">
      <c r="A1545" t="s">
        <v>119</v>
      </c>
      <c r="B1545" t="s">
        <v>131</v>
      </c>
      <c r="C1545" t="s">
        <v>130</v>
      </c>
      <c r="D1545" t="s">
        <v>121</v>
      </c>
      <c r="E1545" t="s">
        <v>53</v>
      </c>
      <c r="F1545" t="s">
        <v>114</v>
      </c>
      <c r="G1545">
        <v>122639</v>
      </c>
      <c r="H1545" s="75">
        <v>43321</v>
      </c>
      <c r="I1545" t="s">
        <v>117</v>
      </c>
      <c r="J1545">
        <v>2.5</v>
      </c>
      <c r="K1545">
        <v>0</v>
      </c>
      <c r="M1545">
        <v>9267.34</v>
      </c>
      <c r="N1545" t="s">
        <v>46</v>
      </c>
    </row>
    <row r="1546" spans="1:15" x14ac:dyDescent="0.2">
      <c r="A1546" t="s">
        <v>119</v>
      </c>
      <c r="B1546" t="s">
        <v>131</v>
      </c>
      <c r="C1546" t="s">
        <v>130</v>
      </c>
      <c r="D1546" t="s">
        <v>121</v>
      </c>
      <c r="E1546" t="s">
        <v>53</v>
      </c>
      <c r="F1546" t="s">
        <v>114</v>
      </c>
      <c r="G1546">
        <v>122639</v>
      </c>
      <c r="H1546" s="75">
        <v>43351</v>
      </c>
      <c r="I1546" t="s">
        <v>115</v>
      </c>
      <c r="J1546">
        <v>5000</v>
      </c>
      <c r="K1546">
        <v>147.59899999999999</v>
      </c>
      <c r="L1546">
        <v>33.875599999999999</v>
      </c>
      <c r="M1546">
        <v>9414.9390000000003</v>
      </c>
      <c r="N1546" t="s">
        <v>15</v>
      </c>
    </row>
    <row r="1547" spans="1:15" x14ac:dyDescent="0.2">
      <c r="A1547" t="s">
        <v>119</v>
      </c>
      <c r="B1547" t="s">
        <v>131</v>
      </c>
      <c r="C1547" t="s">
        <v>130</v>
      </c>
      <c r="D1547" t="s">
        <v>121</v>
      </c>
      <c r="E1547" t="s">
        <v>53</v>
      </c>
      <c r="F1547" t="s">
        <v>114</v>
      </c>
      <c r="G1547">
        <v>122639</v>
      </c>
      <c r="H1547" s="75">
        <v>43381</v>
      </c>
      <c r="I1547" t="s">
        <v>115</v>
      </c>
      <c r="J1547">
        <v>5000</v>
      </c>
      <c r="K1547">
        <v>150.48699999999999</v>
      </c>
      <c r="L1547">
        <v>33.2254</v>
      </c>
      <c r="M1547">
        <v>9565.4259999999995</v>
      </c>
      <c r="N1547" t="s">
        <v>15</v>
      </c>
    </row>
    <row r="1548" spans="1:15" x14ac:dyDescent="0.2">
      <c r="A1548" t="s">
        <v>119</v>
      </c>
      <c r="B1548" t="s">
        <v>131</v>
      </c>
      <c r="C1548" t="s">
        <v>130</v>
      </c>
      <c r="D1548" t="s">
        <v>121</v>
      </c>
      <c r="E1548" t="s">
        <v>53</v>
      </c>
      <c r="F1548" t="s">
        <v>114</v>
      </c>
      <c r="G1548">
        <v>122639</v>
      </c>
      <c r="H1548" s="75">
        <v>43411</v>
      </c>
      <c r="I1548" t="s">
        <v>115</v>
      </c>
      <c r="J1548">
        <v>5000</v>
      </c>
      <c r="K1548">
        <v>151.928</v>
      </c>
      <c r="L1548">
        <v>32.910400000000003</v>
      </c>
      <c r="M1548">
        <v>9717.3539999999994</v>
      </c>
      <c r="N1548" t="s">
        <v>15</v>
      </c>
    </row>
    <row r="1549" spans="1:15" x14ac:dyDescent="0.2">
      <c r="A1549" t="s">
        <v>119</v>
      </c>
      <c r="B1549" t="s">
        <v>131</v>
      </c>
      <c r="C1549" t="s">
        <v>130</v>
      </c>
      <c r="D1549" t="s">
        <v>121</v>
      </c>
      <c r="E1549" t="s">
        <v>53</v>
      </c>
      <c r="F1549" t="s">
        <v>114</v>
      </c>
      <c r="G1549">
        <v>122639</v>
      </c>
      <c r="H1549" s="75">
        <v>43441</v>
      </c>
      <c r="I1549" t="s">
        <v>115</v>
      </c>
      <c r="J1549">
        <v>5000</v>
      </c>
      <c r="K1549">
        <v>154.89400000000001</v>
      </c>
      <c r="L1549">
        <v>32.280099999999997</v>
      </c>
      <c r="M1549">
        <v>9872.2479999999996</v>
      </c>
      <c r="N1549" t="s">
        <v>15</v>
      </c>
    </row>
    <row r="1550" spans="1:15" x14ac:dyDescent="0.2">
      <c r="A1550" t="s">
        <v>119</v>
      </c>
      <c r="B1550" t="s">
        <v>131</v>
      </c>
      <c r="C1550" t="s">
        <v>130</v>
      </c>
      <c r="D1550" t="s">
        <v>121</v>
      </c>
      <c r="E1550" t="s">
        <v>53</v>
      </c>
      <c r="F1550" t="s">
        <v>114</v>
      </c>
      <c r="G1550">
        <v>122639</v>
      </c>
      <c r="H1550" s="75">
        <v>43471</v>
      </c>
      <c r="I1550" t="s">
        <v>115</v>
      </c>
      <c r="J1550">
        <v>5000</v>
      </c>
      <c r="K1550">
        <v>150.55799999999999</v>
      </c>
      <c r="L1550">
        <v>33.209800000000001</v>
      </c>
      <c r="M1550">
        <v>10022.806</v>
      </c>
      <c r="N1550" t="s">
        <v>15</v>
      </c>
    </row>
    <row r="1551" spans="1:15" x14ac:dyDescent="0.2">
      <c r="A1551" t="s">
        <v>119</v>
      </c>
      <c r="B1551" t="s">
        <v>131</v>
      </c>
      <c r="C1551" t="s">
        <v>130</v>
      </c>
      <c r="D1551" t="s">
        <v>121</v>
      </c>
      <c r="E1551" t="s">
        <v>53</v>
      </c>
      <c r="F1551" t="s">
        <v>114</v>
      </c>
      <c r="G1551">
        <v>122639</v>
      </c>
      <c r="H1551" s="75">
        <v>43471</v>
      </c>
      <c r="I1551" t="s">
        <v>118</v>
      </c>
      <c r="J1551">
        <v>5011.3999999999996</v>
      </c>
      <c r="K1551">
        <v>0</v>
      </c>
      <c r="M1551">
        <v>10022.806</v>
      </c>
      <c r="N1551" t="s">
        <v>19</v>
      </c>
      <c r="O1551">
        <v>5011.3999999999996</v>
      </c>
    </row>
    <row r="1552" spans="1:15" x14ac:dyDescent="0.2">
      <c r="A1552" t="s">
        <v>119</v>
      </c>
      <c r="B1552" t="s">
        <v>131</v>
      </c>
      <c r="C1552" t="s">
        <v>130</v>
      </c>
      <c r="D1552" t="s">
        <v>121</v>
      </c>
      <c r="E1552" t="s">
        <v>53</v>
      </c>
      <c r="F1552" t="s">
        <v>114</v>
      </c>
      <c r="G1552">
        <v>122639</v>
      </c>
      <c r="H1552" s="75">
        <v>43501</v>
      </c>
      <c r="I1552" t="s">
        <v>115</v>
      </c>
      <c r="J1552">
        <v>5000</v>
      </c>
      <c r="K1552">
        <v>146.56200000000001</v>
      </c>
      <c r="L1552">
        <v>34.115299999999998</v>
      </c>
      <c r="M1552">
        <v>10169.368</v>
      </c>
      <c r="N1552" t="s">
        <v>15</v>
      </c>
    </row>
    <row r="1553" spans="1:15" x14ac:dyDescent="0.2">
      <c r="A1553" t="s">
        <v>119</v>
      </c>
      <c r="B1553" t="s">
        <v>131</v>
      </c>
      <c r="C1553" t="s">
        <v>130</v>
      </c>
      <c r="D1553" t="s">
        <v>121</v>
      </c>
      <c r="E1553" t="s">
        <v>53</v>
      </c>
      <c r="F1553" t="s">
        <v>114</v>
      </c>
      <c r="G1553">
        <v>122639</v>
      </c>
      <c r="H1553" s="75">
        <v>43531</v>
      </c>
      <c r="I1553" t="s">
        <v>115</v>
      </c>
      <c r="J1553">
        <v>5000</v>
      </c>
      <c r="K1553">
        <v>143.38399999999999</v>
      </c>
      <c r="L1553">
        <v>34.871400000000001</v>
      </c>
      <c r="M1553">
        <v>10312.752</v>
      </c>
      <c r="N1553" t="s">
        <v>15</v>
      </c>
    </row>
    <row r="1554" spans="1:15" x14ac:dyDescent="0.2">
      <c r="A1554" t="s">
        <v>119</v>
      </c>
      <c r="B1554" t="s">
        <v>131</v>
      </c>
      <c r="C1554" t="s">
        <v>130</v>
      </c>
      <c r="D1554" t="s">
        <v>121</v>
      </c>
      <c r="E1554" t="s">
        <v>53</v>
      </c>
      <c r="F1554" t="s">
        <v>114</v>
      </c>
      <c r="G1554">
        <v>122639</v>
      </c>
      <c r="H1554" s="75">
        <v>43531</v>
      </c>
      <c r="I1554" t="s">
        <v>117</v>
      </c>
      <c r="J1554">
        <v>2.5</v>
      </c>
      <c r="K1554">
        <v>0</v>
      </c>
      <c r="M1554">
        <v>10312.752</v>
      </c>
      <c r="N1554" t="s">
        <v>46</v>
      </c>
    </row>
    <row r="1555" spans="1:15" x14ac:dyDescent="0.2">
      <c r="A1555" t="s">
        <v>119</v>
      </c>
      <c r="B1555" t="s">
        <v>131</v>
      </c>
      <c r="C1555" t="s">
        <v>130</v>
      </c>
      <c r="D1555" t="s">
        <v>121</v>
      </c>
      <c r="E1555" t="s">
        <v>53</v>
      </c>
      <c r="F1555" t="s">
        <v>114</v>
      </c>
      <c r="G1555">
        <v>122639</v>
      </c>
      <c r="H1555" s="75">
        <v>43561</v>
      </c>
      <c r="I1555" t="s">
        <v>115</v>
      </c>
      <c r="J1555">
        <v>5000</v>
      </c>
      <c r="K1555">
        <v>139.68299999999999</v>
      </c>
      <c r="L1555">
        <v>35.795299999999997</v>
      </c>
      <c r="M1555">
        <v>10452.434999999999</v>
      </c>
      <c r="N1555" t="s">
        <v>15</v>
      </c>
    </row>
    <row r="1556" spans="1:15" x14ac:dyDescent="0.2">
      <c r="A1556" t="s">
        <v>119</v>
      </c>
      <c r="B1556" t="s">
        <v>131</v>
      </c>
      <c r="C1556" t="s">
        <v>130</v>
      </c>
      <c r="D1556" t="s">
        <v>121</v>
      </c>
      <c r="E1556" t="s">
        <v>53</v>
      </c>
      <c r="F1556" t="s">
        <v>114</v>
      </c>
      <c r="G1556">
        <v>122639</v>
      </c>
      <c r="H1556" s="75">
        <v>43591</v>
      </c>
      <c r="I1556" t="s">
        <v>115</v>
      </c>
      <c r="J1556">
        <v>5000</v>
      </c>
      <c r="K1556">
        <v>136.74199999999999</v>
      </c>
      <c r="L1556">
        <v>36.565199999999997</v>
      </c>
      <c r="M1556">
        <v>10589.177</v>
      </c>
      <c r="N1556" t="s">
        <v>15</v>
      </c>
    </row>
    <row r="1557" spans="1:15" x14ac:dyDescent="0.2">
      <c r="A1557" t="s">
        <v>119</v>
      </c>
      <c r="B1557" t="s">
        <v>131</v>
      </c>
      <c r="C1557" t="s">
        <v>130</v>
      </c>
      <c r="D1557" t="s">
        <v>121</v>
      </c>
      <c r="E1557" t="s">
        <v>53</v>
      </c>
      <c r="F1557" t="s">
        <v>114</v>
      </c>
      <c r="G1557">
        <v>122639</v>
      </c>
      <c r="H1557" s="75">
        <v>43591</v>
      </c>
      <c r="I1557" t="s">
        <v>116</v>
      </c>
      <c r="J1557">
        <v>2.5</v>
      </c>
      <c r="K1557">
        <v>0</v>
      </c>
      <c r="M1557">
        <v>10589.177</v>
      </c>
      <c r="N1557" t="s">
        <v>17</v>
      </c>
    </row>
    <row r="1558" spans="1:15" x14ac:dyDescent="0.2">
      <c r="A1558" t="s">
        <v>119</v>
      </c>
      <c r="B1558" t="s">
        <v>131</v>
      </c>
      <c r="C1558" t="s">
        <v>130</v>
      </c>
      <c r="D1558" t="s">
        <v>121</v>
      </c>
      <c r="E1558" t="s">
        <v>53</v>
      </c>
      <c r="F1558" t="s">
        <v>114</v>
      </c>
      <c r="G1558">
        <v>122639</v>
      </c>
      <c r="H1558" s="75">
        <v>43621</v>
      </c>
      <c r="I1558" t="s">
        <v>115</v>
      </c>
      <c r="J1558">
        <v>5000</v>
      </c>
      <c r="K1558">
        <v>136.67099999999999</v>
      </c>
      <c r="L1558">
        <v>36.584200000000003</v>
      </c>
      <c r="M1558">
        <v>10725.848</v>
      </c>
      <c r="N1558" t="s">
        <v>15</v>
      </c>
    </row>
    <row r="1559" spans="1:15" x14ac:dyDescent="0.2">
      <c r="A1559" t="s">
        <v>119</v>
      </c>
      <c r="B1559" t="s">
        <v>131</v>
      </c>
      <c r="C1559" t="s">
        <v>130</v>
      </c>
      <c r="D1559" t="s">
        <v>121</v>
      </c>
      <c r="E1559" t="s">
        <v>53</v>
      </c>
      <c r="F1559" t="s">
        <v>114</v>
      </c>
      <c r="G1559">
        <v>122639</v>
      </c>
      <c r="H1559" s="75">
        <v>43651</v>
      </c>
      <c r="I1559" t="s">
        <v>115</v>
      </c>
      <c r="J1559">
        <v>5000</v>
      </c>
      <c r="K1559">
        <v>134.68600000000001</v>
      </c>
      <c r="L1559">
        <v>37.123399999999997</v>
      </c>
      <c r="M1559">
        <v>10860.534</v>
      </c>
      <c r="N1559" t="s">
        <v>15</v>
      </c>
    </row>
    <row r="1560" spans="1:15" x14ac:dyDescent="0.2">
      <c r="A1560" t="s">
        <v>119</v>
      </c>
      <c r="B1560" t="s">
        <v>131</v>
      </c>
      <c r="C1560" t="s">
        <v>130</v>
      </c>
      <c r="D1560" t="s">
        <v>121</v>
      </c>
      <c r="E1560" t="s">
        <v>53</v>
      </c>
      <c r="F1560" t="s">
        <v>114</v>
      </c>
      <c r="G1560">
        <v>122639</v>
      </c>
      <c r="H1560" s="75">
        <v>43681</v>
      </c>
      <c r="I1560" t="s">
        <v>115</v>
      </c>
      <c r="J1560">
        <v>5000</v>
      </c>
      <c r="K1560">
        <v>133.905</v>
      </c>
      <c r="L1560">
        <v>37.339799999999997</v>
      </c>
      <c r="M1560">
        <v>10994.44</v>
      </c>
      <c r="N1560" t="s">
        <v>15</v>
      </c>
    </row>
    <row r="1561" spans="1:15" x14ac:dyDescent="0.2">
      <c r="A1561" t="s">
        <v>119</v>
      </c>
      <c r="B1561" t="s">
        <v>131</v>
      </c>
      <c r="C1561" t="s">
        <v>130</v>
      </c>
      <c r="D1561" t="s">
        <v>121</v>
      </c>
      <c r="E1561" t="s">
        <v>53</v>
      </c>
      <c r="F1561" t="s">
        <v>114</v>
      </c>
      <c r="G1561">
        <v>122639</v>
      </c>
      <c r="H1561" s="75">
        <v>43681</v>
      </c>
      <c r="I1561" t="s">
        <v>116</v>
      </c>
      <c r="J1561">
        <v>2.5</v>
      </c>
      <c r="K1561">
        <v>0</v>
      </c>
      <c r="M1561">
        <v>10994.44</v>
      </c>
      <c r="N1561" t="s">
        <v>17</v>
      </c>
    </row>
    <row r="1562" spans="1:15" x14ac:dyDescent="0.2">
      <c r="A1562" t="s">
        <v>119</v>
      </c>
      <c r="B1562" t="s">
        <v>131</v>
      </c>
      <c r="C1562" t="s">
        <v>130</v>
      </c>
      <c r="D1562" t="s">
        <v>121</v>
      </c>
      <c r="E1562" t="s">
        <v>53</v>
      </c>
      <c r="F1562" t="s">
        <v>114</v>
      </c>
      <c r="G1562">
        <v>122639</v>
      </c>
      <c r="H1562" s="75">
        <v>43711</v>
      </c>
      <c r="I1562" t="s">
        <v>115</v>
      </c>
      <c r="J1562">
        <v>5000</v>
      </c>
      <c r="K1562">
        <v>130.85</v>
      </c>
      <c r="L1562">
        <v>38.211799999999997</v>
      </c>
      <c r="M1562">
        <v>11125.289000000001</v>
      </c>
      <c r="N1562" t="s">
        <v>15</v>
      </c>
    </row>
    <row r="1563" spans="1:15" x14ac:dyDescent="0.2">
      <c r="A1563" t="s">
        <v>119</v>
      </c>
      <c r="B1563" t="s">
        <v>131</v>
      </c>
      <c r="C1563" t="s">
        <v>130</v>
      </c>
      <c r="D1563" t="s">
        <v>121</v>
      </c>
      <c r="E1563" t="s">
        <v>53</v>
      </c>
      <c r="F1563" t="s">
        <v>114</v>
      </c>
      <c r="G1563">
        <v>122639</v>
      </c>
      <c r="H1563" s="75">
        <v>43711</v>
      </c>
      <c r="I1563" t="s">
        <v>118</v>
      </c>
      <c r="J1563">
        <v>5562.64</v>
      </c>
      <c r="K1563">
        <v>0</v>
      </c>
      <c r="M1563">
        <v>11125.289000000001</v>
      </c>
      <c r="N1563" t="s">
        <v>19</v>
      </c>
      <c r="O1563">
        <v>5562.64</v>
      </c>
    </row>
    <row r="1564" spans="1:15" x14ac:dyDescent="0.2">
      <c r="A1564" t="s">
        <v>119</v>
      </c>
      <c r="B1564" t="s">
        <v>131</v>
      </c>
      <c r="C1564" t="s">
        <v>130</v>
      </c>
      <c r="D1564" t="s">
        <v>121</v>
      </c>
      <c r="E1564" t="s">
        <v>53</v>
      </c>
      <c r="F1564" t="s">
        <v>114</v>
      </c>
      <c r="G1564">
        <v>122639</v>
      </c>
      <c r="H1564" s="75">
        <v>43741</v>
      </c>
      <c r="I1564" t="s">
        <v>115</v>
      </c>
      <c r="J1564">
        <v>5000</v>
      </c>
      <c r="K1564">
        <v>132.66900000000001</v>
      </c>
      <c r="L1564">
        <v>37.687800000000003</v>
      </c>
      <c r="M1564">
        <v>11257.958000000001</v>
      </c>
      <c r="N1564" t="s">
        <v>15</v>
      </c>
    </row>
    <row r="1565" spans="1:15" x14ac:dyDescent="0.2">
      <c r="A1565" t="s">
        <v>119</v>
      </c>
      <c r="B1565" t="s">
        <v>131</v>
      </c>
      <c r="C1565" t="s">
        <v>130</v>
      </c>
      <c r="D1565" t="s">
        <v>121</v>
      </c>
      <c r="E1565" t="s">
        <v>53</v>
      </c>
      <c r="F1565" t="s">
        <v>114</v>
      </c>
      <c r="G1565">
        <v>122639</v>
      </c>
      <c r="H1565" s="75">
        <v>43741</v>
      </c>
      <c r="I1565" t="s">
        <v>117</v>
      </c>
      <c r="J1565">
        <v>2.5</v>
      </c>
      <c r="K1565">
        <v>0</v>
      </c>
      <c r="M1565">
        <v>11257.958000000001</v>
      </c>
      <c r="N1565" t="s">
        <v>46</v>
      </c>
    </row>
    <row r="1566" spans="1:15" x14ac:dyDescent="0.2">
      <c r="A1566" t="s">
        <v>119</v>
      </c>
      <c r="B1566" t="s">
        <v>131</v>
      </c>
      <c r="C1566" t="s">
        <v>130</v>
      </c>
      <c r="D1566" t="s">
        <v>121</v>
      </c>
      <c r="E1566" t="s">
        <v>53</v>
      </c>
      <c r="F1566" t="s">
        <v>114</v>
      </c>
      <c r="G1566">
        <v>122639</v>
      </c>
      <c r="H1566" s="75">
        <v>43771</v>
      </c>
      <c r="I1566" t="s">
        <v>115</v>
      </c>
      <c r="J1566">
        <v>5000</v>
      </c>
      <c r="K1566">
        <v>129.03200000000001</v>
      </c>
      <c r="L1566">
        <v>38.75</v>
      </c>
      <c r="M1566">
        <v>11386.99</v>
      </c>
      <c r="N1566" t="s">
        <v>15</v>
      </c>
    </row>
    <row r="1567" spans="1:15" x14ac:dyDescent="0.2">
      <c r="A1567" t="s">
        <v>119</v>
      </c>
      <c r="B1567" t="s">
        <v>131</v>
      </c>
      <c r="C1567" t="s">
        <v>130</v>
      </c>
      <c r="D1567" t="s">
        <v>121</v>
      </c>
      <c r="E1567" t="s">
        <v>53</v>
      </c>
      <c r="F1567" t="s">
        <v>114</v>
      </c>
      <c r="G1567">
        <v>122639</v>
      </c>
      <c r="H1567" s="75">
        <v>43801</v>
      </c>
      <c r="I1567" t="s">
        <v>115</v>
      </c>
      <c r="J1567">
        <v>5000</v>
      </c>
      <c r="K1567">
        <v>129.74</v>
      </c>
      <c r="L1567">
        <v>38.538699999999999</v>
      </c>
      <c r="M1567">
        <v>11516.73</v>
      </c>
      <c r="N1567" t="s">
        <v>15</v>
      </c>
    </row>
    <row r="1568" spans="1:15" x14ac:dyDescent="0.2">
      <c r="A1568" t="s">
        <v>119</v>
      </c>
      <c r="B1568" t="s">
        <v>131</v>
      </c>
      <c r="C1568" t="s">
        <v>130</v>
      </c>
      <c r="D1568" t="s">
        <v>121</v>
      </c>
      <c r="E1568" t="s">
        <v>53</v>
      </c>
      <c r="F1568" t="s">
        <v>114</v>
      </c>
      <c r="G1568">
        <v>122639</v>
      </c>
      <c r="H1568" s="75">
        <v>43801</v>
      </c>
      <c r="I1568" t="s">
        <v>117</v>
      </c>
      <c r="J1568">
        <v>2.5</v>
      </c>
      <c r="K1568">
        <v>0</v>
      </c>
      <c r="M1568">
        <v>11516.73</v>
      </c>
      <c r="N1568" t="s">
        <v>46</v>
      </c>
    </row>
    <row r="1569" spans="1:14" x14ac:dyDescent="0.2">
      <c r="A1569" t="s">
        <v>119</v>
      </c>
      <c r="B1569" t="s">
        <v>131</v>
      </c>
      <c r="C1569" t="s">
        <v>130</v>
      </c>
      <c r="D1569" t="s">
        <v>121</v>
      </c>
      <c r="E1569" t="s">
        <v>53</v>
      </c>
      <c r="F1569" t="s">
        <v>114</v>
      </c>
      <c r="G1569">
        <v>122639</v>
      </c>
      <c r="H1569" s="75">
        <v>43801</v>
      </c>
      <c r="I1569" t="s">
        <v>25</v>
      </c>
      <c r="J1569">
        <v>-88767.92</v>
      </c>
      <c r="K1569">
        <v>-2303.346</v>
      </c>
      <c r="L1569">
        <v>38.538699999999999</v>
      </c>
      <c r="M1569">
        <v>9213.384</v>
      </c>
      <c r="N1569" t="s">
        <v>16</v>
      </c>
    </row>
    <row r="1570" spans="1:14" x14ac:dyDescent="0.2">
      <c r="A1570" t="s">
        <v>119</v>
      </c>
      <c r="B1570" t="s">
        <v>131</v>
      </c>
      <c r="C1570" t="s">
        <v>130</v>
      </c>
      <c r="D1570" t="s">
        <v>121</v>
      </c>
      <c r="E1570" t="s">
        <v>53</v>
      </c>
      <c r="F1570" t="s">
        <v>114</v>
      </c>
      <c r="G1570">
        <v>122639</v>
      </c>
      <c r="H1570" s="75">
        <v>43831</v>
      </c>
      <c r="I1570" t="s">
        <v>115</v>
      </c>
      <c r="J1570">
        <v>5000</v>
      </c>
      <c r="K1570">
        <v>128.375</v>
      </c>
      <c r="L1570">
        <v>38.948399999999999</v>
      </c>
      <c r="M1570">
        <v>9341.759</v>
      </c>
      <c r="N1570" t="s">
        <v>15</v>
      </c>
    </row>
    <row r="1571" spans="1:14" x14ac:dyDescent="0.2">
      <c r="A1571" t="s">
        <v>119</v>
      </c>
      <c r="B1571" t="s">
        <v>131</v>
      </c>
      <c r="C1571" t="s">
        <v>130</v>
      </c>
      <c r="D1571" t="s">
        <v>121</v>
      </c>
      <c r="E1571" t="s">
        <v>53</v>
      </c>
      <c r="F1571" t="s">
        <v>114</v>
      </c>
      <c r="G1571">
        <v>122639</v>
      </c>
      <c r="H1571" s="75">
        <v>43861</v>
      </c>
      <c r="I1571" t="s">
        <v>115</v>
      </c>
      <c r="J1571">
        <v>5000</v>
      </c>
      <c r="K1571">
        <v>125.04</v>
      </c>
      <c r="L1571">
        <v>39.987200000000001</v>
      </c>
      <c r="M1571">
        <v>9466.7990000000009</v>
      </c>
      <c r="N1571" t="s">
        <v>15</v>
      </c>
    </row>
    <row r="1572" spans="1:14" x14ac:dyDescent="0.2">
      <c r="A1572" t="s">
        <v>119</v>
      </c>
      <c r="B1572" t="s">
        <v>131</v>
      </c>
      <c r="C1572" t="s">
        <v>130</v>
      </c>
      <c r="D1572" t="s">
        <v>121</v>
      </c>
      <c r="E1572" t="s">
        <v>53</v>
      </c>
      <c r="F1572" t="s">
        <v>114</v>
      </c>
      <c r="G1572">
        <v>122639</v>
      </c>
      <c r="H1572" s="75">
        <v>43891</v>
      </c>
      <c r="I1572" t="s">
        <v>115</v>
      </c>
      <c r="J1572">
        <v>5000</v>
      </c>
      <c r="K1572">
        <v>125.708</v>
      </c>
      <c r="L1572">
        <v>39.774900000000002</v>
      </c>
      <c r="M1572">
        <v>9592.5069999999996</v>
      </c>
      <c r="N1572" t="s">
        <v>15</v>
      </c>
    </row>
    <row r="1573" spans="1:14" x14ac:dyDescent="0.2">
      <c r="A1573" t="s">
        <v>119</v>
      </c>
      <c r="B1573" t="s">
        <v>131</v>
      </c>
      <c r="C1573" t="s">
        <v>130</v>
      </c>
      <c r="D1573" t="s">
        <v>121</v>
      </c>
      <c r="E1573" t="s">
        <v>53</v>
      </c>
      <c r="F1573" t="s">
        <v>114</v>
      </c>
      <c r="G1573">
        <v>122639</v>
      </c>
      <c r="H1573" s="75">
        <v>43921</v>
      </c>
      <c r="I1573" t="s">
        <v>115</v>
      </c>
      <c r="J1573">
        <v>5000</v>
      </c>
      <c r="K1573">
        <v>123.675</v>
      </c>
      <c r="L1573">
        <v>40.4285</v>
      </c>
      <c r="M1573">
        <v>9716.1820000000007</v>
      </c>
      <c r="N1573" t="s">
        <v>15</v>
      </c>
    </row>
    <row r="1574" spans="1:14" x14ac:dyDescent="0.2">
      <c r="A1574" t="s">
        <v>119</v>
      </c>
      <c r="B1574" t="s">
        <v>131</v>
      </c>
      <c r="C1574" t="s">
        <v>130</v>
      </c>
      <c r="D1574" t="s">
        <v>121</v>
      </c>
      <c r="E1574" t="s">
        <v>53</v>
      </c>
      <c r="F1574" t="s">
        <v>114</v>
      </c>
      <c r="G1574">
        <v>122639</v>
      </c>
      <c r="H1574" s="75">
        <v>43951</v>
      </c>
      <c r="I1574" t="s">
        <v>115</v>
      </c>
      <c r="J1574">
        <v>5000</v>
      </c>
      <c r="K1574">
        <v>122.316</v>
      </c>
      <c r="L1574">
        <v>40.877600000000001</v>
      </c>
      <c r="M1574">
        <v>9838.4979999999996</v>
      </c>
      <c r="N1574" t="s">
        <v>15</v>
      </c>
    </row>
    <row r="1575" spans="1:14" x14ac:dyDescent="0.2">
      <c r="A1575" t="s">
        <v>119</v>
      </c>
      <c r="B1575" t="s">
        <v>131</v>
      </c>
      <c r="C1575" t="s">
        <v>130</v>
      </c>
      <c r="D1575" t="s">
        <v>121</v>
      </c>
      <c r="E1575" t="s">
        <v>53</v>
      </c>
      <c r="F1575" t="s">
        <v>114</v>
      </c>
      <c r="G1575">
        <v>122639</v>
      </c>
      <c r="H1575" s="75">
        <v>43981</v>
      </c>
      <c r="I1575" t="s">
        <v>115</v>
      </c>
      <c r="J1575">
        <v>5000</v>
      </c>
      <c r="K1575">
        <v>123.798</v>
      </c>
      <c r="L1575">
        <v>40.388399999999997</v>
      </c>
      <c r="M1575">
        <v>9962.2960000000003</v>
      </c>
      <c r="N1575" t="s">
        <v>15</v>
      </c>
    </row>
    <row r="1576" spans="1:14" x14ac:dyDescent="0.2">
      <c r="A1576" t="s">
        <v>119</v>
      </c>
      <c r="B1576" t="s">
        <v>131</v>
      </c>
      <c r="C1576" t="s">
        <v>130</v>
      </c>
      <c r="D1576" t="s">
        <v>121</v>
      </c>
      <c r="E1576" t="s">
        <v>53</v>
      </c>
      <c r="F1576" t="s">
        <v>114</v>
      </c>
      <c r="G1576">
        <v>122639</v>
      </c>
      <c r="H1576" s="75">
        <v>44011</v>
      </c>
      <c r="I1576" t="s">
        <v>115</v>
      </c>
      <c r="J1576">
        <v>5000</v>
      </c>
      <c r="K1576">
        <v>124.105</v>
      </c>
      <c r="L1576">
        <v>40.288499999999999</v>
      </c>
      <c r="M1576">
        <v>10086.401</v>
      </c>
      <c r="N1576" t="s">
        <v>15</v>
      </c>
    </row>
    <row r="1577" spans="1:14" x14ac:dyDescent="0.2">
      <c r="A1577" t="s">
        <v>119</v>
      </c>
      <c r="B1577" t="s">
        <v>131</v>
      </c>
      <c r="C1577" t="s">
        <v>130</v>
      </c>
      <c r="D1577" t="s">
        <v>121</v>
      </c>
      <c r="E1577" t="s">
        <v>53</v>
      </c>
      <c r="F1577" t="s">
        <v>114</v>
      </c>
      <c r="G1577">
        <v>122639</v>
      </c>
      <c r="H1577" s="75">
        <v>44041</v>
      </c>
      <c r="I1577" t="s">
        <v>115</v>
      </c>
      <c r="J1577">
        <v>5000</v>
      </c>
      <c r="K1577">
        <v>124.133</v>
      </c>
      <c r="L1577">
        <v>40.279200000000003</v>
      </c>
      <c r="M1577">
        <v>10210.534</v>
      </c>
      <c r="N1577" t="s">
        <v>15</v>
      </c>
    </row>
    <row r="1578" spans="1:14" x14ac:dyDescent="0.2">
      <c r="A1578" t="s">
        <v>119</v>
      </c>
      <c r="B1578" t="s">
        <v>131</v>
      </c>
      <c r="C1578" t="s">
        <v>130</v>
      </c>
      <c r="D1578" t="s">
        <v>121</v>
      </c>
      <c r="E1578" t="s">
        <v>53</v>
      </c>
      <c r="F1578" t="s">
        <v>114</v>
      </c>
      <c r="G1578">
        <v>122639</v>
      </c>
      <c r="H1578" s="75">
        <v>44041</v>
      </c>
      <c r="I1578" t="s">
        <v>117</v>
      </c>
      <c r="J1578">
        <v>2.5</v>
      </c>
      <c r="K1578">
        <v>0</v>
      </c>
      <c r="M1578">
        <v>10210.534</v>
      </c>
      <c r="N1578" t="s">
        <v>46</v>
      </c>
    </row>
    <row r="1579" spans="1:14" x14ac:dyDescent="0.2">
      <c r="A1579" t="s">
        <v>119</v>
      </c>
      <c r="B1579" t="s">
        <v>131</v>
      </c>
      <c r="C1579" t="s">
        <v>130</v>
      </c>
      <c r="D1579" t="s">
        <v>121</v>
      </c>
      <c r="E1579" t="s">
        <v>53</v>
      </c>
      <c r="F1579" t="s">
        <v>114</v>
      </c>
      <c r="G1579">
        <v>122639</v>
      </c>
      <c r="H1579" s="75">
        <v>44071</v>
      </c>
      <c r="I1579" t="s">
        <v>115</v>
      </c>
      <c r="J1579">
        <v>5000</v>
      </c>
      <c r="K1579">
        <v>124.51900000000001</v>
      </c>
      <c r="L1579">
        <v>40.154499999999999</v>
      </c>
      <c r="M1579">
        <v>10335.054</v>
      </c>
      <c r="N1579" t="s">
        <v>15</v>
      </c>
    </row>
    <row r="1580" spans="1:14" x14ac:dyDescent="0.2">
      <c r="A1580" t="s">
        <v>119</v>
      </c>
      <c r="B1580" t="s">
        <v>131</v>
      </c>
      <c r="C1580" t="s">
        <v>130</v>
      </c>
      <c r="D1580" t="s">
        <v>121</v>
      </c>
      <c r="E1580" t="s">
        <v>53</v>
      </c>
      <c r="F1580" t="s">
        <v>114</v>
      </c>
      <c r="G1580">
        <v>122639</v>
      </c>
      <c r="H1580" s="75">
        <v>44101</v>
      </c>
      <c r="I1580" t="s">
        <v>115</v>
      </c>
      <c r="J1580">
        <v>5000</v>
      </c>
      <c r="K1580">
        <v>125.247</v>
      </c>
      <c r="L1580">
        <v>39.921300000000002</v>
      </c>
      <c r="M1580">
        <v>10460.299999999999</v>
      </c>
      <c r="N1580" t="s">
        <v>15</v>
      </c>
    </row>
    <row r="1581" spans="1:14" x14ac:dyDescent="0.2">
      <c r="A1581" t="s">
        <v>119</v>
      </c>
      <c r="B1581" t="s">
        <v>131</v>
      </c>
      <c r="C1581" t="s">
        <v>130</v>
      </c>
      <c r="D1581" t="s">
        <v>121</v>
      </c>
      <c r="E1581" t="s">
        <v>53</v>
      </c>
      <c r="F1581" t="s">
        <v>114</v>
      </c>
      <c r="G1581">
        <v>122639</v>
      </c>
      <c r="H1581" s="75">
        <v>44131</v>
      </c>
      <c r="I1581" t="s">
        <v>115</v>
      </c>
      <c r="J1581">
        <v>5000</v>
      </c>
      <c r="K1581">
        <v>127.158</v>
      </c>
      <c r="L1581">
        <v>39.321300000000001</v>
      </c>
      <c r="M1581">
        <v>10587.458000000001</v>
      </c>
      <c r="N1581" t="s">
        <v>15</v>
      </c>
    </row>
    <row r="1582" spans="1:14" x14ac:dyDescent="0.2">
      <c r="A1582" t="s">
        <v>119</v>
      </c>
      <c r="B1582" t="s">
        <v>131</v>
      </c>
      <c r="C1582" t="s">
        <v>130</v>
      </c>
      <c r="D1582" t="s">
        <v>121</v>
      </c>
      <c r="E1582" t="s">
        <v>53</v>
      </c>
      <c r="F1582" t="s">
        <v>114</v>
      </c>
      <c r="G1582">
        <v>122639</v>
      </c>
      <c r="H1582" s="75">
        <v>44161</v>
      </c>
      <c r="I1582" t="s">
        <v>115</v>
      </c>
      <c r="J1582">
        <v>5000</v>
      </c>
      <c r="K1582">
        <v>126.86</v>
      </c>
      <c r="L1582">
        <v>39.413499999999999</v>
      </c>
      <c r="M1582">
        <v>10714.317999999999</v>
      </c>
      <c r="N1582" t="s">
        <v>15</v>
      </c>
    </row>
    <row r="1583" spans="1:14" x14ac:dyDescent="0.2">
      <c r="A1583" t="s">
        <v>119</v>
      </c>
      <c r="B1583" t="s">
        <v>131</v>
      </c>
      <c r="C1583" t="s">
        <v>130</v>
      </c>
      <c r="D1583" t="s">
        <v>121</v>
      </c>
      <c r="E1583" t="s">
        <v>53</v>
      </c>
      <c r="F1583" t="s">
        <v>114</v>
      </c>
      <c r="G1583">
        <v>122639</v>
      </c>
      <c r="H1583" s="75">
        <v>44191</v>
      </c>
      <c r="I1583" t="s">
        <v>115</v>
      </c>
      <c r="J1583">
        <v>5000</v>
      </c>
      <c r="K1583">
        <v>125.291</v>
      </c>
      <c r="L1583">
        <v>39.9069</v>
      </c>
      <c r="M1583">
        <v>10839.609</v>
      </c>
      <c r="N1583" t="s">
        <v>15</v>
      </c>
    </row>
    <row r="1584" spans="1:14" x14ac:dyDescent="0.2">
      <c r="A1584" t="s">
        <v>119</v>
      </c>
      <c r="B1584" t="s">
        <v>131</v>
      </c>
      <c r="C1584" t="s">
        <v>130</v>
      </c>
      <c r="D1584" t="s">
        <v>121</v>
      </c>
      <c r="E1584" t="s">
        <v>53</v>
      </c>
      <c r="F1584" t="s">
        <v>114</v>
      </c>
      <c r="G1584">
        <v>122639</v>
      </c>
      <c r="H1584" s="75">
        <v>44221</v>
      </c>
      <c r="I1584" t="s">
        <v>115</v>
      </c>
      <c r="J1584">
        <v>5000</v>
      </c>
      <c r="K1584">
        <v>122.401</v>
      </c>
      <c r="L1584">
        <v>40.849400000000003</v>
      </c>
      <c r="M1584">
        <v>10962.01</v>
      </c>
      <c r="N1584" t="s">
        <v>15</v>
      </c>
    </row>
    <row r="1585" spans="1:14" x14ac:dyDescent="0.2">
      <c r="A1585" t="s">
        <v>119</v>
      </c>
      <c r="B1585" t="s">
        <v>131</v>
      </c>
      <c r="C1585" t="s">
        <v>130</v>
      </c>
      <c r="D1585" t="s">
        <v>121</v>
      </c>
      <c r="E1585" t="s">
        <v>53</v>
      </c>
      <c r="F1585" t="s">
        <v>114</v>
      </c>
      <c r="G1585">
        <v>122639</v>
      </c>
      <c r="H1585" s="75">
        <v>44251</v>
      </c>
      <c r="I1585" t="s">
        <v>115</v>
      </c>
      <c r="J1585">
        <v>5000</v>
      </c>
      <c r="K1585">
        <v>120.378</v>
      </c>
      <c r="L1585">
        <v>41.535800000000002</v>
      </c>
      <c r="M1585">
        <v>11082.388000000001</v>
      </c>
      <c r="N1585" t="s">
        <v>15</v>
      </c>
    </row>
    <row r="1586" spans="1:14" x14ac:dyDescent="0.2">
      <c r="A1586" t="s">
        <v>119</v>
      </c>
      <c r="B1586" t="s">
        <v>131</v>
      </c>
      <c r="C1586" t="s">
        <v>130</v>
      </c>
      <c r="D1586" t="s">
        <v>121</v>
      </c>
      <c r="E1586" t="s">
        <v>53</v>
      </c>
      <c r="F1586" t="s">
        <v>114</v>
      </c>
      <c r="G1586">
        <v>122639</v>
      </c>
      <c r="H1586" s="75">
        <v>44281</v>
      </c>
      <c r="I1586" t="s">
        <v>115</v>
      </c>
      <c r="J1586">
        <v>5000</v>
      </c>
      <c r="K1586">
        <v>116.90300000000001</v>
      </c>
      <c r="L1586">
        <v>42.770299999999999</v>
      </c>
      <c r="M1586">
        <v>11199.291999999999</v>
      </c>
      <c r="N1586" t="s">
        <v>15</v>
      </c>
    </row>
    <row r="1587" spans="1:14" x14ac:dyDescent="0.2">
      <c r="A1587" t="s">
        <v>119</v>
      </c>
      <c r="B1587" t="s">
        <v>131</v>
      </c>
      <c r="C1587" t="s">
        <v>130</v>
      </c>
      <c r="D1587" t="s">
        <v>121</v>
      </c>
      <c r="E1587" t="s">
        <v>53</v>
      </c>
      <c r="F1587" t="s">
        <v>114</v>
      </c>
      <c r="G1587">
        <v>122639</v>
      </c>
      <c r="H1587" s="75">
        <v>44311</v>
      </c>
      <c r="I1587" t="s">
        <v>115</v>
      </c>
      <c r="J1587">
        <v>5000</v>
      </c>
      <c r="K1587">
        <v>114.474</v>
      </c>
      <c r="L1587">
        <v>43.678199999999997</v>
      </c>
      <c r="M1587">
        <v>11313.764999999999</v>
      </c>
      <c r="N1587" t="s">
        <v>15</v>
      </c>
    </row>
    <row r="1588" spans="1:14" x14ac:dyDescent="0.2">
      <c r="A1588" t="s">
        <v>119</v>
      </c>
      <c r="B1588" t="s">
        <v>131</v>
      </c>
      <c r="C1588" t="s">
        <v>130</v>
      </c>
      <c r="D1588" t="s">
        <v>121</v>
      </c>
      <c r="E1588" t="s">
        <v>53</v>
      </c>
      <c r="F1588" t="s">
        <v>114</v>
      </c>
      <c r="G1588">
        <v>122639</v>
      </c>
      <c r="H1588" s="75">
        <v>44341</v>
      </c>
      <c r="I1588" t="s">
        <v>115</v>
      </c>
      <c r="J1588">
        <v>5000</v>
      </c>
      <c r="K1588">
        <v>115.16200000000001</v>
      </c>
      <c r="L1588">
        <v>43.417099999999998</v>
      </c>
      <c r="M1588">
        <v>11428.927</v>
      </c>
      <c r="N1588" t="s">
        <v>15</v>
      </c>
    </row>
    <row r="1589" spans="1:14" x14ac:dyDescent="0.2">
      <c r="A1589" t="s">
        <v>119</v>
      </c>
      <c r="B1589" t="s">
        <v>131</v>
      </c>
      <c r="C1589" t="s">
        <v>130</v>
      </c>
      <c r="D1589" t="s">
        <v>121</v>
      </c>
      <c r="E1589" t="s">
        <v>53</v>
      </c>
      <c r="F1589" t="s">
        <v>114</v>
      </c>
      <c r="G1589">
        <v>122639</v>
      </c>
      <c r="H1589" s="75">
        <v>44341</v>
      </c>
      <c r="I1589" t="s">
        <v>116</v>
      </c>
      <c r="J1589">
        <v>2.5</v>
      </c>
      <c r="K1589">
        <v>0</v>
      </c>
      <c r="M1589">
        <v>11428.927</v>
      </c>
      <c r="N1589" t="s">
        <v>17</v>
      </c>
    </row>
    <row r="1590" spans="1:14" x14ac:dyDescent="0.2">
      <c r="A1590" t="s">
        <v>119</v>
      </c>
      <c r="B1590" t="s">
        <v>131</v>
      </c>
      <c r="C1590" t="s">
        <v>130</v>
      </c>
      <c r="D1590" t="s">
        <v>121</v>
      </c>
      <c r="E1590" t="s">
        <v>53</v>
      </c>
      <c r="F1590" t="s">
        <v>114</v>
      </c>
      <c r="G1590">
        <v>122639</v>
      </c>
      <c r="H1590" s="75">
        <v>44371</v>
      </c>
      <c r="I1590" t="s">
        <v>115</v>
      </c>
      <c r="J1590">
        <v>5000</v>
      </c>
      <c r="K1590">
        <v>116.806</v>
      </c>
      <c r="L1590">
        <v>42.806100000000001</v>
      </c>
      <c r="M1590">
        <v>11545.733</v>
      </c>
      <c r="N1590" t="s">
        <v>15</v>
      </c>
    </row>
    <row r="1591" spans="1:14" x14ac:dyDescent="0.2">
      <c r="A1591" t="s">
        <v>119</v>
      </c>
      <c r="B1591" t="s">
        <v>131</v>
      </c>
      <c r="C1591" t="s">
        <v>130</v>
      </c>
      <c r="D1591" t="s">
        <v>121</v>
      </c>
      <c r="E1591" t="s">
        <v>53</v>
      </c>
      <c r="F1591" t="s">
        <v>114</v>
      </c>
      <c r="G1591">
        <v>122639</v>
      </c>
      <c r="H1591" s="75">
        <v>44401</v>
      </c>
      <c r="I1591" t="s">
        <v>115</v>
      </c>
      <c r="J1591">
        <v>5000</v>
      </c>
      <c r="K1591">
        <v>115.714</v>
      </c>
      <c r="L1591">
        <v>43.210099999999997</v>
      </c>
      <c r="M1591">
        <v>11661.446</v>
      </c>
      <c r="N1591" t="s">
        <v>15</v>
      </c>
    </row>
    <row r="1592" spans="1:14" x14ac:dyDescent="0.2">
      <c r="A1592" t="s">
        <v>119</v>
      </c>
      <c r="B1592" t="s">
        <v>131</v>
      </c>
      <c r="C1592" t="s">
        <v>130</v>
      </c>
      <c r="D1592" t="s">
        <v>121</v>
      </c>
      <c r="E1592" t="s">
        <v>53</v>
      </c>
      <c r="F1592" t="s">
        <v>114</v>
      </c>
      <c r="G1592">
        <v>122639</v>
      </c>
      <c r="H1592" s="75">
        <v>44431</v>
      </c>
      <c r="I1592" t="s">
        <v>115</v>
      </c>
      <c r="J1592">
        <v>5000</v>
      </c>
      <c r="K1592">
        <v>114.303</v>
      </c>
      <c r="L1592">
        <v>43.743299999999998</v>
      </c>
      <c r="M1592">
        <v>11775.75</v>
      </c>
      <c r="N1592" t="s">
        <v>15</v>
      </c>
    </row>
    <row r="1593" spans="1:14" x14ac:dyDescent="0.2">
      <c r="A1593" t="s">
        <v>119</v>
      </c>
      <c r="B1593" t="s">
        <v>131</v>
      </c>
      <c r="C1593" t="s">
        <v>130</v>
      </c>
      <c r="D1593" t="s">
        <v>121</v>
      </c>
      <c r="E1593" t="s">
        <v>53</v>
      </c>
      <c r="F1593" t="s">
        <v>114</v>
      </c>
      <c r="G1593">
        <v>122639</v>
      </c>
      <c r="H1593" s="75">
        <v>44431</v>
      </c>
      <c r="I1593" t="s">
        <v>116</v>
      </c>
      <c r="J1593">
        <v>2.5</v>
      </c>
      <c r="K1593">
        <v>0</v>
      </c>
      <c r="M1593">
        <v>11775.75</v>
      </c>
      <c r="N1593" t="s">
        <v>17</v>
      </c>
    </row>
    <row r="1594" spans="1:14" x14ac:dyDescent="0.2">
      <c r="A1594" t="s">
        <v>119</v>
      </c>
      <c r="B1594" t="s">
        <v>131</v>
      </c>
      <c r="C1594" t="s">
        <v>130</v>
      </c>
      <c r="D1594" t="s">
        <v>121</v>
      </c>
      <c r="E1594" t="s">
        <v>53</v>
      </c>
      <c r="F1594" t="s">
        <v>114</v>
      </c>
      <c r="G1594">
        <v>122639</v>
      </c>
      <c r="H1594" s="75">
        <v>44461</v>
      </c>
      <c r="I1594" t="s">
        <v>115</v>
      </c>
      <c r="J1594">
        <v>5000</v>
      </c>
      <c r="K1594">
        <v>114.328</v>
      </c>
      <c r="L1594">
        <v>43.733800000000002</v>
      </c>
      <c r="M1594">
        <v>11890.078</v>
      </c>
      <c r="N1594" t="s">
        <v>15</v>
      </c>
    </row>
    <row r="1595" spans="1:14" x14ac:dyDescent="0.2">
      <c r="A1595" t="s">
        <v>119</v>
      </c>
      <c r="B1595" t="s">
        <v>131</v>
      </c>
      <c r="C1595" t="s">
        <v>130</v>
      </c>
      <c r="D1595" t="s">
        <v>121</v>
      </c>
      <c r="E1595" t="s">
        <v>53</v>
      </c>
      <c r="F1595" t="s">
        <v>114</v>
      </c>
      <c r="G1595">
        <v>122639</v>
      </c>
      <c r="H1595" s="75">
        <v>44491</v>
      </c>
      <c r="I1595" t="s">
        <v>115</v>
      </c>
      <c r="J1595">
        <v>5000</v>
      </c>
      <c r="K1595">
        <v>116.547</v>
      </c>
      <c r="L1595">
        <v>42.9011</v>
      </c>
      <c r="M1595">
        <v>12006.625</v>
      </c>
      <c r="N1595" t="s">
        <v>15</v>
      </c>
    </row>
    <row r="1596" spans="1:14" x14ac:dyDescent="0.2">
      <c r="A1596" t="s">
        <v>119</v>
      </c>
      <c r="B1596" t="s">
        <v>131</v>
      </c>
      <c r="C1596" t="s">
        <v>130</v>
      </c>
      <c r="D1596" t="s">
        <v>121</v>
      </c>
      <c r="E1596" t="s">
        <v>53</v>
      </c>
      <c r="F1596" t="s">
        <v>114</v>
      </c>
      <c r="G1596">
        <v>122639</v>
      </c>
      <c r="H1596" s="75">
        <v>44521</v>
      </c>
      <c r="I1596" t="s">
        <v>115</v>
      </c>
      <c r="J1596">
        <v>5000</v>
      </c>
      <c r="K1596">
        <v>114.95099999999999</v>
      </c>
      <c r="L1596">
        <v>43.4968</v>
      </c>
      <c r="M1596">
        <v>12121.575999999999</v>
      </c>
      <c r="N1596" t="s">
        <v>15</v>
      </c>
    </row>
    <row r="1597" spans="1:14" x14ac:dyDescent="0.2">
      <c r="A1597" t="s">
        <v>119</v>
      </c>
      <c r="B1597" t="s">
        <v>131</v>
      </c>
      <c r="C1597" t="s">
        <v>130</v>
      </c>
      <c r="D1597" t="s">
        <v>121</v>
      </c>
      <c r="E1597" t="s">
        <v>53</v>
      </c>
      <c r="F1597" t="s">
        <v>114</v>
      </c>
      <c r="G1597">
        <v>122639</v>
      </c>
      <c r="H1597" s="75">
        <v>44551</v>
      </c>
      <c r="I1597" t="s">
        <v>115</v>
      </c>
      <c r="J1597">
        <v>5000</v>
      </c>
      <c r="K1597">
        <v>111.71599999999999</v>
      </c>
      <c r="L1597">
        <v>44.756500000000003</v>
      </c>
      <c r="M1597">
        <v>12233.290999999999</v>
      </c>
      <c r="N1597" t="s">
        <v>15</v>
      </c>
    </row>
    <row r="1598" spans="1:14" x14ac:dyDescent="0.2">
      <c r="A1598" t="s">
        <v>119</v>
      </c>
      <c r="B1598" t="s">
        <v>131</v>
      </c>
      <c r="C1598" t="s">
        <v>130</v>
      </c>
      <c r="D1598" t="s">
        <v>121</v>
      </c>
      <c r="E1598" t="s">
        <v>53</v>
      </c>
      <c r="F1598" t="s">
        <v>114</v>
      </c>
      <c r="G1598">
        <v>122639</v>
      </c>
      <c r="H1598" s="75">
        <v>44581</v>
      </c>
      <c r="I1598" t="s">
        <v>115</v>
      </c>
      <c r="J1598">
        <v>5000</v>
      </c>
      <c r="K1598">
        <v>112.952</v>
      </c>
      <c r="L1598">
        <v>44.266800000000003</v>
      </c>
      <c r="M1598">
        <v>12346.243</v>
      </c>
      <c r="N1598" t="s">
        <v>15</v>
      </c>
    </row>
    <row r="1599" spans="1:14" x14ac:dyDescent="0.2">
      <c r="A1599" t="s">
        <v>119</v>
      </c>
      <c r="B1599" t="s">
        <v>131</v>
      </c>
      <c r="C1599" t="s">
        <v>130</v>
      </c>
      <c r="D1599" t="s">
        <v>121</v>
      </c>
      <c r="E1599" t="s">
        <v>53</v>
      </c>
      <c r="F1599" t="s">
        <v>114</v>
      </c>
      <c r="G1599">
        <v>122639</v>
      </c>
      <c r="H1599" s="75">
        <v>44581</v>
      </c>
      <c r="I1599" t="s">
        <v>116</v>
      </c>
      <c r="J1599">
        <v>2.5</v>
      </c>
      <c r="K1599">
        <v>0</v>
      </c>
      <c r="M1599">
        <v>12346.243</v>
      </c>
      <c r="N1599" t="s">
        <v>17</v>
      </c>
    </row>
    <row r="1600" spans="1:14" x14ac:dyDescent="0.2">
      <c r="A1600" t="s">
        <v>119</v>
      </c>
      <c r="B1600" t="s">
        <v>131</v>
      </c>
      <c r="C1600" t="s">
        <v>130</v>
      </c>
      <c r="D1600" t="s">
        <v>121</v>
      </c>
      <c r="E1600" t="s">
        <v>53</v>
      </c>
      <c r="F1600" t="s">
        <v>114</v>
      </c>
      <c r="G1600">
        <v>122639</v>
      </c>
      <c r="H1600" s="75">
        <v>44611</v>
      </c>
      <c r="I1600" t="s">
        <v>115</v>
      </c>
      <c r="J1600">
        <v>5000</v>
      </c>
      <c r="K1600">
        <v>113.773</v>
      </c>
      <c r="L1600">
        <v>43.947099999999999</v>
      </c>
      <c r="M1600">
        <v>12460.016</v>
      </c>
      <c r="N1600" t="s">
        <v>15</v>
      </c>
    </row>
    <row r="1601" spans="1:14" x14ac:dyDescent="0.2">
      <c r="A1601" t="s">
        <v>119</v>
      </c>
      <c r="B1601" t="s">
        <v>131</v>
      </c>
      <c r="C1601" t="s">
        <v>130</v>
      </c>
      <c r="D1601" t="s">
        <v>121</v>
      </c>
      <c r="E1601" t="s">
        <v>53</v>
      </c>
      <c r="F1601" t="s">
        <v>114</v>
      </c>
      <c r="G1601">
        <v>122639</v>
      </c>
      <c r="H1601" s="75">
        <v>44641</v>
      </c>
      <c r="I1601" t="s">
        <v>115</v>
      </c>
      <c r="J1601">
        <v>5000</v>
      </c>
      <c r="K1601">
        <v>112.29600000000001</v>
      </c>
      <c r="L1601">
        <v>44.525100000000002</v>
      </c>
      <c r="M1601">
        <v>12572.312</v>
      </c>
      <c r="N1601" t="s">
        <v>15</v>
      </c>
    </row>
    <row r="1602" spans="1:14" x14ac:dyDescent="0.2">
      <c r="A1602" t="s">
        <v>119</v>
      </c>
      <c r="B1602" t="s">
        <v>131</v>
      </c>
      <c r="C1602" t="s">
        <v>130</v>
      </c>
      <c r="D1602" t="s">
        <v>121</v>
      </c>
      <c r="E1602" t="s">
        <v>53</v>
      </c>
      <c r="F1602" t="s">
        <v>114</v>
      </c>
      <c r="G1602">
        <v>122639</v>
      </c>
      <c r="H1602" s="75">
        <v>44671</v>
      </c>
      <c r="I1602" t="s">
        <v>115</v>
      </c>
      <c r="J1602">
        <v>5000</v>
      </c>
      <c r="K1602">
        <v>110.068</v>
      </c>
      <c r="L1602">
        <v>45.426600000000001</v>
      </c>
      <c r="M1602">
        <v>12682.38</v>
      </c>
      <c r="N1602" t="s">
        <v>15</v>
      </c>
    </row>
    <row r="1603" spans="1:14" x14ac:dyDescent="0.2">
      <c r="A1603" t="s">
        <v>119</v>
      </c>
      <c r="B1603" t="s">
        <v>131</v>
      </c>
      <c r="C1603" t="s">
        <v>130</v>
      </c>
      <c r="D1603" t="s">
        <v>121</v>
      </c>
      <c r="E1603" t="s">
        <v>53</v>
      </c>
      <c r="F1603" t="s">
        <v>114</v>
      </c>
      <c r="G1603">
        <v>122639</v>
      </c>
      <c r="H1603" s="75">
        <v>44701</v>
      </c>
      <c r="I1603" t="s">
        <v>115</v>
      </c>
      <c r="J1603">
        <v>5000</v>
      </c>
      <c r="K1603">
        <v>109.203</v>
      </c>
      <c r="L1603">
        <v>45.7864</v>
      </c>
      <c r="M1603">
        <v>12791.583000000001</v>
      </c>
      <c r="N1603" t="s">
        <v>15</v>
      </c>
    </row>
    <row r="1604" spans="1:14" x14ac:dyDescent="0.2">
      <c r="A1604" t="s">
        <v>119</v>
      </c>
      <c r="B1604" t="s">
        <v>131</v>
      </c>
      <c r="C1604" t="s">
        <v>130</v>
      </c>
      <c r="D1604" t="s">
        <v>121</v>
      </c>
      <c r="E1604" t="s">
        <v>53</v>
      </c>
      <c r="F1604" t="s">
        <v>114</v>
      </c>
      <c r="G1604">
        <v>122639</v>
      </c>
      <c r="H1604" s="75">
        <v>44701</v>
      </c>
      <c r="I1604" t="s">
        <v>117</v>
      </c>
      <c r="J1604">
        <v>2.5</v>
      </c>
      <c r="K1604">
        <v>0</v>
      </c>
      <c r="M1604">
        <v>12791.583000000001</v>
      </c>
      <c r="N1604" t="s">
        <v>46</v>
      </c>
    </row>
    <row r="1605" spans="1:14" x14ac:dyDescent="0.2">
      <c r="A1605" t="s">
        <v>119</v>
      </c>
      <c r="B1605" t="s">
        <v>131</v>
      </c>
      <c r="C1605" t="s">
        <v>130</v>
      </c>
      <c r="D1605" t="s">
        <v>121</v>
      </c>
      <c r="E1605" t="s">
        <v>53</v>
      </c>
      <c r="F1605" t="s">
        <v>114</v>
      </c>
      <c r="G1605">
        <v>122639</v>
      </c>
      <c r="H1605" s="75">
        <v>44731</v>
      </c>
      <c r="I1605" t="s">
        <v>115</v>
      </c>
      <c r="J1605">
        <v>5000</v>
      </c>
      <c r="K1605">
        <v>110.931</v>
      </c>
      <c r="L1605">
        <v>45.073099999999997</v>
      </c>
      <c r="M1605">
        <v>12902.513999999999</v>
      </c>
      <c r="N1605" t="s">
        <v>15</v>
      </c>
    </row>
    <row r="1606" spans="1:14" x14ac:dyDescent="0.2">
      <c r="A1606" t="s">
        <v>119</v>
      </c>
      <c r="B1606" t="s">
        <v>131</v>
      </c>
      <c r="C1606" t="s">
        <v>130</v>
      </c>
      <c r="D1606" t="s">
        <v>121</v>
      </c>
      <c r="E1606" t="s">
        <v>53</v>
      </c>
      <c r="F1606" t="s">
        <v>114</v>
      </c>
      <c r="G1606">
        <v>122639</v>
      </c>
      <c r="H1606" s="75">
        <v>44761</v>
      </c>
      <c r="I1606" t="s">
        <v>115</v>
      </c>
      <c r="J1606">
        <v>5000</v>
      </c>
      <c r="K1606">
        <v>111.532</v>
      </c>
      <c r="L1606">
        <v>44.830300000000001</v>
      </c>
      <c r="M1606">
        <v>13014.045</v>
      </c>
      <c r="N1606" t="s">
        <v>15</v>
      </c>
    </row>
    <row r="1607" spans="1:14" x14ac:dyDescent="0.2">
      <c r="A1607" t="s">
        <v>119</v>
      </c>
      <c r="B1607" t="s">
        <v>131</v>
      </c>
      <c r="C1607" t="s">
        <v>130</v>
      </c>
      <c r="D1607" t="s">
        <v>121</v>
      </c>
      <c r="E1607" t="s">
        <v>53</v>
      </c>
      <c r="F1607" t="s">
        <v>114</v>
      </c>
      <c r="G1607">
        <v>122639</v>
      </c>
      <c r="H1607" s="75">
        <v>44791</v>
      </c>
      <c r="I1607" t="s">
        <v>115</v>
      </c>
      <c r="J1607">
        <v>5000</v>
      </c>
      <c r="K1607">
        <v>113.06100000000001</v>
      </c>
      <c r="L1607">
        <v>44.223999999999997</v>
      </c>
      <c r="M1607">
        <v>13127.106</v>
      </c>
      <c r="N1607" t="s">
        <v>15</v>
      </c>
    </row>
    <row r="1608" spans="1:14" x14ac:dyDescent="0.2">
      <c r="A1608" t="s">
        <v>119</v>
      </c>
      <c r="B1608" t="s">
        <v>131</v>
      </c>
      <c r="C1608" t="s">
        <v>130</v>
      </c>
      <c r="D1608" t="s">
        <v>121</v>
      </c>
      <c r="E1608" t="s">
        <v>53</v>
      </c>
      <c r="F1608" t="s">
        <v>114</v>
      </c>
      <c r="G1608">
        <v>122639</v>
      </c>
      <c r="H1608" s="75">
        <v>44821</v>
      </c>
      <c r="I1608" t="s">
        <v>115</v>
      </c>
      <c r="J1608">
        <v>5000</v>
      </c>
      <c r="K1608">
        <v>113.669</v>
      </c>
      <c r="L1608">
        <v>43.987200000000001</v>
      </c>
      <c r="M1608">
        <v>13240.775</v>
      </c>
      <c r="N1608" t="s">
        <v>15</v>
      </c>
    </row>
    <row r="1609" spans="1:14" x14ac:dyDescent="0.2">
      <c r="A1609" t="s">
        <v>119</v>
      </c>
      <c r="B1609" t="s">
        <v>131</v>
      </c>
      <c r="C1609" t="s">
        <v>130</v>
      </c>
      <c r="D1609" t="s">
        <v>121</v>
      </c>
      <c r="E1609" t="s">
        <v>53</v>
      </c>
      <c r="F1609" t="s">
        <v>114</v>
      </c>
      <c r="G1609">
        <v>122639</v>
      </c>
      <c r="H1609" s="75">
        <v>44851</v>
      </c>
      <c r="I1609" t="s">
        <v>115</v>
      </c>
      <c r="J1609">
        <v>5000</v>
      </c>
      <c r="K1609">
        <v>115.158</v>
      </c>
      <c r="L1609">
        <v>43.418700000000001</v>
      </c>
      <c r="M1609">
        <v>13355.933000000001</v>
      </c>
      <c r="N1609" t="s">
        <v>15</v>
      </c>
    </row>
    <row r="1610" spans="1:14" x14ac:dyDescent="0.2">
      <c r="A1610" t="s">
        <v>119</v>
      </c>
      <c r="B1610" t="s">
        <v>131</v>
      </c>
      <c r="C1610" t="s">
        <v>130</v>
      </c>
      <c r="D1610" t="s">
        <v>121</v>
      </c>
      <c r="E1610" t="s">
        <v>53</v>
      </c>
      <c r="F1610" t="s">
        <v>114</v>
      </c>
      <c r="G1610">
        <v>122639</v>
      </c>
      <c r="H1610" s="75">
        <v>44881</v>
      </c>
      <c r="I1610" t="s">
        <v>115</v>
      </c>
      <c r="J1610">
        <v>5000</v>
      </c>
      <c r="K1610">
        <v>113.363</v>
      </c>
      <c r="L1610">
        <v>44.106299999999997</v>
      </c>
      <c r="M1610">
        <v>13469.296</v>
      </c>
      <c r="N1610" t="s">
        <v>15</v>
      </c>
    </row>
    <row r="1611" spans="1:14" x14ac:dyDescent="0.2">
      <c r="A1611" t="s">
        <v>119</v>
      </c>
      <c r="B1611" t="s">
        <v>131</v>
      </c>
      <c r="C1611" t="s">
        <v>130</v>
      </c>
      <c r="D1611" t="s">
        <v>121</v>
      </c>
      <c r="E1611" t="s">
        <v>53</v>
      </c>
      <c r="F1611" t="s">
        <v>114</v>
      </c>
      <c r="G1611">
        <v>122639</v>
      </c>
      <c r="H1611" s="75">
        <v>44881</v>
      </c>
      <c r="I1611" t="s">
        <v>116</v>
      </c>
      <c r="J1611">
        <v>2.5</v>
      </c>
      <c r="K1611">
        <v>0</v>
      </c>
      <c r="M1611">
        <v>13469.296</v>
      </c>
      <c r="N1611" t="s">
        <v>17</v>
      </c>
    </row>
    <row r="1612" spans="1:14" x14ac:dyDescent="0.2">
      <c r="A1612" t="s">
        <v>119</v>
      </c>
      <c r="B1612" t="s">
        <v>131</v>
      </c>
      <c r="C1612" t="s">
        <v>130</v>
      </c>
      <c r="D1612" t="s">
        <v>121</v>
      </c>
      <c r="E1612" t="s">
        <v>53</v>
      </c>
      <c r="F1612" t="s">
        <v>114</v>
      </c>
      <c r="G1612">
        <v>122639</v>
      </c>
      <c r="H1612" s="75">
        <v>44911</v>
      </c>
      <c r="I1612" t="s">
        <v>115</v>
      </c>
      <c r="J1612">
        <v>5000</v>
      </c>
      <c r="K1612">
        <v>112.625</v>
      </c>
      <c r="L1612">
        <v>44.395200000000003</v>
      </c>
      <c r="M1612">
        <v>13581.921</v>
      </c>
      <c r="N1612" t="s">
        <v>15</v>
      </c>
    </row>
    <row r="1613" spans="1:14" x14ac:dyDescent="0.2">
      <c r="A1613" t="s">
        <v>119</v>
      </c>
      <c r="B1613" t="s">
        <v>131</v>
      </c>
      <c r="C1613" t="s">
        <v>130</v>
      </c>
      <c r="D1613" t="s">
        <v>121</v>
      </c>
      <c r="E1613" t="s">
        <v>53</v>
      </c>
      <c r="F1613" t="s">
        <v>114</v>
      </c>
      <c r="G1613">
        <v>122639</v>
      </c>
      <c r="H1613" s="75">
        <v>44941</v>
      </c>
      <c r="I1613" t="s">
        <v>115</v>
      </c>
      <c r="J1613">
        <v>5000</v>
      </c>
      <c r="K1613">
        <v>114.786</v>
      </c>
      <c r="L1613">
        <v>43.559199999999997</v>
      </c>
      <c r="M1613">
        <v>13696.707</v>
      </c>
      <c r="N1613" t="s">
        <v>15</v>
      </c>
    </row>
    <row r="1614" spans="1:14" x14ac:dyDescent="0.2">
      <c r="A1614" t="s">
        <v>119</v>
      </c>
      <c r="B1614" t="s">
        <v>131</v>
      </c>
      <c r="C1614" t="s">
        <v>130</v>
      </c>
      <c r="D1614" t="s">
        <v>121</v>
      </c>
      <c r="E1614" t="s">
        <v>53</v>
      </c>
      <c r="F1614" t="s">
        <v>114</v>
      </c>
      <c r="G1614">
        <v>122639</v>
      </c>
      <c r="H1614" s="75">
        <v>44971</v>
      </c>
      <c r="I1614" t="s">
        <v>115</v>
      </c>
      <c r="J1614">
        <v>5000</v>
      </c>
      <c r="K1614">
        <v>116.285</v>
      </c>
      <c r="L1614">
        <v>42.997799999999998</v>
      </c>
      <c r="M1614">
        <v>13812.992</v>
      </c>
      <c r="N1614" t="s">
        <v>15</v>
      </c>
    </row>
    <row r="1615" spans="1:14" x14ac:dyDescent="0.2">
      <c r="A1615" t="s">
        <v>119</v>
      </c>
      <c r="B1615" t="s">
        <v>131</v>
      </c>
      <c r="C1615" t="s">
        <v>130</v>
      </c>
      <c r="D1615" t="s">
        <v>121</v>
      </c>
      <c r="E1615" t="s">
        <v>53</v>
      </c>
      <c r="F1615" t="s">
        <v>114</v>
      </c>
      <c r="G1615">
        <v>122639</v>
      </c>
      <c r="H1615" s="75">
        <v>45001</v>
      </c>
      <c r="I1615" t="s">
        <v>115</v>
      </c>
      <c r="J1615">
        <v>5000</v>
      </c>
      <c r="K1615">
        <v>115.255</v>
      </c>
      <c r="L1615">
        <v>43.381999999999998</v>
      </c>
      <c r="M1615">
        <v>13928.246999999999</v>
      </c>
      <c r="N1615" t="s">
        <v>15</v>
      </c>
    </row>
    <row r="1616" spans="1:14" x14ac:dyDescent="0.2">
      <c r="A1616" t="s">
        <v>119</v>
      </c>
      <c r="B1616" t="s">
        <v>131</v>
      </c>
      <c r="C1616" t="s">
        <v>130</v>
      </c>
      <c r="D1616" t="s">
        <v>121</v>
      </c>
      <c r="E1616" t="s">
        <v>53</v>
      </c>
      <c r="F1616" t="s">
        <v>114</v>
      </c>
      <c r="G1616">
        <v>122639</v>
      </c>
      <c r="H1616" s="75">
        <v>45001</v>
      </c>
      <c r="I1616" t="s">
        <v>117</v>
      </c>
      <c r="J1616">
        <v>2.5</v>
      </c>
      <c r="K1616">
        <v>0</v>
      </c>
      <c r="M1616">
        <v>13928.246999999999</v>
      </c>
      <c r="N1616" t="s">
        <v>46</v>
      </c>
    </row>
    <row r="1617" spans="1:14" x14ac:dyDescent="0.2">
      <c r="A1617" t="s">
        <v>119</v>
      </c>
      <c r="B1617" t="s">
        <v>131</v>
      </c>
      <c r="C1617" t="s">
        <v>130</v>
      </c>
      <c r="D1617" t="s">
        <v>121</v>
      </c>
      <c r="E1617" t="s">
        <v>53</v>
      </c>
      <c r="F1617" t="s">
        <v>114</v>
      </c>
      <c r="G1617">
        <v>122639</v>
      </c>
      <c r="H1617" s="75">
        <v>45031</v>
      </c>
      <c r="I1617" t="s">
        <v>115</v>
      </c>
      <c r="J1617">
        <v>5000</v>
      </c>
      <c r="K1617">
        <v>112.46</v>
      </c>
      <c r="L1617">
        <v>44.4602</v>
      </c>
      <c r="M1617">
        <v>14040.707</v>
      </c>
      <c r="N1617" t="s">
        <v>15</v>
      </c>
    </row>
    <row r="1618" spans="1:14" x14ac:dyDescent="0.2">
      <c r="A1618" t="s">
        <v>119</v>
      </c>
      <c r="B1618" t="s">
        <v>131</v>
      </c>
      <c r="C1618" t="s">
        <v>130</v>
      </c>
      <c r="D1618" t="s">
        <v>121</v>
      </c>
      <c r="E1618" t="s">
        <v>53</v>
      </c>
      <c r="F1618" t="s">
        <v>114</v>
      </c>
      <c r="G1618">
        <v>122639</v>
      </c>
      <c r="H1618" s="75">
        <v>45061</v>
      </c>
      <c r="I1618" t="s">
        <v>115</v>
      </c>
      <c r="J1618">
        <v>5000</v>
      </c>
      <c r="K1618">
        <v>114.36499999999999</v>
      </c>
      <c r="L1618">
        <v>43.719499999999996</v>
      </c>
      <c r="M1618">
        <v>14155.073</v>
      </c>
      <c r="N1618" t="s">
        <v>15</v>
      </c>
    </row>
    <row r="1619" spans="1:14" x14ac:dyDescent="0.2">
      <c r="A1619" t="s">
        <v>119</v>
      </c>
      <c r="B1619" t="s">
        <v>131</v>
      </c>
      <c r="C1619" t="s">
        <v>130</v>
      </c>
      <c r="D1619" t="s">
        <v>121</v>
      </c>
      <c r="E1619" t="s">
        <v>53</v>
      </c>
      <c r="F1619" t="s">
        <v>114</v>
      </c>
      <c r="G1619">
        <v>122639</v>
      </c>
      <c r="H1619" s="75">
        <v>45061</v>
      </c>
      <c r="I1619" t="s">
        <v>117</v>
      </c>
      <c r="J1619">
        <v>2.5</v>
      </c>
      <c r="K1619">
        <v>0</v>
      </c>
      <c r="M1619">
        <v>14155.073</v>
      </c>
      <c r="N1619" t="s">
        <v>46</v>
      </c>
    </row>
    <row r="1620" spans="1:14" x14ac:dyDescent="0.2">
      <c r="A1620" t="s">
        <v>119</v>
      </c>
      <c r="B1620" t="s">
        <v>131</v>
      </c>
      <c r="C1620" t="s">
        <v>130</v>
      </c>
      <c r="D1620" t="s">
        <v>121</v>
      </c>
      <c r="E1620" t="s">
        <v>53</v>
      </c>
      <c r="F1620" t="s">
        <v>114</v>
      </c>
      <c r="G1620">
        <v>122639</v>
      </c>
      <c r="H1620" s="75">
        <v>45091</v>
      </c>
      <c r="I1620" t="s">
        <v>115</v>
      </c>
      <c r="J1620">
        <v>5000</v>
      </c>
      <c r="K1620">
        <v>112.083</v>
      </c>
      <c r="L1620">
        <v>44.609699999999997</v>
      </c>
      <c r="M1620">
        <v>14267.156000000001</v>
      </c>
      <c r="N1620" t="s">
        <v>15</v>
      </c>
    </row>
    <row r="1621" spans="1:14" x14ac:dyDescent="0.2">
      <c r="A1621" t="s">
        <v>119</v>
      </c>
      <c r="B1621" t="s">
        <v>131</v>
      </c>
      <c r="C1621" t="s">
        <v>130</v>
      </c>
      <c r="D1621" t="s">
        <v>121</v>
      </c>
      <c r="E1621" t="s">
        <v>53</v>
      </c>
      <c r="F1621" t="s">
        <v>114</v>
      </c>
      <c r="G1621">
        <v>122639</v>
      </c>
      <c r="H1621" s="75">
        <v>45121</v>
      </c>
      <c r="I1621" t="s">
        <v>115</v>
      </c>
      <c r="J1621">
        <v>5000</v>
      </c>
      <c r="K1621">
        <v>113.91200000000001</v>
      </c>
      <c r="L1621">
        <v>43.893300000000004</v>
      </c>
      <c r="M1621">
        <v>14381.069</v>
      </c>
      <c r="N1621" t="s">
        <v>15</v>
      </c>
    </row>
    <row r="1622" spans="1:14" x14ac:dyDescent="0.2">
      <c r="A1622" t="s">
        <v>119</v>
      </c>
      <c r="B1622" t="s">
        <v>131</v>
      </c>
      <c r="C1622" t="s">
        <v>130</v>
      </c>
      <c r="D1622" t="s">
        <v>121</v>
      </c>
      <c r="E1622" t="s">
        <v>53</v>
      </c>
      <c r="F1622" t="s">
        <v>114</v>
      </c>
      <c r="G1622">
        <v>122639</v>
      </c>
      <c r="H1622" s="75">
        <v>45151</v>
      </c>
      <c r="I1622" t="s">
        <v>115</v>
      </c>
      <c r="J1622">
        <v>5000</v>
      </c>
      <c r="K1622">
        <v>115.04300000000001</v>
      </c>
      <c r="L1622">
        <v>43.462200000000003</v>
      </c>
      <c r="M1622">
        <v>14496.111000000001</v>
      </c>
      <c r="N1622" t="s">
        <v>15</v>
      </c>
    </row>
    <row r="1623" spans="1:14" x14ac:dyDescent="0.2">
      <c r="A1623" t="s">
        <v>119</v>
      </c>
      <c r="B1623" t="s">
        <v>131</v>
      </c>
      <c r="C1623" t="s">
        <v>130</v>
      </c>
      <c r="D1623" t="s">
        <v>121</v>
      </c>
      <c r="E1623" t="s">
        <v>53</v>
      </c>
      <c r="F1623" t="s">
        <v>114</v>
      </c>
      <c r="G1623">
        <v>122639</v>
      </c>
      <c r="H1623" s="75">
        <v>45181</v>
      </c>
      <c r="I1623" t="s">
        <v>115</v>
      </c>
      <c r="J1623">
        <v>5000</v>
      </c>
      <c r="K1623">
        <v>116.621</v>
      </c>
      <c r="L1623">
        <v>42.874000000000002</v>
      </c>
      <c r="M1623">
        <v>14612.732</v>
      </c>
      <c r="N1623" t="s">
        <v>15</v>
      </c>
    </row>
    <row r="1624" spans="1:14" x14ac:dyDescent="0.2">
      <c r="A1624" t="s">
        <v>119</v>
      </c>
      <c r="B1624" t="s">
        <v>131</v>
      </c>
      <c r="C1624" t="s">
        <v>130</v>
      </c>
      <c r="D1624" t="s">
        <v>121</v>
      </c>
      <c r="E1624" t="s">
        <v>53</v>
      </c>
      <c r="F1624" t="s">
        <v>114</v>
      </c>
      <c r="G1624">
        <v>122639</v>
      </c>
      <c r="H1624" s="75">
        <v>45211</v>
      </c>
      <c r="I1624" t="s">
        <v>115</v>
      </c>
      <c r="J1624">
        <v>5000</v>
      </c>
      <c r="K1624">
        <v>117.83199999999999</v>
      </c>
      <c r="L1624">
        <v>42.433300000000003</v>
      </c>
      <c r="M1624">
        <v>14730.564</v>
      </c>
      <c r="N1624" t="s">
        <v>15</v>
      </c>
    </row>
    <row r="1625" spans="1:14" x14ac:dyDescent="0.2">
      <c r="A1625" t="s">
        <v>119</v>
      </c>
      <c r="B1625" t="s">
        <v>131</v>
      </c>
      <c r="C1625" t="s">
        <v>130</v>
      </c>
      <c r="D1625" t="s">
        <v>121</v>
      </c>
      <c r="E1625" t="s">
        <v>53</v>
      </c>
      <c r="F1625" t="s">
        <v>114</v>
      </c>
      <c r="G1625">
        <v>122639</v>
      </c>
      <c r="H1625" s="75">
        <v>45241</v>
      </c>
      <c r="I1625" t="s">
        <v>115</v>
      </c>
      <c r="J1625">
        <v>5000</v>
      </c>
      <c r="K1625">
        <v>115.123</v>
      </c>
      <c r="L1625">
        <v>43.431899999999999</v>
      </c>
      <c r="M1625">
        <v>14845.687</v>
      </c>
      <c r="N1625" t="s">
        <v>15</v>
      </c>
    </row>
    <row r="1626" spans="1:14" x14ac:dyDescent="0.2">
      <c r="A1626" t="s">
        <v>119</v>
      </c>
      <c r="B1626" t="s">
        <v>131</v>
      </c>
      <c r="C1626" t="s">
        <v>130</v>
      </c>
      <c r="D1626" t="s">
        <v>121</v>
      </c>
      <c r="E1626" t="s">
        <v>53</v>
      </c>
      <c r="F1626" t="s">
        <v>114</v>
      </c>
      <c r="G1626">
        <v>122639</v>
      </c>
      <c r="H1626" s="75">
        <v>45271</v>
      </c>
      <c r="I1626" t="s">
        <v>115</v>
      </c>
      <c r="J1626">
        <v>5000</v>
      </c>
      <c r="K1626">
        <v>114.14100000000001</v>
      </c>
      <c r="L1626">
        <v>43.805500000000002</v>
      </c>
      <c r="M1626">
        <v>14959.828</v>
      </c>
      <c r="N1626" t="s">
        <v>15</v>
      </c>
    </row>
    <row r="1627" spans="1:14" x14ac:dyDescent="0.2">
      <c r="A1627" t="s">
        <v>119</v>
      </c>
      <c r="B1627" t="s">
        <v>131</v>
      </c>
      <c r="C1627" t="s">
        <v>130</v>
      </c>
      <c r="D1627" t="s">
        <v>121</v>
      </c>
      <c r="E1627" t="s">
        <v>53</v>
      </c>
      <c r="F1627" t="s">
        <v>114</v>
      </c>
      <c r="G1627">
        <v>122639</v>
      </c>
      <c r="H1627" s="75">
        <v>45301</v>
      </c>
      <c r="I1627" t="s">
        <v>115</v>
      </c>
      <c r="J1627">
        <v>5000</v>
      </c>
      <c r="K1627">
        <v>112.672</v>
      </c>
      <c r="L1627">
        <v>44.3765</v>
      </c>
      <c r="M1627">
        <v>15072.5</v>
      </c>
      <c r="N1627" t="s">
        <v>15</v>
      </c>
    </row>
    <row r="1628" spans="1:14" x14ac:dyDescent="0.2">
      <c r="A1628" t="s">
        <v>119</v>
      </c>
      <c r="B1628" t="s">
        <v>131</v>
      </c>
      <c r="C1628" t="s">
        <v>130</v>
      </c>
      <c r="D1628" t="s">
        <v>121</v>
      </c>
      <c r="E1628" t="s">
        <v>53</v>
      </c>
      <c r="F1628" t="s">
        <v>114</v>
      </c>
      <c r="G1628">
        <v>122639</v>
      </c>
      <c r="H1628" s="75">
        <v>45331</v>
      </c>
      <c r="I1628" t="s">
        <v>115</v>
      </c>
      <c r="J1628">
        <v>5000</v>
      </c>
      <c r="K1628">
        <v>114.08199999999999</v>
      </c>
      <c r="L1628">
        <v>43.828000000000003</v>
      </c>
      <c r="M1628">
        <v>15186.583000000001</v>
      </c>
      <c r="N1628" t="s">
        <v>15</v>
      </c>
    </row>
    <row r="1629" spans="1:14" x14ac:dyDescent="0.2">
      <c r="A1629" t="s">
        <v>119</v>
      </c>
      <c r="B1629" t="s">
        <v>131</v>
      </c>
      <c r="C1629" t="s">
        <v>130</v>
      </c>
      <c r="D1629" t="s">
        <v>121</v>
      </c>
      <c r="E1629" t="s">
        <v>53</v>
      </c>
      <c r="F1629" t="s">
        <v>114</v>
      </c>
      <c r="G1629">
        <v>122639</v>
      </c>
      <c r="H1629" s="75">
        <v>45361</v>
      </c>
      <c r="I1629" t="s">
        <v>115</v>
      </c>
      <c r="J1629">
        <v>5000</v>
      </c>
      <c r="K1629">
        <v>112.79300000000001</v>
      </c>
      <c r="L1629">
        <v>44.329000000000001</v>
      </c>
      <c r="M1629">
        <v>15299.376</v>
      </c>
      <c r="N1629" t="s">
        <v>15</v>
      </c>
    </row>
    <row r="1630" spans="1:14" x14ac:dyDescent="0.2">
      <c r="A1630" t="s">
        <v>119</v>
      </c>
      <c r="B1630" t="s">
        <v>131</v>
      </c>
      <c r="C1630" t="s">
        <v>130</v>
      </c>
      <c r="D1630" t="s">
        <v>121</v>
      </c>
      <c r="E1630" t="s">
        <v>53</v>
      </c>
      <c r="F1630" t="s">
        <v>114</v>
      </c>
      <c r="G1630">
        <v>122639</v>
      </c>
      <c r="H1630" s="75">
        <v>45391</v>
      </c>
      <c r="I1630" t="s">
        <v>115</v>
      </c>
      <c r="J1630">
        <v>5000</v>
      </c>
      <c r="K1630">
        <v>112.901</v>
      </c>
      <c r="L1630">
        <v>44.2864</v>
      </c>
      <c r="M1630">
        <v>15412.277</v>
      </c>
      <c r="N1630" t="s">
        <v>15</v>
      </c>
    </row>
    <row r="1631" spans="1:14" x14ac:dyDescent="0.2">
      <c r="A1631" t="s">
        <v>119</v>
      </c>
      <c r="B1631" t="s">
        <v>131</v>
      </c>
      <c r="C1631" t="s">
        <v>130</v>
      </c>
      <c r="D1631" t="s">
        <v>121</v>
      </c>
      <c r="E1631" t="s">
        <v>53</v>
      </c>
      <c r="F1631" t="s">
        <v>114</v>
      </c>
      <c r="G1631">
        <v>122639</v>
      </c>
      <c r="H1631" s="75">
        <v>45421</v>
      </c>
      <c r="I1631" t="s">
        <v>115</v>
      </c>
      <c r="J1631">
        <v>5000</v>
      </c>
      <c r="K1631">
        <v>114.926</v>
      </c>
      <c r="L1631">
        <v>43.506100000000004</v>
      </c>
      <c r="M1631">
        <v>15527.203</v>
      </c>
      <c r="N1631" t="s">
        <v>15</v>
      </c>
    </row>
    <row r="1632" spans="1:14" x14ac:dyDescent="0.2">
      <c r="A1632" t="s">
        <v>119</v>
      </c>
      <c r="B1632" t="s">
        <v>131</v>
      </c>
      <c r="C1632" t="s">
        <v>130</v>
      </c>
      <c r="D1632" t="s">
        <v>121</v>
      </c>
      <c r="E1632" t="s">
        <v>53</v>
      </c>
      <c r="F1632" t="s">
        <v>114</v>
      </c>
      <c r="G1632">
        <v>122639</v>
      </c>
      <c r="H1632" s="75">
        <v>45421</v>
      </c>
      <c r="I1632" t="s">
        <v>117</v>
      </c>
      <c r="J1632">
        <v>2.5</v>
      </c>
      <c r="K1632">
        <v>0</v>
      </c>
      <c r="M1632">
        <v>15527.203</v>
      </c>
      <c r="N1632" t="s">
        <v>46</v>
      </c>
    </row>
    <row r="1633" spans="1:14" x14ac:dyDescent="0.2">
      <c r="A1633" t="s">
        <v>119</v>
      </c>
      <c r="B1633" t="s">
        <v>131</v>
      </c>
      <c r="C1633" t="s">
        <v>130</v>
      </c>
      <c r="D1633" t="s">
        <v>121</v>
      </c>
      <c r="E1633" t="s">
        <v>53</v>
      </c>
      <c r="F1633" t="s">
        <v>114</v>
      </c>
      <c r="G1633">
        <v>122639</v>
      </c>
      <c r="H1633" s="75">
        <v>45451</v>
      </c>
      <c r="I1633" t="s">
        <v>115</v>
      </c>
      <c r="J1633">
        <v>5000</v>
      </c>
      <c r="K1633">
        <v>114.351</v>
      </c>
      <c r="L1633">
        <v>43.725200000000001</v>
      </c>
      <c r="M1633">
        <v>15641.554</v>
      </c>
      <c r="N1633" t="s">
        <v>15</v>
      </c>
    </row>
    <row r="1634" spans="1:14" x14ac:dyDescent="0.2">
      <c r="A1634" t="s">
        <v>119</v>
      </c>
      <c r="B1634" t="s">
        <v>131</v>
      </c>
      <c r="C1634" t="s">
        <v>130</v>
      </c>
      <c r="D1634" t="s">
        <v>121</v>
      </c>
      <c r="E1634" t="s">
        <v>53</v>
      </c>
      <c r="F1634" t="s">
        <v>114</v>
      </c>
      <c r="G1634">
        <v>122639</v>
      </c>
      <c r="H1634" s="75">
        <v>45451</v>
      </c>
      <c r="I1634" t="s">
        <v>116</v>
      </c>
      <c r="J1634">
        <v>2.5</v>
      </c>
      <c r="K1634">
        <v>0</v>
      </c>
      <c r="M1634">
        <v>15641.554</v>
      </c>
      <c r="N1634" t="s">
        <v>17</v>
      </c>
    </row>
    <row r="1635" spans="1:14" x14ac:dyDescent="0.2">
      <c r="A1635" t="s">
        <v>119</v>
      </c>
      <c r="B1635" t="s">
        <v>131</v>
      </c>
      <c r="C1635" t="s">
        <v>130</v>
      </c>
      <c r="D1635" t="s">
        <v>121</v>
      </c>
      <c r="E1635" t="s">
        <v>53</v>
      </c>
      <c r="F1635" t="s">
        <v>114</v>
      </c>
      <c r="G1635">
        <v>122639</v>
      </c>
      <c r="H1635" s="75">
        <v>45481</v>
      </c>
      <c r="I1635" t="s">
        <v>115</v>
      </c>
      <c r="J1635">
        <v>5000</v>
      </c>
      <c r="K1635">
        <v>115.649</v>
      </c>
      <c r="L1635">
        <v>43.234400000000001</v>
      </c>
      <c r="M1635">
        <v>15757.203</v>
      </c>
      <c r="N1635" t="s">
        <v>15</v>
      </c>
    </row>
    <row r="1636" spans="1:14" x14ac:dyDescent="0.2">
      <c r="A1636" t="s">
        <v>119</v>
      </c>
      <c r="B1636" t="s">
        <v>131</v>
      </c>
      <c r="C1636" t="s">
        <v>130</v>
      </c>
      <c r="D1636" t="s">
        <v>121</v>
      </c>
      <c r="E1636" t="s">
        <v>53</v>
      </c>
      <c r="F1636" t="s">
        <v>114</v>
      </c>
      <c r="G1636">
        <v>122639</v>
      </c>
      <c r="H1636" s="75">
        <v>45511</v>
      </c>
      <c r="I1636" t="s">
        <v>115</v>
      </c>
      <c r="J1636">
        <v>5000</v>
      </c>
      <c r="K1636">
        <v>113.893</v>
      </c>
      <c r="L1636">
        <v>43.900700000000001</v>
      </c>
      <c r="M1636">
        <v>15871.096</v>
      </c>
      <c r="N1636" t="s">
        <v>15</v>
      </c>
    </row>
    <row r="1637" spans="1:14" x14ac:dyDescent="0.2">
      <c r="A1637" t="s">
        <v>119</v>
      </c>
      <c r="B1637" t="s">
        <v>131</v>
      </c>
      <c r="C1637" t="s">
        <v>130</v>
      </c>
      <c r="D1637" t="s">
        <v>121</v>
      </c>
      <c r="E1637" t="s">
        <v>53</v>
      </c>
      <c r="F1637" t="s">
        <v>114</v>
      </c>
      <c r="G1637">
        <v>122639</v>
      </c>
      <c r="H1637" s="75">
        <v>45541</v>
      </c>
      <c r="I1637" t="s">
        <v>115</v>
      </c>
      <c r="J1637">
        <v>5000</v>
      </c>
      <c r="K1637">
        <v>115.393</v>
      </c>
      <c r="L1637">
        <v>43.330399999999997</v>
      </c>
      <c r="M1637">
        <v>15986.487999999999</v>
      </c>
      <c r="N1637" t="s">
        <v>15</v>
      </c>
    </row>
    <row r="1638" spans="1:14" x14ac:dyDescent="0.2">
      <c r="A1638" t="s">
        <v>119</v>
      </c>
      <c r="B1638" t="s">
        <v>131</v>
      </c>
      <c r="C1638" t="s">
        <v>130</v>
      </c>
      <c r="D1638" t="s">
        <v>121</v>
      </c>
      <c r="E1638" t="s">
        <v>53</v>
      </c>
      <c r="F1638" t="s">
        <v>114</v>
      </c>
      <c r="G1638">
        <v>122639</v>
      </c>
      <c r="H1638" s="75">
        <v>45571</v>
      </c>
      <c r="I1638" t="s">
        <v>115</v>
      </c>
      <c r="J1638">
        <v>5000</v>
      </c>
      <c r="K1638">
        <v>116.65</v>
      </c>
      <c r="L1638">
        <v>42.863300000000002</v>
      </c>
      <c r="M1638">
        <v>16103.138000000001</v>
      </c>
      <c r="N1638" t="s">
        <v>15</v>
      </c>
    </row>
    <row r="1639" spans="1:14" x14ac:dyDescent="0.2">
      <c r="A1639" t="s">
        <v>119</v>
      </c>
      <c r="B1639" t="s">
        <v>131</v>
      </c>
      <c r="C1639" t="s">
        <v>130</v>
      </c>
      <c r="D1639" t="s">
        <v>121</v>
      </c>
      <c r="E1639" t="s">
        <v>53</v>
      </c>
      <c r="F1639" t="s">
        <v>114</v>
      </c>
      <c r="G1639">
        <v>122639</v>
      </c>
      <c r="H1639" s="75">
        <v>45601</v>
      </c>
      <c r="I1639" t="s">
        <v>115</v>
      </c>
      <c r="J1639">
        <v>5000</v>
      </c>
      <c r="K1639">
        <v>118.998</v>
      </c>
      <c r="L1639">
        <v>42.017499999999998</v>
      </c>
      <c r="M1639">
        <v>16222.136</v>
      </c>
      <c r="N1639" t="s">
        <v>15</v>
      </c>
    </row>
    <row r="1640" spans="1:14" x14ac:dyDescent="0.2">
      <c r="A1640" t="s">
        <v>119</v>
      </c>
      <c r="B1640" t="s">
        <v>131</v>
      </c>
      <c r="C1640" t="s">
        <v>130</v>
      </c>
      <c r="D1640" t="s">
        <v>121</v>
      </c>
      <c r="E1640" t="s">
        <v>53</v>
      </c>
      <c r="F1640" t="s">
        <v>114</v>
      </c>
      <c r="G1640">
        <v>122639</v>
      </c>
      <c r="H1640" s="75">
        <v>45631</v>
      </c>
      <c r="I1640" t="s">
        <v>115</v>
      </c>
      <c r="J1640">
        <v>5000</v>
      </c>
      <c r="K1640">
        <v>120.801</v>
      </c>
      <c r="L1640">
        <v>41.3902</v>
      </c>
      <c r="M1640">
        <v>16342.938</v>
      </c>
      <c r="N1640" t="s">
        <v>15</v>
      </c>
    </row>
    <row r="1641" spans="1:14" x14ac:dyDescent="0.2">
      <c r="A1641" t="s">
        <v>119</v>
      </c>
      <c r="B1641" t="s">
        <v>131</v>
      </c>
      <c r="C1641" t="s">
        <v>130</v>
      </c>
      <c r="D1641" t="s">
        <v>121</v>
      </c>
      <c r="E1641" t="s">
        <v>53</v>
      </c>
      <c r="F1641" t="s">
        <v>114</v>
      </c>
      <c r="G1641">
        <v>122639</v>
      </c>
      <c r="H1641" s="75">
        <v>45661</v>
      </c>
      <c r="I1641" t="s">
        <v>115</v>
      </c>
      <c r="J1641">
        <v>5000</v>
      </c>
      <c r="K1641">
        <v>120.04600000000001</v>
      </c>
      <c r="L1641">
        <v>41.650799999999997</v>
      </c>
      <c r="M1641">
        <v>16462.983</v>
      </c>
      <c r="N1641" t="s">
        <v>15</v>
      </c>
    </row>
    <row r="1642" spans="1:14" x14ac:dyDescent="0.2">
      <c r="A1642" t="s">
        <v>119</v>
      </c>
      <c r="B1642" t="s">
        <v>131</v>
      </c>
      <c r="C1642" t="s">
        <v>130</v>
      </c>
      <c r="D1642" t="s">
        <v>121</v>
      </c>
      <c r="E1642" t="s">
        <v>53</v>
      </c>
      <c r="F1642" t="s">
        <v>114</v>
      </c>
      <c r="G1642">
        <v>122639</v>
      </c>
      <c r="H1642" s="75">
        <v>45691</v>
      </c>
      <c r="I1642" t="s">
        <v>115</v>
      </c>
      <c r="J1642">
        <v>5000</v>
      </c>
      <c r="K1642">
        <v>118.419</v>
      </c>
      <c r="L1642">
        <v>42.222799999999999</v>
      </c>
      <c r="M1642">
        <v>16581.402999999998</v>
      </c>
      <c r="N1642" t="s">
        <v>15</v>
      </c>
    </row>
    <row r="1643" spans="1:14" x14ac:dyDescent="0.2">
      <c r="A1643" t="s">
        <v>119</v>
      </c>
      <c r="B1643" t="s">
        <v>131</v>
      </c>
      <c r="C1643" t="s">
        <v>130</v>
      </c>
      <c r="D1643" t="s">
        <v>121</v>
      </c>
      <c r="E1643" t="s">
        <v>53</v>
      </c>
      <c r="F1643" t="s">
        <v>114</v>
      </c>
      <c r="G1643">
        <v>122639</v>
      </c>
      <c r="H1643" s="75">
        <v>45691</v>
      </c>
      <c r="I1643" t="s">
        <v>116</v>
      </c>
      <c r="J1643">
        <v>2.5</v>
      </c>
      <c r="K1643">
        <v>0</v>
      </c>
      <c r="M1643">
        <v>16581.402999999998</v>
      </c>
      <c r="N1643" t="s">
        <v>17</v>
      </c>
    </row>
    <row r="1644" spans="1:14" x14ac:dyDescent="0.2">
      <c r="A1644" t="s">
        <v>119</v>
      </c>
      <c r="B1644" t="s">
        <v>131</v>
      </c>
      <c r="C1644" t="s">
        <v>130</v>
      </c>
      <c r="D1644" t="s">
        <v>121</v>
      </c>
      <c r="E1644" t="s">
        <v>53</v>
      </c>
      <c r="F1644" t="s">
        <v>114</v>
      </c>
      <c r="G1644">
        <v>122639</v>
      </c>
      <c r="H1644" s="75">
        <v>45721</v>
      </c>
      <c r="I1644" t="s">
        <v>115</v>
      </c>
      <c r="J1644">
        <v>5000</v>
      </c>
      <c r="K1644">
        <v>117.08199999999999</v>
      </c>
      <c r="L1644">
        <v>42.705100000000002</v>
      </c>
      <c r="M1644">
        <v>16698.485000000001</v>
      </c>
      <c r="N1644" t="s">
        <v>15</v>
      </c>
    </row>
    <row r="1645" spans="1:14" x14ac:dyDescent="0.2">
      <c r="A1645" t="s">
        <v>119</v>
      </c>
      <c r="B1645" t="s">
        <v>131</v>
      </c>
      <c r="C1645" t="s">
        <v>130</v>
      </c>
      <c r="D1645" t="s">
        <v>121</v>
      </c>
      <c r="E1645" t="s">
        <v>53</v>
      </c>
      <c r="F1645" t="s">
        <v>114</v>
      </c>
      <c r="G1645">
        <v>122639</v>
      </c>
      <c r="H1645" s="75">
        <v>45751</v>
      </c>
      <c r="I1645" t="s">
        <v>115</v>
      </c>
      <c r="J1645">
        <v>5000</v>
      </c>
      <c r="K1645">
        <v>116.547</v>
      </c>
      <c r="L1645">
        <v>42.901200000000003</v>
      </c>
      <c r="M1645">
        <v>16815.031999999999</v>
      </c>
      <c r="N1645" t="s">
        <v>15</v>
      </c>
    </row>
    <row r="1646" spans="1:14" x14ac:dyDescent="0.2">
      <c r="A1646" t="s">
        <v>119</v>
      </c>
      <c r="B1646" t="s">
        <v>131</v>
      </c>
      <c r="C1646" t="s">
        <v>130</v>
      </c>
      <c r="D1646" t="s">
        <v>121</v>
      </c>
      <c r="E1646" t="s">
        <v>53</v>
      </c>
      <c r="F1646" t="s">
        <v>114</v>
      </c>
      <c r="G1646">
        <v>122639</v>
      </c>
      <c r="H1646" s="75">
        <v>45781</v>
      </c>
      <c r="I1646" t="s">
        <v>115</v>
      </c>
      <c r="J1646">
        <v>5000</v>
      </c>
      <c r="K1646">
        <v>114.05200000000001</v>
      </c>
      <c r="L1646">
        <v>43.839799999999997</v>
      </c>
      <c r="M1646">
        <v>16929.083999999999</v>
      </c>
      <c r="N1646" t="s">
        <v>15</v>
      </c>
    </row>
    <row r="1647" spans="1:14" x14ac:dyDescent="0.2">
      <c r="A1647" t="s">
        <v>119</v>
      </c>
      <c r="B1647" t="s">
        <v>131</v>
      </c>
      <c r="C1647" t="s">
        <v>130</v>
      </c>
      <c r="D1647" t="s">
        <v>121</v>
      </c>
      <c r="E1647" t="s">
        <v>53</v>
      </c>
      <c r="F1647" t="s">
        <v>114</v>
      </c>
      <c r="G1647">
        <v>122639</v>
      </c>
      <c r="H1647" s="75">
        <v>45811</v>
      </c>
      <c r="I1647" t="s">
        <v>115</v>
      </c>
      <c r="J1647">
        <v>5000</v>
      </c>
      <c r="K1647">
        <v>114.32899999999999</v>
      </c>
      <c r="L1647">
        <v>43.733499999999999</v>
      </c>
      <c r="M1647">
        <v>17043.412</v>
      </c>
      <c r="N1647" t="s">
        <v>15</v>
      </c>
    </row>
    <row r="1648" spans="1:14" x14ac:dyDescent="0.2">
      <c r="A1648" t="s">
        <v>119</v>
      </c>
      <c r="B1648" t="s">
        <v>131</v>
      </c>
      <c r="C1648" t="s">
        <v>130</v>
      </c>
      <c r="D1648" t="s">
        <v>121</v>
      </c>
      <c r="E1648" t="s">
        <v>53</v>
      </c>
      <c r="F1648" t="s">
        <v>114</v>
      </c>
      <c r="G1648">
        <v>122639</v>
      </c>
      <c r="H1648" s="75">
        <v>45841</v>
      </c>
      <c r="I1648" t="s">
        <v>115</v>
      </c>
      <c r="J1648">
        <v>5000</v>
      </c>
      <c r="K1648">
        <v>114.532</v>
      </c>
      <c r="L1648">
        <v>43.656100000000002</v>
      </c>
      <c r="M1648">
        <v>17157.944</v>
      </c>
      <c r="N1648" t="s">
        <v>15</v>
      </c>
    </row>
    <row r="1649" spans="1:14" x14ac:dyDescent="0.2">
      <c r="A1649" t="s">
        <v>119</v>
      </c>
      <c r="B1649" t="s">
        <v>131</v>
      </c>
      <c r="C1649" t="s">
        <v>130</v>
      </c>
      <c r="D1649" t="s">
        <v>121</v>
      </c>
      <c r="E1649" t="s">
        <v>53</v>
      </c>
      <c r="F1649" t="s">
        <v>114</v>
      </c>
      <c r="G1649">
        <v>122639</v>
      </c>
      <c r="H1649" s="75">
        <v>45871</v>
      </c>
      <c r="I1649" t="s">
        <v>115</v>
      </c>
      <c r="J1649">
        <v>5000</v>
      </c>
      <c r="K1649">
        <v>112.879</v>
      </c>
      <c r="L1649">
        <v>44.295200000000001</v>
      </c>
      <c r="M1649">
        <v>17270.823</v>
      </c>
      <c r="N1649" t="s">
        <v>15</v>
      </c>
    </row>
    <row r="1650" spans="1:14" x14ac:dyDescent="0.2">
      <c r="A1650" t="s">
        <v>119</v>
      </c>
      <c r="B1650" t="s">
        <v>131</v>
      </c>
      <c r="C1650" t="s">
        <v>130</v>
      </c>
      <c r="D1650" t="s">
        <v>121</v>
      </c>
      <c r="E1650" t="s">
        <v>53</v>
      </c>
      <c r="F1650" t="s">
        <v>114</v>
      </c>
      <c r="G1650">
        <v>122639</v>
      </c>
      <c r="H1650" s="75">
        <v>45901</v>
      </c>
      <c r="I1650" t="s">
        <v>115</v>
      </c>
      <c r="J1650">
        <v>5000</v>
      </c>
      <c r="K1650">
        <v>110.426</v>
      </c>
      <c r="L1650">
        <v>45.2791</v>
      </c>
      <c r="M1650">
        <v>17381.249</v>
      </c>
      <c r="N1650" t="s">
        <v>15</v>
      </c>
    </row>
    <row r="1651" spans="1:14" x14ac:dyDescent="0.2">
      <c r="A1651" t="s">
        <v>119</v>
      </c>
      <c r="B1651" t="s">
        <v>131</v>
      </c>
      <c r="C1651" t="s">
        <v>130</v>
      </c>
      <c r="D1651" t="s">
        <v>121</v>
      </c>
      <c r="E1651" t="s">
        <v>53</v>
      </c>
      <c r="F1651" t="s">
        <v>114</v>
      </c>
      <c r="G1651">
        <v>122639</v>
      </c>
      <c r="H1651" s="75">
        <v>45931</v>
      </c>
      <c r="I1651" t="s">
        <v>115</v>
      </c>
      <c r="J1651">
        <v>5000</v>
      </c>
      <c r="K1651">
        <v>108.539</v>
      </c>
      <c r="L1651">
        <v>46.066200000000002</v>
      </c>
      <c r="M1651">
        <v>17489.789000000001</v>
      </c>
      <c r="N1651" t="s">
        <v>15</v>
      </c>
    </row>
    <row r="1652" spans="1:14" x14ac:dyDescent="0.2">
      <c r="A1652" t="s">
        <v>119</v>
      </c>
      <c r="B1652" t="s">
        <v>131</v>
      </c>
      <c r="C1652" t="s">
        <v>130</v>
      </c>
      <c r="D1652" t="s">
        <v>121</v>
      </c>
      <c r="E1652" t="s">
        <v>53</v>
      </c>
      <c r="F1652" t="s">
        <v>114</v>
      </c>
      <c r="G1652">
        <v>122639</v>
      </c>
      <c r="H1652" s="75">
        <v>45961</v>
      </c>
      <c r="I1652" t="s">
        <v>115</v>
      </c>
      <c r="J1652">
        <v>5000</v>
      </c>
      <c r="K1652">
        <v>108.517</v>
      </c>
      <c r="L1652">
        <v>46.075699999999998</v>
      </c>
      <c r="M1652">
        <v>17598.306</v>
      </c>
      <c r="N1652" t="s">
        <v>15</v>
      </c>
    </row>
    <row r="1653" spans="1:14" x14ac:dyDescent="0.2">
      <c r="A1653" t="s">
        <v>119</v>
      </c>
      <c r="B1653" t="s">
        <v>131</v>
      </c>
      <c r="C1653" t="s">
        <v>130</v>
      </c>
      <c r="D1653" t="s">
        <v>121</v>
      </c>
      <c r="E1653" t="s">
        <v>53</v>
      </c>
      <c r="F1653" t="s">
        <v>114</v>
      </c>
      <c r="G1653">
        <v>122639</v>
      </c>
      <c r="H1653" s="75">
        <v>45991</v>
      </c>
      <c r="I1653" t="s">
        <v>115</v>
      </c>
      <c r="J1653">
        <v>5000</v>
      </c>
      <c r="K1653">
        <v>106.572</v>
      </c>
      <c r="L1653">
        <v>46.916400000000003</v>
      </c>
      <c r="M1653">
        <v>17704.878000000001</v>
      </c>
      <c r="N1653" t="s">
        <v>15</v>
      </c>
    </row>
    <row r="1654" spans="1:14" x14ac:dyDescent="0.2">
      <c r="A1654" t="s">
        <v>119</v>
      </c>
      <c r="B1654" t="s">
        <v>131</v>
      </c>
      <c r="C1654" t="s">
        <v>130</v>
      </c>
      <c r="D1654" t="s">
        <v>121</v>
      </c>
      <c r="E1654" t="s">
        <v>53</v>
      </c>
      <c r="F1654" t="s">
        <v>114</v>
      </c>
      <c r="G1654">
        <v>122639</v>
      </c>
      <c r="H1654" s="75">
        <v>46021</v>
      </c>
      <c r="I1654" t="s">
        <v>115</v>
      </c>
      <c r="J1654">
        <v>5000</v>
      </c>
      <c r="K1654">
        <v>107.8</v>
      </c>
      <c r="L1654">
        <v>46.381999999999998</v>
      </c>
      <c r="M1654">
        <v>17812.679</v>
      </c>
      <c r="N1654" t="s">
        <v>15</v>
      </c>
    </row>
    <row r="1655" spans="1:14" x14ac:dyDescent="0.2">
      <c r="A1655" t="s">
        <v>119</v>
      </c>
      <c r="B1655" t="s">
        <v>131</v>
      </c>
      <c r="C1655" t="s">
        <v>130</v>
      </c>
      <c r="D1655" t="s">
        <v>121</v>
      </c>
      <c r="E1655" t="s">
        <v>53</v>
      </c>
      <c r="F1655" t="s">
        <v>114</v>
      </c>
      <c r="G1655">
        <v>122639</v>
      </c>
      <c r="H1655" s="75">
        <v>46051</v>
      </c>
      <c r="I1655" t="s">
        <v>115</v>
      </c>
      <c r="J1655">
        <v>5000</v>
      </c>
      <c r="K1655">
        <v>107.288</v>
      </c>
      <c r="L1655">
        <v>46.603499999999997</v>
      </c>
      <c r="M1655">
        <v>17919.967000000001</v>
      </c>
      <c r="N1655" t="s">
        <v>15</v>
      </c>
    </row>
    <row r="1656" spans="1:14" x14ac:dyDescent="0.2">
      <c r="A1656" t="s">
        <v>119</v>
      </c>
      <c r="B1656" t="s">
        <v>131</v>
      </c>
      <c r="C1656" t="s">
        <v>130</v>
      </c>
      <c r="D1656" t="s">
        <v>121</v>
      </c>
      <c r="E1656" t="s">
        <v>53</v>
      </c>
      <c r="F1656" t="s">
        <v>114</v>
      </c>
      <c r="G1656">
        <v>122639</v>
      </c>
      <c r="H1656" s="75">
        <v>46051</v>
      </c>
      <c r="I1656" t="s">
        <v>116</v>
      </c>
      <c r="J1656">
        <v>2.5</v>
      </c>
      <c r="K1656">
        <v>0</v>
      </c>
      <c r="M1656">
        <v>17919.967000000001</v>
      </c>
      <c r="N1656" t="s">
        <v>17</v>
      </c>
    </row>
    <row r="1657" spans="1:14" x14ac:dyDescent="0.2">
      <c r="A1657" t="s">
        <v>119</v>
      </c>
      <c r="B1657" t="s">
        <v>131</v>
      </c>
      <c r="C1657" t="s">
        <v>130</v>
      </c>
      <c r="D1657" t="s">
        <v>121</v>
      </c>
      <c r="E1657" t="s">
        <v>53</v>
      </c>
      <c r="F1657" t="s">
        <v>114</v>
      </c>
      <c r="G1657">
        <v>122639</v>
      </c>
      <c r="H1657" s="75">
        <v>46081</v>
      </c>
      <c r="I1657" t="s">
        <v>115</v>
      </c>
      <c r="J1657">
        <v>5000</v>
      </c>
      <c r="K1657">
        <v>107.244</v>
      </c>
      <c r="L1657">
        <v>46.622700000000002</v>
      </c>
      <c r="M1657">
        <v>18027.210999999999</v>
      </c>
      <c r="N1657" t="s">
        <v>15</v>
      </c>
    </row>
    <row r="1658" spans="1:14" x14ac:dyDescent="0.2">
      <c r="A1658" t="s">
        <v>119</v>
      </c>
      <c r="B1658" t="s">
        <v>131</v>
      </c>
      <c r="C1658" t="s">
        <v>130</v>
      </c>
      <c r="D1658" t="s">
        <v>121</v>
      </c>
      <c r="E1658" t="s">
        <v>53</v>
      </c>
      <c r="F1658" t="s">
        <v>114</v>
      </c>
      <c r="G1658">
        <v>122639</v>
      </c>
      <c r="H1658" s="75">
        <v>46111</v>
      </c>
      <c r="I1658" t="s">
        <v>115</v>
      </c>
      <c r="J1658">
        <v>5000</v>
      </c>
      <c r="K1658">
        <v>104.804</v>
      </c>
      <c r="L1658">
        <v>47.707999999999998</v>
      </c>
      <c r="M1658">
        <v>18132.014999999999</v>
      </c>
      <c r="N1658" t="s">
        <v>15</v>
      </c>
    </row>
    <row r="1659" spans="1:14" x14ac:dyDescent="0.2">
      <c r="A1659" t="s">
        <v>119</v>
      </c>
      <c r="B1659" t="s">
        <v>131</v>
      </c>
      <c r="C1659" t="s">
        <v>130</v>
      </c>
      <c r="D1659" t="s">
        <v>121</v>
      </c>
      <c r="E1659" t="s">
        <v>53</v>
      </c>
      <c r="F1659" t="s">
        <v>114</v>
      </c>
      <c r="G1659">
        <v>122639</v>
      </c>
      <c r="H1659" s="75">
        <v>46141</v>
      </c>
      <c r="I1659" t="s">
        <v>115</v>
      </c>
      <c r="J1659">
        <v>5000</v>
      </c>
      <c r="K1659">
        <v>103.215</v>
      </c>
      <c r="L1659">
        <v>48.442700000000002</v>
      </c>
      <c r="M1659">
        <v>18235.23</v>
      </c>
      <c r="N1659" t="s">
        <v>15</v>
      </c>
    </row>
    <row r="1660" spans="1:14" x14ac:dyDescent="0.2">
      <c r="A1660" t="s">
        <v>119</v>
      </c>
      <c r="B1660" t="s">
        <v>131</v>
      </c>
      <c r="C1660" t="s">
        <v>130</v>
      </c>
      <c r="D1660" t="s">
        <v>121</v>
      </c>
      <c r="E1660" t="s">
        <v>53</v>
      </c>
      <c r="F1660" t="s">
        <v>114</v>
      </c>
      <c r="G1660">
        <v>122639</v>
      </c>
      <c r="H1660" s="75">
        <v>46141</v>
      </c>
      <c r="I1660" t="s">
        <v>117</v>
      </c>
      <c r="J1660">
        <v>2.5</v>
      </c>
      <c r="K1660">
        <v>0</v>
      </c>
      <c r="M1660">
        <v>18235.23</v>
      </c>
      <c r="N1660" t="s">
        <v>46</v>
      </c>
    </row>
    <row r="1661" spans="1:14" x14ac:dyDescent="0.2">
      <c r="A1661" t="s">
        <v>119</v>
      </c>
      <c r="B1661" t="s">
        <v>131</v>
      </c>
      <c r="C1661" t="s">
        <v>130</v>
      </c>
      <c r="D1661" t="s">
        <v>121</v>
      </c>
      <c r="E1661" t="s">
        <v>53</v>
      </c>
      <c r="F1661" t="s">
        <v>114</v>
      </c>
      <c r="G1661">
        <v>122639</v>
      </c>
      <c r="H1661" s="75">
        <v>46171</v>
      </c>
      <c r="I1661" t="s">
        <v>115</v>
      </c>
      <c r="J1661">
        <v>5000</v>
      </c>
      <c r="K1661">
        <v>104.301</v>
      </c>
      <c r="L1661">
        <v>47.938000000000002</v>
      </c>
      <c r="M1661">
        <v>18339.530999999999</v>
      </c>
      <c r="N1661" t="s">
        <v>15</v>
      </c>
    </row>
    <row r="1662" spans="1:14" x14ac:dyDescent="0.2">
      <c r="A1662" t="s">
        <v>119</v>
      </c>
      <c r="B1662" t="s">
        <v>131</v>
      </c>
      <c r="C1662" t="s">
        <v>130</v>
      </c>
      <c r="D1662" t="s">
        <v>121</v>
      </c>
      <c r="E1662" t="s">
        <v>53</v>
      </c>
      <c r="F1662" t="s">
        <v>114</v>
      </c>
      <c r="G1662">
        <v>122639</v>
      </c>
      <c r="H1662" s="75">
        <v>46201</v>
      </c>
      <c r="I1662" t="s">
        <v>115</v>
      </c>
      <c r="J1662">
        <v>5000</v>
      </c>
      <c r="K1662">
        <v>102.398</v>
      </c>
      <c r="L1662">
        <v>48.828899999999997</v>
      </c>
      <c r="M1662">
        <v>18441.93</v>
      </c>
      <c r="N1662" t="s">
        <v>15</v>
      </c>
    </row>
    <row r="1663" spans="1:14" x14ac:dyDescent="0.2">
      <c r="A1663" t="s">
        <v>56</v>
      </c>
      <c r="B1663" t="s">
        <v>132</v>
      </c>
      <c r="C1663" t="s">
        <v>130</v>
      </c>
      <c r="D1663" t="s">
        <v>57</v>
      </c>
      <c r="E1663" t="s">
        <v>53</v>
      </c>
      <c r="F1663" t="s">
        <v>114</v>
      </c>
      <c r="G1663">
        <v>119598</v>
      </c>
      <c r="H1663" s="75">
        <v>40491</v>
      </c>
      <c r="I1663" t="s">
        <v>115</v>
      </c>
      <c r="J1663">
        <v>5000</v>
      </c>
      <c r="K1663">
        <v>251.708</v>
      </c>
      <c r="L1663">
        <v>19.8643</v>
      </c>
      <c r="M1663">
        <v>251.708</v>
      </c>
      <c r="N1663" t="s">
        <v>15</v>
      </c>
    </row>
    <row r="1664" spans="1:14" x14ac:dyDescent="0.2">
      <c r="A1664" t="s">
        <v>56</v>
      </c>
      <c r="B1664" t="s">
        <v>132</v>
      </c>
      <c r="C1664" t="s">
        <v>130</v>
      </c>
      <c r="D1664" t="s">
        <v>57</v>
      </c>
      <c r="E1664" t="s">
        <v>53</v>
      </c>
      <c r="F1664" t="s">
        <v>114</v>
      </c>
      <c r="G1664">
        <v>119598</v>
      </c>
      <c r="H1664" s="75">
        <v>40521</v>
      </c>
      <c r="I1664" t="s">
        <v>115</v>
      </c>
      <c r="J1664">
        <v>5000</v>
      </c>
      <c r="K1664">
        <v>254.49799999999999</v>
      </c>
      <c r="L1664">
        <v>19.646599999999999</v>
      </c>
      <c r="M1664">
        <v>506.20499999999998</v>
      </c>
      <c r="N1664" t="s">
        <v>15</v>
      </c>
    </row>
    <row r="1665" spans="1:14" x14ac:dyDescent="0.2">
      <c r="A1665" t="s">
        <v>56</v>
      </c>
      <c r="B1665" t="s">
        <v>132</v>
      </c>
      <c r="C1665" t="s">
        <v>130</v>
      </c>
      <c r="D1665" t="s">
        <v>57</v>
      </c>
      <c r="E1665" t="s">
        <v>53</v>
      </c>
      <c r="F1665" t="s">
        <v>114</v>
      </c>
      <c r="G1665">
        <v>119598</v>
      </c>
      <c r="H1665" s="75">
        <v>40521</v>
      </c>
      <c r="I1665" t="s">
        <v>117</v>
      </c>
      <c r="J1665">
        <v>2.5</v>
      </c>
      <c r="K1665">
        <v>0</v>
      </c>
      <c r="M1665">
        <v>506.20499999999998</v>
      </c>
      <c r="N1665" t="s">
        <v>46</v>
      </c>
    </row>
    <row r="1666" spans="1:14" x14ac:dyDescent="0.2">
      <c r="A1666" t="s">
        <v>56</v>
      </c>
      <c r="B1666" t="s">
        <v>132</v>
      </c>
      <c r="C1666" t="s">
        <v>130</v>
      </c>
      <c r="D1666" t="s">
        <v>57</v>
      </c>
      <c r="E1666" t="s">
        <v>53</v>
      </c>
      <c r="F1666" t="s">
        <v>114</v>
      </c>
      <c r="G1666">
        <v>119598</v>
      </c>
      <c r="H1666" s="75">
        <v>40551</v>
      </c>
      <c r="I1666" t="s">
        <v>115</v>
      </c>
      <c r="J1666">
        <v>5000</v>
      </c>
      <c r="K1666">
        <v>250.56800000000001</v>
      </c>
      <c r="L1666">
        <v>19.954599999999999</v>
      </c>
      <c r="M1666">
        <v>756.774</v>
      </c>
      <c r="N1666" t="s">
        <v>15</v>
      </c>
    </row>
    <row r="1667" spans="1:14" x14ac:dyDescent="0.2">
      <c r="A1667" t="s">
        <v>56</v>
      </c>
      <c r="B1667" t="s">
        <v>132</v>
      </c>
      <c r="C1667" t="s">
        <v>130</v>
      </c>
      <c r="D1667" t="s">
        <v>57</v>
      </c>
      <c r="E1667" t="s">
        <v>53</v>
      </c>
      <c r="F1667" t="s">
        <v>114</v>
      </c>
      <c r="G1667">
        <v>119598</v>
      </c>
      <c r="H1667" s="75">
        <v>40581</v>
      </c>
      <c r="I1667" t="s">
        <v>115</v>
      </c>
      <c r="J1667">
        <v>5000</v>
      </c>
      <c r="K1667">
        <v>247.084</v>
      </c>
      <c r="L1667">
        <v>20.236000000000001</v>
      </c>
      <c r="M1667">
        <v>1003.8579999999999</v>
      </c>
      <c r="N1667" t="s">
        <v>15</v>
      </c>
    </row>
    <row r="1668" spans="1:14" x14ac:dyDescent="0.2">
      <c r="A1668" t="s">
        <v>56</v>
      </c>
      <c r="B1668" t="s">
        <v>132</v>
      </c>
      <c r="C1668" t="s">
        <v>130</v>
      </c>
      <c r="D1668" t="s">
        <v>57</v>
      </c>
      <c r="E1668" t="s">
        <v>53</v>
      </c>
      <c r="F1668" t="s">
        <v>114</v>
      </c>
      <c r="G1668">
        <v>119598</v>
      </c>
      <c r="H1668" s="75">
        <v>40611</v>
      </c>
      <c r="I1668" t="s">
        <v>115</v>
      </c>
      <c r="J1668">
        <v>5000</v>
      </c>
      <c r="K1668">
        <v>243.10599999999999</v>
      </c>
      <c r="L1668">
        <v>20.5671</v>
      </c>
      <c r="M1668">
        <v>1246.9639999999999</v>
      </c>
      <c r="N1668" t="s">
        <v>15</v>
      </c>
    </row>
    <row r="1669" spans="1:14" x14ac:dyDescent="0.2">
      <c r="A1669" t="s">
        <v>56</v>
      </c>
      <c r="B1669" t="s">
        <v>132</v>
      </c>
      <c r="C1669" t="s">
        <v>130</v>
      </c>
      <c r="D1669" t="s">
        <v>57</v>
      </c>
      <c r="E1669" t="s">
        <v>53</v>
      </c>
      <c r="F1669" t="s">
        <v>114</v>
      </c>
      <c r="G1669">
        <v>119598</v>
      </c>
      <c r="H1669" s="75">
        <v>40641</v>
      </c>
      <c r="I1669" t="s">
        <v>115</v>
      </c>
      <c r="J1669">
        <v>5000</v>
      </c>
      <c r="K1669">
        <v>237.17099999999999</v>
      </c>
      <c r="L1669">
        <v>21.081900000000001</v>
      </c>
      <c r="M1669">
        <v>1484.135</v>
      </c>
      <c r="N1669" t="s">
        <v>15</v>
      </c>
    </row>
    <row r="1670" spans="1:14" x14ac:dyDescent="0.2">
      <c r="A1670" t="s">
        <v>56</v>
      </c>
      <c r="B1670" t="s">
        <v>132</v>
      </c>
      <c r="C1670" t="s">
        <v>130</v>
      </c>
      <c r="D1670" t="s">
        <v>57</v>
      </c>
      <c r="E1670" t="s">
        <v>53</v>
      </c>
      <c r="F1670" t="s">
        <v>114</v>
      </c>
      <c r="G1670">
        <v>119598</v>
      </c>
      <c r="H1670" s="75">
        <v>40671</v>
      </c>
      <c r="I1670" t="s">
        <v>115</v>
      </c>
      <c r="J1670">
        <v>5000</v>
      </c>
      <c r="K1670">
        <v>236.88</v>
      </c>
      <c r="L1670">
        <v>21.107700000000001</v>
      </c>
      <c r="M1670">
        <v>1721.0150000000001</v>
      </c>
      <c r="N1670" t="s">
        <v>15</v>
      </c>
    </row>
    <row r="1671" spans="1:14" x14ac:dyDescent="0.2">
      <c r="A1671" t="s">
        <v>56</v>
      </c>
      <c r="B1671" t="s">
        <v>132</v>
      </c>
      <c r="C1671" t="s">
        <v>130</v>
      </c>
      <c r="D1671" t="s">
        <v>57</v>
      </c>
      <c r="E1671" t="s">
        <v>53</v>
      </c>
      <c r="F1671" t="s">
        <v>114</v>
      </c>
      <c r="G1671">
        <v>119598</v>
      </c>
      <c r="H1671" s="75">
        <v>40701</v>
      </c>
      <c r="I1671" t="s">
        <v>115</v>
      </c>
      <c r="J1671">
        <v>5000</v>
      </c>
      <c r="K1671">
        <v>235.761</v>
      </c>
      <c r="L1671">
        <v>21.207899999999999</v>
      </c>
      <c r="M1671">
        <v>1956.7750000000001</v>
      </c>
      <c r="N1671" t="s">
        <v>15</v>
      </c>
    </row>
    <row r="1672" spans="1:14" x14ac:dyDescent="0.2">
      <c r="A1672" t="s">
        <v>56</v>
      </c>
      <c r="B1672" t="s">
        <v>132</v>
      </c>
      <c r="C1672" t="s">
        <v>130</v>
      </c>
      <c r="D1672" t="s">
        <v>57</v>
      </c>
      <c r="E1672" t="s">
        <v>53</v>
      </c>
      <c r="F1672" t="s">
        <v>114</v>
      </c>
      <c r="G1672">
        <v>119598</v>
      </c>
      <c r="H1672" s="75">
        <v>40731</v>
      </c>
      <c r="I1672" t="s">
        <v>115</v>
      </c>
      <c r="J1672">
        <v>5000</v>
      </c>
      <c r="K1672">
        <v>229.90600000000001</v>
      </c>
      <c r="L1672">
        <v>21.748000000000001</v>
      </c>
      <c r="M1672">
        <v>2186.6819999999998</v>
      </c>
      <c r="N1672" t="s">
        <v>15</v>
      </c>
    </row>
    <row r="1673" spans="1:14" x14ac:dyDescent="0.2">
      <c r="A1673" t="s">
        <v>56</v>
      </c>
      <c r="B1673" t="s">
        <v>132</v>
      </c>
      <c r="C1673" t="s">
        <v>130</v>
      </c>
      <c r="D1673" t="s">
        <v>57</v>
      </c>
      <c r="E1673" t="s">
        <v>53</v>
      </c>
      <c r="F1673" t="s">
        <v>114</v>
      </c>
      <c r="G1673">
        <v>119598</v>
      </c>
      <c r="H1673" s="75">
        <v>40761</v>
      </c>
      <c r="I1673" t="s">
        <v>115</v>
      </c>
      <c r="J1673">
        <v>5000</v>
      </c>
      <c r="K1673">
        <v>225.31299999999999</v>
      </c>
      <c r="L1673">
        <v>22.191299999999998</v>
      </c>
      <c r="M1673">
        <v>2411.9949999999999</v>
      </c>
      <c r="N1673" t="s">
        <v>15</v>
      </c>
    </row>
    <row r="1674" spans="1:14" x14ac:dyDescent="0.2">
      <c r="A1674" t="s">
        <v>56</v>
      </c>
      <c r="B1674" t="s">
        <v>132</v>
      </c>
      <c r="C1674" t="s">
        <v>130</v>
      </c>
      <c r="D1674" t="s">
        <v>57</v>
      </c>
      <c r="E1674" t="s">
        <v>53</v>
      </c>
      <c r="F1674" t="s">
        <v>114</v>
      </c>
      <c r="G1674">
        <v>119598</v>
      </c>
      <c r="H1674" s="75">
        <v>40791</v>
      </c>
      <c r="I1674" t="s">
        <v>115</v>
      </c>
      <c r="J1674">
        <v>5000</v>
      </c>
      <c r="K1674">
        <v>222.63300000000001</v>
      </c>
      <c r="L1674">
        <v>22.458500000000001</v>
      </c>
      <c r="M1674">
        <v>2634.627</v>
      </c>
      <c r="N1674" t="s">
        <v>15</v>
      </c>
    </row>
    <row r="1675" spans="1:14" x14ac:dyDescent="0.2">
      <c r="A1675" t="s">
        <v>56</v>
      </c>
      <c r="B1675" t="s">
        <v>132</v>
      </c>
      <c r="C1675" t="s">
        <v>130</v>
      </c>
      <c r="D1675" t="s">
        <v>57</v>
      </c>
      <c r="E1675" t="s">
        <v>53</v>
      </c>
      <c r="F1675" t="s">
        <v>114</v>
      </c>
      <c r="G1675">
        <v>119598</v>
      </c>
      <c r="H1675" s="75">
        <v>40821</v>
      </c>
      <c r="I1675" t="s">
        <v>115</v>
      </c>
      <c r="J1675">
        <v>5000</v>
      </c>
      <c r="K1675">
        <v>216.86</v>
      </c>
      <c r="L1675">
        <v>23.0563</v>
      </c>
      <c r="M1675">
        <v>2851.4870000000001</v>
      </c>
      <c r="N1675" t="s">
        <v>15</v>
      </c>
    </row>
    <row r="1676" spans="1:14" x14ac:dyDescent="0.2">
      <c r="A1676" t="s">
        <v>56</v>
      </c>
      <c r="B1676" t="s">
        <v>132</v>
      </c>
      <c r="C1676" t="s">
        <v>130</v>
      </c>
      <c r="D1676" t="s">
        <v>57</v>
      </c>
      <c r="E1676" t="s">
        <v>53</v>
      </c>
      <c r="F1676" t="s">
        <v>114</v>
      </c>
      <c r="G1676">
        <v>119598</v>
      </c>
      <c r="H1676" s="75">
        <v>40851</v>
      </c>
      <c r="I1676" t="s">
        <v>115</v>
      </c>
      <c r="J1676">
        <v>5000</v>
      </c>
      <c r="K1676">
        <v>211.357</v>
      </c>
      <c r="L1676">
        <v>23.656600000000001</v>
      </c>
      <c r="M1676">
        <v>3062.8449999999998</v>
      </c>
      <c r="N1676" t="s">
        <v>15</v>
      </c>
    </row>
    <row r="1677" spans="1:14" x14ac:dyDescent="0.2">
      <c r="A1677" t="s">
        <v>56</v>
      </c>
      <c r="B1677" t="s">
        <v>132</v>
      </c>
      <c r="C1677" t="s">
        <v>130</v>
      </c>
      <c r="D1677" t="s">
        <v>57</v>
      </c>
      <c r="E1677" t="s">
        <v>53</v>
      </c>
      <c r="F1677" t="s">
        <v>114</v>
      </c>
      <c r="G1677">
        <v>119598</v>
      </c>
      <c r="H1677" s="75">
        <v>40881</v>
      </c>
      <c r="I1677" t="s">
        <v>115</v>
      </c>
      <c r="J1677">
        <v>5000</v>
      </c>
      <c r="K1677">
        <v>207.19800000000001</v>
      </c>
      <c r="L1677">
        <v>24.131499999999999</v>
      </c>
      <c r="M1677">
        <v>3270.0419999999999</v>
      </c>
      <c r="N1677" t="s">
        <v>15</v>
      </c>
    </row>
    <row r="1678" spans="1:14" x14ac:dyDescent="0.2">
      <c r="A1678" t="s">
        <v>56</v>
      </c>
      <c r="B1678" t="s">
        <v>132</v>
      </c>
      <c r="C1678" t="s">
        <v>130</v>
      </c>
      <c r="D1678" t="s">
        <v>57</v>
      </c>
      <c r="E1678" t="s">
        <v>53</v>
      </c>
      <c r="F1678" t="s">
        <v>114</v>
      </c>
      <c r="G1678">
        <v>119598</v>
      </c>
      <c r="H1678" s="75">
        <v>40911</v>
      </c>
      <c r="I1678" t="s">
        <v>115</v>
      </c>
      <c r="J1678">
        <v>5000</v>
      </c>
      <c r="K1678">
        <v>208.012</v>
      </c>
      <c r="L1678">
        <v>24.037099999999999</v>
      </c>
      <c r="M1678">
        <v>3478.0540000000001</v>
      </c>
      <c r="N1678" t="s">
        <v>15</v>
      </c>
    </row>
    <row r="1679" spans="1:14" x14ac:dyDescent="0.2">
      <c r="A1679" t="s">
        <v>56</v>
      </c>
      <c r="B1679" t="s">
        <v>132</v>
      </c>
      <c r="C1679" t="s">
        <v>130</v>
      </c>
      <c r="D1679" t="s">
        <v>57</v>
      </c>
      <c r="E1679" t="s">
        <v>53</v>
      </c>
      <c r="F1679" t="s">
        <v>114</v>
      </c>
      <c r="G1679">
        <v>119598</v>
      </c>
      <c r="H1679" s="75">
        <v>40941</v>
      </c>
      <c r="I1679" t="s">
        <v>115</v>
      </c>
      <c r="J1679">
        <v>5000</v>
      </c>
      <c r="K1679">
        <v>208.83199999999999</v>
      </c>
      <c r="L1679">
        <v>23.942699999999999</v>
      </c>
      <c r="M1679">
        <v>3686.886</v>
      </c>
      <c r="N1679" t="s">
        <v>15</v>
      </c>
    </row>
    <row r="1680" spans="1:14" x14ac:dyDescent="0.2">
      <c r="A1680" t="s">
        <v>56</v>
      </c>
      <c r="B1680" t="s">
        <v>132</v>
      </c>
      <c r="C1680" t="s">
        <v>130</v>
      </c>
      <c r="D1680" t="s">
        <v>57</v>
      </c>
      <c r="E1680" t="s">
        <v>53</v>
      </c>
      <c r="F1680" t="s">
        <v>114</v>
      </c>
      <c r="G1680">
        <v>119598</v>
      </c>
      <c r="H1680" s="75">
        <v>40971</v>
      </c>
      <c r="I1680" t="s">
        <v>115</v>
      </c>
      <c r="J1680">
        <v>5000</v>
      </c>
      <c r="K1680">
        <v>204.495</v>
      </c>
      <c r="L1680">
        <v>24.450500000000002</v>
      </c>
      <c r="M1680">
        <v>3891.3809999999999</v>
      </c>
      <c r="N1680" t="s">
        <v>15</v>
      </c>
    </row>
    <row r="1681" spans="1:14" x14ac:dyDescent="0.2">
      <c r="A1681" t="s">
        <v>56</v>
      </c>
      <c r="B1681" t="s">
        <v>132</v>
      </c>
      <c r="C1681" t="s">
        <v>130</v>
      </c>
      <c r="D1681" t="s">
        <v>57</v>
      </c>
      <c r="E1681" t="s">
        <v>53</v>
      </c>
      <c r="F1681" t="s">
        <v>114</v>
      </c>
      <c r="G1681">
        <v>119598</v>
      </c>
      <c r="H1681" s="75">
        <v>41001</v>
      </c>
      <c r="I1681" t="s">
        <v>115</v>
      </c>
      <c r="J1681">
        <v>5000</v>
      </c>
      <c r="K1681">
        <v>203.11500000000001</v>
      </c>
      <c r="L1681">
        <v>24.616599999999998</v>
      </c>
      <c r="M1681">
        <v>4094.4960000000001</v>
      </c>
      <c r="N1681" t="s">
        <v>15</v>
      </c>
    </row>
    <row r="1682" spans="1:14" x14ac:dyDescent="0.2">
      <c r="A1682" t="s">
        <v>56</v>
      </c>
      <c r="B1682" t="s">
        <v>132</v>
      </c>
      <c r="C1682" t="s">
        <v>130</v>
      </c>
      <c r="D1682" t="s">
        <v>57</v>
      </c>
      <c r="E1682" t="s">
        <v>53</v>
      </c>
      <c r="F1682" t="s">
        <v>114</v>
      </c>
      <c r="G1682">
        <v>119598</v>
      </c>
      <c r="H1682" s="75">
        <v>41031</v>
      </c>
      <c r="I1682" t="s">
        <v>115</v>
      </c>
      <c r="J1682">
        <v>5000</v>
      </c>
      <c r="K1682">
        <v>197.209</v>
      </c>
      <c r="L1682">
        <v>25.3538</v>
      </c>
      <c r="M1682">
        <v>4291.7049999999999</v>
      </c>
      <c r="N1682" t="s">
        <v>15</v>
      </c>
    </row>
    <row r="1683" spans="1:14" x14ac:dyDescent="0.2">
      <c r="A1683" t="s">
        <v>56</v>
      </c>
      <c r="B1683" t="s">
        <v>132</v>
      </c>
      <c r="C1683" t="s">
        <v>130</v>
      </c>
      <c r="D1683" t="s">
        <v>57</v>
      </c>
      <c r="E1683" t="s">
        <v>53</v>
      </c>
      <c r="F1683" t="s">
        <v>114</v>
      </c>
      <c r="G1683">
        <v>119598</v>
      </c>
      <c r="H1683" s="75">
        <v>41061</v>
      </c>
      <c r="I1683" t="s">
        <v>115</v>
      </c>
      <c r="J1683">
        <v>5000</v>
      </c>
      <c r="K1683">
        <v>193.06399999999999</v>
      </c>
      <c r="L1683">
        <v>25.898099999999999</v>
      </c>
      <c r="M1683">
        <v>4484.7690000000002</v>
      </c>
      <c r="N1683" t="s">
        <v>15</v>
      </c>
    </row>
    <row r="1684" spans="1:14" x14ac:dyDescent="0.2">
      <c r="A1684" t="s">
        <v>56</v>
      </c>
      <c r="B1684" t="s">
        <v>132</v>
      </c>
      <c r="C1684" t="s">
        <v>130</v>
      </c>
      <c r="D1684" t="s">
        <v>57</v>
      </c>
      <c r="E1684" t="s">
        <v>53</v>
      </c>
      <c r="F1684" t="s">
        <v>114</v>
      </c>
      <c r="G1684">
        <v>119598</v>
      </c>
      <c r="H1684" s="75">
        <v>41091</v>
      </c>
      <c r="I1684" t="s">
        <v>115</v>
      </c>
      <c r="J1684">
        <v>5000</v>
      </c>
      <c r="K1684">
        <v>192.292</v>
      </c>
      <c r="L1684">
        <v>26.002099999999999</v>
      </c>
      <c r="M1684">
        <v>4677.0619999999999</v>
      </c>
      <c r="N1684" t="s">
        <v>15</v>
      </c>
    </row>
    <row r="1685" spans="1:14" x14ac:dyDescent="0.2">
      <c r="A1685" t="s">
        <v>56</v>
      </c>
      <c r="B1685" t="s">
        <v>132</v>
      </c>
      <c r="C1685" t="s">
        <v>130</v>
      </c>
      <c r="D1685" t="s">
        <v>57</v>
      </c>
      <c r="E1685" t="s">
        <v>53</v>
      </c>
      <c r="F1685" t="s">
        <v>114</v>
      </c>
      <c r="G1685">
        <v>119598</v>
      </c>
      <c r="H1685" s="75">
        <v>41121</v>
      </c>
      <c r="I1685" t="s">
        <v>115</v>
      </c>
      <c r="J1685">
        <v>5000</v>
      </c>
      <c r="K1685">
        <v>191.86</v>
      </c>
      <c r="L1685">
        <v>26.060600000000001</v>
      </c>
      <c r="M1685">
        <v>4868.9219999999996</v>
      </c>
      <c r="N1685" t="s">
        <v>15</v>
      </c>
    </row>
    <row r="1686" spans="1:14" x14ac:dyDescent="0.2">
      <c r="A1686" t="s">
        <v>56</v>
      </c>
      <c r="B1686" t="s">
        <v>132</v>
      </c>
      <c r="C1686" t="s">
        <v>130</v>
      </c>
      <c r="D1686" t="s">
        <v>57</v>
      </c>
      <c r="E1686" t="s">
        <v>53</v>
      </c>
      <c r="F1686" t="s">
        <v>114</v>
      </c>
      <c r="G1686">
        <v>119598</v>
      </c>
      <c r="H1686" s="75">
        <v>41151</v>
      </c>
      <c r="I1686" t="s">
        <v>115</v>
      </c>
      <c r="J1686">
        <v>5000</v>
      </c>
      <c r="K1686">
        <v>190.66300000000001</v>
      </c>
      <c r="L1686">
        <v>26.224299999999999</v>
      </c>
      <c r="M1686">
        <v>5059.585</v>
      </c>
      <c r="N1686" t="s">
        <v>15</v>
      </c>
    </row>
    <row r="1687" spans="1:14" x14ac:dyDescent="0.2">
      <c r="A1687" t="s">
        <v>56</v>
      </c>
      <c r="B1687" t="s">
        <v>132</v>
      </c>
      <c r="C1687" t="s">
        <v>130</v>
      </c>
      <c r="D1687" t="s">
        <v>57</v>
      </c>
      <c r="E1687" t="s">
        <v>53</v>
      </c>
      <c r="F1687" t="s">
        <v>114</v>
      </c>
      <c r="G1687">
        <v>119598</v>
      </c>
      <c r="H1687" s="75">
        <v>41181</v>
      </c>
      <c r="I1687" t="s">
        <v>115</v>
      </c>
      <c r="J1687">
        <v>5000</v>
      </c>
      <c r="K1687">
        <v>190.27600000000001</v>
      </c>
      <c r="L1687">
        <v>26.2776</v>
      </c>
      <c r="M1687">
        <v>5249.8609999999999</v>
      </c>
      <c r="N1687" t="s">
        <v>15</v>
      </c>
    </row>
    <row r="1688" spans="1:14" x14ac:dyDescent="0.2">
      <c r="A1688" t="s">
        <v>56</v>
      </c>
      <c r="B1688" t="s">
        <v>132</v>
      </c>
      <c r="C1688" t="s">
        <v>130</v>
      </c>
      <c r="D1688" t="s">
        <v>57</v>
      </c>
      <c r="E1688" t="s">
        <v>53</v>
      </c>
      <c r="F1688" t="s">
        <v>114</v>
      </c>
      <c r="G1688">
        <v>119598</v>
      </c>
      <c r="H1688" s="75">
        <v>41181</v>
      </c>
      <c r="I1688" t="s">
        <v>117</v>
      </c>
      <c r="J1688">
        <v>2.5</v>
      </c>
      <c r="K1688">
        <v>0</v>
      </c>
      <c r="M1688">
        <v>5249.8609999999999</v>
      </c>
      <c r="N1688" t="s">
        <v>46</v>
      </c>
    </row>
    <row r="1689" spans="1:14" x14ac:dyDescent="0.2">
      <c r="A1689" t="s">
        <v>56</v>
      </c>
      <c r="B1689" t="s">
        <v>132</v>
      </c>
      <c r="C1689" t="s">
        <v>130</v>
      </c>
      <c r="D1689" t="s">
        <v>57</v>
      </c>
      <c r="E1689" t="s">
        <v>53</v>
      </c>
      <c r="F1689" t="s">
        <v>114</v>
      </c>
      <c r="G1689">
        <v>119598</v>
      </c>
      <c r="H1689" s="75">
        <v>41211</v>
      </c>
      <c r="I1689" t="s">
        <v>115</v>
      </c>
      <c r="J1689">
        <v>5000</v>
      </c>
      <c r="K1689">
        <v>186.53299999999999</v>
      </c>
      <c r="L1689">
        <v>26.8048</v>
      </c>
      <c r="M1689">
        <v>5436.3950000000004</v>
      </c>
      <c r="N1689" t="s">
        <v>15</v>
      </c>
    </row>
    <row r="1690" spans="1:14" x14ac:dyDescent="0.2">
      <c r="A1690" t="s">
        <v>56</v>
      </c>
      <c r="B1690" t="s">
        <v>132</v>
      </c>
      <c r="C1690" t="s">
        <v>130</v>
      </c>
      <c r="D1690" t="s">
        <v>57</v>
      </c>
      <c r="E1690" t="s">
        <v>53</v>
      </c>
      <c r="F1690" t="s">
        <v>114</v>
      </c>
      <c r="G1690">
        <v>119598</v>
      </c>
      <c r="H1690" s="75">
        <v>41211</v>
      </c>
      <c r="I1690" t="s">
        <v>117</v>
      </c>
      <c r="J1690">
        <v>2.5</v>
      </c>
      <c r="K1690">
        <v>0</v>
      </c>
      <c r="M1690">
        <v>5436.3950000000004</v>
      </c>
      <c r="N1690" t="s">
        <v>46</v>
      </c>
    </row>
    <row r="1691" spans="1:14" x14ac:dyDescent="0.2">
      <c r="A1691" t="s">
        <v>56</v>
      </c>
      <c r="B1691" t="s">
        <v>132</v>
      </c>
      <c r="C1691" t="s">
        <v>130</v>
      </c>
      <c r="D1691" t="s">
        <v>57</v>
      </c>
      <c r="E1691" t="s">
        <v>53</v>
      </c>
      <c r="F1691" t="s">
        <v>114</v>
      </c>
      <c r="G1691">
        <v>119598</v>
      </c>
      <c r="H1691" s="75">
        <v>41241</v>
      </c>
      <c r="I1691" t="s">
        <v>115</v>
      </c>
      <c r="J1691">
        <v>5000</v>
      </c>
      <c r="K1691">
        <v>181.68</v>
      </c>
      <c r="L1691">
        <v>27.521000000000001</v>
      </c>
      <c r="M1691">
        <v>5618.0739999999996</v>
      </c>
      <c r="N1691" t="s">
        <v>15</v>
      </c>
    </row>
    <row r="1692" spans="1:14" x14ac:dyDescent="0.2">
      <c r="A1692" t="s">
        <v>56</v>
      </c>
      <c r="B1692" t="s">
        <v>132</v>
      </c>
      <c r="C1692" t="s">
        <v>130</v>
      </c>
      <c r="D1692" t="s">
        <v>57</v>
      </c>
      <c r="E1692" t="s">
        <v>53</v>
      </c>
      <c r="F1692" t="s">
        <v>114</v>
      </c>
      <c r="G1692">
        <v>119598</v>
      </c>
      <c r="H1692" s="75">
        <v>41271</v>
      </c>
      <c r="I1692" t="s">
        <v>115</v>
      </c>
      <c r="J1692">
        <v>5000</v>
      </c>
      <c r="K1692">
        <v>183.95400000000001</v>
      </c>
      <c r="L1692">
        <v>27.180700000000002</v>
      </c>
      <c r="M1692">
        <v>5802.0280000000002</v>
      </c>
      <c r="N1692" t="s">
        <v>15</v>
      </c>
    </row>
    <row r="1693" spans="1:14" x14ac:dyDescent="0.2">
      <c r="A1693" t="s">
        <v>56</v>
      </c>
      <c r="B1693" t="s">
        <v>132</v>
      </c>
      <c r="C1693" t="s">
        <v>130</v>
      </c>
      <c r="D1693" t="s">
        <v>57</v>
      </c>
      <c r="E1693" t="s">
        <v>53</v>
      </c>
      <c r="F1693" t="s">
        <v>114</v>
      </c>
      <c r="G1693">
        <v>119598</v>
      </c>
      <c r="H1693" s="75">
        <v>41301</v>
      </c>
      <c r="I1693" t="s">
        <v>115</v>
      </c>
      <c r="J1693">
        <v>5000</v>
      </c>
      <c r="K1693">
        <v>180.42099999999999</v>
      </c>
      <c r="L1693">
        <v>27.713000000000001</v>
      </c>
      <c r="M1693">
        <v>5982.4489999999996</v>
      </c>
      <c r="N1693" t="s">
        <v>15</v>
      </c>
    </row>
    <row r="1694" spans="1:14" x14ac:dyDescent="0.2">
      <c r="A1694" t="s">
        <v>56</v>
      </c>
      <c r="B1694" t="s">
        <v>132</v>
      </c>
      <c r="C1694" t="s">
        <v>130</v>
      </c>
      <c r="D1694" t="s">
        <v>57</v>
      </c>
      <c r="E1694" t="s">
        <v>53</v>
      </c>
      <c r="F1694" t="s">
        <v>114</v>
      </c>
      <c r="G1694">
        <v>119598</v>
      </c>
      <c r="H1694" s="75">
        <v>41331</v>
      </c>
      <c r="I1694" t="s">
        <v>115</v>
      </c>
      <c r="J1694">
        <v>5000</v>
      </c>
      <c r="K1694">
        <v>180.31899999999999</v>
      </c>
      <c r="L1694">
        <v>27.7286</v>
      </c>
      <c r="M1694">
        <v>6162.7690000000002</v>
      </c>
      <c r="N1694" t="s">
        <v>15</v>
      </c>
    </row>
    <row r="1695" spans="1:14" x14ac:dyDescent="0.2">
      <c r="A1695" t="s">
        <v>56</v>
      </c>
      <c r="B1695" t="s">
        <v>132</v>
      </c>
      <c r="C1695" t="s">
        <v>130</v>
      </c>
      <c r="D1695" t="s">
        <v>57</v>
      </c>
      <c r="E1695" t="s">
        <v>53</v>
      </c>
      <c r="F1695" t="s">
        <v>114</v>
      </c>
      <c r="G1695">
        <v>119598</v>
      </c>
      <c r="H1695" s="75">
        <v>41331</v>
      </c>
      <c r="I1695" t="s">
        <v>116</v>
      </c>
      <c r="J1695">
        <v>2.5</v>
      </c>
      <c r="K1695">
        <v>0</v>
      </c>
      <c r="M1695">
        <v>6162.7690000000002</v>
      </c>
      <c r="N1695" t="s">
        <v>17</v>
      </c>
    </row>
    <row r="1696" spans="1:14" x14ac:dyDescent="0.2">
      <c r="A1696" t="s">
        <v>56</v>
      </c>
      <c r="B1696" t="s">
        <v>132</v>
      </c>
      <c r="C1696" t="s">
        <v>130</v>
      </c>
      <c r="D1696" t="s">
        <v>57</v>
      </c>
      <c r="E1696" t="s">
        <v>53</v>
      </c>
      <c r="F1696" t="s">
        <v>114</v>
      </c>
      <c r="G1696">
        <v>119598</v>
      </c>
      <c r="H1696" s="75">
        <v>41361</v>
      </c>
      <c r="I1696" t="s">
        <v>115</v>
      </c>
      <c r="J1696">
        <v>5000</v>
      </c>
      <c r="K1696">
        <v>183.626</v>
      </c>
      <c r="L1696">
        <v>27.229199999999999</v>
      </c>
      <c r="M1696">
        <v>6346.3950000000004</v>
      </c>
      <c r="N1696" t="s">
        <v>15</v>
      </c>
    </row>
    <row r="1697" spans="1:14" x14ac:dyDescent="0.2">
      <c r="A1697" t="s">
        <v>56</v>
      </c>
      <c r="B1697" t="s">
        <v>132</v>
      </c>
      <c r="C1697" t="s">
        <v>130</v>
      </c>
      <c r="D1697" t="s">
        <v>57</v>
      </c>
      <c r="E1697" t="s">
        <v>53</v>
      </c>
      <c r="F1697" t="s">
        <v>114</v>
      </c>
      <c r="G1697">
        <v>119598</v>
      </c>
      <c r="H1697" s="75">
        <v>41391</v>
      </c>
      <c r="I1697" t="s">
        <v>115</v>
      </c>
      <c r="J1697">
        <v>5000</v>
      </c>
      <c r="K1697">
        <v>181.262</v>
      </c>
      <c r="L1697">
        <v>27.584299999999999</v>
      </c>
      <c r="M1697">
        <v>6527.6580000000004</v>
      </c>
      <c r="N1697" t="s">
        <v>15</v>
      </c>
    </row>
    <row r="1698" spans="1:14" x14ac:dyDescent="0.2">
      <c r="A1698" t="s">
        <v>56</v>
      </c>
      <c r="B1698" t="s">
        <v>132</v>
      </c>
      <c r="C1698" t="s">
        <v>130</v>
      </c>
      <c r="D1698" t="s">
        <v>57</v>
      </c>
      <c r="E1698" t="s">
        <v>53</v>
      </c>
      <c r="F1698" t="s">
        <v>114</v>
      </c>
      <c r="G1698">
        <v>119598</v>
      </c>
      <c r="H1698" s="75">
        <v>41421</v>
      </c>
      <c r="I1698" t="s">
        <v>115</v>
      </c>
      <c r="J1698">
        <v>5000</v>
      </c>
      <c r="K1698">
        <v>176.84299999999999</v>
      </c>
      <c r="L1698">
        <v>28.273599999999998</v>
      </c>
      <c r="M1698">
        <v>6704.5010000000002</v>
      </c>
      <c r="N1698" t="s">
        <v>15</v>
      </c>
    </row>
    <row r="1699" spans="1:14" x14ac:dyDescent="0.2">
      <c r="A1699" t="s">
        <v>56</v>
      </c>
      <c r="B1699" t="s">
        <v>132</v>
      </c>
      <c r="C1699" t="s">
        <v>130</v>
      </c>
      <c r="D1699" t="s">
        <v>57</v>
      </c>
      <c r="E1699" t="s">
        <v>53</v>
      </c>
      <c r="F1699" t="s">
        <v>114</v>
      </c>
      <c r="G1699">
        <v>119598</v>
      </c>
      <c r="H1699" s="75">
        <v>41451</v>
      </c>
      <c r="I1699" t="s">
        <v>115</v>
      </c>
      <c r="J1699">
        <v>5000</v>
      </c>
      <c r="K1699">
        <v>176.553</v>
      </c>
      <c r="L1699">
        <v>28.3201</v>
      </c>
      <c r="M1699">
        <v>6881.0540000000001</v>
      </c>
      <c r="N1699" t="s">
        <v>15</v>
      </c>
    </row>
    <row r="1700" spans="1:14" x14ac:dyDescent="0.2">
      <c r="A1700" t="s">
        <v>56</v>
      </c>
      <c r="B1700" t="s">
        <v>132</v>
      </c>
      <c r="C1700" t="s">
        <v>130</v>
      </c>
      <c r="D1700" t="s">
        <v>57</v>
      </c>
      <c r="E1700" t="s">
        <v>53</v>
      </c>
      <c r="F1700" t="s">
        <v>114</v>
      </c>
      <c r="G1700">
        <v>119598</v>
      </c>
      <c r="H1700" s="75">
        <v>41481</v>
      </c>
      <c r="I1700" t="s">
        <v>115</v>
      </c>
      <c r="J1700">
        <v>5000</v>
      </c>
      <c r="K1700">
        <v>172.369</v>
      </c>
      <c r="L1700">
        <v>29.0075</v>
      </c>
      <c r="M1700">
        <v>7053.4229999999998</v>
      </c>
      <c r="N1700" t="s">
        <v>15</v>
      </c>
    </row>
    <row r="1701" spans="1:14" x14ac:dyDescent="0.2">
      <c r="A1701" t="s">
        <v>56</v>
      </c>
      <c r="B1701" t="s">
        <v>132</v>
      </c>
      <c r="C1701" t="s">
        <v>130</v>
      </c>
      <c r="D1701" t="s">
        <v>57</v>
      </c>
      <c r="E1701" t="s">
        <v>53</v>
      </c>
      <c r="F1701" t="s">
        <v>114</v>
      </c>
      <c r="G1701">
        <v>119598</v>
      </c>
      <c r="H1701" s="75">
        <v>41511</v>
      </c>
      <c r="I1701" t="s">
        <v>115</v>
      </c>
      <c r="J1701">
        <v>5000</v>
      </c>
      <c r="K1701">
        <v>168.61600000000001</v>
      </c>
      <c r="L1701">
        <v>29.653099999999998</v>
      </c>
      <c r="M1701">
        <v>7222.04</v>
      </c>
      <c r="N1701" t="s">
        <v>15</v>
      </c>
    </row>
    <row r="1702" spans="1:14" x14ac:dyDescent="0.2">
      <c r="A1702" t="s">
        <v>56</v>
      </c>
      <c r="B1702" t="s">
        <v>132</v>
      </c>
      <c r="C1702" t="s">
        <v>130</v>
      </c>
      <c r="D1702" t="s">
        <v>57</v>
      </c>
      <c r="E1702" t="s">
        <v>53</v>
      </c>
      <c r="F1702" t="s">
        <v>114</v>
      </c>
      <c r="G1702">
        <v>119598</v>
      </c>
      <c r="H1702" s="75">
        <v>41541</v>
      </c>
      <c r="I1702" t="s">
        <v>115</v>
      </c>
      <c r="J1702">
        <v>5000</v>
      </c>
      <c r="K1702">
        <v>169.22800000000001</v>
      </c>
      <c r="L1702">
        <v>29.545999999999999</v>
      </c>
      <c r="M1702">
        <v>7391.2669999999998</v>
      </c>
      <c r="N1702" t="s">
        <v>15</v>
      </c>
    </row>
    <row r="1703" spans="1:14" x14ac:dyDescent="0.2">
      <c r="A1703" t="s">
        <v>56</v>
      </c>
      <c r="B1703" t="s">
        <v>132</v>
      </c>
      <c r="C1703" t="s">
        <v>130</v>
      </c>
      <c r="D1703" t="s">
        <v>57</v>
      </c>
      <c r="E1703" t="s">
        <v>53</v>
      </c>
      <c r="F1703" t="s">
        <v>114</v>
      </c>
      <c r="G1703">
        <v>119598</v>
      </c>
      <c r="H1703" s="75">
        <v>41571</v>
      </c>
      <c r="I1703" t="s">
        <v>115</v>
      </c>
      <c r="J1703">
        <v>5000</v>
      </c>
      <c r="K1703">
        <v>171.434</v>
      </c>
      <c r="L1703">
        <v>29.165800000000001</v>
      </c>
      <c r="M1703">
        <v>7562.701</v>
      </c>
      <c r="N1703" t="s">
        <v>15</v>
      </c>
    </row>
    <row r="1704" spans="1:14" x14ac:dyDescent="0.2">
      <c r="A1704" t="s">
        <v>56</v>
      </c>
      <c r="B1704" t="s">
        <v>132</v>
      </c>
      <c r="C1704" t="s">
        <v>130</v>
      </c>
      <c r="D1704" t="s">
        <v>57</v>
      </c>
      <c r="E1704" t="s">
        <v>53</v>
      </c>
      <c r="F1704" t="s">
        <v>114</v>
      </c>
      <c r="G1704">
        <v>119598</v>
      </c>
      <c r="H1704" s="75">
        <v>41601</v>
      </c>
      <c r="I1704" t="s">
        <v>115</v>
      </c>
      <c r="J1704">
        <v>5000</v>
      </c>
      <c r="K1704">
        <v>170.82599999999999</v>
      </c>
      <c r="L1704">
        <v>29.269600000000001</v>
      </c>
      <c r="M1704">
        <v>7733.5259999999998</v>
      </c>
      <c r="N1704" t="s">
        <v>15</v>
      </c>
    </row>
    <row r="1705" spans="1:14" x14ac:dyDescent="0.2">
      <c r="A1705" t="s">
        <v>56</v>
      </c>
      <c r="B1705" t="s">
        <v>132</v>
      </c>
      <c r="C1705" t="s">
        <v>130</v>
      </c>
      <c r="D1705" t="s">
        <v>57</v>
      </c>
      <c r="E1705" t="s">
        <v>53</v>
      </c>
      <c r="F1705" t="s">
        <v>114</v>
      </c>
      <c r="G1705">
        <v>119598</v>
      </c>
      <c r="H1705" s="75">
        <v>41601</v>
      </c>
      <c r="I1705" t="s">
        <v>116</v>
      </c>
      <c r="J1705">
        <v>2.5</v>
      </c>
      <c r="K1705">
        <v>0</v>
      </c>
      <c r="M1705">
        <v>7733.5259999999998</v>
      </c>
      <c r="N1705" t="s">
        <v>17</v>
      </c>
    </row>
    <row r="1706" spans="1:14" x14ac:dyDescent="0.2">
      <c r="A1706" t="s">
        <v>56</v>
      </c>
      <c r="B1706" t="s">
        <v>132</v>
      </c>
      <c r="C1706" t="s">
        <v>130</v>
      </c>
      <c r="D1706" t="s">
        <v>57</v>
      </c>
      <c r="E1706" t="s">
        <v>53</v>
      </c>
      <c r="F1706" t="s">
        <v>114</v>
      </c>
      <c r="G1706">
        <v>119598</v>
      </c>
      <c r="H1706" s="75">
        <v>41631</v>
      </c>
      <c r="I1706" t="s">
        <v>115</v>
      </c>
      <c r="J1706">
        <v>5000</v>
      </c>
      <c r="K1706">
        <v>168.822</v>
      </c>
      <c r="L1706">
        <v>29.617000000000001</v>
      </c>
      <c r="M1706">
        <v>7902.348</v>
      </c>
      <c r="N1706" t="s">
        <v>15</v>
      </c>
    </row>
    <row r="1707" spans="1:14" x14ac:dyDescent="0.2">
      <c r="A1707" t="s">
        <v>56</v>
      </c>
      <c r="B1707" t="s">
        <v>132</v>
      </c>
      <c r="C1707" t="s">
        <v>130</v>
      </c>
      <c r="D1707" t="s">
        <v>57</v>
      </c>
      <c r="E1707" t="s">
        <v>53</v>
      </c>
      <c r="F1707" t="s">
        <v>114</v>
      </c>
      <c r="G1707">
        <v>119598</v>
      </c>
      <c r="H1707" s="75">
        <v>41631</v>
      </c>
      <c r="I1707" t="s">
        <v>117</v>
      </c>
      <c r="J1707">
        <v>2.5</v>
      </c>
      <c r="K1707">
        <v>0</v>
      </c>
      <c r="M1707">
        <v>7902.348</v>
      </c>
      <c r="N1707" t="s">
        <v>46</v>
      </c>
    </row>
    <row r="1708" spans="1:14" x14ac:dyDescent="0.2">
      <c r="A1708" t="s">
        <v>56</v>
      </c>
      <c r="B1708" t="s">
        <v>132</v>
      </c>
      <c r="C1708" t="s">
        <v>130</v>
      </c>
      <c r="D1708" t="s">
        <v>57</v>
      </c>
      <c r="E1708" t="s">
        <v>53</v>
      </c>
      <c r="F1708" t="s">
        <v>114</v>
      </c>
      <c r="G1708">
        <v>119598</v>
      </c>
      <c r="H1708" s="75">
        <v>41661</v>
      </c>
      <c r="I1708" t="s">
        <v>115</v>
      </c>
      <c r="J1708">
        <v>5000</v>
      </c>
      <c r="K1708">
        <v>171.72499999999999</v>
      </c>
      <c r="L1708">
        <v>29.116299999999999</v>
      </c>
      <c r="M1708">
        <v>8074.0730000000003</v>
      </c>
      <c r="N1708" t="s">
        <v>15</v>
      </c>
    </row>
    <row r="1709" spans="1:14" x14ac:dyDescent="0.2">
      <c r="A1709" t="s">
        <v>56</v>
      </c>
      <c r="B1709" t="s">
        <v>132</v>
      </c>
      <c r="C1709" t="s">
        <v>130</v>
      </c>
      <c r="D1709" t="s">
        <v>57</v>
      </c>
      <c r="E1709" t="s">
        <v>53</v>
      </c>
      <c r="F1709" t="s">
        <v>114</v>
      </c>
      <c r="G1709">
        <v>119598</v>
      </c>
      <c r="H1709" s="75">
        <v>41691</v>
      </c>
      <c r="I1709" t="s">
        <v>115</v>
      </c>
      <c r="J1709">
        <v>5000</v>
      </c>
      <c r="K1709">
        <v>171.14699999999999</v>
      </c>
      <c r="L1709">
        <v>29.214700000000001</v>
      </c>
      <c r="M1709">
        <v>8245.2199999999993</v>
      </c>
      <c r="N1709" t="s">
        <v>15</v>
      </c>
    </row>
    <row r="1710" spans="1:14" x14ac:dyDescent="0.2">
      <c r="A1710" t="s">
        <v>56</v>
      </c>
      <c r="B1710" t="s">
        <v>132</v>
      </c>
      <c r="C1710" t="s">
        <v>130</v>
      </c>
      <c r="D1710" t="s">
        <v>57</v>
      </c>
      <c r="E1710" t="s">
        <v>53</v>
      </c>
      <c r="F1710" t="s">
        <v>114</v>
      </c>
      <c r="G1710">
        <v>119598</v>
      </c>
      <c r="H1710" s="75">
        <v>41721</v>
      </c>
      <c r="I1710" t="s">
        <v>115</v>
      </c>
      <c r="J1710">
        <v>5000</v>
      </c>
      <c r="K1710">
        <v>169.30600000000001</v>
      </c>
      <c r="L1710">
        <v>29.532299999999999</v>
      </c>
      <c r="M1710">
        <v>8414.5259999999998</v>
      </c>
      <c r="N1710" t="s">
        <v>15</v>
      </c>
    </row>
    <row r="1711" spans="1:14" x14ac:dyDescent="0.2">
      <c r="A1711" t="s">
        <v>56</v>
      </c>
      <c r="B1711" t="s">
        <v>132</v>
      </c>
      <c r="C1711" t="s">
        <v>130</v>
      </c>
      <c r="D1711" t="s">
        <v>57</v>
      </c>
      <c r="E1711" t="s">
        <v>53</v>
      </c>
      <c r="F1711" t="s">
        <v>114</v>
      </c>
      <c r="G1711">
        <v>119598</v>
      </c>
      <c r="H1711" s="75">
        <v>41721</v>
      </c>
      <c r="I1711" t="s">
        <v>116</v>
      </c>
      <c r="J1711">
        <v>2.5</v>
      </c>
      <c r="K1711">
        <v>0</v>
      </c>
      <c r="M1711">
        <v>8414.5259999999998</v>
      </c>
      <c r="N1711" t="s">
        <v>17</v>
      </c>
    </row>
    <row r="1712" spans="1:14" x14ac:dyDescent="0.2">
      <c r="A1712" t="s">
        <v>56</v>
      </c>
      <c r="B1712" t="s">
        <v>132</v>
      </c>
      <c r="C1712" t="s">
        <v>130</v>
      </c>
      <c r="D1712" t="s">
        <v>57</v>
      </c>
      <c r="E1712" t="s">
        <v>53</v>
      </c>
      <c r="F1712" t="s">
        <v>114</v>
      </c>
      <c r="G1712">
        <v>119598</v>
      </c>
      <c r="H1712" s="75">
        <v>41751</v>
      </c>
      <c r="I1712" t="s">
        <v>115</v>
      </c>
      <c r="J1712">
        <v>5000</v>
      </c>
      <c r="K1712">
        <v>172.61799999999999</v>
      </c>
      <c r="L1712">
        <v>28.965599999999998</v>
      </c>
      <c r="M1712">
        <v>8587.1450000000004</v>
      </c>
      <c r="N1712" t="s">
        <v>15</v>
      </c>
    </row>
    <row r="1713" spans="1:14" x14ac:dyDescent="0.2">
      <c r="A1713" t="s">
        <v>56</v>
      </c>
      <c r="B1713" t="s">
        <v>132</v>
      </c>
      <c r="C1713" t="s">
        <v>130</v>
      </c>
      <c r="D1713" t="s">
        <v>57</v>
      </c>
      <c r="E1713" t="s">
        <v>53</v>
      </c>
      <c r="F1713" t="s">
        <v>114</v>
      </c>
      <c r="G1713">
        <v>119598</v>
      </c>
      <c r="H1713" s="75">
        <v>41781</v>
      </c>
      <c r="I1713" t="s">
        <v>115</v>
      </c>
      <c r="J1713">
        <v>5000</v>
      </c>
      <c r="K1713">
        <v>175.892</v>
      </c>
      <c r="L1713">
        <v>28.426600000000001</v>
      </c>
      <c r="M1713">
        <v>8763.0360000000001</v>
      </c>
      <c r="N1713" t="s">
        <v>15</v>
      </c>
    </row>
    <row r="1714" spans="1:14" x14ac:dyDescent="0.2">
      <c r="A1714" t="s">
        <v>56</v>
      </c>
      <c r="B1714" t="s">
        <v>132</v>
      </c>
      <c r="C1714" t="s">
        <v>130</v>
      </c>
      <c r="D1714" t="s">
        <v>57</v>
      </c>
      <c r="E1714" t="s">
        <v>53</v>
      </c>
      <c r="F1714" t="s">
        <v>114</v>
      </c>
      <c r="G1714">
        <v>119598</v>
      </c>
      <c r="H1714" s="75">
        <v>41811</v>
      </c>
      <c r="I1714" t="s">
        <v>115</v>
      </c>
      <c r="J1714">
        <v>5000</v>
      </c>
      <c r="K1714">
        <v>174.71199999999999</v>
      </c>
      <c r="L1714">
        <v>28.618600000000001</v>
      </c>
      <c r="M1714">
        <v>8937.7479999999996</v>
      </c>
      <c r="N1714" t="s">
        <v>15</v>
      </c>
    </row>
    <row r="1715" spans="1:14" x14ac:dyDescent="0.2">
      <c r="A1715" t="s">
        <v>56</v>
      </c>
      <c r="B1715" t="s">
        <v>132</v>
      </c>
      <c r="C1715" t="s">
        <v>130</v>
      </c>
      <c r="D1715" t="s">
        <v>57</v>
      </c>
      <c r="E1715" t="s">
        <v>53</v>
      </c>
      <c r="F1715" t="s">
        <v>114</v>
      </c>
      <c r="G1715">
        <v>119598</v>
      </c>
      <c r="H1715" s="75">
        <v>41811</v>
      </c>
      <c r="I1715" t="s">
        <v>116</v>
      </c>
      <c r="J1715">
        <v>2.5</v>
      </c>
      <c r="K1715">
        <v>0</v>
      </c>
      <c r="M1715">
        <v>8937.7479999999996</v>
      </c>
      <c r="N1715" t="s">
        <v>17</v>
      </c>
    </row>
    <row r="1716" spans="1:14" x14ac:dyDescent="0.2">
      <c r="A1716" t="s">
        <v>56</v>
      </c>
      <c r="B1716" t="s">
        <v>132</v>
      </c>
      <c r="C1716" t="s">
        <v>130</v>
      </c>
      <c r="D1716" t="s">
        <v>57</v>
      </c>
      <c r="E1716" t="s">
        <v>53</v>
      </c>
      <c r="F1716" t="s">
        <v>114</v>
      </c>
      <c r="G1716">
        <v>119598</v>
      </c>
      <c r="H1716" s="75">
        <v>41841</v>
      </c>
      <c r="I1716" t="s">
        <v>115</v>
      </c>
      <c r="J1716">
        <v>5000</v>
      </c>
      <c r="K1716">
        <v>170.24799999999999</v>
      </c>
      <c r="L1716">
        <v>29.3689</v>
      </c>
      <c r="M1716">
        <v>9107.9959999999992</v>
      </c>
      <c r="N1716" t="s">
        <v>15</v>
      </c>
    </row>
    <row r="1717" spans="1:14" x14ac:dyDescent="0.2">
      <c r="A1717" t="s">
        <v>56</v>
      </c>
      <c r="B1717" t="s">
        <v>132</v>
      </c>
      <c r="C1717" t="s">
        <v>130</v>
      </c>
      <c r="D1717" t="s">
        <v>57</v>
      </c>
      <c r="E1717" t="s">
        <v>53</v>
      </c>
      <c r="F1717" t="s">
        <v>114</v>
      </c>
      <c r="G1717">
        <v>119598</v>
      </c>
      <c r="H1717" s="75">
        <v>41871</v>
      </c>
      <c r="I1717" t="s">
        <v>115</v>
      </c>
      <c r="J1717">
        <v>5000</v>
      </c>
      <c r="K1717">
        <v>166.316</v>
      </c>
      <c r="L1717">
        <v>30.063199999999998</v>
      </c>
      <c r="M1717">
        <v>9274.3119999999999</v>
      </c>
      <c r="N1717" t="s">
        <v>15</v>
      </c>
    </row>
    <row r="1718" spans="1:14" x14ac:dyDescent="0.2">
      <c r="A1718" t="s">
        <v>56</v>
      </c>
      <c r="B1718" t="s">
        <v>132</v>
      </c>
      <c r="C1718" t="s">
        <v>130</v>
      </c>
      <c r="D1718" t="s">
        <v>57</v>
      </c>
      <c r="E1718" t="s">
        <v>53</v>
      </c>
      <c r="F1718" t="s">
        <v>114</v>
      </c>
      <c r="G1718">
        <v>119598</v>
      </c>
      <c r="H1718" s="75">
        <v>41901</v>
      </c>
      <c r="I1718" t="s">
        <v>115</v>
      </c>
      <c r="J1718">
        <v>5000</v>
      </c>
      <c r="K1718">
        <v>165.821</v>
      </c>
      <c r="L1718">
        <v>30.152899999999999</v>
      </c>
      <c r="M1718">
        <v>9440.134</v>
      </c>
      <c r="N1718" t="s">
        <v>15</v>
      </c>
    </row>
    <row r="1719" spans="1:14" x14ac:dyDescent="0.2">
      <c r="A1719" t="s">
        <v>56</v>
      </c>
      <c r="B1719" t="s">
        <v>132</v>
      </c>
      <c r="C1719" t="s">
        <v>130</v>
      </c>
      <c r="D1719" t="s">
        <v>57</v>
      </c>
      <c r="E1719" t="s">
        <v>53</v>
      </c>
      <c r="F1719" t="s">
        <v>114</v>
      </c>
      <c r="G1719">
        <v>119598</v>
      </c>
      <c r="H1719" s="75">
        <v>41931</v>
      </c>
      <c r="I1719" t="s">
        <v>115</v>
      </c>
      <c r="J1719">
        <v>5000</v>
      </c>
      <c r="K1719">
        <v>163.482</v>
      </c>
      <c r="L1719">
        <v>30.584499999999998</v>
      </c>
      <c r="M1719">
        <v>9603.6149999999998</v>
      </c>
      <c r="N1719" t="s">
        <v>15</v>
      </c>
    </row>
    <row r="1720" spans="1:14" x14ac:dyDescent="0.2">
      <c r="A1720" t="s">
        <v>56</v>
      </c>
      <c r="B1720" t="s">
        <v>132</v>
      </c>
      <c r="C1720" t="s">
        <v>130</v>
      </c>
      <c r="D1720" t="s">
        <v>57</v>
      </c>
      <c r="E1720" t="s">
        <v>53</v>
      </c>
      <c r="F1720" t="s">
        <v>114</v>
      </c>
      <c r="G1720">
        <v>119598</v>
      </c>
      <c r="H1720" s="75">
        <v>41961</v>
      </c>
      <c r="I1720" t="s">
        <v>115</v>
      </c>
      <c r="J1720">
        <v>5000</v>
      </c>
      <c r="K1720">
        <v>165.28299999999999</v>
      </c>
      <c r="L1720">
        <v>30.251100000000001</v>
      </c>
      <c r="M1720">
        <v>9768.8989999999994</v>
      </c>
      <c r="N1720" t="s">
        <v>15</v>
      </c>
    </row>
    <row r="1721" spans="1:14" x14ac:dyDescent="0.2">
      <c r="A1721" t="s">
        <v>56</v>
      </c>
      <c r="B1721" t="s">
        <v>132</v>
      </c>
      <c r="C1721" t="s">
        <v>130</v>
      </c>
      <c r="D1721" t="s">
        <v>57</v>
      </c>
      <c r="E1721" t="s">
        <v>53</v>
      </c>
      <c r="F1721" t="s">
        <v>114</v>
      </c>
      <c r="G1721">
        <v>119598</v>
      </c>
      <c r="H1721" s="75">
        <v>41991</v>
      </c>
      <c r="I1721" t="s">
        <v>115</v>
      </c>
      <c r="J1721">
        <v>5000</v>
      </c>
      <c r="K1721">
        <v>164.76300000000001</v>
      </c>
      <c r="L1721">
        <v>30.346599999999999</v>
      </c>
      <c r="M1721">
        <v>9933.6620000000003</v>
      </c>
      <c r="N1721" t="s">
        <v>15</v>
      </c>
    </row>
    <row r="1722" spans="1:14" x14ac:dyDescent="0.2">
      <c r="A1722" t="s">
        <v>56</v>
      </c>
      <c r="B1722" t="s">
        <v>132</v>
      </c>
      <c r="C1722" t="s">
        <v>130</v>
      </c>
      <c r="D1722" t="s">
        <v>57</v>
      </c>
      <c r="E1722" t="s">
        <v>53</v>
      </c>
      <c r="F1722" t="s">
        <v>114</v>
      </c>
      <c r="G1722">
        <v>119598</v>
      </c>
      <c r="H1722" s="75">
        <v>41991</v>
      </c>
      <c r="I1722" t="s">
        <v>116</v>
      </c>
      <c r="J1722">
        <v>2.5</v>
      </c>
      <c r="K1722">
        <v>0</v>
      </c>
      <c r="M1722">
        <v>9933.6620000000003</v>
      </c>
      <c r="N1722" t="s">
        <v>17</v>
      </c>
    </row>
    <row r="1723" spans="1:14" x14ac:dyDescent="0.2">
      <c r="A1723" t="s">
        <v>56</v>
      </c>
      <c r="B1723" t="s">
        <v>132</v>
      </c>
      <c r="C1723" t="s">
        <v>130</v>
      </c>
      <c r="D1723" t="s">
        <v>57</v>
      </c>
      <c r="E1723" t="s">
        <v>53</v>
      </c>
      <c r="F1723" t="s">
        <v>114</v>
      </c>
      <c r="G1723">
        <v>119598</v>
      </c>
      <c r="H1723" s="75">
        <v>42021</v>
      </c>
      <c r="I1723" t="s">
        <v>115</v>
      </c>
      <c r="J1723">
        <v>5000</v>
      </c>
      <c r="K1723">
        <v>165.51</v>
      </c>
      <c r="L1723">
        <v>30.209700000000002</v>
      </c>
      <c r="M1723">
        <v>10099.171</v>
      </c>
      <c r="N1723" t="s">
        <v>15</v>
      </c>
    </row>
    <row r="1724" spans="1:14" x14ac:dyDescent="0.2">
      <c r="A1724" t="s">
        <v>56</v>
      </c>
      <c r="B1724" t="s">
        <v>132</v>
      </c>
      <c r="C1724" t="s">
        <v>130</v>
      </c>
      <c r="D1724" t="s">
        <v>57</v>
      </c>
      <c r="E1724" t="s">
        <v>53</v>
      </c>
      <c r="F1724" t="s">
        <v>114</v>
      </c>
      <c r="G1724">
        <v>119598</v>
      </c>
      <c r="H1724" s="75">
        <v>42051</v>
      </c>
      <c r="I1724" t="s">
        <v>115</v>
      </c>
      <c r="J1724">
        <v>5000</v>
      </c>
      <c r="K1724">
        <v>163.059</v>
      </c>
      <c r="L1724">
        <v>30.663799999999998</v>
      </c>
      <c r="M1724">
        <v>10262.23</v>
      </c>
      <c r="N1724" t="s">
        <v>15</v>
      </c>
    </row>
    <row r="1725" spans="1:14" x14ac:dyDescent="0.2">
      <c r="A1725" t="s">
        <v>56</v>
      </c>
      <c r="B1725" t="s">
        <v>132</v>
      </c>
      <c r="C1725" t="s">
        <v>130</v>
      </c>
      <c r="D1725" t="s">
        <v>57</v>
      </c>
      <c r="E1725" t="s">
        <v>53</v>
      </c>
      <c r="F1725" t="s">
        <v>114</v>
      </c>
      <c r="G1725">
        <v>119598</v>
      </c>
      <c r="H1725" s="75">
        <v>42081</v>
      </c>
      <c r="I1725" t="s">
        <v>115</v>
      </c>
      <c r="J1725">
        <v>5000</v>
      </c>
      <c r="K1725">
        <v>158.352</v>
      </c>
      <c r="L1725">
        <v>31.575299999999999</v>
      </c>
      <c r="M1725">
        <v>10420.582</v>
      </c>
      <c r="N1725" t="s">
        <v>15</v>
      </c>
    </row>
    <row r="1726" spans="1:14" x14ac:dyDescent="0.2">
      <c r="A1726" t="s">
        <v>56</v>
      </c>
      <c r="B1726" t="s">
        <v>132</v>
      </c>
      <c r="C1726" t="s">
        <v>130</v>
      </c>
      <c r="D1726" t="s">
        <v>57</v>
      </c>
      <c r="E1726" t="s">
        <v>53</v>
      </c>
      <c r="F1726" t="s">
        <v>114</v>
      </c>
      <c r="G1726">
        <v>119598</v>
      </c>
      <c r="H1726" s="75">
        <v>42081</v>
      </c>
      <c r="I1726" t="s">
        <v>117</v>
      </c>
      <c r="J1726">
        <v>2.5</v>
      </c>
      <c r="K1726">
        <v>0</v>
      </c>
      <c r="M1726">
        <v>10420.582</v>
      </c>
      <c r="N1726" t="s">
        <v>46</v>
      </c>
    </row>
    <row r="1727" spans="1:14" x14ac:dyDescent="0.2">
      <c r="A1727" t="s">
        <v>56</v>
      </c>
      <c r="B1727" t="s">
        <v>132</v>
      </c>
      <c r="C1727" t="s">
        <v>130</v>
      </c>
      <c r="D1727" t="s">
        <v>57</v>
      </c>
      <c r="E1727" t="s">
        <v>53</v>
      </c>
      <c r="F1727" t="s">
        <v>114</v>
      </c>
      <c r="G1727">
        <v>119598</v>
      </c>
      <c r="H1727" s="75">
        <v>42111</v>
      </c>
      <c r="I1727" t="s">
        <v>115</v>
      </c>
      <c r="J1727">
        <v>5000</v>
      </c>
      <c r="K1727">
        <v>160.822</v>
      </c>
      <c r="L1727">
        <v>31.090199999999999</v>
      </c>
      <c r="M1727">
        <v>10581.404</v>
      </c>
      <c r="N1727" t="s">
        <v>15</v>
      </c>
    </row>
    <row r="1728" spans="1:14" x14ac:dyDescent="0.2">
      <c r="A1728" t="s">
        <v>56</v>
      </c>
      <c r="B1728" t="s">
        <v>132</v>
      </c>
      <c r="C1728" t="s">
        <v>130</v>
      </c>
      <c r="D1728" t="s">
        <v>57</v>
      </c>
      <c r="E1728" t="s">
        <v>53</v>
      </c>
      <c r="F1728" t="s">
        <v>114</v>
      </c>
      <c r="G1728">
        <v>119598</v>
      </c>
      <c r="H1728" s="75">
        <v>42141</v>
      </c>
      <c r="I1728" t="s">
        <v>115</v>
      </c>
      <c r="J1728">
        <v>5000</v>
      </c>
      <c r="K1728">
        <v>161.34</v>
      </c>
      <c r="L1728">
        <v>30.990400000000001</v>
      </c>
      <c r="M1728">
        <v>10742.744000000001</v>
      </c>
      <c r="N1728" t="s">
        <v>15</v>
      </c>
    </row>
    <row r="1729" spans="1:14" x14ac:dyDescent="0.2">
      <c r="A1729" t="s">
        <v>56</v>
      </c>
      <c r="B1729" t="s">
        <v>132</v>
      </c>
      <c r="C1729" t="s">
        <v>130</v>
      </c>
      <c r="D1729" t="s">
        <v>57</v>
      </c>
      <c r="E1729" t="s">
        <v>53</v>
      </c>
      <c r="F1729" t="s">
        <v>114</v>
      </c>
      <c r="G1729">
        <v>119598</v>
      </c>
      <c r="H1729" s="75">
        <v>42141</v>
      </c>
      <c r="I1729" t="s">
        <v>117</v>
      </c>
      <c r="J1729">
        <v>2.5</v>
      </c>
      <c r="K1729">
        <v>0</v>
      </c>
      <c r="M1729">
        <v>10742.744000000001</v>
      </c>
      <c r="N1729" t="s">
        <v>46</v>
      </c>
    </row>
    <row r="1730" spans="1:14" x14ac:dyDescent="0.2">
      <c r="A1730" t="s">
        <v>56</v>
      </c>
      <c r="B1730" t="s">
        <v>132</v>
      </c>
      <c r="C1730" t="s">
        <v>130</v>
      </c>
      <c r="D1730" t="s">
        <v>57</v>
      </c>
      <c r="E1730" t="s">
        <v>53</v>
      </c>
      <c r="F1730" t="s">
        <v>114</v>
      </c>
      <c r="G1730">
        <v>119598</v>
      </c>
      <c r="H1730" s="75">
        <v>42171</v>
      </c>
      <c r="I1730" t="s">
        <v>115</v>
      </c>
      <c r="J1730">
        <v>5000</v>
      </c>
      <c r="K1730">
        <v>162.64099999999999</v>
      </c>
      <c r="L1730">
        <v>30.7425</v>
      </c>
      <c r="M1730">
        <v>10905.385</v>
      </c>
      <c r="N1730" t="s">
        <v>15</v>
      </c>
    </row>
    <row r="1731" spans="1:14" x14ac:dyDescent="0.2">
      <c r="A1731" t="s">
        <v>56</v>
      </c>
      <c r="B1731" t="s">
        <v>132</v>
      </c>
      <c r="C1731" t="s">
        <v>130</v>
      </c>
      <c r="D1731" t="s">
        <v>57</v>
      </c>
      <c r="E1731" t="s">
        <v>53</v>
      </c>
      <c r="F1731" t="s">
        <v>114</v>
      </c>
      <c r="G1731">
        <v>119598</v>
      </c>
      <c r="H1731" s="75">
        <v>42201</v>
      </c>
      <c r="I1731" t="s">
        <v>115</v>
      </c>
      <c r="J1731">
        <v>5000</v>
      </c>
      <c r="K1731">
        <v>163.22</v>
      </c>
      <c r="L1731">
        <v>30.633500000000002</v>
      </c>
      <c r="M1731">
        <v>11068.605</v>
      </c>
      <c r="N1731" t="s">
        <v>15</v>
      </c>
    </row>
    <row r="1732" spans="1:14" x14ac:dyDescent="0.2">
      <c r="A1732" t="s">
        <v>56</v>
      </c>
      <c r="B1732" t="s">
        <v>132</v>
      </c>
      <c r="C1732" t="s">
        <v>130</v>
      </c>
      <c r="D1732" t="s">
        <v>57</v>
      </c>
      <c r="E1732" t="s">
        <v>53</v>
      </c>
      <c r="F1732" t="s">
        <v>114</v>
      </c>
      <c r="G1732">
        <v>119598</v>
      </c>
      <c r="H1732" s="75">
        <v>42201</v>
      </c>
      <c r="I1732" t="s">
        <v>116</v>
      </c>
      <c r="J1732">
        <v>2.5</v>
      </c>
      <c r="K1732">
        <v>0</v>
      </c>
      <c r="M1732">
        <v>11068.605</v>
      </c>
      <c r="N1732" t="s">
        <v>17</v>
      </c>
    </row>
    <row r="1733" spans="1:14" x14ac:dyDescent="0.2">
      <c r="A1733" t="s">
        <v>56</v>
      </c>
      <c r="B1733" t="s">
        <v>132</v>
      </c>
      <c r="C1733" t="s">
        <v>130</v>
      </c>
      <c r="D1733" t="s">
        <v>57</v>
      </c>
      <c r="E1733" t="s">
        <v>53</v>
      </c>
      <c r="F1733" t="s">
        <v>114</v>
      </c>
      <c r="G1733">
        <v>119598</v>
      </c>
      <c r="H1733" s="75">
        <v>42201</v>
      </c>
      <c r="I1733" t="s">
        <v>25</v>
      </c>
      <c r="J1733">
        <v>-67814.080000000002</v>
      </c>
      <c r="K1733">
        <v>-2213.721</v>
      </c>
      <c r="L1733">
        <v>30.633500000000002</v>
      </c>
      <c r="M1733">
        <v>8854.884</v>
      </c>
      <c r="N1733" t="s">
        <v>16</v>
      </c>
    </row>
    <row r="1734" spans="1:14" x14ac:dyDescent="0.2">
      <c r="A1734" t="s">
        <v>56</v>
      </c>
      <c r="B1734" t="s">
        <v>132</v>
      </c>
      <c r="C1734" t="s">
        <v>130</v>
      </c>
      <c r="D1734" t="s">
        <v>57</v>
      </c>
      <c r="E1734" t="s">
        <v>53</v>
      </c>
      <c r="F1734" t="s">
        <v>114</v>
      </c>
      <c r="G1734">
        <v>119598</v>
      </c>
      <c r="H1734" s="75">
        <v>42231</v>
      </c>
      <c r="I1734" t="s">
        <v>115</v>
      </c>
      <c r="J1734">
        <v>5000</v>
      </c>
      <c r="K1734">
        <v>161.97399999999999</v>
      </c>
      <c r="L1734">
        <v>30.869199999999999</v>
      </c>
      <c r="M1734">
        <v>9016.8580000000002</v>
      </c>
      <c r="N1734" t="s">
        <v>15</v>
      </c>
    </row>
    <row r="1735" spans="1:14" x14ac:dyDescent="0.2">
      <c r="A1735" t="s">
        <v>56</v>
      </c>
      <c r="B1735" t="s">
        <v>132</v>
      </c>
      <c r="C1735" t="s">
        <v>130</v>
      </c>
      <c r="D1735" t="s">
        <v>57</v>
      </c>
      <c r="E1735" t="s">
        <v>53</v>
      </c>
      <c r="F1735" t="s">
        <v>114</v>
      </c>
      <c r="G1735">
        <v>119598</v>
      </c>
      <c r="H1735" s="75">
        <v>42261</v>
      </c>
      <c r="I1735" t="s">
        <v>115</v>
      </c>
      <c r="J1735">
        <v>5000</v>
      </c>
      <c r="K1735">
        <v>161.10300000000001</v>
      </c>
      <c r="L1735">
        <v>31.036100000000001</v>
      </c>
      <c r="M1735">
        <v>9177.9609999999993</v>
      </c>
      <c r="N1735" t="s">
        <v>15</v>
      </c>
    </row>
    <row r="1736" spans="1:14" x14ac:dyDescent="0.2">
      <c r="A1736" t="s">
        <v>56</v>
      </c>
      <c r="B1736" t="s">
        <v>132</v>
      </c>
      <c r="C1736" t="s">
        <v>130</v>
      </c>
      <c r="D1736" t="s">
        <v>57</v>
      </c>
      <c r="E1736" t="s">
        <v>53</v>
      </c>
      <c r="F1736" t="s">
        <v>114</v>
      </c>
      <c r="G1736">
        <v>119598</v>
      </c>
      <c r="H1736" s="75">
        <v>42261</v>
      </c>
      <c r="I1736" t="s">
        <v>25</v>
      </c>
      <c r="J1736">
        <v>-56969.62</v>
      </c>
      <c r="K1736">
        <v>-1835.5920000000001</v>
      </c>
      <c r="L1736">
        <v>31.036100000000001</v>
      </c>
      <c r="M1736">
        <v>7342.3689999999997</v>
      </c>
      <c r="N1736" t="s">
        <v>16</v>
      </c>
    </row>
    <row r="1737" spans="1:14" x14ac:dyDescent="0.2">
      <c r="A1737" t="s">
        <v>56</v>
      </c>
      <c r="B1737" t="s">
        <v>132</v>
      </c>
      <c r="C1737" t="s">
        <v>130</v>
      </c>
      <c r="D1737" t="s">
        <v>57</v>
      </c>
      <c r="E1737" t="s">
        <v>53</v>
      </c>
      <c r="F1737" t="s">
        <v>114</v>
      </c>
      <c r="G1737">
        <v>119598</v>
      </c>
      <c r="H1737" s="75">
        <v>42291</v>
      </c>
      <c r="I1737" t="s">
        <v>115</v>
      </c>
      <c r="J1737">
        <v>5000</v>
      </c>
      <c r="K1737">
        <v>163.625</v>
      </c>
      <c r="L1737">
        <v>30.557700000000001</v>
      </c>
      <c r="M1737">
        <v>7505.9930000000004</v>
      </c>
      <c r="N1737" t="s">
        <v>15</v>
      </c>
    </row>
    <row r="1738" spans="1:14" x14ac:dyDescent="0.2">
      <c r="A1738" t="s">
        <v>56</v>
      </c>
      <c r="B1738" t="s">
        <v>132</v>
      </c>
      <c r="C1738" t="s">
        <v>130</v>
      </c>
      <c r="D1738" t="s">
        <v>57</v>
      </c>
      <c r="E1738" t="s">
        <v>53</v>
      </c>
      <c r="F1738" t="s">
        <v>114</v>
      </c>
      <c r="G1738">
        <v>119598</v>
      </c>
      <c r="H1738" s="75">
        <v>42321</v>
      </c>
      <c r="I1738" t="s">
        <v>115</v>
      </c>
      <c r="J1738">
        <v>5000</v>
      </c>
      <c r="K1738">
        <v>163.66200000000001</v>
      </c>
      <c r="L1738">
        <v>30.550699999999999</v>
      </c>
      <c r="M1738">
        <v>7669.6559999999999</v>
      </c>
      <c r="N1738" t="s">
        <v>15</v>
      </c>
    </row>
    <row r="1739" spans="1:14" x14ac:dyDescent="0.2">
      <c r="A1739" t="s">
        <v>56</v>
      </c>
      <c r="B1739" t="s">
        <v>132</v>
      </c>
      <c r="C1739" t="s">
        <v>130</v>
      </c>
      <c r="D1739" t="s">
        <v>57</v>
      </c>
      <c r="E1739" t="s">
        <v>53</v>
      </c>
      <c r="F1739" t="s">
        <v>114</v>
      </c>
      <c r="G1739">
        <v>119598</v>
      </c>
      <c r="H1739" s="75">
        <v>42351</v>
      </c>
      <c r="I1739" t="s">
        <v>115</v>
      </c>
      <c r="J1739">
        <v>5000</v>
      </c>
      <c r="K1739">
        <v>160.16999999999999</v>
      </c>
      <c r="L1739">
        <v>31.216899999999999</v>
      </c>
      <c r="M1739">
        <v>7829.8249999999998</v>
      </c>
      <c r="N1739" t="s">
        <v>15</v>
      </c>
    </row>
    <row r="1740" spans="1:14" x14ac:dyDescent="0.2">
      <c r="A1740" t="s">
        <v>56</v>
      </c>
      <c r="B1740" t="s">
        <v>132</v>
      </c>
      <c r="C1740" t="s">
        <v>130</v>
      </c>
      <c r="D1740" t="s">
        <v>57</v>
      </c>
      <c r="E1740" t="s">
        <v>53</v>
      </c>
      <c r="F1740" t="s">
        <v>114</v>
      </c>
      <c r="G1740">
        <v>119598</v>
      </c>
      <c r="H1740" s="75">
        <v>42381</v>
      </c>
      <c r="I1740" t="s">
        <v>115</v>
      </c>
      <c r="J1740">
        <v>5000</v>
      </c>
      <c r="K1740">
        <v>156.404</v>
      </c>
      <c r="L1740">
        <v>31.968499999999999</v>
      </c>
      <c r="M1740">
        <v>7986.2290000000003</v>
      </c>
      <c r="N1740" t="s">
        <v>15</v>
      </c>
    </row>
    <row r="1741" spans="1:14" x14ac:dyDescent="0.2">
      <c r="A1741" t="s">
        <v>56</v>
      </c>
      <c r="B1741" t="s">
        <v>132</v>
      </c>
      <c r="C1741" t="s">
        <v>130</v>
      </c>
      <c r="D1741" t="s">
        <v>57</v>
      </c>
      <c r="E1741" t="s">
        <v>53</v>
      </c>
      <c r="F1741" t="s">
        <v>114</v>
      </c>
      <c r="G1741">
        <v>119598</v>
      </c>
      <c r="H1741" s="75">
        <v>42411</v>
      </c>
      <c r="I1741" t="s">
        <v>115</v>
      </c>
      <c r="J1741">
        <v>5000</v>
      </c>
      <c r="K1741">
        <v>154.779</v>
      </c>
      <c r="L1741">
        <v>32.304200000000002</v>
      </c>
      <c r="M1741">
        <v>8141.0079999999998</v>
      </c>
      <c r="N1741" t="s">
        <v>15</v>
      </c>
    </row>
    <row r="1742" spans="1:14" x14ac:dyDescent="0.2">
      <c r="A1742" t="s">
        <v>56</v>
      </c>
      <c r="B1742" t="s">
        <v>132</v>
      </c>
      <c r="C1742" t="s">
        <v>130</v>
      </c>
      <c r="D1742" t="s">
        <v>57</v>
      </c>
      <c r="E1742" t="s">
        <v>53</v>
      </c>
      <c r="F1742" t="s">
        <v>114</v>
      </c>
      <c r="G1742">
        <v>119598</v>
      </c>
      <c r="H1742" s="75">
        <v>42441</v>
      </c>
      <c r="I1742" t="s">
        <v>115</v>
      </c>
      <c r="J1742">
        <v>5000</v>
      </c>
      <c r="K1742">
        <v>155.86000000000001</v>
      </c>
      <c r="L1742">
        <v>32.08</v>
      </c>
      <c r="M1742">
        <v>8296.8680000000004</v>
      </c>
      <c r="N1742" t="s">
        <v>15</v>
      </c>
    </row>
    <row r="1743" spans="1:14" x14ac:dyDescent="0.2">
      <c r="A1743" t="s">
        <v>56</v>
      </c>
      <c r="B1743" t="s">
        <v>132</v>
      </c>
      <c r="C1743" t="s">
        <v>130</v>
      </c>
      <c r="D1743" t="s">
        <v>57</v>
      </c>
      <c r="E1743" t="s">
        <v>53</v>
      </c>
      <c r="F1743" t="s">
        <v>114</v>
      </c>
      <c r="G1743">
        <v>119598</v>
      </c>
      <c r="H1743" s="75">
        <v>42471</v>
      </c>
      <c r="I1743" t="s">
        <v>115</v>
      </c>
      <c r="J1743">
        <v>5000</v>
      </c>
      <c r="K1743">
        <v>155.71899999999999</v>
      </c>
      <c r="L1743">
        <v>32.109000000000002</v>
      </c>
      <c r="M1743">
        <v>8452.5879999999997</v>
      </c>
      <c r="N1743" t="s">
        <v>15</v>
      </c>
    </row>
    <row r="1744" spans="1:14" x14ac:dyDescent="0.2">
      <c r="A1744" t="s">
        <v>56</v>
      </c>
      <c r="B1744" t="s">
        <v>132</v>
      </c>
      <c r="C1744" t="s">
        <v>130</v>
      </c>
      <c r="D1744" t="s">
        <v>57</v>
      </c>
      <c r="E1744" t="s">
        <v>53</v>
      </c>
      <c r="F1744" t="s">
        <v>114</v>
      </c>
      <c r="G1744">
        <v>119598</v>
      </c>
      <c r="H1744" s="75">
        <v>42471</v>
      </c>
      <c r="I1744" t="s">
        <v>116</v>
      </c>
      <c r="J1744">
        <v>2.5</v>
      </c>
      <c r="K1744">
        <v>0</v>
      </c>
      <c r="M1744">
        <v>8452.5879999999997</v>
      </c>
      <c r="N1744" t="s">
        <v>17</v>
      </c>
    </row>
    <row r="1745" spans="1:14" x14ac:dyDescent="0.2">
      <c r="A1745" t="s">
        <v>56</v>
      </c>
      <c r="B1745" t="s">
        <v>132</v>
      </c>
      <c r="C1745" t="s">
        <v>130</v>
      </c>
      <c r="D1745" t="s">
        <v>57</v>
      </c>
      <c r="E1745" t="s">
        <v>53</v>
      </c>
      <c r="F1745" t="s">
        <v>114</v>
      </c>
      <c r="G1745">
        <v>119598</v>
      </c>
      <c r="H1745" s="75">
        <v>42501</v>
      </c>
      <c r="I1745" t="s">
        <v>115</v>
      </c>
      <c r="J1745">
        <v>5000</v>
      </c>
      <c r="K1745">
        <v>152.15199999999999</v>
      </c>
      <c r="L1745">
        <v>32.861800000000002</v>
      </c>
      <c r="M1745">
        <v>8604.74</v>
      </c>
      <c r="N1745" t="s">
        <v>15</v>
      </c>
    </row>
    <row r="1746" spans="1:14" x14ac:dyDescent="0.2">
      <c r="A1746" t="s">
        <v>56</v>
      </c>
      <c r="B1746" t="s">
        <v>132</v>
      </c>
      <c r="C1746" t="s">
        <v>130</v>
      </c>
      <c r="D1746" t="s">
        <v>57</v>
      </c>
      <c r="E1746" t="s">
        <v>53</v>
      </c>
      <c r="F1746" t="s">
        <v>114</v>
      </c>
      <c r="G1746">
        <v>119598</v>
      </c>
      <c r="H1746" s="75">
        <v>42501</v>
      </c>
      <c r="I1746" t="s">
        <v>116</v>
      </c>
      <c r="J1746">
        <v>2.5</v>
      </c>
      <c r="K1746">
        <v>0</v>
      </c>
      <c r="M1746">
        <v>8604.74</v>
      </c>
      <c r="N1746" t="s">
        <v>17</v>
      </c>
    </row>
    <row r="1747" spans="1:14" x14ac:dyDescent="0.2">
      <c r="A1747" t="s">
        <v>56</v>
      </c>
      <c r="B1747" t="s">
        <v>132</v>
      </c>
      <c r="C1747" t="s">
        <v>130</v>
      </c>
      <c r="D1747" t="s">
        <v>57</v>
      </c>
      <c r="E1747" t="s">
        <v>53</v>
      </c>
      <c r="F1747" t="s">
        <v>114</v>
      </c>
      <c r="G1747">
        <v>119598</v>
      </c>
      <c r="H1747" s="75">
        <v>42531</v>
      </c>
      <c r="I1747" t="s">
        <v>115</v>
      </c>
      <c r="J1747">
        <v>5000</v>
      </c>
      <c r="K1747">
        <v>152.005</v>
      </c>
      <c r="L1747">
        <v>32.893599999999999</v>
      </c>
      <c r="M1747">
        <v>8756.7450000000008</v>
      </c>
      <c r="N1747" t="s">
        <v>15</v>
      </c>
    </row>
    <row r="1748" spans="1:14" x14ac:dyDescent="0.2">
      <c r="A1748" t="s">
        <v>56</v>
      </c>
      <c r="B1748" t="s">
        <v>132</v>
      </c>
      <c r="C1748" t="s">
        <v>130</v>
      </c>
      <c r="D1748" t="s">
        <v>57</v>
      </c>
      <c r="E1748" t="s">
        <v>53</v>
      </c>
      <c r="F1748" t="s">
        <v>114</v>
      </c>
      <c r="G1748">
        <v>119598</v>
      </c>
      <c r="H1748" s="75">
        <v>42561</v>
      </c>
      <c r="I1748" t="s">
        <v>115</v>
      </c>
      <c r="J1748">
        <v>5000</v>
      </c>
      <c r="K1748">
        <v>154.261</v>
      </c>
      <c r="L1748">
        <v>32.412599999999998</v>
      </c>
      <c r="M1748">
        <v>8911.0059999999994</v>
      </c>
      <c r="N1748" t="s">
        <v>15</v>
      </c>
    </row>
    <row r="1749" spans="1:14" x14ac:dyDescent="0.2">
      <c r="A1749" t="s">
        <v>56</v>
      </c>
      <c r="B1749" t="s">
        <v>132</v>
      </c>
      <c r="C1749" t="s">
        <v>130</v>
      </c>
      <c r="D1749" t="s">
        <v>57</v>
      </c>
      <c r="E1749" t="s">
        <v>53</v>
      </c>
      <c r="F1749" t="s">
        <v>114</v>
      </c>
      <c r="G1749">
        <v>119598</v>
      </c>
      <c r="H1749" s="75">
        <v>42591</v>
      </c>
      <c r="I1749" t="s">
        <v>115</v>
      </c>
      <c r="J1749">
        <v>5000</v>
      </c>
      <c r="K1749">
        <v>155.37</v>
      </c>
      <c r="L1749">
        <v>32.181100000000001</v>
      </c>
      <c r="M1749">
        <v>9066.3760000000002</v>
      </c>
      <c r="N1749" t="s">
        <v>15</v>
      </c>
    </row>
    <row r="1750" spans="1:14" x14ac:dyDescent="0.2">
      <c r="A1750" t="s">
        <v>56</v>
      </c>
      <c r="B1750" t="s">
        <v>132</v>
      </c>
      <c r="C1750" t="s">
        <v>130</v>
      </c>
      <c r="D1750" t="s">
        <v>57</v>
      </c>
      <c r="E1750" t="s">
        <v>53</v>
      </c>
      <c r="F1750" t="s">
        <v>114</v>
      </c>
      <c r="G1750">
        <v>119598</v>
      </c>
      <c r="H1750" s="75">
        <v>42621</v>
      </c>
      <c r="I1750" t="s">
        <v>115</v>
      </c>
      <c r="J1750">
        <v>5000</v>
      </c>
      <c r="K1750">
        <v>153.91800000000001</v>
      </c>
      <c r="L1750">
        <v>32.4848</v>
      </c>
      <c r="M1750">
        <v>9220.2950000000001</v>
      </c>
      <c r="N1750" t="s">
        <v>15</v>
      </c>
    </row>
    <row r="1751" spans="1:14" x14ac:dyDescent="0.2">
      <c r="A1751" t="s">
        <v>56</v>
      </c>
      <c r="B1751" t="s">
        <v>132</v>
      </c>
      <c r="C1751" t="s">
        <v>130</v>
      </c>
      <c r="D1751" t="s">
        <v>57</v>
      </c>
      <c r="E1751" t="s">
        <v>53</v>
      </c>
      <c r="F1751" t="s">
        <v>114</v>
      </c>
      <c r="G1751">
        <v>119598</v>
      </c>
      <c r="H1751" s="75">
        <v>42651</v>
      </c>
      <c r="I1751" t="s">
        <v>115</v>
      </c>
      <c r="J1751">
        <v>5000</v>
      </c>
      <c r="K1751">
        <v>153.608</v>
      </c>
      <c r="L1751">
        <v>32.550400000000003</v>
      </c>
      <c r="M1751">
        <v>9373.9030000000002</v>
      </c>
      <c r="N1751" t="s">
        <v>15</v>
      </c>
    </row>
    <row r="1752" spans="1:14" x14ac:dyDescent="0.2">
      <c r="A1752" t="s">
        <v>56</v>
      </c>
      <c r="B1752" t="s">
        <v>132</v>
      </c>
      <c r="C1752" t="s">
        <v>130</v>
      </c>
      <c r="D1752" t="s">
        <v>57</v>
      </c>
      <c r="E1752" t="s">
        <v>53</v>
      </c>
      <c r="F1752" t="s">
        <v>114</v>
      </c>
      <c r="G1752">
        <v>119598</v>
      </c>
      <c r="H1752" s="75">
        <v>42681</v>
      </c>
      <c r="I1752" t="s">
        <v>115</v>
      </c>
      <c r="J1752">
        <v>5000</v>
      </c>
      <c r="K1752">
        <v>154.51</v>
      </c>
      <c r="L1752">
        <v>32.360399999999998</v>
      </c>
      <c r="M1752">
        <v>9528.4130000000005</v>
      </c>
      <c r="N1752" t="s">
        <v>15</v>
      </c>
    </row>
    <row r="1753" spans="1:14" x14ac:dyDescent="0.2">
      <c r="A1753" t="s">
        <v>56</v>
      </c>
      <c r="B1753" t="s">
        <v>132</v>
      </c>
      <c r="C1753" t="s">
        <v>130</v>
      </c>
      <c r="D1753" t="s">
        <v>57</v>
      </c>
      <c r="E1753" t="s">
        <v>53</v>
      </c>
      <c r="F1753" t="s">
        <v>114</v>
      </c>
      <c r="G1753">
        <v>119598</v>
      </c>
      <c r="H1753" s="75">
        <v>42711</v>
      </c>
      <c r="I1753" t="s">
        <v>115</v>
      </c>
      <c r="J1753">
        <v>5000</v>
      </c>
      <c r="K1753">
        <v>151.917</v>
      </c>
      <c r="L1753">
        <v>32.912700000000001</v>
      </c>
      <c r="M1753">
        <v>9680.33</v>
      </c>
      <c r="N1753" t="s">
        <v>15</v>
      </c>
    </row>
    <row r="1754" spans="1:14" x14ac:dyDescent="0.2">
      <c r="A1754" t="s">
        <v>56</v>
      </c>
      <c r="B1754" t="s">
        <v>132</v>
      </c>
      <c r="C1754" t="s">
        <v>130</v>
      </c>
      <c r="D1754" t="s">
        <v>57</v>
      </c>
      <c r="E1754" t="s">
        <v>53</v>
      </c>
      <c r="F1754" t="s">
        <v>114</v>
      </c>
      <c r="G1754">
        <v>119598</v>
      </c>
      <c r="H1754" s="75">
        <v>42741</v>
      </c>
      <c r="I1754" t="s">
        <v>115</v>
      </c>
      <c r="J1754">
        <v>5000</v>
      </c>
      <c r="K1754">
        <v>149.07599999999999</v>
      </c>
      <c r="L1754">
        <v>33.539900000000003</v>
      </c>
      <c r="M1754">
        <v>9829.4060000000009</v>
      </c>
      <c r="N1754" t="s">
        <v>15</v>
      </c>
    </row>
    <row r="1755" spans="1:14" x14ac:dyDescent="0.2">
      <c r="A1755" t="s">
        <v>56</v>
      </c>
      <c r="B1755" t="s">
        <v>132</v>
      </c>
      <c r="C1755" t="s">
        <v>130</v>
      </c>
      <c r="D1755" t="s">
        <v>57</v>
      </c>
      <c r="E1755" t="s">
        <v>53</v>
      </c>
      <c r="F1755" t="s">
        <v>114</v>
      </c>
      <c r="G1755">
        <v>119598</v>
      </c>
      <c r="H1755" s="75">
        <v>42771</v>
      </c>
      <c r="I1755" t="s">
        <v>115</v>
      </c>
      <c r="J1755">
        <v>5000</v>
      </c>
      <c r="K1755">
        <v>145.399</v>
      </c>
      <c r="L1755">
        <v>34.387999999999998</v>
      </c>
      <c r="M1755">
        <v>9974.8050000000003</v>
      </c>
      <c r="N1755" t="s">
        <v>15</v>
      </c>
    </row>
    <row r="1756" spans="1:14" x14ac:dyDescent="0.2">
      <c r="A1756" t="s">
        <v>56</v>
      </c>
      <c r="B1756" t="s">
        <v>132</v>
      </c>
      <c r="C1756" t="s">
        <v>130</v>
      </c>
      <c r="D1756" t="s">
        <v>57</v>
      </c>
      <c r="E1756" t="s">
        <v>53</v>
      </c>
      <c r="F1756" t="s">
        <v>114</v>
      </c>
      <c r="G1756">
        <v>119598</v>
      </c>
      <c r="H1756" s="75">
        <v>42801</v>
      </c>
      <c r="I1756" t="s">
        <v>115</v>
      </c>
      <c r="J1756">
        <v>5000</v>
      </c>
      <c r="K1756">
        <v>143.29400000000001</v>
      </c>
      <c r="L1756">
        <v>34.8932</v>
      </c>
      <c r="M1756">
        <v>10118.099</v>
      </c>
      <c r="N1756" t="s">
        <v>15</v>
      </c>
    </row>
    <row r="1757" spans="1:14" x14ac:dyDescent="0.2">
      <c r="A1757" t="s">
        <v>56</v>
      </c>
      <c r="B1757" t="s">
        <v>132</v>
      </c>
      <c r="C1757" t="s">
        <v>130</v>
      </c>
      <c r="D1757" t="s">
        <v>57</v>
      </c>
      <c r="E1757" t="s">
        <v>53</v>
      </c>
      <c r="F1757" t="s">
        <v>114</v>
      </c>
      <c r="G1757">
        <v>119598</v>
      </c>
      <c r="H1757" s="75">
        <v>42831</v>
      </c>
      <c r="I1757" t="s">
        <v>115</v>
      </c>
      <c r="J1757">
        <v>5000</v>
      </c>
      <c r="K1757">
        <v>139.87299999999999</v>
      </c>
      <c r="L1757">
        <v>35.7468</v>
      </c>
      <c r="M1757">
        <v>10257.972</v>
      </c>
      <c r="N1757" t="s">
        <v>15</v>
      </c>
    </row>
    <row r="1758" spans="1:14" x14ac:dyDescent="0.2">
      <c r="A1758" t="s">
        <v>56</v>
      </c>
      <c r="B1758" t="s">
        <v>132</v>
      </c>
      <c r="C1758" t="s">
        <v>130</v>
      </c>
      <c r="D1758" t="s">
        <v>57</v>
      </c>
      <c r="E1758" t="s">
        <v>53</v>
      </c>
      <c r="F1758" t="s">
        <v>114</v>
      </c>
      <c r="G1758">
        <v>119598</v>
      </c>
      <c r="H1758" s="75">
        <v>42861</v>
      </c>
      <c r="I1758" t="s">
        <v>115</v>
      </c>
      <c r="J1758">
        <v>5000</v>
      </c>
      <c r="K1758">
        <v>142.12700000000001</v>
      </c>
      <c r="L1758">
        <v>35.1798</v>
      </c>
      <c r="M1758">
        <v>10400.099</v>
      </c>
      <c r="N1758" t="s">
        <v>15</v>
      </c>
    </row>
    <row r="1759" spans="1:14" x14ac:dyDescent="0.2">
      <c r="A1759" t="s">
        <v>56</v>
      </c>
      <c r="B1759" t="s">
        <v>132</v>
      </c>
      <c r="C1759" t="s">
        <v>130</v>
      </c>
      <c r="D1759" t="s">
        <v>57</v>
      </c>
      <c r="E1759" t="s">
        <v>53</v>
      </c>
      <c r="F1759" t="s">
        <v>114</v>
      </c>
      <c r="G1759">
        <v>119598</v>
      </c>
      <c r="H1759" s="75">
        <v>42891</v>
      </c>
      <c r="I1759" t="s">
        <v>115</v>
      </c>
      <c r="J1759">
        <v>5000</v>
      </c>
      <c r="K1759">
        <v>138.96799999999999</v>
      </c>
      <c r="L1759">
        <v>35.979500000000002</v>
      </c>
      <c r="M1759">
        <v>10539.066999999999</v>
      </c>
      <c r="N1759" t="s">
        <v>15</v>
      </c>
    </row>
    <row r="1760" spans="1:14" x14ac:dyDescent="0.2">
      <c r="A1760" t="s">
        <v>56</v>
      </c>
      <c r="B1760" t="s">
        <v>132</v>
      </c>
      <c r="C1760" t="s">
        <v>130</v>
      </c>
      <c r="D1760" t="s">
        <v>57</v>
      </c>
      <c r="E1760" t="s">
        <v>53</v>
      </c>
      <c r="F1760" t="s">
        <v>114</v>
      </c>
      <c r="G1760">
        <v>119598</v>
      </c>
      <c r="H1760" s="75">
        <v>42921</v>
      </c>
      <c r="I1760" t="s">
        <v>115</v>
      </c>
      <c r="J1760">
        <v>5000</v>
      </c>
      <c r="K1760">
        <v>136.851</v>
      </c>
      <c r="L1760">
        <v>36.536000000000001</v>
      </c>
      <c r="M1760">
        <v>10675.918</v>
      </c>
      <c r="N1760" t="s">
        <v>15</v>
      </c>
    </row>
    <row r="1761" spans="1:14" x14ac:dyDescent="0.2">
      <c r="A1761" t="s">
        <v>56</v>
      </c>
      <c r="B1761" t="s">
        <v>132</v>
      </c>
      <c r="C1761" t="s">
        <v>130</v>
      </c>
      <c r="D1761" t="s">
        <v>57</v>
      </c>
      <c r="E1761" t="s">
        <v>53</v>
      </c>
      <c r="F1761" t="s">
        <v>114</v>
      </c>
      <c r="G1761">
        <v>119598</v>
      </c>
      <c r="H1761" s="75">
        <v>42951</v>
      </c>
      <c r="I1761" t="s">
        <v>115</v>
      </c>
      <c r="J1761">
        <v>5000</v>
      </c>
      <c r="K1761">
        <v>137.72999999999999</v>
      </c>
      <c r="L1761">
        <v>36.302799999999998</v>
      </c>
      <c r="M1761">
        <v>10813.648999999999</v>
      </c>
      <c r="N1761" t="s">
        <v>15</v>
      </c>
    </row>
    <row r="1762" spans="1:14" x14ac:dyDescent="0.2">
      <c r="A1762" t="s">
        <v>56</v>
      </c>
      <c r="B1762" t="s">
        <v>132</v>
      </c>
      <c r="C1762" t="s">
        <v>130</v>
      </c>
      <c r="D1762" t="s">
        <v>57</v>
      </c>
      <c r="E1762" t="s">
        <v>53</v>
      </c>
      <c r="F1762" t="s">
        <v>114</v>
      </c>
      <c r="G1762">
        <v>119598</v>
      </c>
      <c r="H1762" s="75">
        <v>42981</v>
      </c>
      <c r="I1762" t="s">
        <v>115</v>
      </c>
      <c r="J1762">
        <v>5000</v>
      </c>
      <c r="K1762">
        <v>137.923</v>
      </c>
      <c r="L1762">
        <v>36.252099999999999</v>
      </c>
      <c r="M1762">
        <v>10951.572</v>
      </c>
      <c r="N1762" t="s">
        <v>15</v>
      </c>
    </row>
    <row r="1763" spans="1:14" x14ac:dyDescent="0.2">
      <c r="A1763" t="s">
        <v>56</v>
      </c>
      <c r="B1763" t="s">
        <v>132</v>
      </c>
      <c r="C1763" t="s">
        <v>130</v>
      </c>
      <c r="D1763" t="s">
        <v>57</v>
      </c>
      <c r="E1763" t="s">
        <v>53</v>
      </c>
      <c r="F1763" t="s">
        <v>114</v>
      </c>
      <c r="G1763">
        <v>119598</v>
      </c>
      <c r="H1763" s="75">
        <v>43011</v>
      </c>
      <c r="I1763" t="s">
        <v>115</v>
      </c>
      <c r="J1763">
        <v>5000</v>
      </c>
      <c r="K1763">
        <v>138.46899999999999</v>
      </c>
      <c r="L1763">
        <v>36.109200000000001</v>
      </c>
      <c r="M1763">
        <v>11090.040999999999</v>
      </c>
      <c r="N1763" t="s">
        <v>15</v>
      </c>
    </row>
    <row r="1764" spans="1:14" x14ac:dyDescent="0.2">
      <c r="A1764" t="s">
        <v>56</v>
      </c>
      <c r="B1764" t="s">
        <v>132</v>
      </c>
      <c r="C1764" t="s">
        <v>130</v>
      </c>
      <c r="D1764" t="s">
        <v>57</v>
      </c>
      <c r="E1764" t="s">
        <v>53</v>
      </c>
      <c r="F1764" t="s">
        <v>114</v>
      </c>
      <c r="G1764">
        <v>119598</v>
      </c>
      <c r="H1764" s="75">
        <v>43041</v>
      </c>
      <c r="I1764" t="s">
        <v>115</v>
      </c>
      <c r="J1764">
        <v>5000</v>
      </c>
      <c r="K1764">
        <v>139.53700000000001</v>
      </c>
      <c r="L1764">
        <v>35.832799999999999</v>
      </c>
      <c r="M1764">
        <v>11229.578</v>
      </c>
      <c r="N1764" t="s">
        <v>15</v>
      </c>
    </row>
    <row r="1765" spans="1:14" x14ac:dyDescent="0.2">
      <c r="A1765" t="s">
        <v>56</v>
      </c>
      <c r="B1765" t="s">
        <v>132</v>
      </c>
      <c r="C1765" t="s">
        <v>130</v>
      </c>
      <c r="D1765" t="s">
        <v>57</v>
      </c>
      <c r="E1765" t="s">
        <v>53</v>
      </c>
      <c r="F1765" t="s">
        <v>114</v>
      </c>
      <c r="G1765">
        <v>119598</v>
      </c>
      <c r="H1765" s="75">
        <v>43041</v>
      </c>
      <c r="I1765" t="s">
        <v>25</v>
      </c>
      <c r="J1765">
        <v>-80477.45</v>
      </c>
      <c r="K1765">
        <v>-2245.9160000000002</v>
      </c>
      <c r="L1765">
        <v>35.832799999999999</v>
      </c>
      <c r="M1765">
        <v>8983.6620000000003</v>
      </c>
      <c r="N1765" t="s">
        <v>16</v>
      </c>
    </row>
    <row r="1766" spans="1:14" x14ac:dyDescent="0.2">
      <c r="A1766" t="s">
        <v>56</v>
      </c>
      <c r="B1766" t="s">
        <v>132</v>
      </c>
      <c r="C1766" t="s">
        <v>130</v>
      </c>
      <c r="D1766" t="s">
        <v>57</v>
      </c>
      <c r="E1766" t="s">
        <v>53</v>
      </c>
      <c r="F1766" t="s">
        <v>114</v>
      </c>
      <c r="G1766">
        <v>119598</v>
      </c>
      <c r="H1766" s="75">
        <v>43071</v>
      </c>
      <c r="I1766" t="s">
        <v>115</v>
      </c>
      <c r="J1766">
        <v>5000</v>
      </c>
      <c r="K1766">
        <v>136.04</v>
      </c>
      <c r="L1766">
        <v>36.753799999999998</v>
      </c>
      <c r="M1766">
        <v>9119.7029999999995</v>
      </c>
      <c r="N1766" t="s">
        <v>15</v>
      </c>
    </row>
    <row r="1767" spans="1:14" x14ac:dyDescent="0.2">
      <c r="A1767" t="s">
        <v>56</v>
      </c>
      <c r="B1767" t="s">
        <v>132</v>
      </c>
      <c r="C1767" t="s">
        <v>130</v>
      </c>
      <c r="D1767" t="s">
        <v>57</v>
      </c>
      <c r="E1767" t="s">
        <v>53</v>
      </c>
      <c r="F1767" t="s">
        <v>114</v>
      </c>
      <c r="G1767">
        <v>119598</v>
      </c>
      <c r="H1767" s="75">
        <v>43101</v>
      </c>
      <c r="I1767" t="s">
        <v>115</v>
      </c>
      <c r="J1767">
        <v>5000</v>
      </c>
      <c r="K1767">
        <v>134.71600000000001</v>
      </c>
      <c r="L1767">
        <v>37.115000000000002</v>
      </c>
      <c r="M1767">
        <v>9254.4189999999999</v>
      </c>
      <c r="N1767" t="s">
        <v>15</v>
      </c>
    </row>
    <row r="1768" spans="1:14" x14ac:dyDescent="0.2">
      <c r="A1768" t="s">
        <v>56</v>
      </c>
      <c r="B1768" t="s">
        <v>132</v>
      </c>
      <c r="C1768" t="s">
        <v>130</v>
      </c>
      <c r="D1768" t="s">
        <v>57</v>
      </c>
      <c r="E1768" t="s">
        <v>53</v>
      </c>
      <c r="F1768" t="s">
        <v>114</v>
      </c>
      <c r="G1768">
        <v>119598</v>
      </c>
      <c r="H1768" s="75">
        <v>43101</v>
      </c>
      <c r="I1768" t="s">
        <v>117</v>
      </c>
      <c r="J1768">
        <v>2.5</v>
      </c>
      <c r="K1768">
        <v>0</v>
      </c>
      <c r="M1768">
        <v>9254.4189999999999</v>
      </c>
      <c r="N1768" t="s">
        <v>46</v>
      </c>
    </row>
    <row r="1769" spans="1:14" x14ac:dyDescent="0.2">
      <c r="A1769" t="s">
        <v>56</v>
      </c>
      <c r="B1769" t="s">
        <v>132</v>
      </c>
      <c r="C1769" t="s">
        <v>130</v>
      </c>
      <c r="D1769" t="s">
        <v>57</v>
      </c>
      <c r="E1769" t="s">
        <v>53</v>
      </c>
      <c r="F1769" t="s">
        <v>114</v>
      </c>
      <c r="G1769">
        <v>119598</v>
      </c>
      <c r="H1769" s="75">
        <v>43131</v>
      </c>
      <c r="I1769" t="s">
        <v>115</v>
      </c>
      <c r="J1769">
        <v>5000</v>
      </c>
      <c r="K1769">
        <v>136.178</v>
      </c>
      <c r="L1769">
        <v>36.716500000000003</v>
      </c>
      <c r="M1769">
        <v>9390.5969999999998</v>
      </c>
      <c r="N1769" t="s">
        <v>15</v>
      </c>
    </row>
    <row r="1770" spans="1:14" x14ac:dyDescent="0.2">
      <c r="A1770" t="s">
        <v>56</v>
      </c>
      <c r="B1770" t="s">
        <v>132</v>
      </c>
      <c r="C1770" t="s">
        <v>130</v>
      </c>
      <c r="D1770" t="s">
        <v>57</v>
      </c>
      <c r="E1770" t="s">
        <v>53</v>
      </c>
      <c r="F1770" t="s">
        <v>114</v>
      </c>
      <c r="G1770">
        <v>119598</v>
      </c>
      <c r="H1770" s="75">
        <v>43131</v>
      </c>
      <c r="I1770" t="s">
        <v>116</v>
      </c>
      <c r="J1770">
        <v>2.5</v>
      </c>
      <c r="K1770">
        <v>0</v>
      </c>
      <c r="M1770">
        <v>9390.5969999999998</v>
      </c>
      <c r="N1770" t="s">
        <v>17</v>
      </c>
    </row>
    <row r="1771" spans="1:14" x14ac:dyDescent="0.2">
      <c r="A1771" t="s">
        <v>56</v>
      </c>
      <c r="B1771" t="s">
        <v>132</v>
      </c>
      <c r="C1771" t="s">
        <v>130</v>
      </c>
      <c r="D1771" t="s">
        <v>57</v>
      </c>
      <c r="E1771" t="s">
        <v>53</v>
      </c>
      <c r="F1771" t="s">
        <v>114</v>
      </c>
      <c r="G1771">
        <v>119598</v>
      </c>
      <c r="H1771" s="75">
        <v>43161</v>
      </c>
      <c r="I1771" t="s">
        <v>115</v>
      </c>
      <c r="J1771">
        <v>5000</v>
      </c>
      <c r="K1771">
        <v>137.61199999999999</v>
      </c>
      <c r="L1771">
        <v>36.334099999999999</v>
      </c>
      <c r="M1771">
        <v>9528.2090000000007</v>
      </c>
      <c r="N1771" t="s">
        <v>15</v>
      </c>
    </row>
    <row r="1772" spans="1:14" x14ac:dyDescent="0.2">
      <c r="A1772" t="s">
        <v>56</v>
      </c>
      <c r="B1772" t="s">
        <v>132</v>
      </c>
      <c r="C1772" t="s">
        <v>130</v>
      </c>
      <c r="D1772" t="s">
        <v>57</v>
      </c>
      <c r="E1772" t="s">
        <v>53</v>
      </c>
      <c r="F1772" t="s">
        <v>114</v>
      </c>
      <c r="G1772">
        <v>119598</v>
      </c>
      <c r="H1772" s="75">
        <v>43161</v>
      </c>
      <c r="I1772" t="s">
        <v>117</v>
      </c>
      <c r="J1772">
        <v>2.5</v>
      </c>
      <c r="K1772">
        <v>0</v>
      </c>
      <c r="M1772">
        <v>9528.2090000000007</v>
      </c>
      <c r="N1772" t="s">
        <v>46</v>
      </c>
    </row>
    <row r="1773" spans="1:14" x14ac:dyDescent="0.2">
      <c r="A1773" t="s">
        <v>56</v>
      </c>
      <c r="B1773" t="s">
        <v>132</v>
      </c>
      <c r="C1773" t="s">
        <v>130</v>
      </c>
      <c r="D1773" t="s">
        <v>57</v>
      </c>
      <c r="E1773" t="s">
        <v>53</v>
      </c>
      <c r="F1773" t="s">
        <v>114</v>
      </c>
      <c r="G1773">
        <v>119598</v>
      </c>
      <c r="H1773" s="75">
        <v>43191</v>
      </c>
      <c r="I1773" t="s">
        <v>115</v>
      </c>
      <c r="J1773">
        <v>5000</v>
      </c>
      <c r="K1773">
        <v>136.33699999999999</v>
      </c>
      <c r="L1773">
        <v>36.673699999999997</v>
      </c>
      <c r="M1773">
        <v>9664.5470000000005</v>
      </c>
      <c r="N1773" t="s">
        <v>15</v>
      </c>
    </row>
    <row r="1774" spans="1:14" x14ac:dyDescent="0.2">
      <c r="A1774" t="s">
        <v>56</v>
      </c>
      <c r="B1774" t="s">
        <v>132</v>
      </c>
      <c r="C1774" t="s">
        <v>130</v>
      </c>
      <c r="D1774" t="s">
        <v>57</v>
      </c>
      <c r="E1774" t="s">
        <v>53</v>
      </c>
      <c r="F1774" t="s">
        <v>114</v>
      </c>
      <c r="G1774">
        <v>119598</v>
      </c>
      <c r="H1774" s="75">
        <v>43221</v>
      </c>
      <c r="I1774" t="s">
        <v>115</v>
      </c>
      <c r="J1774">
        <v>5000</v>
      </c>
      <c r="K1774">
        <v>134.98500000000001</v>
      </c>
      <c r="L1774">
        <v>37.041200000000003</v>
      </c>
      <c r="M1774">
        <v>9799.5319999999992</v>
      </c>
      <c r="N1774" t="s">
        <v>15</v>
      </c>
    </row>
    <row r="1775" spans="1:14" x14ac:dyDescent="0.2">
      <c r="A1775" t="s">
        <v>56</v>
      </c>
      <c r="B1775" t="s">
        <v>132</v>
      </c>
      <c r="C1775" t="s">
        <v>130</v>
      </c>
      <c r="D1775" t="s">
        <v>57</v>
      </c>
      <c r="E1775" t="s">
        <v>53</v>
      </c>
      <c r="F1775" t="s">
        <v>114</v>
      </c>
      <c r="G1775">
        <v>119598</v>
      </c>
      <c r="H1775" s="75">
        <v>43251</v>
      </c>
      <c r="I1775" t="s">
        <v>115</v>
      </c>
      <c r="J1775">
        <v>5000</v>
      </c>
      <c r="K1775">
        <v>131.154</v>
      </c>
      <c r="L1775">
        <v>38.122999999999998</v>
      </c>
      <c r="M1775">
        <v>9930.6859999999997</v>
      </c>
      <c r="N1775" t="s">
        <v>15</v>
      </c>
    </row>
    <row r="1776" spans="1:14" x14ac:dyDescent="0.2">
      <c r="A1776" t="s">
        <v>56</v>
      </c>
      <c r="B1776" t="s">
        <v>132</v>
      </c>
      <c r="C1776" t="s">
        <v>130</v>
      </c>
      <c r="D1776" t="s">
        <v>57</v>
      </c>
      <c r="E1776" t="s">
        <v>53</v>
      </c>
      <c r="F1776" t="s">
        <v>114</v>
      </c>
      <c r="G1776">
        <v>119598</v>
      </c>
      <c r="H1776" s="75">
        <v>43281</v>
      </c>
      <c r="I1776" t="s">
        <v>115</v>
      </c>
      <c r="J1776">
        <v>5000</v>
      </c>
      <c r="K1776">
        <v>129.797</v>
      </c>
      <c r="L1776">
        <v>38.521700000000003</v>
      </c>
      <c r="M1776">
        <v>10060.483</v>
      </c>
      <c r="N1776" t="s">
        <v>15</v>
      </c>
    </row>
    <row r="1777" spans="1:14" x14ac:dyDescent="0.2">
      <c r="A1777" t="s">
        <v>56</v>
      </c>
      <c r="B1777" t="s">
        <v>132</v>
      </c>
      <c r="C1777" t="s">
        <v>130</v>
      </c>
      <c r="D1777" t="s">
        <v>57</v>
      </c>
      <c r="E1777" t="s">
        <v>53</v>
      </c>
      <c r="F1777" t="s">
        <v>114</v>
      </c>
      <c r="G1777">
        <v>119598</v>
      </c>
      <c r="H1777" s="75">
        <v>43311</v>
      </c>
      <c r="I1777" t="s">
        <v>115</v>
      </c>
      <c r="J1777">
        <v>5000</v>
      </c>
      <c r="K1777">
        <v>130.429</v>
      </c>
      <c r="L1777">
        <v>38.335099999999997</v>
      </c>
      <c r="M1777">
        <v>10190.912</v>
      </c>
      <c r="N1777" t="s">
        <v>15</v>
      </c>
    </row>
    <row r="1778" spans="1:14" x14ac:dyDescent="0.2">
      <c r="A1778" t="s">
        <v>56</v>
      </c>
      <c r="B1778" t="s">
        <v>132</v>
      </c>
      <c r="C1778" t="s">
        <v>130</v>
      </c>
      <c r="D1778" t="s">
        <v>57</v>
      </c>
      <c r="E1778" t="s">
        <v>53</v>
      </c>
      <c r="F1778" t="s">
        <v>114</v>
      </c>
      <c r="G1778">
        <v>119598</v>
      </c>
      <c r="H1778" s="75">
        <v>43341</v>
      </c>
      <c r="I1778" t="s">
        <v>115</v>
      </c>
      <c r="J1778">
        <v>5000</v>
      </c>
      <c r="K1778">
        <v>126.959</v>
      </c>
      <c r="L1778">
        <v>39.382800000000003</v>
      </c>
      <c r="M1778">
        <v>10317.870999999999</v>
      </c>
      <c r="N1778" t="s">
        <v>15</v>
      </c>
    </row>
    <row r="1779" spans="1:14" x14ac:dyDescent="0.2">
      <c r="A1779" t="s">
        <v>56</v>
      </c>
      <c r="B1779" t="s">
        <v>132</v>
      </c>
      <c r="C1779" t="s">
        <v>130</v>
      </c>
      <c r="D1779" t="s">
        <v>57</v>
      </c>
      <c r="E1779" t="s">
        <v>53</v>
      </c>
      <c r="F1779" t="s">
        <v>114</v>
      </c>
      <c r="G1779">
        <v>119598</v>
      </c>
      <c r="H1779" s="75">
        <v>43341</v>
      </c>
      <c r="I1779" t="s">
        <v>25</v>
      </c>
      <c r="J1779">
        <v>-81269.320000000007</v>
      </c>
      <c r="K1779">
        <v>-2063.5740000000001</v>
      </c>
      <c r="L1779">
        <v>39.382800000000003</v>
      </c>
      <c r="M1779">
        <v>8254.2970000000005</v>
      </c>
      <c r="N1779" t="s">
        <v>16</v>
      </c>
    </row>
    <row r="1780" spans="1:14" x14ac:dyDescent="0.2">
      <c r="A1780" t="s">
        <v>56</v>
      </c>
      <c r="B1780" t="s">
        <v>132</v>
      </c>
      <c r="C1780" t="s">
        <v>130</v>
      </c>
      <c r="D1780" t="s">
        <v>57</v>
      </c>
      <c r="E1780" t="s">
        <v>53</v>
      </c>
      <c r="F1780" t="s">
        <v>114</v>
      </c>
      <c r="G1780">
        <v>119598</v>
      </c>
      <c r="H1780" s="75">
        <v>43371</v>
      </c>
      <c r="I1780" t="s">
        <v>115</v>
      </c>
      <c r="J1780">
        <v>5000</v>
      </c>
      <c r="K1780">
        <v>128.238</v>
      </c>
      <c r="L1780">
        <v>38.99</v>
      </c>
      <c r="M1780">
        <v>8382.5349999999999</v>
      </c>
      <c r="N1780" t="s">
        <v>15</v>
      </c>
    </row>
    <row r="1781" spans="1:14" x14ac:dyDescent="0.2">
      <c r="A1781" t="s">
        <v>56</v>
      </c>
      <c r="B1781" t="s">
        <v>132</v>
      </c>
      <c r="C1781" t="s">
        <v>130</v>
      </c>
      <c r="D1781" t="s">
        <v>57</v>
      </c>
      <c r="E1781" t="s">
        <v>53</v>
      </c>
      <c r="F1781" t="s">
        <v>114</v>
      </c>
      <c r="G1781">
        <v>119598</v>
      </c>
      <c r="H1781" s="75">
        <v>43401</v>
      </c>
      <c r="I1781" t="s">
        <v>115</v>
      </c>
      <c r="J1781">
        <v>5000</v>
      </c>
      <c r="K1781">
        <v>129.63300000000001</v>
      </c>
      <c r="L1781">
        <v>38.570399999999999</v>
      </c>
      <c r="M1781">
        <v>8512.1679999999997</v>
      </c>
      <c r="N1781" t="s">
        <v>15</v>
      </c>
    </row>
    <row r="1782" spans="1:14" x14ac:dyDescent="0.2">
      <c r="A1782" t="s">
        <v>56</v>
      </c>
      <c r="B1782" t="s">
        <v>132</v>
      </c>
      <c r="C1782" t="s">
        <v>130</v>
      </c>
      <c r="D1782" t="s">
        <v>57</v>
      </c>
      <c r="E1782" t="s">
        <v>53</v>
      </c>
      <c r="F1782" t="s">
        <v>114</v>
      </c>
      <c r="G1782">
        <v>119598</v>
      </c>
      <c r="H1782" s="75">
        <v>43401</v>
      </c>
      <c r="I1782" t="s">
        <v>116</v>
      </c>
      <c r="J1782">
        <v>2.5</v>
      </c>
      <c r="K1782">
        <v>0</v>
      </c>
      <c r="M1782">
        <v>8512.1679999999997</v>
      </c>
      <c r="N1782" t="s">
        <v>17</v>
      </c>
    </row>
    <row r="1783" spans="1:14" x14ac:dyDescent="0.2">
      <c r="A1783" t="s">
        <v>56</v>
      </c>
      <c r="B1783" t="s">
        <v>132</v>
      </c>
      <c r="C1783" t="s">
        <v>130</v>
      </c>
      <c r="D1783" t="s">
        <v>57</v>
      </c>
      <c r="E1783" t="s">
        <v>53</v>
      </c>
      <c r="F1783" t="s">
        <v>114</v>
      </c>
      <c r="G1783">
        <v>119598</v>
      </c>
      <c r="H1783" s="75">
        <v>43431</v>
      </c>
      <c r="I1783" t="s">
        <v>115</v>
      </c>
      <c r="J1783">
        <v>5000</v>
      </c>
      <c r="K1783">
        <v>126.40600000000001</v>
      </c>
      <c r="L1783">
        <v>39.555</v>
      </c>
      <c r="M1783">
        <v>8638.5740000000005</v>
      </c>
      <c r="N1783" t="s">
        <v>15</v>
      </c>
    </row>
    <row r="1784" spans="1:14" x14ac:dyDescent="0.2">
      <c r="A1784" t="s">
        <v>56</v>
      </c>
      <c r="B1784" t="s">
        <v>132</v>
      </c>
      <c r="C1784" t="s">
        <v>130</v>
      </c>
      <c r="D1784" t="s">
        <v>57</v>
      </c>
      <c r="E1784" t="s">
        <v>53</v>
      </c>
      <c r="F1784" t="s">
        <v>114</v>
      </c>
      <c r="G1784">
        <v>119598</v>
      </c>
      <c r="H1784" s="75">
        <v>43431</v>
      </c>
      <c r="I1784" t="s">
        <v>116</v>
      </c>
      <c r="J1784">
        <v>2.5</v>
      </c>
      <c r="K1784">
        <v>0</v>
      </c>
      <c r="M1784">
        <v>8638.5740000000005</v>
      </c>
      <c r="N1784" t="s">
        <v>17</v>
      </c>
    </row>
    <row r="1785" spans="1:14" x14ac:dyDescent="0.2">
      <c r="A1785" t="s">
        <v>56</v>
      </c>
      <c r="B1785" t="s">
        <v>132</v>
      </c>
      <c r="C1785" t="s">
        <v>130</v>
      </c>
      <c r="D1785" t="s">
        <v>57</v>
      </c>
      <c r="E1785" t="s">
        <v>53</v>
      </c>
      <c r="F1785" t="s">
        <v>114</v>
      </c>
      <c r="G1785">
        <v>119598</v>
      </c>
      <c r="H1785" s="75">
        <v>43461</v>
      </c>
      <c r="I1785" t="s">
        <v>115</v>
      </c>
      <c r="J1785">
        <v>5000</v>
      </c>
      <c r="K1785">
        <v>123.476</v>
      </c>
      <c r="L1785">
        <v>40.493600000000001</v>
      </c>
      <c r="M1785">
        <v>8762.0499999999993</v>
      </c>
      <c r="N1785" t="s">
        <v>15</v>
      </c>
    </row>
    <row r="1786" spans="1:14" x14ac:dyDescent="0.2">
      <c r="A1786" t="s">
        <v>56</v>
      </c>
      <c r="B1786" t="s">
        <v>132</v>
      </c>
      <c r="C1786" t="s">
        <v>130</v>
      </c>
      <c r="D1786" t="s">
        <v>57</v>
      </c>
      <c r="E1786" t="s">
        <v>53</v>
      </c>
      <c r="F1786" t="s">
        <v>114</v>
      </c>
      <c r="G1786">
        <v>119598</v>
      </c>
      <c r="H1786" s="75">
        <v>43461</v>
      </c>
      <c r="I1786" t="s">
        <v>25</v>
      </c>
      <c r="J1786">
        <v>-70961.33</v>
      </c>
      <c r="K1786">
        <v>-1752.41</v>
      </c>
      <c r="L1786">
        <v>40.493600000000001</v>
      </c>
      <c r="M1786">
        <v>7009.64</v>
      </c>
      <c r="N1786" t="s">
        <v>16</v>
      </c>
    </row>
    <row r="1787" spans="1:14" x14ac:dyDescent="0.2">
      <c r="A1787" t="s">
        <v>56</v>
      </c>
      <c r="B1787" t="s">
        <v>132</v>
      </c>
      <c r="C1787" t="s">
        <v>130</v>
      </c>
      <c r="D1787" t="s">
        <v>57</v>
      </c>
      <c r="E1787" t="s">
        <v>53</v>
      </c>
      <c r="F1787" t="s">
        <v>114</v>
      </c>
      <c r="G1787">
        <v>119598</v>
      </c>
      <c r="H1787" s="75">
        <v>43491</v>
      </c>
      <c r="I1787" t="s">
        <v>115</v>
      </c>
      <c r="J1787">
        <v>5000</v>
      </c>
      <c r="K1787">
        <v>120.56</v>
      </c>
      <c r="L1787">
        <v>41.473100000000002</v>
      </c>
      <c r="M1787">
        <v>7130.2</v>
      </c>
      <c r="N1787" t="s">
        <v>15</v>
      </c>
    </row>
    <row r="1788" spans="1:14" x14ac:dyDescent="0.2">
      <c r="A1788" t="s">
        <v>56</v>
      </c>
      <c r="B1788" t="s">
        <v>132</v>
      </c>
      <c r="C1788" t="s">
        <v>130</v>
      </c>
      <c r="D1788" t="s">
        <v>57</v>
      </c>
      <c r="E1788" t="s">
        <v>53</v>
      </c>
      <c r="F1788" t="s">
        <v>114</v>
      </c>
      <c r="G1788">
        <v>119598</v>
      </c>
      <c r="H1788" s="75">
        <v>43521</v>
      </c>
      <c r="I1788" t="s">
        <v>115</v>
      </c>
      <c r="J1788">
        <v>5000</v>
      </c>
      <c r="K1788">
        <v>117.274</v>
      </c>
      <c r="L1788">
        <v>42.635199999999998</v>
      </c>
      <c r="M1788">
        <v>7247.4740000000002</v>
      </c>
      <c r="N1788" t="s">
        <v>15</v>
      </c>
    </row>
    <row r="1789" spans="1:14" x14ac:dyDescent="0.2">
      <c r="A1789" t="s">
        <v>56</v>
      </c>
      <c r="B1789" t="s">
        <v>132</v>
      </c>
      <c r="C1789" t="s">
        <v>130</v>
      </c>
      <c r="D1789" t="s">
        <v>57</v>
      </c>
      <c r="E1789" t="s">
        <v>53</v>
      </c>
      <c r="F1789" t="s">
        <v>114</v>
      </c>
      <c r="G1789">
        <v>119598</v>
      </c>
      <c r="H1789" s="75">
        <v>43551</v>
      </c>
      <c r="I1789" t="s">
        <v>115</v>
      </c>
      <c r="J1789">
        <v>5000</v>
      </c>
      <c r="K1789">
        <v>115.658</v>
      </c>
      <c r="L1789">
        <v>43.231000000000002</v>
      </c>
      <c r="M1789">
        <v>7363.1319999999996</v>
      </c>
      <c r="N1789" t="s">
        <v>15</v>
      </c>
    </row>
    <row r="1790" spans="1:14" x14ac:dyDescent="0.2">
      <c r="A1790" t="s">
        <v>56</v>
      </c>
      <c r="B1790" t="s">
        <v>132</v>
      </c>
      <c r="C1790" t="s">
        <v>130</v>
      </c>
      <c r="D1790" t="s">
        <v>57</v>
      </c>
      <c r="E1790" t="s">
        <v>53</v>
      </c>
      <c r="F1790" t="s">
        <v>114</v>
      </c>
      <c r="G1790">
        <v>119598</v>
      </c>
      <c r="H1790" s="75">
        <v>43581</v>
      </c>
      <c r="I1790" t="s">
        <v>115</v>
      </c>
      <c r="J1790">
        <v>5000</v>
      </c>
      <c r="K1790">
        <v>116.36799999999999</v>
      </c>
      <c r="L1790">
        <v>42.967100000000002</v>
      </c>
      <c r="M1790">
        <v>7479.5</v>
      </c>
      <c r="N1790" t="s">
        <v>15</v>
      </c>
    </row>
    <row r="1791" spans="1:14" x14ac:dyDescent="0.2">
      <c r="A1791" t="s">
        <v>56</v>
      </c>
      <c r="B1791" t="s">
        <v>132</v>
      </c>
      <c r="C1791" t="s">
        <v>130</v>
      </c>
      <c r="D1791" t="s">
        <v>57</v>
      </c>
      <c r="E1791" t="s">
        <v>53</v>
      </c>
      <c r="F1791" t="s">
        <v>114</v>
      </c>
      <c r="G1791">
        <v>119598</v>
      </c>
      <c r="H1791" s="75">
        <v>43611</v>
      </c>
      <c r="I1791" t="s">
        <v>115</v>
      </c>
      <c r="J1791">
        <v>5000</v>
      </c>
      <c r="K1791">
        <v>115.735</v>
      </c>
      <c r="L1791">
        <v>43.202199999999998</v>
      </c>
      <c r="M1791">
        <v>7595.2349999999997</v>
      </c>
      <c r="N1791" t="s">
        <v>15</v>
      </c>
    </row>
    <row r="1792" spans="1:14" x14ac:dyDescent="0.2">
      <c r="A1792" t="s">
        <v>56</v>
      </c>
      <c r="B1792" t="s">
        <v>132</v>
      </c>
      <c r="C1792" t="s">
        <v>130</v>
      </c>
      <c r="D1792" t="s">
        <v>57</v>
      </c>
      <c r="E1792" t="s">
        <v>53</v>
      </c>
      <c r="F1792" t="s">
        <v>114</v>
      </c>
      <c r="G1792">
        <v>119598</v>
      </c>
      <c r="H1792" s="75">
        <v>43641</v>
      </c>
      <c r="I1792" t="s">
        <v>115</v>
      </c>
      <c r="J1792">
        <v>5000</v>
      </c>
      <c r="K1792">
        <v>116.28100000000001</v>
      </c>
      <c r="L1792">
        <v>42.999200000000002</v>
      </c>
      <c r="M1792">
        <v>7711.5159999999996</v>
      </c>
      <c r="N1792" t="s">
        <v>15</v>
      </c>
    </row>
    <row r="1793" spans="1:14" x14ac:dyDescent="0.2">
      <c r="A1793" t="s">
        <v>56</v>
      </c>
      <c r="B1793" t="s">
        <v>132</v>
      </c>
      <c r="C1793" t="s">
        <v>130</v>
      </c>
      <c r="D1793" t="s">
        <v>57</v>
      </c>
      <c r="E1793" t="s">
        <v>53</v>
      </c>
      <c r="F1793" t="s">
        <v>114</v>
      </c>
      <c r="G1793">
        <v>119598</v>
      </c>
      <c r="H1793" s="75">
        <v>43671</v>
      </c>
      <c r="I1793" t="s">
        <v>115</v>
      </c>
      <c r="J1793">
        <v>5000</v>
      </c>
      <c r="K1793">
        <v>117.581</v>
      </c>
      <c r="L1793">
        <v>42.523800000000001</v>
      </c>
      <c r="M1793">
        <v>7829.098</v>
      </c>
      <c r="N1793" t="s">
        <v>15</v>
      </c>
    </row>
    <row r="1794" spans="1:14" x14ac:dyDescent="0.2">
      <c r="A1794" t="s">
        <v>56</v>
      </c>
      <c r="B1794" t="s">
        <v>132</v>
      </c>
      <c r="C1794" t="s">
        <v>130</v>
      </c>
      <c r="D1794" t="s">
        <v>57</v>
      </c>
      <c r="E1794" t="s">
        <v>53</v>
      </c>
      <c r="F1794" t="s">
        <v>114</v>
      </c>
      <c r="G1794">
        <v>119598</v>
      </c>
      <c r="H1794" s="75">
        <v>43701</v>
      </c>
      <c r="I1794" t="s">
        <v>115</v>
      </c>
      <c r="J1794">
        <v>5000</v>
      </c>
      <c r="K1794">
        <v>116.782</v>
      </c>
      <c r="L1794">
        <v>42.814700000000002</v>
      </c>
      <c r="M1794">
        <v>7945.88</v>
      </c>
      <c r="N1794" t="s">
        <v>15</v>
      </c>
    </row>
    <row r="1795" spans="1:14" x14ac:dyDescent="0.2">
      <c r="A1795" t="s">
        <v>56</v>
      </c>
      <c r="B1795" t="s">
        <v>132</v>
      </c>
      <c r="C1795" t="s">
        <v>130</v>
      </c>
      <c r="D1795" t="s">
        <v>57</v>
      </c>
      <c r="E1795" t="s">
        <v>53</v>
      </c>
      <c r="F1795" t="s">
        <v>114</v>
      </c>
      <c r="G1795">
        <v>119598</v>
      </c>
      <c r="H1795" s="75">
        <v>43731</v>
      </c>
      <c r="I1795" t="s">
        <v>115</v>
      </c>
      <c r="J1795">
        <v>5000</v>
      </c>
      <c r="K1795">
        <v>115.83</v>
      </c>
      <c r="L1795">
        <v>43.166899999999998</v>
      </c>
      <c r="M1795">
        <v>8061.7089999999998</v>
      </c>
      <c r="N1795" t="s">
        <v>15</v>
      </c>
    </row>
    <row r="1796" spans="1:14" x14ac:dyDescent="0.2">
      <c r="A1796" t="s">
        <v>56</v>
      </c>
      <c r="B1796" t="s">
        <v>132</v>
      </c>
      <c r="C1796" t="s">
        <v>130</v>
      </c>
      <c r="D1796" t="s">
        <v>57</v>
      </c>
      <c r="E1796" t="s">
        <v>53</v>
      </c>
      <c r="F1796" t="s">
        <v>114</v>
      </c>
      <c r="G1796">
        <v>119598</v>
      </c>
      <c r="H1796" s="75">
        <v>43731</v>
      </c>
      <c r="I1796" t="s">
        <v>116</v>
      </c>
      <c r="J1796">
        <v>2.5</v>
      </c>
      <c r="K1796">
        <v>0</v>
      </c>
      <c r="M1796">
        <v>8061.7089999999998</v>
      </c>
      <c r="N1796" t="s">
        <v>17</v>
      </c>
    </row>
    <row r="1797" spans="1:14" x14ac:dyDescent="0.2">
      <c r="A1797" t="s">
        <v>56</v>
      </c>
      <c r="B1797" t="s">
        <v>132</v>
      </c>
      <c r="C1797" t="s">
        <v>130</v>
      </c>
      <c r="D1797" t="s">
        <v>57</v>
      </c>
      <c r="E1797" t="s">
        <v>53</v>
      </c>
      <c r="F1797" t="s">
        <v>114</v>
      </c>
      <c r="G1797">
        <v>119598</v>
      </c>
      <c r="H1797" s="75">
        <v>43761</v>
      </c>
      <c r="I1797" t="s">
        <v>115</v>
      </c>
      <c r="J1797">
        <v>5000</v>
      </c>
      <c r="K1797">
        <v>113.16500000000001</v>
      </c>
      <c r="L1797">
        <v>44.183100000000003</v>
      </c>
      <c r="M1797">
        <v>8174.875</v>
      </c>
      <c r="N1797" t="s">
        <v>15</v>
      </c>
    </row>
    <row r="1798" spans="1:14" x14ac:dyDescent="0.2">
      <c r="A1798" t="s">
        <v>56</v>
      </c>
      <c r="B1798" t="s">
        <v>132</v>
      </c>
      <c r="C1798" t="s">
        <v>130</v>
      </c>
      <c r="D1798" t="s">
        <v>57</v>
      </c>
      <c r="E1798" t="s">
        <v>53</v>
      </c>
      <c r="F1798" t="s">
        <v>114</v>
      </c>
      <c r="G1798">
        <v>119598</v>
      </c>
      <c r="H1798" s="75">
        <v>43791</v>
      </c>
      <c r="I1798" t="s">
        <v>115</v>
      </c>
      <c r="J1798">
        <v>5000</v>
      </c>
      <c r="K1798">
        <v>110.23</v>
      </c>
      <c r="L1798">
        <v>45.3596</v>
      </c>
      <c r="M1798">
        <v>8285.1049999999996</v>
      </c>
      <c r="N1798" t="s">
        <v>15</v>
      </c>
    </row>
    <row r="1799" spans="1:14" x14ac:dyDescent="0.2">
      <c r="A1799" t="s">
        <v>56</v>
      </c>
      <c r="B1799" t="s">
        <v>132</v>
      </c>
      <c r="C1799" t="s">
        <v>130</v>
      </c>
      <c r="D1799" t="s">
        <v>57</v>
      </c>
      <c r="E1799" t="s">
        <v>53</v>
      </c>
      <c r="F1799" t="s">
        <v>114</v>
      </c>
      <c r="G1799">
        <v>119598</v>
      </c>
      <c r="H1799" s="75">
        <v>43821</v>
      </c>
      <c r="I1799" t="s">
        <v>115</v>
      </c>
      <c r="J1799">
        <v>5000</v>
      </c>
      <c r="K1799">
        <v>109.593</v>
      </c>
      <c r="L1799">
        <v>45.623399999999997</v>
      </c>
      <c r="M1799">
        <v>8394.6980000000003</v>
      </c>
      <c r="N1799" t="s">
        <v>15</v>
      </c>
    </row>
    <row r="1800" spans="1:14" x14ac:dyDescent="0.2">
      <c r="A1800" t="s">
        <v>56</v>
      </c>
      <c r="B1800" t="s">
        <v>132</v>
      </c>
      <c r="C1800" t="s">
        <v>130</v>
      </c>
      <c r="D1800" t="s">
        <v>57</v>
      </c>
      <c r="E1800" t="s">
        <v>53</v>
      </c>
      <c r="F1800" t="s">
        <v>114</v>
      </c>
      <c r="G1800">
        <v>119598</v>
      </c>
      <c r="H1800" s="75">
        <v>43821</v>
      </c>
      <c r="I1800" t="s">
        <v>116</v>
      </c>
      <c r="J1800">
        <v>2.5</v>
      </c>
      <c r="K1800">
        <v>0</v>
      </c>
      <c r="M1800">
        <v>8394.6980000000003</v>
      </c>
      <c r="N1800" t="s">
        <v>17</v>
      </c>
    </row>
    <row r="1801" spans="1:14" x14ac:dyDescent="0.2">
      <c r="A1801" t="s">
        <v>56</v>
      </c>
      <c r="B1801" t="s">
        <v>132</v>
      </c>
      <c r="C1801" t="s">
        <v>130</v>
      </c>
      <c r="D1801" t="s">
        <v>57</v>
      </c>
      <c r="E1801" t="s">
        <v>53</v>
      </c>
      <c r="F1801" t="s">
        <v>114</v>
      </c>
      <c r="G1801">
        <v>119598</v>
      </c>
      <c r="H1801" s="75">
        <v>43851</v>
      </c>
      <c r="I1801" t="s">
        <v>115</v>
      </c>
      <c r="J1801">
        <v>5000</v>
      </c>
      <c r="K1801">
        <v>111.279</v>
      </c>
      <c r="L1801">
        <v>44.932099999999998</v>
      </c>
      <c r="M1801">
        <v>8505.9770000000008</v>
      </c>
      <c r="N1801" t="s">
        <v>15</v>
      </c>
    </row>
    <row r="1802" spans="1:14" x14ac:dyDescent="0.2">
      <c r="A1802" t="s">
        <v>56</v>
      </c>
      <c r="B1802" t="s">
        <v>132</v>
      </c>
      <c r="C1802" t="s">
        <v>130</v>
      </c>
      <c r="D1802" t="s">
        <v>57</v>
      </c>
      <c r="E1802" t="s">
        <v>53</v>
      </c>
      <c r="F1802" t="s">
        <v>114</v>
      </c>
      <c r="G1802">
        <v>119598</v>
      </c>
      <c r="H1802" s="75">
        <v>43881</v>
      </c>
      <c r="I1802" t="s">
        <v>115</v>
      </c>
      <c r="J1802">
        <v>5000</v>
      </c>
      <c r="K1802">
        <v>113.07899999999999</v>
      </c>
      <c r="L1802">
        <v>44.216999999999999</v>
      </c>
      <c r="M1802">
        <v>8619.0560000000005</v>
      </c>
      <c r="N1802" t="s">
        <v>15</v>
      </c>
    </row>
    <row r="1803" spans="1:14" x14ac:dyDescent="0.2">
      <c r="A1803" t="s">
        <v>56</v>
      </c>
      <c r="B1803" t="s">
        <v>132</v>
      </c>
      <c r="C1803" t="s">
        <v>130</v>
      </c>
      <c r="D1803" t="s">
        <v>57</v>
      </c>
      <c r="E1803" t="s">
        <v>53</v>
      </c>
      <c r="F1803" t="s">
        <v>114</v>
      </c>
      <c r="G1803">
        <v>119598</v>
      </c>
      <c r="H1803" s="75">
        <v>43911</v>
      </c>
      <c r="I1803" t="s">
        <v>115</v>
      </c>
      <c r="J1803">
        <v>5000</v>
      </c>
      <c r="K1803">
        <v>113.48099999999999</v>
      </c>
      <c r="L1803">
        <v>44.060200000000002</v>
      </c>
      <c r="M1803">
        <v>8732.5370000000003</v>
      </c>
      <c r="N1803" t="s">
        <v>15</v>
      </c>
    </row>
    <row r="1804" spans="1:14" x14ac:dyDescent="0.2">
      <c r="A1804" t="s">
        <v>56</v>
      </c>
      <c r="B1804" t="s">
        <v>132</v>
      </c>
      <c r="C1804" t="s">
        <v>130</v>
      </c>
      <c r="D1804" t="s">
        <v>57</v>
      </c>
      <c r="E1804" t="s">
        <v>53</v>
      </c>
      <c r="F1804" t="s">
        <v>114</v>
      </c>
      <c r="G1804">
        <v>119598</v>
      </c>
      <c r="H1804" s="75">
        <v>43941</v>
      </c>
      <c r="I1804" t="s">
        <v>115</v>
      </c>
      <c r="J1804">
        <v>5000</v>
      </c>
      <c r="K1804">
        <v>113.3</v>
      </c>
      <c r="L1804">
        <v>44.130600000000001</v>
      </c>
      <c r="M1804">
        <v>8845.8369999999995</v>
      </c>
      <c r="N1804" t="s">
        <v>15</v>
      </c>
    </row>
    <row r="1805" spans="1:14" x14ac:dyDescent="0.2">
      <c r="A1805" t="s">
        <v>56</v>
      </c>
      <c r="B1805" t="s">
        <v>132</v>
      </c>
      <c r="C1805" t="s">
        <v>130</v>
      </c>
      <c r="D1805" t="s">
        <v>57</v>
      </c>
      <c r="E1805" t="s">
        <v>53</v>
      </c>
      <c r="F1805" t="s">
        <v>114</v>
      </c>
      <c r="G1805">
        <v>119598</v>
      </c>
      <c r="H1805" s="75">
        <v>43941</v>
      </c>
      <c r="I1805" t="s">
        <v>117</v>
      </c>
      <c r="J1805">
        <v>2.5</v>
      </c>
      <c r="K1805">
        <v>0</v>
      </c>
      <c r="M1805">
        <v>8845.8369999999995</v>
      </c>
      <c r="N1805" t="s">
        <v>46</v>
      </c>
    </row>
    <row r="1806" spans="1:14" x14ac:dyDescent="0.2">
      <c r="A1806" t="s">
        <v>56</v>
      </c>
      <c r="B1806" t="s">
        <v>132</v>
      </c>
      <c r="C1806" t="s">
        <v>130</v>
      </c>
      <c r="D1806" t="s">
        <v>57</v>
      </c>
      <c r="E1806" t="s">
        <v>53</v>
      </c>
      <c r="F1806" t="s">
        <v>114</v>
      </c>
      <c r="G1806">
        <v>119598</v>
      </c>
      <c r="H1806" s="75">
        <v>43971</v>
      </c>
      <c r="I1806" t="s">
        <v>115</v>
      </c>
      <c r="J1806">
        <v>5000</v>
      </c>
      <c r="K1806">
        <v>113.121</v>
      </c>
      <c r="L1806">
        <v>44.200400000000002</v>
      </c>
      <c r="M1806">
        <v>8958.9580000000005</v>
      </c>
      <c r="N1806" t="s">
        <v>15</v>
      </c>
    </row>
    <row r="1807" spans="1:14" x14ac:dyDescent="0.2">
      <c r="A1807" t="s">
        <v>56</v>
      </c>
      <c r="B1807" t="s">
        <v>132</v>
      </c>
      <c r="C1807" t="s">
        <v>130</v>
      </c>
      <c r="D1807" t="s">
        <v>57</v>
      </c>
      <c r="E1807" t="s">
        <v>53</v>
      </c>
      <c r="F1807" t="s">
        <v>114</v>
      </c>
      <c r="G1807">
        <v>119598</v>
      </c>
      <c r="H1807" s="75">
        <v>44001</v>
      </c>
      <c r="I1807" t="s">
        <v>115</v>
      </c>
      <c r="J1807">
        <v>5000</v>
      </c>
      <c r="K1807">
        <v>111.571</v>
      </c>
      <c r="L1807">
        <v>44.814599999999999</v>
      </c>
      <c r="M1807">
        <v>9070.5290000000005</v>
      </c>
      <c r="N1807" t="s">
        <v>15</v>
      </c>
    </row>
    <row r="1808" spans="1:14" x14ac:dyDescent="0.2">
      <c r="A1808" t="s">
        <v>56</v>
      </c>
      <c r="B1808" t="s">
        <v>132</v>
      </c>
      <c r="C1808" t="s">
        <v>130</v>
      </c>
      <c r="D1808" t="s">
        <v>57</v>
      </c>
      <c r="E1808" t="s">
        <v>53</v>
      </c>
      <c r="F1808" t="s">
        <v>114</v>
      </c>
      <c r="G1808">
        <v>119598</v>
      </c>
      <c r="H1808" s="75">
        <v>44001</v>
      </c>
      <c r="I1808" t="s">
        <v>117</v>
      </c>
      <c r="J1808">
        <v>2.5</v>
      </c>
      <c r="K1808">
        <v>0</v>
      </c>
      <c r="M1808">
        <v>9070.5290000000005</v>
      </c>
      <c r="N1808" t="s">
        <v>46</v>
      </c>
    </row>
    <row r="1809" spans="1:14" x14ac:dyDescent="0.2">
      <c r="A1809" t="s">
        <v>56</v>
      </c>
      <c r="B1809" t="s">
        <v>132</v>
      </c>
      <c r="C1809" t="s">
        <v>130</v>
      </c>
      <c r="D1809" t="s">
        <v>57</v>
      </c>
      <c r="E1809" t="s">
        <v>53</v>
      </c>
      <c r="F1809" t="s">
        <v>114</v>
      </c>
      <c r="G1809">
        <v>119598</v>
      </c>
      <c r="H1809" s="75">
        <v>44001</v>
      </c>
      <c r="I1809" t="s">
        <v>25</v>
      </c>
      <c r="J1809">
        <v>-81298.5</v>
      </c>
      <c r="K1809">
        <v>-1814.106</v>
      </c>
      <c r="L1809">
        <v>44.814599999999999</v>
      </c>
      <c r="M1809">
        <v>7256.4229999999998</v>
      </c>
      <c r="N1809" t="s">
        <v>16</v>
      </c>
    </row>
    <row r="1810" spans="1:14" x14ac:dyDescent="0.2">
      <c r="A1810" t="s">
        <v>56</v>
      </c>
      <c r="B1810" t="s">
        <v>132</v>
      </c>
      <c r="C1810" t="s">
        <v>130</v>
      </c>
      <c r="D1810" t="s">
        <v>57</v>
      </c>
      <c r="E1810" t="s">
        <v>53</v>
      </c>
      <c r="F1810" t="s">
        <v>114</v>
      </c>
      <c r="G1810">
        <v>119598</v>
      </c>
      <c r="H1810" s="75">
        <v>44031</v>
      </c>
      <c r="I1810" t="s">
        <v>115</v>
      </c>
      <c r="J1810">
        <v>5000</v>
      </c>
      <c r="K1810">
        <v>110.678</v>
      </c>
      <c r="L1810">
        <v>45.176000000000002</v>
      </c>
      <c r="M1810">
        <v>7367.1009999999997</v>
      </c>
      <c r="N1810" t="s">
        <v>15</v>
      </c>
    </row>
    <row r="1811" spans="1:14" x14ac:dyDescent="0.2">
      <c r="A1811" t="s">
        <v>56</v>
      </c>
      <c r="B1811" t="s">
        <v>132</v>
      </c>
      <c r="C1811" t="s">
        <v>130</v>
      </c>
      <c r="D1811" t="s">
        <v>57</v>
      </c>
      <c r="E1811" t="s">
        <v>53</v>
      </c>
      <c r="F1811" t="s">
        <v>114</v>
      </c>
      <c r="G1811">
        <v>119598</v>
      </c>
      <c r="H1811" s="75">
        <v>44061</v>
      </c>
      <c r="I1811" t="s">
        <v>115</v>
      </c>
      <c r="J1811">
        <v>5000</v>
      </c>
      <c r="K1811">
        <v>111.087</v>
      </c>
      <c r="L1811">
        <v>45.009599999999999</v>
      </c>
      <c r="M1811">
        <v>7478.1890000000003</v>
      </c>
      <c r="N1811" t="s">
        <v>15</v>
      </c>
    </row>
    <row r="1812" spans="1:14" x14ac:dyDescent="0.2">
      <c r="A1812" t="s">
        <v>56</v>
      </c>
      <c r="B1812" t="s">
        <v>132</v>
      </c>
      <c r="C1812" t="s">
        <v>130</v>
      </c>
      <c r="D1812" t="s">
        <v>57</v>
      </c>
      <c r="E1812" t="s">
        <v>53</v>
      </c>
      <c r="F1812" t="s">
        <v>114</v>
      </c>
      <c r="G1812">
        <v>119598</v>
      </c>
      <c r="H1812" s="75">
        <v>44091</v>
      </c>
      <c r="I1812" t="s">
        <v>115</v>
      </c>
      <c r="J1812">
        <v>5000</v>
      </c>
      <c r="K1812">
        <v>108.508</v>
      </c>
      <c r="L1812">
        <v>46.079700000000003</v>
      </c>
      <c r="M1812">
        <v>7586.6959999999999</v>
      </c>
      <c r="N1812" t="s">
        <v>15</v>
      </c>
    </row>
    <row r="1813" spans="1:14" x14ac:dyDescent="0.2">
      <c r="A1813" t="s">
        <v>56</v>
      </c>
      <c r="B1813" t="s">
        <v>132</v>
      </c>
      <c r="C1813" t="s">
        <v>130</v>
      </c>
      <c r="D1813" t="s">
        <v>57</v>
      </c>
      <c r="E1813" t="s">
        <v>53</v>
      </c>
      <c r="F1813" t="s">
        <v>114</v>
      </c>
      <c r="G1813">
        <v>119598</v>
      </c>
      <c r="H1813" s="75">
        <v>44121</v>
      </c>
      <c r="I1813" t="s">
        <v>115</v>
      </c>
      <c r="J1813">
        <v>5000</v>
      </c>
      <c r="K1813">
        <v>105.77</v>
      </c>
      <c r="L1813">
        <v>47.272399999999998</v>
      </c>
      <c r="M1813">
        <v>7692.4660000000003</v>
      </c>
      <c r="N1813" t="s">
        <v>15</v>
      </c>
    </row>
    <row r="1814" spans="1:14" x14ac:dyDescent="0.2">
      <c r="A1814" t="s">
        <v>56</v>
      </c>
      <c r="B1814" t="s">
        <v>132</v>
      </c>
      <c r="C1814" t="s">
        <v>130</v>
      </c>
      <c r="D1814" t="s">
        <v>57</v>
      </c>
      <c r="E1814" t="s">
        <v>53</v>
      </c>
      <c r="F1814" t="s">
        <v>114</v>
      </c>
      <c r="G1814">
        <v>119598</v>
      </c>
      <c r="H1814" s="75">
        <v>44151</v>
      </c>
      <c r="I1814" t="s">
        <v>115</v>
      </c>
      <c r="J1814">
        <v>5000</v>
      </c>
      <c r="K1814">
        <v>107.101</v>
      </c>
      <c r="L1814">
        <v>46.684699999999999</v>
      </c>
      <c r="M1814">
        <v>7799.5680000000002</v>
      </c>
      <c r="N1814" t="s">
        <v>15</v>
      </c>
    </row>
    <row r="1815" spans="1:14" x14ac:dyDescent="0.2">
      <c r="A1815" t="s">
        <v>56</v>
      </c>
      <c r="B1815" t="s">
        <v>132</v>
      </c>
      <c r="C1815" t="s">
        <v>130</v>
      </c>
      <c r="D1815" t="s">
        <v>57</v>
      </c>
      <c r="E1815" t="s">
        <v>53</v>
      </c>
      <c r="F1815" t="s">
        <v>114</v>
      </c>
      <c r="G1815">
        <v>119598</v>
      </c>
      <c r="H1815" s="75">
        <v>44181</v>
      </c>
      <c r="I1815" t="s">
        <v>115</v>
      </c>
      <c r="J1815">
        <v>5000</v>
      </c>
      <c r="K1815">
        <v>106.53100000000001</v>
      </c>
      <c r="L1815">
        <v>46.934699999999999</v>
      </c>
      <c r="M1815">
        <v>7906.0990000000002</v>
      </c>
      <c r="N1815" t="s">
        <v>15</v>
      </c>
    </row>
    <row r="1816" spans="1:14" x14ac:dyDescent="0.2">
      <c r="A1816" t="s">
        <v>56</v>
      </c>
      <c r="B1816" t="s">
        <v>132</v>
      </c>
      <c r="C1816" t="s">
        <v>130</v>
      </c>
      <c r="D1816" t="s">
        <v>57</v>
      </c>
      <c r="E1816" t="s">
        <v>53</v>
      </c>
      <c r="F1816" t="s">
        <v>114</v>
      </c>
      <c r="G1816">
        <v>119598</v>
      </c>
      <c r="H1816" s="75">
        <v>44211</v>
      </c>
      <c r="I1816" t="s">
        <v>115</v>
      </c>
      <c r="J1816">
        <v>5000</v>
      </c>
      <c r="K1816">
        <v>108.288</v>
      </c>
      <c r="L1816">
        <v>46.173299999999998</v>
      </c>
      <c r="M1816">
        <v>8014.3860000000004</v>
      </c>
      <c r="N1816" t="s">
        <v>15</v>
      </c>
    </row>
    <row r="1817" spans="1:14" x14ac:dyDescent="0.2">
      <c r="A1817" t="s">
        <v>56</v>
      </c>
      <c r="B1817" t="s">
        <v>132</v>
      </c>
      <c r="C1817" t="s">
        <v>130</v>
      </c>
      <c r="D1817" t="s">
        <v>57</v>
      </c>
      <c r="E1817" t="s">
        <v>53</v>
      </c>
      <c r="F1817" t="s">
        <v>114</v>
      </c>
      <c r="G1817">
        <v>119598</v>
      </c>
      <c r="H1817" s="75">
        <v>44241</v>
      </c>
      <c r="I1817" t="s">
        <v>115</v>
      </c>
      <c r="J1817">
        <v>5000</v>
      </c>
      <c r="K1817">
        <v>108.108</v>
      </c>
      <c r="L1817">
        <v>46.25</v>
      </c>
      <c r="M1817">
        <v>8122.4939999999997</v>
      </c>
      <c r="N1817" t="s">
        <v>15</v>
      </c>
    </row>
    <row r="1818" spans="1:14" x14ac:dyDescent="0.2">
      <c r="A1818" t="s">
        <v>56</v>
      </c>
      <c r="B1818" t="s">
        <v>132</v>
      </c>
      <c r="C1818" t="s">
        <v>130</v>
      </c>
      <c r="D1818" t="s">
        <v>57</v>
      </c>
      <c r="E1818" t="s">
        <v>53</v>
      </c>
      <c r="F1818" t="s">
        <v>114</v>
      </c>
      <c r="G1818">
        <v>119598</v>
      </c>
      <c r="H1818" s="75">
        <v>44241</v>
      </c>
      <c r="I1818" t="s">
        <v>116</v>
      </c>
      <c r="J1818">
        <v>2.5</v>
      </c>
      <c r="K1818">
        <v>0</v>
      </c>
      <c r="M1818">
        <v>8122.4939999999997</v>
      </c>
      <c r="N1818" t="s">
        <v>17</v>
      </c>
    </row>
    <row r="1819" spans="1:14" x14ac:dyDescent="0.2">
      <c r="A1819" t="s">
        <v>56</v>
      </c>
      <c r="B1819" t="s">
        <v>132</v>
      </c>
      <c r="C1819" t="s">
        <v>130</v>
      </c>
      <c r="D1819" t="s">
        <v>57</v>
      </c>
      <c r="E1819" t="s">
        <v>53</v>
      </c>
      <c r="F1819" t="s">
        <v>114</v>
      </c>
      <c r="G1819">
        <v>119598</v>
      </c>
      <c r="H1819" s="75">
        <v>44271</v>
      </c>
      <c r="I1819" t="s">
        <v>115</v>
      </c>
      <c r="J1819">
        <v>5000</v>
      </c>
      <c r="K1819">
        <v>105.94799999999999</v>
      </c>
      <c r="L1819">
        <v>47.192700000000002</v>
      </c>
      <c r="M1819">
        <v>8228.4429999999993</v>
      </c>
      <c r="N1819" t="s">
        <v>15</v>
      </c>
    </row>
    <row r="1820" spans="1:14" x14ac:dyDescent="0.2">
      <c r="A1820" t="s">
        <v>56</v>
      </c>
      <c r="B1820" t="s">
        <v>132</v>
      </c>
      <c r="C1820" t="s">
        <v>130</v>
      </c>
      <c r="D1820" t="s">
        <v>57</v>
      </c>
      <c r="E1820" t="s">
        <v>53</v>
      </c>
      <c r="F1820" t="s">
        <v>114</v>
      </c>
      <c r="G1820">
        <v>119598</v>
      </c>
      <c r="H1820" s="75">
        <v>44301</v>
      </c>
      <c r="I1820" t="s">
        <v>115</v>
      </c>
      <c r="J1820">
        <v>5000</v>
      </c>
      <c r="K1820">
        <v>105.608</v>
      </c>
      <c r="L1820">
        <v>47.344799999999999</v>
      </c>
      <c r="M1820">
        <v>8334.0509999999995</v>
      </c>
      <c r="N1820" t="s">
        <v>15</v>
      </c>
    </row>
    <row r="1821" spans="1:14" x14ac:dyDescent="0.2">
      <c r="A1821" t="s">
        <v>56</v>
      </c>
      <c r="B1821" t="s">
        <v>132</v>
      </c>
      <c r="C1821" t="s">
        <v>130</v>
      </c>
      <c r="D1821" t="s">
        <v>57</v>
      </c>
      <c r="E1821" t="s">
        <v>53</v>
      </c>
      <c r="F1821" t="s">
        <v>114</v>
      </c>
      <c r="G1821">
        <v>119598</v>
      </c>
      <c r="H1821" s="75">
        <v>44301</v>
      </c>
      <c r="I1821" t="s">
        <v>117</v>
      </c>
      <c r="J1821">
        <v>2.5</v>
      </c>
      <c r="K1821">
        <v>0</v>
      </c>
      <c r="M1821">
        <v>8334.0509999999995</v>
      </c>
      <c r="N1821" t="s">
        <v>46</v>
      </c>
    </row>
    <row r="1822" spans="1:14" x14ac:dyDescent="0.2">
      <c r="A1822" t="s">
        <v>56</v>
      </c>
      <c r="B1822" t="s">
        <v>132</v>
      </c>
      <c r="C1822" t="s">
        <v>130</v>
      </c>
      <c r="D1822" t="s">
        <v>57</v>
      </c>
      <c r="E1822" t="s">
        <v>53</v>
      </c>
      <c r="F1822" t="s">
        <v>114</v>
      </c>
      <c r="G1822">
        <v>119598</v>
      </c>
      <c r="H1822" s="75">
        <v>44331</v>
      </c>
      <c r="I1822" t="s">
        <v>115</v>
      </c>
      <c r="J1822">
        <v>5000</v>
      </c>
      <c r="K1822">
        <v>106.681</v>
      </c>
      <c r="L1822">
        <v>46.8688</v>
      </c>
      <c r="M1822">
        <v>8440.732</v>
      </c>
      <c r="N1822" t="s">
        <v>15</v>
      </c>
    </row>
    <row r="1823" spans="1:14" x14ac:dyDescent="0.2">
      <c r="A1823" t="s">
        <v>56</v>
      </c>
      <c r="B1823" t="s">
        <v>132</v>
      </c>
      <c r="C1823" t="s">
        <v>130</v>
      </c>
      <c r="D1823" t="s">
        <v>57</v>
      </c>
      <c r="E1823" t="s">
        <v>53</v>
      </c>
      <c r="F1823" t="s">
        <v>114</v>
      </c>
      <c r="G1823">
        <v>119598</v>
      </c>
      <c r="H1823" s="75">
        <v>44331</v>
      </c>
      <c r="I1823" t="s">
        <v>116</v>
      </c>
      <c r="J1823">
        <v>2.5</v>
      </c>
      <c r="K1823">
        <v>0</v>
      </c>
      <c r="M1823">
        <v>8440.732</v>
      </c>
      <c r="N1823" t="s">
        <v>17</v>
      </c>
    </row>
    <row r="1824" spans="1:14" x14ac:dyDescent="0.2">
      <c r="A1824" t="s">
        <v>56</v>
      </c>
      <c r="B1824" t="s">
        <v>132</v>
      </c>
      <c r="C1824" t="s">
        <v>130</v>
      </c>
      <c r="D1824" t="s">
        <v>57</v>
      </c>
      <c r="E1824" t="s">
        <v>53</v>
      </c>
      <c r="F1824" t="s">
        <v>114</v>
      </c>
      <c r="G1824">
        <v>119598</v>
      </c>
      <c r="H1824" s="75">
        <v>44361</v>
      </c>
      <c r="I1824" t="s">
        <v>115</v>
      </c>
      <c r="J1824">
        <v>5000</v>
      </c>
      <c r="K1824">
        <v>104.545</v>
      </c>
      <c r="L1824">
        <v>47.8262</v>
      </c>
      <c r="M1824">
        <v>8545.277</v>
      </c>
      <c r="N1824" t="s">
        <v>15</v>
      </c>
    </row>
    <row r="1825" spans="1:14" x14ac:dyDescent="0.2">
      <c r="A1825" t="s">
        <v>56</v>
      </c>
      <c r="B1825" t="s">
        <v>132</v>
      </c>
      <c r="C1825" t="s">
        <v>130</v>
      </c>
      <c r="D1825" t="s">
        <v>57</v>
      </c>
      <c r="E1825" t="s">
        <v>53</v>
      </c>
      <c r="F1825" t="s">
        <v>114</v>
      </c>
      <c r="G1825">
        <v>119598</v>
      </c>
      <c r="H1825" s="75">
        <v>44391</v>
      </c>
      <c r="I1825" t="s">
        <v>115</v>
      </c>
      <c r="J1825">
        <v>5000</v>
      </c>
      <c r="K1825">
        <v>103.08499999999999</v>
      </c>
      <c r="L1825">
        <v>48.503500000000003</v>
      </c>
      <c r="M1825">
        <v>8648.3619999999992</v>
      </c>
      <c r="N1825" t="s">
        <v>15</v>
      </c>
    </row>
    <row r="1826" spans="1:14" x14ac:dyDescent="0.2">
      <c r="A1826" t="s">
        <v>56</v>
      </c>
      <c r="B1826" t="s">
        <v>132</v>
      </c>
      <c r="C1826" t="s">
        <v>130</v>
      </c>
      <c r="D1826" t="s">
        <v>57</v>
      </c>
      <c r="E1826" t="s">
        <v>53</v>
      </c>
      <c r="F1826" t="s">
        <v>114</v>
      </c>
      <c r="G1826">
        <v>119598</v>
      </c>
      <c r="H1826" s="75">
        <v>44391</v>
      </c>
      <c r="I1826" t="s">
        <v>117</v>
      </c>
      <c r="J1826">
        <v>2.5</v>
      </c>
      <c r="K1826">
        <v>0</v>
      </c>
      <c r="M1826">
        <v>8648.3619999999992</v>
      </c>
      <c r="N1826" t="s">
        <v>46</v>
      </c>
    </row>
    <row r="1827" spans="1:14" x14ac:dyDescent="0.2">
      <c r="A1827" t="s">
        <v>56</v>
      </c>
      <c r="B1827" t="s">
        <v>132</v>
      </c>
      <c r="C1827" t="s">
        <v>130</v>
      </c>
      <c r="D1827" t="s">
        <v>57</v>
      </c>
      <c r="E1827" t="s">
        <v>53</v>
      </c>
      <c r="F1827" t="s">
        <v>114</v>
      </c>
      <c r="G1827">
        <v>119598</v>
      </c>
      <c r="H1827" s="75">
        <v>44421</v>
      </c>
      <c r="I1827" t="s">
        <v>115</v>
      </c>
      <c r="J1827">
        <v>5000</v>
      </c>
      <c r="K1827">
        <v>102.374</v>
      </c>
      <c r="L1827">
        <v>48.840400000000002</v>
      </c>
      <c r="M1827">
        <v>8750.7369999999992</v>
      </c>
      <c r="N1827" t="s">
        <v>15</v>
      </c>
    </row>
    <row r="1828" spans="1:14" x14ac:dyDescent="0.2">
      <c r="A1828" t="s">
        <v>56</v>
      </c>
      <c r="B1828" t="s">
        <v>132</v>
      </c>
      <c r="C1828" t="s">
        <v>130</v>
      </c>
      <c r="D1828" t="s">
        <v>57</v>
      </c>
      <c r="E1828" t="s">
        <v>53</v>
      </c>
      <c r="F1828" t="s">
        <v>114</v>
      </c>
      <c r="G1828">
        <v>119598</v>
      </c>
      <c r="H1828" s="75">
        <v>44451</v>
      </c>
      <c r="I1828" t="s">
        <v>115</v>
      </c>
      <c r="J1828">
        <v>5000</v>
      </c>
      <c r="K1828">
        <v>104.309</v>
      </c>
      <c r="L1828">
        <v>47.934399999999997</v>
      </c>
      <c r="M1828">
        <v>8855.0460000000003</v>
      </c>
      <c r="N1828" t="s">
        <v>15</v>
      </c>
    </row>
    <row r="1829" spans="1:14" x14ac:dyDescent="0.2">
      <c r="A1829" t="s">
        <v>56</v>
      </c>
      <c r="B1829" t="s">
        <v>132</v>
      </c>
      <c r="C1829" t="s">
        <v>130</v>
      </c>
      <c r="D1829" t="s">
        <v>57</v>
      </c>
      <c r="E1829" t="s">
        <v>53</v>
      </c>
      <c r="F1829" t="s">
        <v>114</v>
      </c>
      <c r="G1829">
        <v>119598</v>
      </c>
      <c r="H1829" s="75">
        <v>44481</v>
      </c>
      <c r="I1829" t="s">
        <v>115</v>
      </c>
      <c r="J1829">
        <v>5000</v>
      </c>
      <c r="K1829">
        <v>105.687</v>
      </c>
      <c r="L1829">
        <v>47.309699999999999</v>
      </c>
      <c r="M1829">
        <v>8960.732</v>
      </c>
      <c r="N1829" t="s">
        <v>15</v>
      </c>
    </row>
    <row r="1830" spans="1:14" x14ac:dyDescent="0.2">
      <c r="A1830" t="s">
        <v>56</v>
      </c>
      <c r="B1830" t="s">
        <v>132</v>
      </c>
      <c r="C1830" t="s">
        <v>130</v>
      </c>
      <c r="D1830" t="s">
        <v>57</v>
      </c>
      <c r="E1830" t="s">
        <v>53</v>
      </c>
      <c r="F1830" t="s">
        <v>114</v>
      </c>
      <c r="G1830">
        <v>119598</v>
      </c>
      <c r="H1830" s="75">
        <v>44511</v>
      </c>
      <c r="I1830" t="s">
        <v>115</v>
      </c>
      <c r="J1830">
        <v>5000</v>
      </c>
      <c r="K1830">
        <v>102.919</v>
      </c>
      <c r="L1830">
        <v>48.582099999999997</v>
      </c>
      <c r="M1830">
        <v>9063.6509999999998</v>
      </c>
      <c r="N1830" t="s">
        <v>15</v>
      </c>
    </row>
    <row r="1831" spans="1:14" x14ac:dyDescent="0.2">
      <c r="A1831" t="s">
        <v>56</v>
      </c>
      <c r="B1831" t="s">
        <v>132</v>
      </c>
      <c r="C1831" t="s">
        <v>130</v>
      </c>
      <c r="D1831" t="s">
        <v>57</v>
      </c>
      <c r="E1831" t="s">
        <v>53</v>
      </c>
      <c r="F1831" t="s">
        <v>114</v>
      </c>
      <c r="G1831">
        <v>119598</v>
      </c>
      <c r="H1831" s="75">
        <v>44541</v>
      </c>
      <c r="I1831" t="s">
        <v>115</v>
      </c>
      <c r="J1831">
        <v>5000</v>
      </c>
      <c r="K1831">
        <v>102.768</v>
      </c>
      <c r="L1831">
        <v>48.653100000000002</v>
      </c>
      <c r="M1831">
        <v>9166.4189999999999</v>
      </c>
      <c r="N1831" t="s">
        <v>15</v>
      </c>
    </row>
    <row r="1832" spans="1:14" x14ac:dyDescent="0.2">
      <c r="A1832" t="s">
        <v>56</v>
      </c>
      <c r="B1832" t="s">
        <v>132</v>
      </c>
      <c r="C1832" t="s">
        <v>130</v>
      </c>
      <c r="D1832" t="s">
        <v>57</v>
      </c>
      <c r="E1832" t="s">
        <v>53</v>
      </c>
      <c r="F1832" t="s">
        <v>114</v>
      </c>
      <c r="G1832">
        <v>119598</v>
      </c>
      <c r="H1832" s="75">
        <v>44571</v>
      </c>
      <c r="I1832" t="s">
        <v>115</v>
      </c>
      <c r="J1832">
        <v>5000</v>
      </c>
      <c r="K1832">
        <v>102.47</v>
      </c>
      <c r="L1832">
        <v>48.795000000000002</v>
      </c>
      <c r="M1832">
        <v>9268.8889999999992</v>
      </c>
      <c r="N1832" t="s">
        <v>15</v>
      </c>
    </row>
    <row r="1833" spans="1:14" x14ac:dyDescent="0.2">
      <c r="A1833" t="s">
        <v>56</v>
      </c>
      <c r="B1833" t="s">
        <v>132</v>
      </c>
      <c r="C1833" t="s">
        <v>130</v>
      </c>
      <c r="D1833" t="s">
        <v>57</v>
      </c>
      <c r="E1833" t="s">
        <v>53</v>
      </c>
      <c r="F1833" t="s">
        <v>114</v>
      </c>
      <c r="G1833">
        <v>119598</v>
      </c>
      <c r="H1833" s="75">
        <v>44601</v>
      </c>
      <c r="I1833" t="s">
        <v>115</v>
      </c>
      <c r="J1833">
        <v>5000</v>
      </c>
      <c r="K1833">
        <v>101.458</v>
      </c>
      <c r="L1833">
        <v>49.281700000000001</v>
      </c>
      <c r="M1833">
        <v>9370.3469999999998</v>
      </c>
      <c r="N1833" t="s">
        <v>15</v>
      </c>
    </row>
    <row r="1834" spans="1:14" x14ac:dyDescent="0.2">
      <c r="A1834" t="s">
        <v>56</v>
      </c>
      <c r="B1834" t="s">
        <v>132</v>
      </c>
      <c r="C1834" t="s">
        <v>130</v>
      </c>
      <c r="D1834" t="s">
        <v>57</v>
      </c>
      <c r="E1834" t="s">
        <v>53</v>
      </c>
      <c r="F1834" t="s">
        <v>114</v>
      </c>
      <c r="G1834">
        <v>119598</v>
      </c>
      <c r="H1834" s="75">
        <v>44631</v>
      </c>
      <c r="I1834" t="s">
        <v>115</v>
      </c>
      <c r="J1834">
        <v>5000</v>
      </c>
      <c r="K1834">
        <v>99.087000000000003</v>
      </c>
      <c r="L1834">
        <v>50.460700000000003</v>
      </c>
      <c r="M1834">
        <v>9469.4330000000009</v>
      </c>
      <c r="N1834" t="s">
        <v>15</v>
      </c>
    </row>
    <row r="1835" spans="1:14" x14ac:dyDescent="0.2">
      <c r="A1835" t="s">
        <v>56</v>
      </c>
      <c r="B1835" t="s">
        <v>132</v>
      </c>
      <c r="C1835" t="s">
        <v>130</v>
      </c>
      <c r="D1835" t="s">
        <v>57</v>
      </c>
      <c r="E1835" t="s">
        <v>53</v>
      </c>
      <c r="F1835" t="s">
        <v>114</v>
      </c>
      <c r="G1835">
        <v>119598</v>
      </c>
      <c r="H1835" s="75">
        <v>44661</v>
      </c>
      <c r="I1835" t="s">
        <v>115</v>
      </c>
      <c r="J1835">
        <v>5000</v>
      </c>
      <c r="K1835">
        <v>99.173000000000002</v>
      </c>
      <c r="L1835">
        <v>50.416800000000002</v>
      </c>
      <c r="M1835">
        <v>9568.607</v>
      </c>
      <c r="N1835" t="s">
        <v>15</v>
      </c>
    </row>
    <row r="1836" spans="1:14" x14ac:dyDescent="0.2">
      <c r="A1836" t="s">
        <v>56</v>
      </c>
      <c r="B1836" t="s">
        <v>132</v>
      </c>
      <c r="C1836" t="s">
        <v>130</v>
      </c>
      <c r="D1836" t="s">
        <v>57</v>
      </c>
      <c r="E1836" t="s">
        <v>53</v>
      </c>
      <c r="F1836" t="s">
        <v>114</v>
      </c>
      <c r="G1836">
        <v>119598</v>
      </c>
      <c r="H1836" s="75">
        <v>44661</v>
      </c>
      <c r="I1836" t="s">
        <v>117</v>
      </c>
      <c r="J1836">
        <v>2.5</v>
      </c>
      <c r="K1836">
        <v>0</v>
      </c>
      <c r="M1836">
        <v>9568.607</v>
      </c>
      <c r="N1836" t="s">
        <v>46</v>
      </c>
    </row>
    <row r="1837" spans="1:14" x14ac:dyDescent="0.2">
      <c r="A1837" t="s">
        <v>56</v>
      </c>
      <c r="B1837" t="s">
        <v>132</v>
      </c>
      <c r="C1837" t="s">
        <v>130</v>
      </c>
      <c r="D1837" t="s">
        <v>57</v>
      </c>
      <c r="E1837" t="s">
        <v>53</v>
      </c>
      <c r="F1837" t="s">
        <v>114</v>
      </c>
      <c r="G1837">
        <v>119598</v>
      </c>
      <c r="H1837" s="75">
        <v>44691</v>
      </c>
      <c r="I1837" t="s">
        <v>115</v>
      </c>
      <c r="J1837">
        <v>5000</v>
      </c>
      <c r="K1837">
        <v>97.51</v>
      </c>
      <c r="L1837">
        <v>51.276699999999998</v>
      </c>
      <c r="M1837">
        <v>9666.1170000000002</v>
      </c>
      <c r="N1837" t="s">
        <v>15</v>
      </c>
    </row>
    <row r="1838" spans="1:14" x14ac:dyDescent="0.2">
      <c r="A1838" t="s">
        <v>56</v>
      </c>
      <c r="B1838" t="s">
        <v>132</v>
      </c>
      <c r="C1838" t="s">
        <v>130</v>
      </c>
      <c r="D1838" t="s">
        <v>57</v>
      </c>
      <c r="E1838" t="s">
        <v>53</v>
      </c>
      <c r="F1838" t="s">
        <v>114</v>
      </c>
      <c r="G1838">
        <v>119598</v>
      </c>
      <c r="H1838" s="75">
        <v>44721</v>
      </c>
      <c r="I1838" t="s">
        <v>115</v>
      </c>
      <c r="J1838">
        <v>5000</v>
      </c>
      <c r="K1838">
        <v>94.963999999999999</v>
      </c>
      <c r="L1838">
        <v>52.651699999999998</v>
      </c>
      <c r="M1838">
        <v>9761.0810000000001</v>
      </c>
      <c r="N1838" t="s">
        <v>15</v>
      </c>
    </row>
    <row r="1839" spans="1:14" x14ac:dyDescent="0.2">
      <c r="A1839" t="s">
        <v>56</v>
      </c>
      <c r="B1839" t="s">
        <v>132</v>
      </c>
      <c r="C1839" t="s">
        <v>130</v>
      </c>
      <c r="D1839" t="s">
        <v>57</v>
      </c>
      <c r="E1839" t="s">
        <v>53</v>
      </c>
      <c r="F1839" t="s">
        <v>114</v>
      </c>
      <c r="G1839">
        <v>119598</v>
      </c>
      <c r="H1839" s="75">
        <v>44751</v>
      </c>
      <c r="I1839" t="s">
        <v>115</v>
      </c>
      <c r="J1839">
        <v>5000</v>
      </c>
      <c r="K1839">
        <v>94.819000000000003</v>
      </c>
      <c r="L1839">
        <v>52.732199999999999</v>
      </c>
      <c r="M1839">
        <v>9855.8989999999994</v>
      </c>
      <c r="N1839" t="s">
        <v>15</v>
      </c>
    </row>
    <row r="1840" spans="1:14" x14ac:dyDescent="0.2">
      <c r="A1840" t="s">
        <v>56</v>
      </c>
      <c r="B1840" t="s">
        <v>132</v>
      </c>
      <c r="C1840" t="s">
        <v>130</v>
      </c>
      <c r="D1840" t="s">
        <v>57</v>
      </c>
      <c r="E1840" t="s">
        <v>53</v>
      </c>
      <c r="F1840" t="s">
        <v>114</v>
      </c>
      <c r="G1840">
        <v>119598</v>
      </c>
      <c r="H1840" s="75">
        <v>44781</v>
      </c>
      <c r="I1840" t="s">
        <v>115</v>
      </c>
      <c r="J1840">
        <v>5000</v>
      </c>
      <c r="K1840">
        <v>92.347999999999999</v>
      </c>
      <c r="L1840">
        <v>54.142899999999997</v>
      </c>
      <c r="M1840">
        <v>9948.2479999999996</v>
      </c>
      <c r="N1840" t="s">
        <v>15</v>
      </c>
    </row>
    <row r="1841" spans="1:14" x14ac:dyDescent="0.2">
      <c r="A1841" t="s">
        <v>56</v>
      </c>
      <c r="B1841" t="s">
        <v>132</v>
      </c>
      <c r="C1841" t="s">
        <v>130</v>
      </c>
      <c r="D1841" t="s">
        <v>57</v>
      </c>
      <c r="E1841" t="s">
        <v>53</v>
      </c>
      <c r="F1841" t="s">
        <v>114</v>
      </c>
      <c r="G1841">
        <v>119598</v>
      </c>
      <c r="H1841" s="75">
        <v>44811</v>
      </c>
      <c r="I1841" t="s">
        <v>115</v>
      </c>
      <c r="J1841">
        <v>5000</v>
      </c>
      <c r="K1841">
        <v>91.495999999999995</v>
      </c>
      <c r="L1841">
        <v>54.647199999999998</v>
      </c>
      <c r="M1841">
        <v>10039.744000000001</v>
      </c>
      <c r="N1841" t="s">
        <v>15</v>
      </c>
    </row>
    <row r="1842" spans="1:14" x14ac:dyDescent="0.2">
      <c r="A1842" t="s">
        <v>56</v>
      </c>
      <c r="B1842" t="s">
        <v>132</v>
      </c>
      <c r="C1842" t="s">
        <v>130</v>
      </c>
      <c r="D1842" t="s">
        <v>57</v>
      </c>
      <c r="E1842" t="s">
        <v>53</v>
      </c>
      <c r="F1842" t="s">
        <v>114</v>
      </c>
      <c r="G1842">
        <v>119598</v>
      </c>
      <c r="H1842" s="75">
        <v>44841</v>
      </c>
      <c r="I1842" t="s">
        <v>115</v>
      </c>
      <c r="J1842">
        <v>5000</v>
      </c>
      <c r="K1842">
        <v>89.087999999999994</v>
      </c>
      <c r="L1842">
        <v>56.124299999999998</v>
      </c>
      <c r="M1842">
        <v>10128.832</v>
      </c>
      <c r="N1842" t="s">
        <v>15</v>
      </c>
    </row>
    <row r="1843" spans="1:14" x14ac:dyDescent="0.2">
      <c r="A1843" t="s">
        <v>56</v>
      </c>
      <c r="B1843" t="s">
        <v>132</v>
      </c>
      <c r="C1843" t="s">
        <v>130</v>
      </c>
      <c r="D1843" t="s">
        <v>57</v>
      </c>
      <c r="E1843" t="s">
        <v>53</v>
      </c>
      <c r="F1843" t="s">
        <v>114</v>
      </c>
      <c r="G1843">
        <v>119598</v>
      </c>
      <c r="H1843" s="75">
        <v>44871</v>
      </c>
      <c r="I1843" t="s">
        <v>115</v>
      </c>
      <c r="J1843">
        <v>5000</v>
      </c>
      <c r="K1843">
        <v>88.426000000000002</v>
      </c>
      <c r="L1843">
        <v>56.544600000000003</v>
      </c>
      <c r="M1843">
        <v>10217.257</v>
      </c>
      <c r="N1843" t="s">
        <v>15</v>
      </c>
    </row>
    <row r="1844" spans="1:14" x14ac:dyDescent="0.2">
      <c r="A1844" t="s">
        <v>56</v>
      </c>
      <c r="B1844" t="s">
        <v>132</v>
      </c>
      <c r="C1844" t="s">
        <v>130</v>
      </c>
      <c r="D1844" t="s">
        <v>57</v>
      </c>
      <c r="E1844" t="s">
        <v>53</v>
      </c>
      <c r="F1844" t="s">
        <v>114</v>
      </c>
      <c r="G1844">
        <v>119598</v>
      </c>
      <c r="H1844" s="75">
        <v>44871</v>
      </c>
      <c r="I1844" t="s">
        <v>116</v>
      </c>
      <c r="J1844">
        <v>2.5</v>
      </c>
      <c r="K1844">
        <v>0</v>
      </c>
      <c r="M1844">
        <v>10217.257</v>
      </c>
      <c r="N1844" t="s">
        <v>17</v>
      </c>
    </row>
    <row r="1845" spans="1:14" x14ac:dyDescent="0.2">
      <c r="A1845" t="s">
        <v>56</v>
      </c>
      <c r="B1845" t="s">
        <v>132</v>
      </c>
      <c r="C1845" t="s">
        <v>130</v>
      </c>
      <c r="D1845" t="s">
        <v>57</v>
      </c>
      <c r="E1845" t="s">
        <v>53</v>
      </c>
      <c r="F1845" t="s">
        <v>114</v>
      </c>
      <c r="G1845">
        <v>119598</v>
      </c>
      <c r="H1845" s="75">
        <v>44901</v>
      </c>
      <c r="I1845" t="s">
        <v>115</v>
      </c>
      <c r="J1845">
        <v>5000</v>
      </c>
      <c r="K1845">
        <v>87.424999999999997</v>
      </c>
      <c r="L1845">
        <v>57.192100000000003</v>
      </c>
      <c r="M1845">
        <v>10304.682000000001</v>
      </c>
      <c r="N1845" t="s">
        <v>15</v>
      </c>
    </row>
    <row r="1846" spans="1:14" x14ac:dyDescent="0.2">
      <c r="A1846" t="s">
        <v>56</v>
      </c>
      <c r="B1846" t="s">
        <v>132</v>
      </c>
      <c r="C1846" t="s">
        <v>130</v>
      </c>
      <c r="D1846" t="s">
        <v>57</v>
      </c>
      <c r="E1846" t="s">
        <v>53</v>
      </c>
      <c r="F1846" t="s">
        <v>114</v>
      </c>
      <c r="G1846">
        <v>119598</v>
      </c>
      <c r="H1846" s="75">
        <v>44931</v>
      </c>
      <c r="I1846" t="s">
        <v>115</v>
      </c>
      <c r="J1846">
        <v>5000</v>
      </c>
      <c r="K1846">
        <v>86.813000000000002</v>
      </c>
      <c r="L1846">
        <v>57.595199999999998</v>
      </c>
      <c r="M1846">
        <v>10391.495000000001</v>
      </c>
      <c r="N1846" t="s">
        <v>15</v>
      </c>
    </row>
    <row r="1847" spans="1:14" x14ac:dyDescent="0.2">
      <c r="A1847" t="s">
        <v>56</v>
      </c>
      <c r="B1847" t="s">
        <v>132</v>
      </c>
      <c r="C1847" t="s">
        <v>130</v>
      </c>
      <c r="D1847" t="s">
        <v>57</v>
      </c>
      <c r="E1847" t="s">
        <v>53</v>
      </c>
      <c r="F1847" t="s">
        <v>114</v>
      </c>
      <c r="G1847">
        <v>119598</v>
      </c>
      <c r="H1847" s="75">
        <v>44961</v>
      </c>
      <c r="I1847" t="s">
        <v>115</v>
      </c>
      <c r="J1847">
        <v>5000</v>
      </c>
      <c r="K1847">
        <v>84.856999999999999</v>
      </c>
      <c r="L1847">
        <v>58.922499999999999</v>
      </c>
      <c r="M1847">
        <v>10476.352000000001</v>
      </c>
      <c r="N1847" t="s">
        <v>15</v>
      </c>
    </row>
    <row r="1848" spans="1:14" x14ac:dyDescent="0.2">
      <c r="A1848" t="s">
        <v>56</v>
      </c>
      <c r="B1848" t="s">
        <v>132</v>
      </c>
      <c r="C1848" t="s">
        <v>130</v>
      </c>
      <c r="D1848" t="s">
        <v>57</v>
      </c>
      <c r="E1848" t="s">
        <v>53</v>
      </c>
      <c r="F1848" t="s">
        <v>114</v>
      </c>
      <c r="G1848">
        <v>119598</v>
      </c>
      <c r="H1848" s="75">
        <v>44991</v>
      </c>
      <c r="I1848" t="s">
        <v>115</v>
      </c>
      <c r="J1848">
        <v>5000</v>
      </c>
      <c r="K1848">
        <v>86.119</v>
      </c>
      <c r="L1848">
        <v>58.059199999999997</v>
      </c>
      <c r="M1848">
        <v>10562.471</v>
      </c>
      <c r="N1848" t="s">
        <v>15</v>
      </c>
    </row>
    <row r="1849" spans="1:14" x14ac:dyDescent="0.2">
      <c r="A1849" t="s">
        <v>56</v>
      </c>
      <c r="B1849" t="s">
        <v>132</v>
      </c>
      <c r="C1849" t="s">
        <v>130</v>
      </c>
      <c r="D1849" t="s">
        <v>57</v>
      </c>
      <c r="E1849" t="s">
        <v>53</v>
      </c>
      <c r="F1849" t="s">
        <v>114</v>
      </c>
      <c r="G1849">
        <v>119598</v>
      </c>
      <c r="H1849" s="75">
        <v>45021</v>
      </c>
      <c r="I1849" t="s">
        <v>115</v>
      </c>
      <c r="J1849">
        <v>5000</v>
      </c>
      <c r="K1849">
        <v>85.307000000000002</v>
      </c>
      <c r="L1849">
        <v>58.611899999999999</v>
      </c>
      <c r="M1849">
        <v>10647.778</v>
      </c>
      <c r="N1849" t="s">
        <v>15</v>
      </c>
    </row>
    <row r="1850" spans="1:14" x14ac:dyDescent="0.2">
      <c r="A1850" t="s">
        <v>56</v>
      </c>
      <c r="B1850" t="s">
        <v>132</v>
      </c>
      <c r="C1850" t="s">
        <v>130</v>
      </c>
      <c r="D1850" t="s">
        <v>57</v>
      </c>
      <c r="E1850" t="s">
        <v>53</v>
      </c>
      <c r="F1850" t="s">
        <v>114</v>
      </c>
      <c r="G1850">
        <v>119598</v>
      </c>
      <c r="H1850" s="75">
        <v>45021</v>
      </c>
      <c r="I1850" t="s">
        <v>117</v>
      </c>
      <c r="J1850">
        <v>2.5</v>
      </c>
      <c r="K1850">
        <v>0</v>
      </c>
      <c r="M1850">
        <v>10647.778</v>
      </c>
      <c r="N1850" t="s">
        <v>46</v>
      </c>
    </row>
    <row r="1851" spans="1:14" x14ac:dyDescent="0.2">
      <c r="A1851" t="s">
        <v>56</v>
      </c>
      <c r="B1851" t="s">
        <v>132</v>
      </c>
      <c r="C1851" t="s">
        <v>130</v>
      </c>
      <c r="D1851" t="s">
        <v>57</v>
      </c>
      <c r="E1851" t="s">
        <v>53</v>
      </c>
      <c r="F1851" t="s">
        <v>114</v>
      </c>
      <c r="G1851">
        <v>119598</v>
      </c>
      <c r="H1851" s="75">
        <v>45021</v>
      </c>
      <c r="I1851" t="s">
        <v>25</v>
      </c>
      <c r="J1851">
        <v>-124817.28</v>
      </c>
      <c r="K1851">
        <v>-2129.556</v>
      </c>
      <c r="L1851">
        <v>58.611899999999999</v>
      </c>
      <c r="M1851">
        <v>8518.2219999999998</v>
      </c>
      <c r="N1851" t="s">
        <v>16</v>
      </c>
    </row>
    <row r="1852" spans="1:14" x14ac:dyDescent="0.2">
      <c r="A1852" t="s">
        <v>56</v>
      </c>
      <c r="B1852" t="s">
        <v>132</v>
      </c>
      <c r="C1852" t="s">
        <v>130</v>
      </c>
      <c r="D1852" t="s">
        <v>57</v>
      </c>
      <c r="E1852" t="s">
        <v>53</v>
      </c>
      <c r="F1852" t="s">
        <v>114</v>
      </c>
      <c r="G1852">
        <v>119598</v>
      </c>
      <c r="H1852" s="75">
        <v>45051</v>
      </c>
      <c r="I1852" t="s">
        <v>115</v>
      </c>
      <c r="J1852">
        <v>5000</v>
      </c>
      <c r="K1852">
        <v>85.489000000000004</v>
      </c>
      <c r="L1852">
        <v>58.487299999999998</v>
      </c>
      <c r="M1852">
        <v>8603.7109999999993</v>
      </c>
      <c r="N1852" t="s">
        <v>15</v>
      </c>
    </row>
    <row r="1853" spans="1:14" x14ac:dyDescent="0.2">
      <c r="A1853" t="s">
        <v>56</v>
      </c>
      <c r="B1853" t="s">
        <v>132</v>
      </c>
      <c r="C1853" t="s">
        <v>130</v>
      </c>
      <c r="D1853" t="s">
        <v>57</v>
      </c>
      <c r="E1853" t="s">
        <v>53</v>
      </c>
      <c r="F1853" t="s">
        <v>114</v>
      </c>
      <c r="G1853">
        <v>119598</v>
      </c>
      <c r="H1853" s="75">
        <v>45051</v>
      </c>
      <c r="I1853" t="s">
        <v>117</v>
      </c>
      <c r="J1853">
        <v>2.5</v>
      </c>
      <c r="K1853">
        <v>0</v>
      </c>
      <c r="M1853">
        <v>8603.7109999999993</v>
      </c>
      <c r="N1853" t="s">
        <v>46</v>
      </c>
    </row>
    <row r="1854" spans="1:14" x14ac:dyDescent="0.2">
      <c r="A1854" t="s">
        <v>56</v>
      </c>
      <c r="B1854" t="s">
        <v>132</v>
      </c>
      <c r="C1854" t="s">
        <v>130</v>
      </c>
      <c r="D1854" t="s">
        <v>57</v>
      </c>
      <c r="E1854" t="s">
        <v>53</v>
      </c>
      <c r="F1854" t="s">
        <v>114</v>
      </c>
      <c r="G1854">
        <v>119598</v>
      </c>
      <c r="H1854" s="75">
        <v>45081</v>
      </c>
      <c r="I1854" t="s">
        <v>115</v>
      </c>
      <c r="J1854">
        <v>5000</v>
      </c>
      <c r="K1854">
        <v>86.528000000000006</v>
      </c>
      <c r="L1854">
        <v>57.784599999999998</v>
      </c>
      <c r="M1854">
        <v>8690.2389999999996</v>
      </c>
      <c r="N1854" t="s">
        <v>15</v>
      </c>
    </row>
    <row r="1855" spans="1:14" x14ac:dyDescent="0.2">
      <c r="A1855" t="s">
        <v>56</v>
      </c>
      <c r="B1855" t="s">
        <v>132</v>
      </c>
      <c r="C1855" t="s">
        <v>130</v>
      </c>
      <c r="D1855" t="s">
        <v>57</v>
      </c>
      <c r="E1855" t="s">
        <v>53</v>
      </c>
      <c r="F1855" t="s">
        <v>114</v>
      </c>
      <c r="G1855">
        <v>119598</v>
      </c>
      <c r="H1855" s="75">
        <v>45111</v>
      </c>
      <c r="I1855" t="s">
        <v>115</v>
      </c>
      <c r="J1855">
        <v>5000</v>
      </c>
      <c r="K1855">
        <v>86.203000000000003</v>
      </c>
      <c r="L1855">
        <v>58.002699999999997</v>
      </c>
      <c r="M1855">
        <v>8776.4419999999991</v>
      </c>
      <c r="N1855" t="s">
        <v>15</v>
      </c>
    </row>
    <row r="1856" spans="1:14" x14ac:dyDescent="0.2">
      <c r="A1856" t="s">
        <v>56</v>
      </c>
      <c r="B1856" t="s">
        <v>132</v>
      </c>
      <c r="C1856" t="s">
        <v>130</v>
      </c>
      <c r="D1856" t="s">
        <v>57</v>
      </c>
      <c r="E1856" t="s">
        <v>53</v>
      </c>
      <c r="F1856" t="s">
        <v>114</v>
      </c>
      <c r="G1856">
        <v>119598</v>
      </c>
      <c r="H1856" s="75">
        <v>45141</v>
      </c>
      <c r="I1856" t="s">
        <v>115</v>
      </c>
      <c r="J1856">
        <v>5000</v>
      </c>
      <c r="K1856">
        <v>85.918999999999997</v>
      </c>
      <c r="L1856">
        <v>58.194200000000002</v>
      </c>
      <c r="M1856">
        <v>8862.3610000000008</v>
      </c>
      <c r="N1856" t="s">
        <v>15</v>
      </c>
    </row>
    <row r="1857" spans="1:14" x14ac:dyDescent="0.2">
      <c r="A1857" t="s">
        <v>56</v>
      </c>
      <c r="B1857" t="s">
        <v>132</v>
      </c>
      <c r="C1857" t="s">
        <v>130</v>
      </c>
      <c r="D1857" t="s">
        <v>57</v>
      </c>
      <c r="E1857" t="s">
        <v>53</v>
      </c>
      <c r="F1857" t="s">
        <v>114</v>
      </c>
      <c r="G1857">
        <v>119598</v>
      </c>
      <c r="H1857" s="75">
        <v>45141</v>
      </c>
      <c r="I1857" t="s">
        <v>116</v>
      </c>
      <c r="J1857">
        <v>2.5</v>
      </c>
      <c r="K1857">
        <v>0</v>
      </c>
      <c r="M1857">
        <v>8862.3610000000008</v>
      </c>
      <c r="N1857" t="s">
        <v>17</v>
      </c>
    </row>
    <row r="1858" spans="1:14" x14ac:dyDescent="0.2">
      <c r="A1858" t="s">
        <v>56</v>
      </c>
      <c r="B1858" t="s">
        <v>132</v>
      </c>
      <c r="C1858" t="s">
        <v>130</v>
      </c>
      <c r="D1858" t="s">
        <v>57</v>
      </c>
      <c r="E1858" t="s">
        <v>53</v>
      </c>
      <c r="F1858" t="s">
        <v>114</v>
      </c>
      <c r="G1858">
        <v>119598</v>
      </c>
      <c r="H1858" s="75">
        <v>45171</v>
      </c>
      <c r="I1858" t="s">
        <v>115</v>
      </c>
      <c r="J1858">
        <v>5000</v>
      </c>
      <c r="K1858">
        <v>84.44</v>
      </c>
      <c r="L1858">
        <v>59.213700000000003</v>
      </c>
      <c r="M1858">
        <v>8946.8009999999995</v>
      </c>
      <c r="N1858" t="s">
        <v>15</v>
      </c>
    </row>
    <row r="1859" spans="1:14" x14ac:dyDescent="0.2">
      <c r="A1859" t="s">
        <v>56</v>
      </c>
      <c r="B1859" t="s">
        <v>132</v>
      </c>
      <c r="C1859" t="s">
        <v>130</v>
      </c>
      <c r="D1859" t="s">
        <v>57</v>
      </c>
      <c r="E1859" t="s">
        <v>53</v>
      </c>
      <c r="F1859" t="s">
        <v>114</v>
      </c>
      <c r="G1859">
        <v>119598</v>
      </c>
      <c r="H1859" s="75">
        <v>45201</v>
      </c>
      <c r="I1859" t="s">
        <v>115</v>
      </c>
      <c r="J1859">
        <v>5000</v>
      </c>
      <c r="K1859">
        <v>84.311000000000007</v>
      </c>
      <c r="L1859">
        <v>59.304400000000001</v>
      </c>
      <c r="M1859">
        <v>9031.1119999999992</v>
      </c>
      <c r="N1859" t="s">
        <v>15</v>
      </c>
    </row>
    <row r="1860" spans="1:14" x14ac:dyDescent="0.2">
      <c r="A1860" t="s">
        <v>56</v>
      </c>
      <c r="B1860" t="s">
        <v>132</v>
      </c>
      <c r="C1860" t="s">
        <v>130</v>
      </c>
      <c r="D1860" t="s">
        <v>57</v>
      </c>
      <c r="E1860" t="s">
        <v>53</v>
      </c>
      <c r="F1860" t="s">
        <v>114</v>
      </c>
      <c r="G1860">
        <v>119598</v>
      </c>
      <c r="H1860" s="75">
        <v>45231</v>
      </c>
      <c r="I1860" t="s">
        <v>115</v>
      </c>
      <c r="J1860">
        <v>5000</v>
      </c>
      <c r="K1860">
        <v>85.728999999999999</v>
      </c>
      <c r="L1860">
        <v>58.323399999999999</v>
      </c>
      <c r="M1860">
        <v>9116.8410000000003</v>
      </c>
      <c r="N1860" t="s">
        <v>15</v>
      </c>
    </row>
    <row r="1861" spans="1:14" x14ac:dyDescent="0.2">
      <c r="A1861" t="s">
        <v>56</v>
      </c>
      <c r="B1861" t="s">
        <v>132</v>
      </c>
      <c r="C1861" t="s">
        <v>130</v>
      </c>
      <c r="D1861" t="s">
        <v>57</v>
      </c>
      <c r="E1861" t="s">
        <v>53</v>
      </c>
      <c r="F1861" t="s">
        <v>114</v>
      </c>
      <c r="G1861">
        <v>119598</v>
      </c>
      <c r="H1861" s="75">
        <v>45231</v>
      </c>
      <c r="I1861" t="s">
        <v>117</v>
      </c>
      <c r="J1861">
        <v>2.5</v>
      </c>
      <c r="K1861">
        <v>0</v>
      </c>
      <c r="M1861">
        <v>9116.8410000000003</v>
      </c>
      <c r="N1861" t="s">
        <v>46</v>
      </c>
    </row>
    <row r="1862" spans="1:14" x14ac:dyDescent="0.2">
      <c r="A1862" t="s">
        <v>56</v>
      </c>
      <c r="B1862" t="s">
        <v>132</v>
      </c>
      <c r="C1862" t="s">
        <v>130</v>
      </c>
      <c r="D1862" t="s">
        <v>57</v>
      </c>
      <c r="E1862" t="s">
        <v>53</v>
      </c>
      <c r="F1862" t="s">
        <v>114</v>
      </c>
      <c r="G1862">
        <v>119598</v>
      </c>
      <c r="H1862" s="75">
        <v>45261</v>
      </c>
      <c r="I1862" t="s">
        <v>115</v>
      </c>
      <c r="J1862">
        <v>5000</v>
      </c>
      <c r="K1862">
        <v>83.554000000000002</v>
      </c>
      <c r="L1862">
        <v>59.841299999999997</v>
      </c>
      <c r="M1862">
        <v>9200.3950000000004</v>
      </c>
      <c r="N1862" t="s">
        <v>15</v>
      </c>
    </row>
    <row r="1863" spans="1:14" x14ac:dyDescent="0.2">
      <c r="A1863" t="s">
        <v>56</v>
      </c>
      <c r="B1863" t="s">
        <v>132</v>
      </c>
      <c r="C1863" t="s">
        <v>130</v>
      </c>
      <c r="D1863" t="s">
        <v>57</v>
      </c>
      <c r="E1863" t="s">
        <v>53</v>
      </c>
      <c r="F1863" t="s">
        <v>114</v>
      </c>
      <c r="G1863">
        <v>119598</v>
      </c>
      <c r="H1863" s="75">
        <v>45291</v>
      </c>
      <c r="I1863" t="s">
        <v>115</v>
      </c>
      <c r="J1863">
        <v>5000</v>
      </c>
      <c r="K1863">
        <v>82.350999999999999</v>
      </c>
      <c r="L1863">
        <v>60.715600000000002</v>
      </c>
      <c r="M1863">
        <v>9282.7469999999994</v>
      </c>
      <c r="N1863" t="s">
        <v>15</v>
      </c>
    </row>
    <row r="1864" spans="1:14" x14ac:dyDescent="0.2">
      <c r="A1864" t="s">
        <v>56</v>
      </c>
      <c r="B1864" t="s">
        <v>132</v>
      </c>
      <c r="C1864" t="s">
        <v>130</v>
      </c>
      <c r="D1864" t="s">
        <v>57</v>
      </c>
      <c r="E1864" t="s">
        <v>53</v>
      </c>
      <c r="F1864" t="s">
        <v>114</v>
      </c>
      <c r="G1864">
        <v>119598</v>
      </c>
      <c r="H1864" s="75">
        <v>45321</v>
      </c>
      <c r="I1864" t="s">
        <v>115</v>
      </c>
      <c r="J1864">
        <v>5000</v>
      </c>
      <c r="K1864">
        <v>81.837999999999994</v>
      </c>
      <c r="L1864">
        <v>61.096699999999998</v>
      </c>
      <c r="M1864">
        <v>9364.5840000000007</v>
      </c>
      <c r="N1864" t="s">
        <v>15</v>
      </c>
    </row>
    <row r="1865" spans="1:14" x14ac:dyDescent="0.2">
      <c r="A1865" t="s">
        <v>56</v>
      </c>
      <c r="B1865" t="s">
        <v>132</v>
      </c>
      <c r="C1865" t="s">
        <v>130</v>
      </c>
      <c r="D1865" t="s">
        <v>57</v>
      </c>
      <c r="E1865" t="s">
        <v>53</v>
      </c>
      <c r="F1865" t="s">
        <v>114</v>
      </c>
      <c r="G1865">
        <v>119598</v>
      </c>
      <c r="H1865" s="75">
        <v>45351</v>
      </c>
      <c r="I1865" t="s">
        <v>115</v>
      </c>
      <c r="J1865">
        <v>5000</v>
      </c>
      <c r="K1865">
        <v>79.855000000000004</v>
      </c>
      <c r="L1865">
        <v>62.613599999999998</v>
      </c>
      <c r="M1865">
        <v>9444.4390000000003</v>
      </c>
      <c r="N1865" t="s">
        <v>15</v>
      </c>
    </row>
    <row r="1866" spans="1:14" x14ac:dyDescent="0.2">
      <c r="A1866" t="s">
        <v>56</v>
      </c>
      <c r="B1866" t="s">
        <v>132</v>
      </c>
      <c r="C1866" t="s">
        <v>130</v>
      </c>
      <c r="D1866" t="s">
        <v>57</v>
      </c>
      <c r="E1866" t="s">
        <v>53</v>
      </c>
      <c r="F1866" t="s">
        <v>114</v>
      </c>
      <c r="G1866">
        <v>119598</v>
      </c>
      <c r="H1866" s="75">
        <v>45381</v>
      </c>
      <c r="I1866" t="s">
        <v>115</v>
      </c>
      <c r="J1866">
        <v>5000</v>
      </c>
      <c r="K1866">
        <v>79.174000000000007</v>
      </c>
      <c r="L1866">
        <v>63.151899999999998</v>
      </c>
      <c r="M1866">
        <v>9523.6129999999994</v>
      </c>
      <c r="N1866" t="s">
        <v>15</v>
      </c>
    </row>
    <row r="1867" spans="1:14" x14ac:dyDescent="0.2">
      <c r="A1867" t="s">
        <v>56</v>
      </c>
      <c r="B1867" t="s">
        <v>132</v>
      </c>
      <c r="C1867" t="s">
        <v>130</v>
      </c>
      <c r="D1867" t="s">
        <v>57</v>
      </c>
      <c r="E1867" t="s">
        <v>53</v>
      </c>
      <c r="F1867" t="s">
        <v>114</v>
      </c>
      <c r="G1867">
        <v>119598</v>
      </c>
      <c r="H1867" s="75">
        <v>45411</v>
      </c>
      <c r="I1867" t="s">
        <v>115</v>
      </c>
      <c r="J1867">
        <v>5000</v>
      </c>
      <c r="K1867">
        <v>78.802000000000007</v>
      </c>
      <c r="L1867">
        <v>63.4499</v>
      </c>
      <c r="M1867">
        <v>9602.4150000000009</v>
      </c>
      <c r="N1867" t="s">
        <v>15</v>
      </c>
    </row>
    <row r="1868" spans="1:14" x14ac:dyDescent="0.2">
      <c r="A1868" t="s">
        <v>56</v>
      </c>
      <c r="B1868" t="s">
        <v>132</v>
      </c>
      <c r="C1868" t="s">
        <v>130</v>
      </c>
      <c r="D1868" t="s">
        <v>57</v>
      </c>
      <c r="E1868" t="s">
        <v>53</v>
      </c>
      <c r="F1868" t="s">
        <v>114</v>
      </c>
      <c r="G1868">
        <v>119598</v>
      </c>
      <c r="H1868" s="75">
        <v>45441</v>
      </c>
      <c r="I1868" t="s">
        <v>115</v>
      </c>
      <c r="J1868">
        <v>5000</v>
      </c>
      <c r="K1868">
        <v>77.269000000000005</v>
      </c>
      <c r="L1868">
        <v>64.708799999999997</v>
      </c>
      <c r="M1868">
        <v>9679.6849999999995</v>
      </c>
      <c r="N1868" t="s">
        <v>15</v>
      </c>
    </row>
    <row r="1869" spans="1:14" x14ac:dyDescent="0.2">
      <c r="A1869" t="s">
        <v>56</v>
      </c>
      <c r="B1869" t="s">
        <v>132</v>
      </c>
      <c r="C1869" t="s">
        <v>130</v>
      </c>
      <c r="D1869" t="s">
        <v>57</v>
      </c>
      <c r="E1869" t="s">
        <v>53</v>
      </c>
      <c r="F1869" t="s">
        <v>114</v>
      </c>
      <c r="G1869">
        <v>119598</v>
      </c>
      <c r="H1869" s="75">
        <v>45471</v>
      </c>
      <c r="I1869" t="s">
        <v>115</v>
      </c>
      <c r="J1869">
        <v>5000</v>
      </c>
      <c r="K1869">
        <v>75.823999999999998</v>
      </c>
      <c r="L1869">
        <v>65.942400000000006</v>
      </c>
      <c r="M1869">
        <v>9755.5079999999998</v>
      </c>
      <c r="N1869" t="s">
        <v>15</v>
      </c>
    </row>
    <row r="1870" spans="1:14" x14ac:dyDescent="0.2">
      <c r="A1870" t="s">
        <v>56</v>
      </c>
      <c r="B1870" t="s">
        <v>132</v>
      </c>
      <c r="C1870" t="s">
        <v>130</v>
      </c>
      <c r="D1870" t="s">
        <v>57</v>
      </c>
      <c r="E1870" t="s">
        <v>53</v>
      </c>
      <c r="F1870" t="s">
        <v>114</v>
      </c>
      <c r="G1870">
        <v>119598</v>
      </c>
      <c r="H1870" s="75">
        <v>45501</v>
      </c>
      <c r="I1870" t="s">
        <v>115</v>
      </c>
      <c r="J1870">
        <v>5000</v>
      </c>
      <c r="K1870">
        <v>74.722999999999999</v>
      </c>
      <c r="L1870">
        <v>66.913899999999998</v>
      </c>
      <c r="M1870">
        <v>9830.2309999999998</v>
      </c>
      <c r="N1870" t="s">
        <v>15</v>
      </c>
    </row>
    <row r="1871" spans="1:14" x14ac:dyDescent="0.2">
      <c r="A1871" t="s">
        <v>56</v>
      </c>
      <c r="B1871" t="s">
        <v>132</v>
      </c>
      <c r="C1871" t="s">
        <v>130</v>
      </c>
      <c r="D1871" t="s">
        <v>57</v>
      </c>
      <c r="E1871" t="s">
        <v>53</v>
      </c>
      <c r="F1871" t="s">
        <v>114</v>
      </c>
      <c r="G1871">
        <v>119598</v>
      </c>
      <c r="H1871" s="75">
        <v>45501</v>
      </c>
      <c r="I1871" t="s">
        <v>117</v>
      </c>
      <c r="J1871">
        <v>2.5</v>
      </c>
      <c r="K1871">
        <v>0</v>
      </c>
      <c r="M1871">
        <v>9830.2309999999998</v>
      </c>
      <c r="N1871" t="s">
        <v>46</v>
      </c>
    </row>
    <row r="1872" spans="1:14" x14ac:dyDescent="0.2">
      <c r="A1872" t="s">
        <v>56</v>
      </c>
      <c r="B1872" t="s">
        <v>132</v>
      </c>
      <c r="C1872" t="s">
        <v>130</v>
      </c>
      <c r="D1872" t="s">
        <v>57</v>
      </c>
      <c r="E1872" t="s">
        <v>53</v>
      </c>
      <c r="F1872" t="s">
        <v>114</v>
      </c>
      <c r="G1872">
        <v>119598</v>
      </c>
      <c r="H1872" s="75">
        <v>45501</v>
      </c>
      <c r="I1872" t="s">
        <v>25</v>
      </c>
      <c r="J1872">
        <v>-131555.87</v>
      </c>
      <c r="K1872">
        <v>-1966.046</v>
      </c>
      <c r="L1872">
        <v>66.913899999999998</v>
      </c>
      <c r="M1872">
        <v>7864.1850000000004</v>
      </c>
      <c r="N1872" t="s">
        <v>16</v>
      </c>
    </row>
    <row r="1873" spans="1:14" x14ac:dyDescent="0.2">
      <c r="A1873" t="s">
        <v>56</v>
      </c>
      <c r="B1873" t="s">
        <v>132</v>
      </c>
      <c r="C1873" t="s">
        <v>130</v>
      </c>
      <c r="D1873" t="s">
        <v>57</v>
      </c>
      <c r="E1873" t="s">
        <v>53</v>
      </c>
      <c r="F1873" t="s">
        <v>114</v>
      </c>
      <c r="G1873">
        <v>119598</v>
      </c>
      <c r="H1873" s="75">
        <v>45531</v>
      </c>
      <c r="I1873" t="s">
        <v>115</v>
      </c>
      <c r="J1873">
        <v>5000</v>
      </c>
      <c r="K1873">
        <v>75.341999999999999</v>
      </c>
      <c r="L1873">
        <v>66.364199999999997</v>
      </c>
      <c r="M1873">
        <v>7939.527</v>
      </c>
      <c r="N1873" t="s">
        <v>15</v>
      </c>
    </row>
    <row r="1874" spans="1:14" x14ac:dyDescent="0.2">
      <c r="A1874" t="s">
        <v>56</v>
      </c>
      <c r="B1874" t="s">
        <v>132</v>
      </c>
      <c r="C1874" t="s">
        <v>130</v>
      </c>
      <c r="D1874" t="s">
        <v>57</v>
      </c>
      <c r="E1874" t="s">
        <v>53</v>
      </c>
      <c r="F1874" t="s">
        <v>114</v>
      </c>
      <c r="G1874">
        <v>119598</v>
      </c>
      <c r="H1874" s="75">
        <v>45561</v>
      </c>
      <c r="I1874" t="s">
        <v>115</v>
      </c>
      <c r="J1874">
        <v>5000</v>
      </c>
      <c r="K1874">
        <v>73.864000000000004</v>
      </c>
      <c r="L1874">
        <v>67.691900000000004</v>
      </c>
      <c r="M1874">
        <v>8013.3909999999996</v>
      </c>
      <c r="N1874" t="s">
        <v>15</v>
      </c>
    </row>
    <row r="1875" spans="1:14" x14ac:dyDescent="0.2">
      <c r="A1875" t="s">
        <v>56</v>
      </c>
      <c r="B1875" t="s">
        <v>132</v>
      </c>
      <c r="C1875" t="s">
        <v>130</v>
      </c>
      <c r="D1875" t="s">
        <v>57</v>
      </c>
      <c r="E1875" t="s">
        <v>53</v>
      </c>
      <c r="F1875" t="s">
        <v>114</v>
      </c>
      <c r="G1875">
        <v>119598</v>
      </c>
      <c r="H1875" s="75">
        <v>45591</v>
      </c>
      <c r="I1875" t="s">
        <v>115</v>
      </c>
      <c r="J1875">
        <v>5000</v>
      </c>
      <c r="K1875">
        <v>71.727000000000004</v>
      </c>
      <c r="L1875">
        <v>69.708500000000001</v>
      </c>
      <c r="M1875">
        <v>8085.1180000000004</v>
      </c>
      <c r="N1875" t="s">
        <v>15</v>
      </c>
    </row>
    <row r="1876" spans="1:14" x14ac:dyDescent="0.2">
      <c r="A1876" t="s">
        <v>56</v>
      </c>
      <c r="B1876" t="s">
        <v>132</v>
      </c>
      <c r="C1876" t="s">
        <v>130</v>
      </c>
      <c r="D1876" t="s">
        <v>57</v>
      </c>
      <c r="E1876" t="s">
        <v>53</v>
      </c>
      <c r="F1876" t="s">
        <v>114</v>
      </c>
      <c r="G1876">
        <v>119598</v>
      </c>
      <c r="H1876" s="75">
        <v>45591</v>
      </c>
      <c r="I1876" t="s">
        <v>117</v>
      </c>
      <c r="J1876">
        <v>2.5</v>
      </c>
      <c r="K1876">
        <v>0</v>
      </c>
      <c r="M1876">
        <v>8085.1180000000004</v>
      </c>
      <c r="N1876" t="s">
        <v>46</v>
      </c>
    </row>
    <row r="1877" spans="1:14" x14ac:dyDescent="0.2">
      <c r="A1877" t="s">
        <v>56</v>
      </c>
      <c r="B1877" t="s">
        <v>132</v>
      </c>
      <c r="C1877" t="s">
        <v>130</v>
      </c>
      <c r="D1877" t="s">
        <v>57</v>
      </c>
      <c r="E1877" t="s">
        <v>53</v>
      </c>
      <c r="F1877" t="s">
        <v>114</v>
      </c>
      <c r="G1877">
        <v>119598</v>
      </c>
      <c r="H1877" s="75">
        <v>45621</v>
      </c>
      <c r="I1877" t="s">
        <v>115</v>
      </c>
      <c r="J1877">
        <v>5000</v>
      </c>
      <c r="K1877">
        <v>71.825000000000003</v>
      </c>
      <c r="L1877">
        <v>69.613200000000006</v>
      </c>
      <c r="M1877">
        <v>8156.9440000000004</v>
      </c>
      <c r="N1877" t="s">
        <v>15</v>
      </c>
    </row>
    <row r="1878" spans="1:14" x14ac:dyDescent="0.2">
      <c r="A1878" t="s">
        <v>56</v>
      </c>
      <c r="B1878" t="s">
        <v>132</v>
      </c>
      <c r="C1878" t="s">
        <v>130</v>
      </c>
      <c r="D1878" t="s">
        <v>57</v>
      </c>
      <c r="E1878" t="s">
        <v>53</v>
      </c>
      <c r="F1878" t="s">
        <v>114</v>
      </c>
      <c r="G1878">
        <v>119598</v>
      </c>
      <c r="H1878" s="75">
        <v>45651</v>
      </c>
      <c r="I1878" t="s">
        <v>115</v>
      </c>
      <c r="J1878">
        <v>5000</v>
      </c>
      <c r="K1878">
        <v>71.277000000000001</v>
      </c>
      <c r="L1878">
        <v>70.149100000000004</v>
      </c>
      <c r="M1878">
        <v>8228.2199999999993</v>
      </c>
      <c r="N1878" t="s">
        <v>15</v>
      </c>
    </row>
    <row r="1879" spans="1:14" x14ac:dyDescent="0.2">
      <c r="A1879" t="s">
        <v>56</v>
      </c>
      <c r="B1879" t="s">
        <v>132</v>
      </c>
      <c r="C1879" t="s">
        <v>130</v>
      </c>
      <c r="D1879" t="s">
        <v>57</v>
      </c>
      <c r="E1879" t="s">
        <v>53</v>
      </c>
      <c r="F1879" t="s">
        <v>114</v>
      </c>
      <c r="G1879">
        <v>119598</v>
      </c>
      <c r="H1879" s="75">
        <v>45651</v>
      </c>
      <c r="I1879" t="s">
        <v>116</v>
      </c>
      <c r="J1879">
        <v>2.5</v>
      </c>
      <c r="K1879">
        <v>0</v>
      </c>
      <c r="M1879">
        <v>8228.2199999999993</v>
      </c>
      <c r="N1879" t="s">
        <v>17</v>
      </c>
    </row>
    <row r="1880" spans="1:14" x14ac:dyDescent="0.2">
      <c r="A1880" t="s">
        <v>56</v>
      </c>
      <c r="B1880" t="s">
        <v>132</v>
      </c>
      <c r="C1880" t="s">
        <v>130</v>
      </c>
      <c r="D1880" t="s">
        <v>57</v>
      </c>
      <c r="E1880" t="s">
        <v>53</v>
      </c>
      <c r="F1880" t="s">
        <v>114</v>
      </c>
      <c r="G1880">
        <v>119598</v>
      </c>
      <c r="H1880" s="75">
        <v>45681</v>
      </c>
      <c r="I1880" t="s">
        <v>115</v>
      </c>
      <c r="J1880">
        <v>5000</v>
      </c>
      <c r="K1880">
        <v>69.296000000000006</v>
      </c>
      <c r="L1880">
        <v>72.153700000000001</v>
      </c>
      <c r="M1880">
        <v>8297.5169999999998</v>
      </c>
      <c r="N1880" t="s">
        <v>15</v>
      </c>
    </row>
    <row r="1881" spans="1:14" x14ac:dyDescent="0.2">
      <c r="A1881" t="s">
        <v>56</v>
      </c>
      <c r="B1881" t="s">
        <v>132</v>
      </c>
      <c r="C1881" t="s">
        <v>130</v>
      </c>
      <c r="D1881" t="s">
        <v>57</v>
      </c>
      <c r="E1881" t="s">
        <v>53</v>
      </c>
      <c r="F1881" t="s">
        <v>114</v>
      </c>
      <c r="G1881">
        <v>119598</v>
      </c>
      <c r="H1881" s="75">
        <v>45711</v>
      </c>
      <c r="I1881" t="s">
        <v>115</v>
      </c>
      <c r="J1881">
        <v>5000</v>
      </c>
      <c r="K1881">
        <v>70.003</v>
      </c>
      <c r="L1881">
        <v>71.425399999999996</v>
      </c>
      <c r="M1881">
        <v>8367.52</v>
      </c>
      <c r="N1881" t="s">
        <v>15</v>
      </c>
    </row>
    <row r="1882" spans="1:14" x14ac:dyDescent="0.2">
      <c r="A1882" t="s">
        <v>56</v>
      </c>
      <c r="B1882" t="s">
        <v>132</v>
      </c>
      <c r="C1882" t="s">
        <v>130</v>
      </c>
      <c r="D1882" t="s">
        <v>57</v>
      </c>
      <c r="E1882" t="s">
        <v>53</v>
      </c>
      <c r="F1882" t="s">
        <v>114</v>
      </c>
      <c r="G1882">
        <v>119598</v>
      </c>
      <c r="H1882" s="75">
        <v>45741</v>
      </c>
      <c r="I1882" t="s">
        <v>115</v>
      </c>
      <c r="J1882">
        <v>5000</v>
      </c>
      <c r="K1882">
        <v>68.882000000000005</v>
      </c>
      <c r="L1882">
        <v>72.588200000000001</v>
      </c>
      <c r="M1882">
        <v>8436.402</v>
      </c>
      <c r="N1882" t="s">
        <v>15</v>
      </c>
    </row>
    <row r="1883" spans="1:14" x14ac:dyDescent="0.2">
      <c r="A1883" t="s">
        <v>56</v>
      </c>
      <c r="B1883" t="s">
        <v>132</v>
      </c>
      <c r="C1883" t="s">
        <v>130</v>
      </c>
      <c r="D1883" t="s">
        <v>57</v>
      </c>
      <c r="E1883" t="s">
        <v>53</v>
      </c>
      <c r="F1883" t="s">
        <v>114</v>
      </c>
      <c r="G1883">
        <v>119598</v>
      </c>
      <c r="H1883" s="75">
        <v>45741</v>
      </c>
      <c r="I1883" t="s">
        <v>116</v>
      </c>
      <c r="J1883">
        <v>2.5</v>
      </c>
      <c r="K1883">
        <v>0</v>
      </c>
      <c r="M1883">
        <v>8436.402</v>
      </c>
      <c r="N1883" t="s">
        <v>17</v>
      </c>
    </row>
    <row r="1884" spans="1:14" x14ac:dyDescent="0.2">
      <c r="A1884" t="s">
        <v>56</v>
      </c>
      <c r="B1884" t="s">
        <v>132</v>
      </c>
      <c r="C1884" t="s">
        <v>130</v>
      </c>
      <c r="D1884" t="s">
        <v>57</v>
      </c>
      <c r="E1884" t="s">
        <v>53</v>
      </c>
      <c r="F1884" t="s">
        <v>114</v>
      </c>
      <c r="G1884">
        <v>119598</v>
      </c>
      <c r="H1884" s="75">
        <v>45771</v>
      </c>
      <c r="I1884" t="s">
        <v>115</v>
      </c>
      <c r="J1884">
        <v>5000</v>
      </c>
      <c r="K1884">
        <v>67.37</v>
      </c>
      <c r="L1884">
        <v>74.217200000000005</v>
      </c>
      <c r="M1884">
        <v>8503.7710000000006</v>
      </c>
      <c r="N1884" t="s">
        <v>15</v>
      </c>
    </row>
    <row r="1885" spans="1:14" x14ac:dyDescent="0.2">
      <c r="A1885" t="s">
        <v>56</v>
      </c>
      <c r="B1885" t="s">
        <v>132</v>
      </c>
      <c r="C1885" t="s">
        <v>130</v>
      </c>
      <c r="D1885" t="s">
        <v>57</v>
      </c>
      <c r="E1885" t="s">
        <v>53</v>
      </c>
      <c r="F1885" t="s">
        <v>114</v>
      </c>
      <c r="G1885">
        <v>119598</v>
      </c>
      <c r="H1885" s="75">
        <v>45801</v>
      </c>
      <c r="I1885" t="s">
        <v>115</v>
      </c>
      <c r="J1885">
        <v>5000</v>
      </c>
      <c r="K1885">
        <v>67.650999999999996</v>
      </c>
      <c r="L1885">
        <v>73.909000000000006</v>
      </c>
      <c r="M1885">
        <v>8571.4220000000005</v>
      </c>
      <c r="N1885" t="s">
        <v>15</v>
      </c>
    </row>
    <row r="1886" spans="1:14" x14ac:dyDescent="0.2">
      <c r="A1886" t="s">
        <v>56</v>
      </c>
      <c r="B1886" t="s">
        <v>132</v>
      </c>
      <c r="C1886" t="s">
        <v>130</v>
      </c>
      <c r="D1886" t="s">
        <v>57</v>
      </c>
      <c r="E1886" t="s">
        <v>53</v>
      </c>
      <c r="F1886" t="s">
        <v>114</v>
      </c>
      <c r="G1886">
        <v>119598</v>
      </c>
      <c r="H1886" s="75">
        <v>45831</v>
      </c>
      <c r="I1886" t="s">
        <v>115</v>
      </c>
      <c r="J1886">
        <v>5000</v>
      </c>
      <c r="K1886">
        <v>67.861999999999995</v>
      </c>
      <c r="L1886">
        <v>73.679000000000002</v>
      </c>
      <c r="M1886">
        <v>8639.2839999999997</v>
      </c>
      <c r="N1886" t="s">
        <v>15</v>
      </c>
    </row>
    <row r="1887" spans="1:14" x14ac:dyDescent="0.2">
      <c r="A1887" t="s">
        <v>56</v>
      </c>
      <c r="B1887" t="s">
        <v>132</v>
      </c>
      <c r="C1887" t="s">
        <v>130</v>
      </c>
      <c r="D1887" t="s">
        <v>57</v>
      </c>
      <c r="E1887" t="s">
        <v>53</v>
      </c>
      <c r="F1887" t="s">
        <v>114</v>
      </c>
      <c r="G1887">
        <v>119598</v>
      </c>
      <c r="H1887" s="75">
        <v>45861</v>
      </c>
      <c r="I1887" t="s">
        <v>115</v>
      </c>
      <c r="J1887">
        <v>5000</v>
      </c>
      <c r="K1887">
        <v>67.564999999999998</v>
      </c>
      <c r="L1887">
        <v>74.003100000000003</v>
      </c>
      <c r="M1887">
        <v>8706.8490000000002</v>
      </c>
      <c r="N1887" t="s">
        <v>15</v>
      </c>
    </row>
    <row r="1888" spans="1:14" x14ac:dyDescent="0.2">
      <c r="A1888" t="s">
        <v>56</v>
      </c>
      <c r="B1888" t="s">
        <v>132</v>
      </c>
      <c r="C1888" t="s">
        <v>130</v>
      </c>
      <c r="D1888" t="s">
        <v>57</v>
      </c>
      <c r="E1888" t="s">
        <v>53</v>
      </c>
      <c r="F1888" t="s">
        <v>114</v>
      </c>
      <c r="G1888">
        <v>119598</v>
      </c>
      <c r="H1888" s="75">
        <v>45861</v>
      </c>
      <c r="I1888" t="s">
        <v>117</v>
      </c>
      <c r="J1888">
        <v>2.5</v>
      </c>
      <c r="K1888">
        <v>0</v>
      </c>
      <c r="M1888">
        <v>8706.8490000000002</v>
      </c>
      <c r="N1888" t="s">
        <v>46</v>
      </c>
    </row>
    <row r="1889" spans="1:14" x14ac:dyDescent="0.2">
      <c r="A1889" t="s">
        <v>56</v>
      </c>
      <c r="B1889" t="s">
        <v>132</v>
      </c>
      <c r="C1889" t="s">
        <v>130</v>
      </c>
      <c r="D1889" t="s">
        <v>57</v>
      </c>
      <c r="E1889" t="s">
        <v>53</v>
      </c>
      <c r="F1889" t="s">
        <v>114</v>
      </c>
      <c r="G1889">
        <v>119598</v>
      </c>
      <c r="H1889" s="75">
        <v>45891</v>
      </c>
      <c r="I1889" t="s">
        <v>115</v>
      </c>
      <c r="J1889">
        <v>5000</v>
      </c>
      <c r="K1889">
        <v>66.009</v>
      </c>
      <c r="L1889">
        <v>75.747600000000006</v>
      </c>
      <c r="M1889">
        <v>8772.8580000000002</v>
      </c>
      <c r="N1889" t="s">
        <v>15</v>
      </c>
    </row>
    <row r="1890" spans="1:14" x14ac:dyDescent="0.2">
      <c r="A1890" t="s">
        <v>56</v>
      </c>
      <c r="B1890" t="s">
        <v>132</v>
      </c>
      <c r="C1890" t="s">
        <v>130</v>
      </c>
      <c r="D1890" t="s">
        <v>57</v>
      </c>
      <c r="E1890" t="s">
        <v>53</v>
      </c>
      <c r="F1890" t="s">
        <v>114</v>
      </c>
      <c r="G1890">
        <v>119598</v>
      </c>
      <c r="H1890" s="75">
        <v>45891</v>
      </c>
      <c r="I1890" t="s">
        <v>117</v>
      </c>
      <c r="J1890">
        <v>2.5</v>
      </c>
      <c r="K1890">
        <v>0</v>
      </c>
      <c r="M1890">
        <v>8772.8580000000002</v>
      </c>
      <c r="N1890" t="s">
        <v>46</v>
      </c>
    </row>
    <row r="1891" spans="1:14" x14ac:dyDescent="0.2">
      <c r="A1891" t="s">
        <v>56</v>
      </c>
      <c r="B1891" t="s">
        <v>132</v>
      </c>
      <c r="C1891" t="s">
        <v>130</v>
      </c>
      <c r="D1891" t="s">
        <v>57</v>
      </c>
      <c r="E1891" t="s">
        <v>53</v>
      </c>
      <c r="F1891" t="s">
        <v>114</v>
      </c>
      <c r="G1891">
        <v>119598</v>
      </c>
      <c r="H1891" s="75">
        <v>45921</v>
      </c>
      <c r="I1891" t="s">
        <v>115</v>
      </c>
      <c r="J1891">
        <v>5000</v>
      </c>
      <c r="K1891">
        <v>65.275000000000006</v>
      </c>
      <c r="L1891">
        <v>76.599599999999995</v>
      </c>
      <c r="M1891">
        <v>8838.1319999999996</v>
      </c>
      <c r="N1891" t="s">
        <v>15</v>
      </c>
    </row>
    <row r="1892" spans="1:14" x14ac:dyDescent="0.2">
      <c r="A1892" t="s">
        <v>56</v>
      </c>
      <c r="B1892" t="s">
        <v>132</v>
      </c>
      <c r="C1892" t="s">
        <v>130</v>
      </c>
      <c r="D1892" t="s">
        <v>57</v>
      </c>
      <c r="E1892" t="s">
        <v>53</v>
      </c>
      <c r="F1892" t="s">
        <v>114</v>
      </c>
      <c r="G1892">
        <v>119598</v>
      </c>
      <c r="H1892" s="75">
        <v>45921</v>
      </c>
      <c r="I1892" t="s">
        <v>116</v>
      </c>
      <c r="J1892">
        <v>2.5</v>
      </c>
      <c r="K1892">
        <v>0</v>
      </c>
      <c r="M1892">
        <v>8838.1319999999996</v>
      </c>
      <c r="N1892" t="s">
        <v>17</v>
      </c>
    </row>
    <row r="1893" spans="1:14" x14ac:dyDescent="0.2">
      <c r="A1893" t="s">
        <v>56</v>
      </c>
      <c r="B1893" t="s">
        <v>132</v>
      </c>
      <c r="C1893" t="s">
        <v>130</v>
      </c>
      <c r="D1893" t="s">
        <v>57</v>
      </c>
      <c r="E1893" t="s">
        <v>53</v>
      </c>
      <c r="F1893" t="s">
        <v>114</v>
      </c>
      <c r="G1893">
        <v>119598</v>
      </c>
      <c r="H1893" s="75">
        <v>45951</v>
      </c>
      <c r="I1893" t="s">
        <v>115</v>
      </c>
      <c r="J1893">
        <v>5000</v>
      </c>
      <c r="K1893">
        <v>65.878</v>
      </c>
      <c r="L1893">
        <v>75.898099999999999</v>
      </c>
      <c r="M1893">
        <v>8904.01</v>
      </c>
      <c r="N1893" t="s">
        <v>15</v>
      </c>
    </row>
    <row r="1894" spans="1:14" x14ac:dyDescent="0.2">
      <c r="A1894" t="s">
        <v>56</v>
      </c>
      <c r="B1894" t="s">
        <v>132</v>
      </c>
      <c r="C1894" t="s">
        <v>130</v>
      </c>
      <c r="D1894" t="s">
        <v>57</v>
      </c>
      <c r="E1894" t="s">
        <v>53</v>
      </c>
      <c r="F1894" t="s">
        <v>114</v>
      </c>
      <c r="G1894">
        <v>119598</v>
      </c>
      <c r="H1894" s="75">
        <v>45981</v>
      </c>
      <c r="I1894" t="s">
        <v>115</v>
      </c>
      <c r="J1894">
        <v>5000</v>
      </c>
      <c r="K1894">
        <v>66.239999999999995</v>
      </c>
      <c r="L1894">
        <v>75.483599999999996</v>
      </c>
      <c r="M1894">
        <v>8970.2489999999998</v>
      </c>
      <c r="N1894" t="s">
        <v>15</v>
      </c>
    </row>
    <row r="1895" spans="1:14" x14ac:dyDescent="0.2">
      <c r="A1895" t="s">
        <v>56</v>
      </c>
      <c r="B1895" t="s">
        <v>132</v>
      </c>
      <c r="C1895" t="s">
        <v>130</v>
      </c>
      <c r="D1895" t="s">
        <v>57</v>
      </c>
      <c r="E1895" t="s">
        <v>53</v>
      </c>
      <c r="F1895" t="s">
        <v>114</v>
      </c>
      <c r="G1895">
        <v>119598</v>
      </c>
      <c r="H1895" s="75">
        <v>45981</v>
      </c>
      <c r="I1895" t="s">
        <v>117</v>
      </c>
      <c r="J1895">
        <v>2.5</v>
      </c>
      <c r="K1895">
        <v>0</v>
      </c>
      <c r="M1895">
        <v>8970.2489999999998</v>
      </c>
      <c r="N1895" t="s">
        <v>46</v>
      </c>
    </row>
    <row r="1896" spans="1:14" x14ac:dyDescent="0.2">
      <c r="A1896" t="s">
        <v>56</v>
      </c>
      <c r="B1896" t="s">
        <v>132</v>
      </c>
      <c r="C1896" t="s">
        <v>130</v>
      </c>
      <c r="D1896" t="s">
        <v>57</v>
      </c>
      <c r="E1896" t="s">
        <v>53</v>
      </c>
      <c r="F1896" t="s">
        <v>114</v>
      </c>
      <c r="G1896">
        <v>119598</v>
      </c>
      <c r="H1896" s="75">
        <v>46011</v>
      </c>
      <c r="I1896" t="s">
        <v>115</v>
      </c>
      <c r="J1896">
        <v>5000</v>
      </c>
      <c r="K1896">
        <v>67.290000000000006</v>
      </c>
      <c r="L1896">
        <v>74.305099999999996</v>
      </c>
      <c r="M1896">
        <v>9037.5400000000009</v>
      </c>
      <c r="N1896" t="s">
        <v>15</v>
      </c>
    </row>
    <row r="1897" spans="1:14" x14ac:dyDescent="0.2">
      <c r="A1897" t="s">
        <v>56</v>
      </c>
      <c r="B1897" t="s">
        <v>132</v>
      </c>
      <c r="C1897" t="s">
        <v>130</v>
      </c>
      <c r="D1897" t="s">
        <v>57</v>
      </c>
      <c r="E1897" t="s">
        <v>53</v>
      </c>
      <c r="F1897" t="s">
        <v>114</v>
      </c>
      <c r="G1897">
        <v>119598</v>
      </c>
      <c r="H1897" s="75">
        <v>46011</v>
      </c>
      <c r="I1897" t="s">
        <v>25</v>
      </c>
      <c r="J1897">
        <v>-134307.13</v>
      </c>
      <c r="K1897">
        <v>-1807.508</v>
      </c>
      <c r="L1897">
        <v>74.305099999999996</v>
      </c>
      <c r="M1897">
        <v>7230.0320000000002</v>
      </c>
      <c r="N1897" t="s">
        <v>16</v>
      </c>
    </row>
    <row r="1898" spans="1:14" x14ac:dyDescent="0.2">
      <c r="A1898" t="s">
        <v>56</v>
      </c>
      <c r="B1898" t="s">
        <v>132</v>
      </c>
      <c r="C1898" t="s">
        <v>130</v>
      </c>
      <c r="D1898" t="s">
        <v>57</v>
      </c>
      <c r="E1898" t="s">
        <v>53</v>
      </c>
      <c r="F1898" t="s">
        <v>114</v>
      </c>
      <c r="G1898">
        <v>119598</v>
      </c>
      <c r="H1898" s="75">
        <v>46041</v>
      </c>
      <c r="I1898" t="s">
        <v>115</v>
      </c>
      <c r="J1898">
        <v>5000</v>
      </c>
      <c r="K1898">
        <v>65.863</v>
      </c>
      <c r="L1898">
        <v>75.915300000000002</v>
      </c>
      <c r="M1898">
        <v>7295.8950000000004</v>
      </c>
      <c r="N1898" t="s">
        <v>15</v>
      </c>
    </row>
    <row r="1899" spans="1:14" x14ac:dyDescent="0.2">
      <c r="A1899" t="s">
        <v>56</v>
      </c>
      <c r="B1899" t="s">
        <v>132</v>
      </c>
      <c r="C1899" t="s">
        <v>130</v>
      </c>
      <c r="D1899" t="s">
        <v>57</v>
      </c>
      <c r="E1899" t="s">
        <v>53</v>
      </c>
      <c r="F1899" t="s">
        <v>114</v>
      </c>
      <c r="G1899">
        <v>119598</v>
      </c>
      <c r="H1899" s="75">
        <v>46071</v>
      </c>
      <c r="I1899" t="s">
        <v>115</v>
      </c>
      <c r="J1899">
        <v>5000</v>
      </c>
      <c r="K1899">
        <v>65.796999999999997</v>
      </c>
      <c r="L1899">
        <v>75.991799999999998</v>
      </c>
      <c r="M1899">
        <v>7361.6909999999998</v>
      </c>
      <c r="N1899" t="s">
        <v>15</v>
      </c>
    </row>
    <row r="1900" spans="1:14" x14ac:dyDescent="0.2">
      <c r="A1900" t="s">
        <v>56</v>
      </c>
      <c r="B1900" t="s">
        <v>132</v>
      </c>
      <c r="C1900" t="s">
        <v>130</v>
      </c>
      <c r="D1900" t="s">
        <v>57</v>
      </c>
      <c r="E1900" t="s">
        <v>53</v>
      </c>
      <c r="F1900" t="s">
        <v>114</v>
      </c>
      <c r="G1900">
        <v>119598</v>
      </c>
      <c r="H1900" s="75">
        <v>46101</v>
      </c>
      <c r="I1900" t="s">
        <v>115</v>
      </c>
      <c r="J1900">
        <v>5000</v>
      </c>
      <c r="K1900">
        <v>64.822000000000003</v>
      </c>
      <c r="L1900">
        <v>77.134</v>
      </c>
      <c r="M1900">
        <v>7426.5129999999999</v>
      </c>
      <c r="N1900" t="s">
        <v>15</v>
      </c>
    </row>
    <row r="1901" spans="1:14" x14ac:dyDescent="0.2">
      <c r="A1901" t="s">
        <v>56</v>
      </c>
      <c r="B1901" t="s">
        <v>132</v>
      </c>
      <c r="C1901" t="s">
        <v>130</v>
      </c>
      <c r="D1901" t="s">
        <v>57</v>
      </c>
      <c r="E1901" t="s">
        <v>53</v>
      </c>
      <c r="F1901" t="s">
        <v>114</v>
      </c>
      <c r="G1901">
        <v>119598</v>
      </c>
      <c r="H1901" s="75">
        <v>46131</v>
      </c>
      <c r="I1901" t="s">
        <v>115</v>
      </c>
      <c r="J1901">
        <v>5000</v>
      </c>
      <c r="K1901">
        <v>64.260000000000005</v>
      </c>
      <c r="L1901">
        <v>77.8095</v>
      </c>
      <c r="M1901">
        <v>7490.7730000000001</v>
      </c>
      <c r="N1901" t="s">
        <v>15</v>
      </c>
    </row>
    <row r="1902" spans="1:14" x14ac:dyDescent="0.2">
      <c r="A1902" t="s">
        <v>56</v>
      </c>
      <c r="B1902" t="s">
        <v>132</v>
      </c>
      <c r="C1902" t="s">
        <v>130</v>
      </c>
      <c r="D1902" t="s">
        <v>57</v>
      </c>
      <c r="E1902" t="s">
        <v>53</v>
      </c>
      <c r="F1902" t="s">
        <v>114</v>
      </c>
      <c r="G1902">
        <v>119598</v>
      </c>
      <c r="H1902" s="75">
        <v>46161</v>
      </c>
      <c r="I1902" t="s">
        <v>115</v>
      </c>
      <c r="J1902">
        <v>5000</v>
      </c>
      <c r="K1902">
        <v>65.084999999999994</v>
      </c>
      <c r="L1902">
        <v>76.822900000000004</v>
      </c>
      <c r="M1902">
        <v>7555.8580000000002</v>
      </c>
      <c r="N1902" t="s">
        <v>15</v>
      </c>
    </row>
    <row r="1903" spans="1:14" x14ac:dyDescent="0.2">
      <c r="A1903" t="s">
        <v>56</v>
      </c>
      <c r="B1903" t="s">
        <v>132</v>
      </c>
      <c r="C1903" t="s">
        <v>130</v>
      </c>
      <c r="D1903" t="s">
        <v>57</v>
      </c>
      <c r="E1903" t="s">
        <v>53</v>
      </c>
      <c r="F1903" t="s">
        <v>114</v>
      </c>
      <c r="G1903">
        <v>119598</v>
      </c>
      <c r="H1903" s="75">
        <v>46191</v>
      </c>
      <c r="I1903" t="s">
        <v>115</v>
      </c>
      <c r="J1903">
        <v>5000</v>
      </c>
      <c r="K1903">
        <v>63.825000000000003</v>
      </c>
      <c r="L1903">
        <v>78.338700000000003</v>
      </c>
      <c r="M1903">
        <v>7619.683</v>
      </c>
      <c r="N1903" t="s">
        <v>15</v>
      </c>
    </row>
    <row r="1904" spans="1:14" x14ac:dyDescent="0.2">
      <c r="A1904" t="s">
        <v>23</v>
      </c>
      <c r="B1904" t="s">
        <v>133</v>
      </c>
      <c r="C1904" t="s">
        <v>130</v>
      </c>
      <c r="D1904" t="s">
        <v>124</v>
      </c>
      <c r="E1904" t="s">
        <v>53</v>
      </c>
      <c r="F1904" t="s">
        <v>114</v>
      </c>
      <c r="G1904">
        <v>120664</v>
      </c>
      <c r="H1904" s="75">
        <v>40210</v>
      </c>
      <c r="I1904" t="s">
        <v>115</v>
      </c>
      <c r="J1904">
        <v>5000</v>
      </c>
      <c r="K1904">
        <v>249.905</v>
      </c>
      <c r="L1904">
        <v>20.0076</v>
      </c>
      <c r="M1904">
        <v>249.905</v>
      </c>
      <c r="N1904" t="s">
        <v>15</v>
      </c>
    </row>
    <row r="1905" spans="1:14" x14ac:dyDescent="0.2">
      <c r="A1905" t="s">
        <v>23</v>
      </c>
      <c r="B1905" t="s">
        <v>133</v>
      </c>
      <c r="C1905" t="s">
        <v>130</v>
      </c>
      <c r="D1905" t="s">
        <v>124</v>
      </c>
      <c r="E1905" t="s">
        <v>53</v>
      </c>
      <c r="F1905" t="s">
        <v>114</v>
      </c>
      <c r="G1905">
        <v>120664</v>
      </c>
      <c r="H1905" s="75">
        <v>40210</v>
      </c>
      <c r="I1905" t="s">
        <v>116</v>
      </c>
      <c r="J1905">
        <v>2.5</v>
      </c>
      <c r="K1905">
        <v>0</v>
      </c>
      <c r="M1905">
        <v>249.905</v>
      </c>
      <c r="N1905" t="s">
        <v>17</v>
      </c>
    </row>
    <row r="1906" spans="1:14" x14ac:dyDescent="0.2">
      <c r="A1906" t="s">
        <v>23</v>
      </c>
      <c r="B1906" t="s">
        <v>133</v>
      </c>
      <c r="C1906" t="s">
        <v>130</v>
      </c>
      <c r="D1906" t="s">
        <v>124</v>
      </c>
      <c r="E1906" t="s">
        <v>53</v>
      </c>
      <c r="F1906" t="s">
        <v>114</v>
      </c>
      <c r="G1906">
        <v>120664</v>
      </c>
      <c r="H1906" s="75">
        <v>40240</v>
      </c>
      <c r="I1906" t="s">
        <v>115</v>
      </c>
      <c r="J1906">
        <v>5000</v>
      </c>
      <c r="K1906">
        <v>247.97399999999999</v>
      </c>
      <c r="L1906">
        <v>20.163399999999999</v>
      </c>
      <c r="M1906">
        <v>497.87900000000002</v>
      </c>
      <c r="N1906" t="s">
        <v>15</v>
      </c>
    </row>
    <row r="1907" spans="1:14" x14ac:dyDescent="0.2">
      <c r="A1907" t="s">
        <v>23</v>
      </c>
      <c r="B1907" t="s">
        <v>133</v>
      </c>
      <c r="C1907" t="s">
        <v>130</v>
      </c>
      <c r="D1907" t="s">
        <v>124</v>
      </c>
      <c r="E1907" t="s">
        <v>53</v>
      </c>
      <c r="F1907" t="s">
        <v>114</v>
      </c>
      <c r="G1907">
        <v>120664</v>
      </c>
      <c r="H1907" s="75">
        <v>40240</v>
      </c>
      <c r="I1907" t="s">
        <v>117</v>
      </c>
      <c r="J1907">
        <v>2.5</v>
      </c>
      <c r="K1907">
        <v>0</v>
      </c>
      <c r="M1907">
        <v>497.87900000000002</v>
      </c>
      <c r="N1907" t="s">
        <v>46</v>
      </c>
    </row>
    <row r="1908" spans="1:14" x14ac:dyDescent="0.2">
      <c r="A1908" t="s">
        <v>23</v>
      </c>
      <c r="B1908" t="s">
        <v>133</v>
      </c>
      <c r="C1908" t="s">
        <v>130</v>
      </c>
      <c r="D1908" t="s">
        <v>124</v>
      </c>
      <c r="E1908" t="s">
        <v>53</v>
      </c>
      <c r="F1908" t="s">
        <v>114</v>
      </c>
      <c r="G1908">
        <v>120664</v>
      </c>
      <c r="H1908" s="75">
        <v>40270</v>
      </c>
      <c r="I1908" t="s">
        <v>115</v>
      </c>
      <c r="J1908">
        <v>5000</v>
      </c>
      <c r="K1908">
        <v>243.80099999999999</v>
      </c>
      <c r="L1908">
        <v>20.508500000000002</v>
      </c>
      <c r="M1908">
        <v>741.68</v>
      </c>
      <c r="N1908" t="s">
        <v>15</v>
      </c>
    </row>
    <row r="1909" spans="1:14" x14ac:dyDescent="0.2">
      <c r="A1909" t="s">
        <v>23</v>
      </c>
      <c r="B1909" t="s">
        <v>133</v>
      </c>
      <c r="C1909" t="s">
        <v>130</v>
      </c>
      <c r="D1909" t="s">
        <v>124</v>
      </c>
      <c r="E1909" t="s">
        <v>53</v>
      </c>
      <c r="F1909" t="s">
        <v>114</v>
      </c>
      <c r="G1909">
        <v>120664</v>
      </c>
      <c r="H1909" s="75">
        <v>40300</v>
      </c>
      <c r="I1909" t="s">
        <v>115</v>
      </c>
      <c r="J1909">
        <v>5000</v>
      </c>
      <c r="K1909">
        <v>240.291</v>
      </c>
      <c r="L1909">
        <v>20.8081</v>
      </c>
      <c r="M1909">
        <v>981.97199999999998</v>
      </c>
      <c r="N1909" t="s">
        <v>15</v>
      </c>
    </row>
    <row r="1910" spans="1:14" x14ac:dyDescent="0.2">
      <c r="A1910" t="s">
        <v>23</v>
      </c>
      <c r="B1910" t="s">
        <v>133</v>
      </c>
      <c r="C1910" t="s">
        <v>130</v>
      </c>
      <c r="D1910" t="s">
        <v>124</v>
      </c>
      <c r="E1910" t="s">
        <v>53</v>
      </c>
      <c r="F1910" t="s">
        <v>114</v>
      </c>
      <c r="G1910">
        <v>120664</v>
      </c>
      <c r="H1910" s="75">
        <v>40300</v>
      </c>
      <c r="I1910" t="s">
        <v>25</v>
      </c>
      <c r="J1910">
        <v>-4086.59</v>
      </c>
      <c r="K1910">
        <v>-196.39400000000001</v>
      </c>
      <c r="L1910">
        <v>20.8081</v>
      </c>
      <c r="M1910">
        <v>785.577</v>
      </c>
      <c r="N1910" t="s">
        <v>16</v>
      </c>
    </row>
    <row r="1911" spans="1:14" x14ac:dyDescent="0.2">
      <c r="A1911" t="s">
        <v>23</v>
      </c>
      <c r="B1911" t="s">
        <v>133</v>
      </c>
      <c r="C1911" t="s">
        <v>130</v>
      </c>
      <c r="D1911" t="s">
        <v>124</v>
      </c>
      <c r="E1911" t="s">
        <v>53</v>
      </c>
      <c r="F1911" t="s">
        <v>114</v>
      </c>
      <c r="G1911">
        <v>120664</v>
      </c>
      <c r="H1911" s="75">
        <v>40330</v>
      </c>
      <c r="I1911" t="s">
        <v>115</v>
      </c>
      <c r="J1911">
        <v>5000</v>
      </c>
      <c r="K1911">
        <v>245.066</v>
      </c>
      <c r="L1911">
        <v>20.402699999999999</v>
      </c>
      <c r="M1911">
        <v>1030.643</v>
      </c>
      <c r="N1911" t="s">
        <v>15</v>
      </c>
    </row>
    <row r="1912" spans="1:14" x14ac:dyDescent="0.2">
      <c r="A1912" t="s">
        <v>23</v>
      </c>
      <c r="B1912" t="s">
        <v>133</v>
      </c>
      <c r="C1912" t="s">
        <v>130</v>
      </c>
      <c r="D1912" t="s">
        <v>124</v>
      </c>
      <c r="E1912" t="s">
        <v>53</v>
      </c>
      <c r="F1912" t="s">
        <v>114</v>
      </c>
      <c r="G1912">
        <v>120664</v>
      </c>
      <c r="H1912" s="75">
        <v>40330</v>
      </c>
      <c r="I1912" t="s">
        <v>25</v>
      </c>
      <c r="J1912">
        <v>-4205.57</v>
      </c>
      <c r="K1912">
        <v>-206.12899999999999</v>
      </c>
      <c r="L1912">
        <v>20.402699999999999</v>
      </c>
      <c r="M1912">
        <v>824.51499999999999</v>
      </c>
      <c r="N1912" t="s">
        <v>16</v>
      </c>
    </row>
    <row r="1913" spans="1:14" x14ac:dyDescent="0.2">
      <c r="A1913" t="s">
        <v>23</v>
      </c>
      <c r="B1913" t="s">
        <v>133</v>
      </c>
      <c r="C1913" t="s">
        <v>130</v>
      </c>
      <c r="D1913" t="s">
        <v>124</v>
      </c>
      <c r="E1913" t="s">
        <v>53</v>
      </c>
      <c r="F1913" t="s">
        <v>114</v>
      </c>
      <c r="G1913">
        <v>120664</v>
      </c>
      <c r="H1913" s="75">
        <v>40360</v>
      </c>
      <c r="I1913" t="s">
        <v>115</v>
      </c>
      <c r="J1913">
        <v>5000</v>
      </c>
      <c r="K1913">
        <v>247.108</v>
      </c>
      <c r="L1913">
        <v>20.234100000000002</v>
      </c>
      <c r="M1913">
        <v>1071.6220000000001</v>
      </c>
      <c r="N1913" t="s">
        <v>15</v>
      </c>
    </row>
    <row r="1914" spans="1:14" x14ac:dyDescent="0.2">
      <c r="A1914" t="s">
        <v>23</v>
      </c>
      <c r="B1914" t="s">
        <v>133</v>
      </c>
      <c r="C1914" t="s">
        <v>130</v>
      </c>
      <c r="D1914" t="s">
        <v>124</v>
      </c>
      <c r="E1914" t="s">
        <v>53</v>
      </c>
      <c r="F1914" t="s">
        <v>114</v>
      </c>
      <c r="G1914">
        <v>120664</v>
      </c>
      <c r="H1914" s="75">
        <v>40390</v>
      </c>
      <c r="I1914" t="s">
        <v>115</v>
      </c>
      <c r="J1914">
        <v>5000</v>
      </c>
      <c r="K1914">
        <v>248.15199999999999</v>
      </c>
      <c r="L1914">
        <v>20.148900000000001</v>
      </c>
      <c r="M1914">
        <v>1319.7739999999999</v>
      </c>
      <c r="N1914" t="s">
        <v>15</v>
      </c>
    </row>
    <row r="1915" spans="1:14" x14ac:dyDescent="0.2">
      <c r="A1915" t="s">
        <v>23</v>
      </c>
      <c r="B1915" t="s">
        <v>133</v>
      </c>
      <c r="C1915" t="s">
        <v>130</v>
      </c>
      <c r="D1915" t="s">
        <v>124</v>
      </c>
      <c r="E1915" t="s">
        <v>53</v>
      </c>
      <c r="F1915" t="s">
        <v>114</v>
      </c>
      <c r="G1915">
        <v>120664</v>
      </c>
      <c r="H1915" s="75">
        <v>40420</v>
      </c>
      <c r="I1915" t="s">
        <v>115</v>
      </c>
      <c r="J1915">
        <v>5000</v>
      </c>
      <c r="K1915">
        <v>243.26499999999999</v>
      </c>
      <c r="L1915">
        <v>20.553699999999999</v>
      </c>
      <c r="M1915">
        <v>1563.04</v>
      </c>
      <c r="N1915" t="s">
        <v>15</v>
      </c>
    </row>
    <row r="1916" spans="1:14" x14ac:dyDescent="0.2">
      <c r="A1916" t="s">
        <v>23</v>
      </c>
      <c r="B1916" t="s">
        <v>133</v>
      </c>
      <c r="C1916" t="s">
        <v>130</v>
      </c>
      <c r="D1916" t="s">
        <v>124</v>
      </c>
      <c r="E1916" t="s">
        <v>53</v>
      </c>
      <c r="F1916" t="s">
        <v>114</v>
      </c>
      <c r="G1916">
        <v>120664</v>
      </c>
      <c r="H1916" s="75">
        <v>40450</v>
      </c>
      <c r="I1916" t="s">
        <v>115</v>
      </c>
      <c r="J1916">
        <v>5000</v>
      </c>
      <c r="K1916">
        <v>239.358</v>
      </c>
      <c r="L1916">
        <v>20.889199999999999</v>
      </c>
      <c r="M1916">
        <v>1802.3979999999999</v>
      </c>
      <c r="N1916" t="s">
        <v>15</v>
      </c>
    </row>
    <row r="1917" spans="1:14" x14ac:dyDescent="0.2">
      <c r="A1917" t="s">
        <v>23</v>
      </c>
      <c r="B1917" t="s">
        <v>133</v>
      </c>
      <c r="C1917" t="s">
        <v>130</v>
      </c>
      <c r="D1917" t="s">
        <v>124</v>
      </c>
      <c r="E1917" t="s">
        <v>53</v>
      </c>
      <c r="F1917" t="s">
        <v>114</v>
      </c>
      <c r="G1917">
        <v>120664</v>
      </c>
      <c r="H1917" s="75">
        <v>40480</v>
      </c>
      <c r="I1917" t="s">
        <v>115</v>
      </c>
      <c r="J1917">
        <v>5000</v>
      </c>
      <c r="K1917">
        <v>243.137</v>
      </c>
      <c r="L1917">
        <v>20.564499999999999</v>
      </c>
      <c r="M1917">
        <v>2045.5350000000001</v>
      </c>
      <c r="N1917" t="s">
        <v>15</v>
      </c>
    </row>
    <row r="1918" spans="1:14" x14ac:dyDescent="0.2">
      <c r="A1918" t="s">
        <v>23</v>
      </c>
      <c r="B1918" t="s">
        <v>133</v>
      </c>
      <c r="C1918" t="s">
        <v>130</v>
      </c>
      <c r="D1918" t="s">
        <v>124</v>
      </c>
      <c r="E1918" t="s">
        <v>53</v>
      </c>
      <c r="F1918" t="s">
        <v>114</v>
      </c>
      <c r="G1918">
        <v>120664</v>
      </c>
      <c r="H1918" s="75">
        <v>40510</v>
      </c>
      <c r="I1918" t="s">
        <v>115</v>
      </c>
      <c r="J1918">
        <v>5000</v>
      </c>
      <c r="K1918">
        <v>245.87</v>
      </c>
      <c r="L1918">
        <v>20.335899999999999</v>
      </c>
      <c r="M1918">
        <v>2291.4059999999999</v>
      </c>
      <c r="N1918" t="s">
        <v>15</v>
      </c>
    </row>
    <row r="1919" spans="1:14" x14ac:dyDescent="0.2">
      <c r="A1919" t="s">
        <v>23</v>
      </c>
      <c r="B1919" t="s">
        <v>133</v>
      </c>
      <c r="C1919" t="s">
        <v>130</v>
      </c>
      <c r="D1919" t="s">
        <v>124</v>
      </c>
      <c r="E1919" t="s">
        <v>53</v>
      </c>
      <c r="F1919" t="s">
        <v>114</v>
      </c>
      <c r="G1919">
        <v>120664</v>
      </c>
      <c r="H1919" s="75">
        <v>40540</v>
      </c>
      <c r="I1919" t="s">
        <v>115</v>
      </c>
      <c r="J1919">
        <v>5000</v>
      </c>
      <c r="K1919">
        <v>240.45</v>
      </c>
      <c r="L1919">
        <v>20.7944</v>
      </c>
      <c r="M1919">
        <v>2531.8560000000002</v>
      </c>
      <c r="N1919" t="s">
        <v>15</v>
      </c>
    </row>
    <row r="1920" spans="1:14" x14ac:dyDescent="0.2">
      <c r="A1920" t="s">
        <v>23</v>
      </c>
      <c r="B1920" t="s">
        <v>133</v>
      </c>
      <c r="C1920" t="s">
        <v>130</v>
      </c>
      <c r="D1920" t="s">
        <v>124</v>
      </c>
      <c r="E1920" t="s">
        <v>53</v>
      </c>
      <c r="F1920" t="s">
        <v>114</v>
      </c>
      <c r="G1920">
        <v>120664</v>
      </c>
      <c r="H1920" s="75">
        <v>40540</v>
      </c>
      <c r="I1920" t="s">
        <v>116</v>
      </c>
      <c r="J1920">
        <v>2.5</v>
      </c>
      <c r="K1920">
        <v>0</v>
      </c>
      <c r="M1920">
        <v>2531.8560000000002</v>
      </c>
      <c r="N1920" t="s">
        <v>17</v>
      </c>
    </row>
    <row r="1921" spans="1:14" x14ac:dyDescent="0.2">
      <c r="A1921" t="s">
        <v>23</v>
      </c>
      <c r="B1921" t="s">
        <v>133</v>
      </c>
      <c r="C1921" t="s">
        <v>130</v>
      </c>
      <c r="D1921" t="s">
        <v>124</v>
      </c>
      <c r="E1921" t="s">
        <v>53</v>
      </c>
      <c r="F1921" t="s">
        <v>114</v>
      </c>
      <c r="G1921">
        <v>120664</v>
      </c>
      <c r="H1921" s="75">
        <v>40570</v>
      </c>
      <c r="I1921" t="s">
        <v>115</v>
      </c>
      <c r="J1921">
        <v>5000</v>
      </c>
      <c r="K1921">
        <v>243.11</v>
      </c>
      <c r="L1921">
        <v>20.566800000000001</v>
      </c>
      <c r="M1921">
        <v>2774.9650000000001</v>
      </c>
      <c r="N1921" t="s">
        <v>15</v>
      </c>
    </row>
    <row r="1922" spans="1:14" x14ac:dyDescent="0.2">
      <c r="A1922" t="s">
        <v>23</v>
      </c>
      <c r="B1922" t="s">
        <v>133</v>
      </c>
      <c r="C1922" t="s">
        <v>130</v>
      </c>
      <c r="D1922" t="s">
        <v>124</v>
      </c>
      <c r="E1922" t="s">
        <v>53</v>
      </c>
      <c r="F1922" t="s">
        <v>114</v>
      </c>
      <c r="G1922">
        <v>120664</v>
      </c>
      <c r="H1922" s="75">
        <v>40570</v>
      </c>
      <c r="I1922" t="s">
        <v>116</v>
      </c>
      <c r="J1922">
        <v>2.5</v>
      </c>
      <c r="K1922">
        <v>0</v>
      </c>
      <c r="M1922">
        <v>2774.9650000000001</v>
      </c>
      <c r="N1922" t="s">
        <v>17</v>
      </c>
    </row>
    <row r="1923" spans="1:14" x14ac:dyDescent="0.2">
      <c r="A1923" t="s">
        <v>23</v>
      </c>
      <c r="B1923" t="s">
        <v>133</v>
      </c>
      <c r="C1923" t="s">
        <v>130</v>
      </c>
      <c r="D1923" t="s">
        <v>124</v>
      </c>
      <c r="E1923" t="s">
        <v>53</v>
      </c>
      <c r="F1923" t="s">
        <v>114</v>
      </c>
      <c r="G1923">
        <v>120664</v>
      </c>
      <c r="H1923" s="75">
        <v>40600</v>
      </c>
      <c r="I1923" t="s">
        <v>115</v>
      </c>
      <c r="J1923">
        <v>5000</v>
      </c>
      <c r="K1923">
        <v>239.55600000000001</v>
      </c>
      <c r="L1923">
        <v>20.872</v>
      </c>
      <c r="M1923">
        <v>3014.5210000000002</v>
      </c>
      <c r="N1923" t="s">
        <v>15</v>
      </c>
    </row>
    <row r="1924" spans="1:14" x14ac:dyDescent="0.2">
      <c r="A1924" t="s">
        <v>23</v>
      </c>
      <c r="B1924" t="s">
        <v>133</v>
      </c>
      <c r="C1924" t="s">
        <v>130</v>
      </c>
      <c r="D1924" t="s">
        <v>124</v>
      </c>
      <c r="E1924" t="s">
        <v>53</v>
      </c>
      <c r="F1924" t="s">
        <v>114</v>
      </c>
      <c r="G1924">
        <v>120664</v>
      </c>
      <c r="H1924" s="75">
        <v>40600</v>
      </c>
      <c r="I1924" t="s">
        <v>116</v>
      </c>
      <c r="J1924">
        <v>2.5</v>
      </c>
      <c r="K1924">
        <v>0</v>
      </c>
      <c r="M1924">
        <v>3014.5210000000002</v>
      </c>
      <c r="N1924" t="s">
        <v>17</v>
      </c>
    </row>
    <row r="1925" spans="1:14" x14ac:dyDescent="0.2">
      <c r="A1925" t="s">
        <v>23</v>
      </c>
      <c r="B1925" t="s">
        <v>133</v>
      </c>
      <c r="C1925" t="s">
        <v>130</v>
      </c>
      <c r="D1925" t="s">
        <v>124</v>
      </c>
      <c r="E1925" t="s">
        <v>53</v>
      </c>
      <c r="F1925" t="s">
        <v>114</v>
      </c>
      <c r="G1925">
        <v>120664</v>
      </c>
      <c r="H1925" s="75">
        <v>40630</v>
      </c>
      <c r="I1925" t="s">
        <v>115</v>
      </c>
      <c r="J1925">
        <v>5000</v>
      </c>
      <c r="K1925">
        <v>240.38399999999999</v>
      </c>
      <c r="L1925">
        <v>20.8001</v>
      </c>
      <c r="M1925">
        <v>3254.9050000000002</v>
      </c>
      <c r="N1925" t="s">
        <v>15</v>
      </c>
    </row>
    <row r="1926" spans="1:14" x14ac:dyDescent="0.2">
      <c r="A1926" t="s">
        <v>23</v>
      </c>
      <c r="B1926" t="s">
        <v>133</v>
      </c>
      <c r="C1926" t="s">
        <v>130</v>
      </c>
      <c r="D1926" t="s">
        <v>124</v>
      </c>
      <c r="E1926" t="s">
        <v>53</v>
      </c>
      <c r="F1926" t="s">
        <v>114</v>
      </c>
      <c r="G1926">
        <v>120664</v>
      </c>
      <c r="H1926" s="75">
        <v>40660</v>
      </c>
      <c r="I1926" t="s">
        <v>115</v>
      </c>
      <c r="J1926">
        <v>5000</v>
      </c>
      <c r="K1926">
        <v>244.89</v>
      </c>
      <c r="L1926">
        <v>20.417300000000001</v>
      </c>
      <c r="M1926">
        <v>3499.7950000000001</v>
      </c>
      <c r="N1926" t="s">
        <v>15</v>
      </c>
    </row>
    <row r="1927" spans="1:14" x14ac:dyDescent="0.2">
      <c r="A1927" t="s">
        <v>23</v>
      </c>
      <c r="B1927" t="s">
        <v>133</v>
      </c>
      <c r="C1927" t="s">
        <v>130</v>
      </c>
      <c r="D1927" t="s">
        <v>124</v>
      </c>
      <c r="E1927" t="s">
        <v>53</v>
      </c>
      <c r="F1927" t="s">
        <v>114</v>
      </c>
      <c r="G1927">
        <v>120664</v>
      </c>
      <c r="H1927" s="75">
        <v>40690</v>
      </c>
      <c r="I1927" t="s">
        <v>115</v>
      </c>
      <c r="J1927">
        <v>5000</v>
      </c>
      <c r="K1927">
        <v>240.13300000000001</v>
      </c>
      <c r="L1927">
        <v>20.8218</v>
      </c>
      <c r="M1927">
        <v>3739.9279999999999</v>
      </c>
      <c r="N1927" t="s">
        <v>15</v>
      </c>
    </row>
    <row r="1928" spans="1:14" x14ac:dyDescent="0.2">
      <c r="A1928" t="s">
        <v>23</v>
      </c>
      <c r="B1928" t="s">
        <v>133</v>
      </c>
      <c r="C1928" t="s">
        <v>130</v>
      </c>
      <c r="D1928" t="s">
        <v>124</v>
      </c>
      <c r="E1928" t="s">
        <v>53</v>
      </c>
      <c r="F1928" t="s">
        <v>114</v>
      </c>
      <c r="G1928">
        <v>120664</v>
      </c>
      <c r="H1928" s="75">
        <v>40720</v>
      </c>
      <c r="I1928" t="s">
        <v>115</v>
      </c>
      <c r="J1928">
        <v>5000</v>
      </c>
      <c r="K1928">
        <v>243.39400000000001</v>
      </c>
      <c r="L1928">
        <v>20.542899999999999</v>
      </c>
      <c r="M1928">
        <v>3983.3220000000001</v>
      </c>
      <c r="N1928" t="s">
        <v>15</v>
      </c>
    </row>
    <row r="1929" spans="1:14" x14ac:dyDescent="0.2">
      <c r="A1929" t="s">
        <v>23</v>
      </c>
      <c r="B1929" t="s">
        <v>133</v>
      </c>
      <c r="C1929" t="s">
        <v>130</v>
      </c>
      <c r="D1929" t="s">
        <v>124</v>
      </c>
      <c r="E1929" t="s">
        <v>53</v>
      </c>
      <c r="F1929" t="s">
        <v>114</v>
      </c>
      <c r="G1929">
        <v>120664</v>
      </c>
      <c r="H1929" s="75">
        <v>40750</v>
      </c>
      <c r="I1929" t="s">
        <v>115</v>
      </c>
      <c r="J1929">
        <v>5000</v>
      </c>
      <c r="K1929">
        <v>240.21799999999999</v>
      </c>
      <c r="L1929">
        <v>20.814399999999999</v>
      </c>
      <c r="M1929">
        <v>4223.54</v>
      </c>
      <c r="N1929" t="s">
        <v>15</v>
      </c>
    </row>
    <row r="1930" spans="1:14" x14ac:dyDescent="0.2">
      <c r="A1930" t="s">
        <v>23</v>
      </c>
      <c r="B1930" t="s">
        <v>133</v>
      </c>
      <c r="C1930" t="s">
        <v>130</v>
      </c>
      <c r="D1930" t="s">
        <v>124</v>
      </c>
      <c r="E1930" t="s">
        <v>53</v>
      </c>
      <c r="F1930" t="s">
        <v>114</v>
      </c>
      <c r="G1930">
        <v>120664</v>
      </c>
      <c r="H1930" s="75">
        <v>40750</v>
      </c>
      <c r="I1930" t="s">
        <v>116</v>
      </c>
      <c r="J1930">
        <v>2.5</v>
      </c>
      <c r="K1930">
        <v>0</v>
      </c>
      <c r="M1930">
        <v>4223.54</v>
      </c>
      <c r="N1930" t="s">
        <v>17</v>
      </c>
    </row>
    <row r="1931" spans="1:14" x14ac:dyDescent="0.2">
      <c r="A1931" t="s">
        <v>23</v>
      </c>
      <c r="B1931" t="s">
        <v>133</v>
      </c>
      <c r="C1931" t="s">
        <v>130</v>
      </c>
      <c r="D1931" t="s">
        <v>124</v>
      </c>
      <c r="E1931" t="s">
        <v>53</v>
      </c>
      <c r="F1931" t="s">
        <v>114</v>
      </c>
      <c r="G1931">
        <v>120664</v>
      </c>
      <c r="H1931" s="75">
        <v>40780</v>
      </c>
      <c r="I1931" t="s">
        <v>115</v>
      </c>
      <c r="J1931">
        <v>5000</v>
      </c>
      <c r="K1931">
        <v>242.179</v>
      </c>
      <c r="L1931">
        <v>20.645900000000001</v>
      </c>
      <c r="M1931">
        <v>4465.7190000000001</v>
      </c>
      <c r="N1931" t="s">
        <v>15</v>
      </c>
    </row>
    <row r="1932" spans="1:14" x14ac:dyDescent="0.2">
      <c r="A1932" t="s">
        <v>23</v>
      </c>
      <c r="B1932" t="s">
        <v>133</v>
      </c>
      <c r="C1932" t="s">
        <v>130</v>
      </c>
      <c r="D1932" t="s">
        <v>124</v>
      </c>
      <c r="E1932" t="s">
        <v>53</v>
      </c>
      <c r="F1932" t="s">
        <v>114</v>
      </c>
      <c r="G1932">
        <v>120664</v>
      </c>
      <c r="H1932" s="75">
        <v>40780</v>
      </c>
      <c r="I1932" t="s">
        <v>117</v>
      </c>
      <c r="J1932">
        <v>2.5</v>
      </c>
      <c r="K1932">
        <v>0</v>
      </c>
      <c r="M1932">
        <v>4465.7190000000001</v>
      </c>
      <c r="N1932" t="s">
        <v>46</v>
      </c>
    </row>
    <row r="1933" spans="1:14" x14ac:dyDescent="0.2">
      <c r="A1933" t="s">
        <v>23</v>
      </c>
      <c r="B1933" t="s">
        <v>133</v>
      </c>
      <c r="C1933" t="s">
        <v>130</v>
      </c>
      <c r="D1933" t="s">
        <v>124</v>
      </c>
      <c r="E1933" t="s">
        <v>53</v>
      </c>
      <c r="F1933" t="s">
        <v>114</v>
      </c>
      <c r="G1933">
        <v>120664</v>
      </c>
      <c r="H1933" s="75">
        <v>40810</v>
      </c>
      <c r="I1933" t="s">
        <v>115</v>
      </c>
      <c r="J1933">
        <v>5000</v>
      </c>
      <c r="K1933">
        <v>236.262</v>
      </c>
      <c r="L1933">
        <v>21.1629</v>
      </c>
      <c r="M1933">
        <v>4701.9809999999998</v>
      </c>
      <c r="N1933" t="s">
        <v>15</v>
      </c>
    </row>
    <row r="1934" spans="1:14" x14ac:dyDescent="0.2">
      <c r="A1934" t="s">
        <v>23</v>
      </c>
      <c r="B1934" t="s">
        <v>133</v>
      </c>
      <c r="C1934" t="s">
        <v>130</v>
      </c>
      <c r="D1934" t="s">
        <v>124</v>
      </c>
      <c r="E1934" t="s">
        <v>53</v>
      </c>
      <c r="F1934" t="s">
        <v>114</v>
      </c>
      <c r="G1934">
        <v>120664</v>
      </c>
      <c r="H1934" s="75">
        <v>40840</v>
      </c>
      <c r="I1934" t="s">
        <v>115</v>
      </c>
      <c r="J1934">
        <v>5000</v>
      </c>
      <c r="K1934">
        <v>237.542</v>
      </c>
      <c r="L1934">
        <v>21.0489</v>
      </c>
      <c r="M1934">
        <v>4939.5230000000001</v>
      </c>
      <c r="N1934" t="s">
        <v>15</v>
      </c>
    </row>
    <row r="1935" spans="1:14" x14ac:dyDescent="0.2">
      <c r="A1935" t="s">
        <v>23</v>
      </c>
      <c r="B1935" t="s">
        <v>133</v>
      </c>
      <c r="C1935" t="s">
        <v>130</v>
      </c>
      <c r="D1935" t="s">
        <v>124</v>
      </c>
      <c r="E1935" t="s">
        <v>53</v>
      </c>
      <c r="F1935" t="s">
        <v>114</v>
      </c>
      <c r="G1935">
        <v>120664</v>
      </c>
      <c r="H1935" s="75">
        <v>40870</v>
      </c>
      <c r="I1935" t="s">
        <v>115</v>
      </c>
      <c r="J1935">
        <v>5000</v>
      </c>
      <c r="K1935">
        <v>234.03299999999999</v>
      </c>
      <c r="L1935">
        <v>21.3645</v>
      </c>
      <c r="M1935">
        <v>5173.5559999999996</v>
      </c>
      <c r="N1935" t="s">
        <v>15</v>
      </c>
    </row>
    <row r="1936" spans="1:14" x14ac:dyDescent="0.2">
      <c r="A1936" t="s">
        <v>23</v>
      </c>
      <c r="B1936" t="s">
        <v>133</v>
      </c>
      <c r="C1936" t="s">
        <v>130</v>
      </c>
      <c r="D1936" t="s">
        <v>124</v>
      </c>
      <c r="E1936" t="s">
        <v>53</v>
      </c>
      <c r="F1936" t="s">
        <v>114</v>
      </c>
      <c r="G1936">
        <v>120664</v>
      </c>
      <c r="H1936" s="75">
        <v>40900</v>
      </c>
      <c r="I1936" t="s">
        <v>115</v>
      </c>
      <c r="J1936">
        <v>5000</v>
      </c>
      <c r="K1936">
        <v>234.60300000000001</v>
      </c>
      <c r="L1936">
        <v>21.3126</v>
      </c>
      <c r="M1936">
        <v>5408.1589999999997</v>
      </c>
      <c r="N1936" t="s">
        <v>15</v>
      </c>
    </row>
    <row r="1937" spans="1:14" x14ac:dyDescent="0.2">
      <c r="A1937" t="s">
        <v>23</v>
      </c>
      <c r="B1937" t="s">
        <v>133</v>
      </c>
      <c r="C1937" t="s">
        <v>130</v>
      </c>
      <c r="D1937" t="s">
        <v>124</v>
      </c>
      <c r="E1937" t="s">
        <v>53</v>
      </c>
      <c r="F1937" t="s">
        <v>114</v>
      </c>
      <c r="G1937">
        <v>120664</v>
      </c>
      <c r="H1937" s="75">
        <v>40930</v>
      </c>
      <c r="I1937" t="s">
        <v>115</v>
      </c>
      <c r="J1937">
        <v>5000</v>
      </c>
      <c r="K1937">
        <v>233.625</v>
      </c>
      <c r="L1937">
        <v>21.401900000000001</v>
      </c>
      <c r="M1937">
        <v>5641.7830000000004</v>
      </c>
      <c r="N1937" t="s">
        <v>15</v>
      </c>
    </row>
    <row r="1938" spans="1:14" x14ac:dyDescent="0.2">
      <c r="A1938" t="s">
        <v>23</v>
      </c>
      <c r="B1938" t="s">
        <v>133</v>
      </c>
      <c r="C1938" t="s">
        <v>130</v>
      </c>
      <c r="D1938" t="s">
        <v>124</v>
      </c>
      <c r="E1938" t="s">
        <v>53</v>
      </c>
      <c r="F1938" t="s">
        <v>114</v>
      </c>
      <c r="G1938">
        <v>120664</v>
      </c>
      <c r="H1938" s="75">
        <v>40960</v>
      </c>
      <c r="I1938" t="s">
        <v>115</v>
      </c>
      <c r="J1938">
        <v>5000</v>
      </c>
      <c r="K1938">
        <v>234.39400000000001</v>
      </c>
      <c r="L1938">
        <v>21.331600000000002</v>
      </c>
      <c r="M1938">
        <v>5876.1779999999999</v>
      </c>
      <c r="N1938" t="s">
        <v>15</v>
      </c>
    </row>
    <row r="1939" spans="1:14" x14ac:dyDescent="0.2">
      <c r="A1939" t="s">
        <v>23</v>
      </c>
      <c r="B1939" t="s">
        <v>133</v>
      </c>
      <c r="C1939" t="s">
        <v>130</v>
      </c>
      <c r="D1939" t="s">
        <v>124</v>
      </c>
      <c r="E1939" t="s">
        <v>53</v>
      </c>
      <c r="F1939" t="s">
        <v>114</v>
      </c>
      <c r="G1939">
        <v>120664</v>
      </c>
      <c r="H1939" s="75">
        <v>40990</v>
      </c>
      <c r="I1939" t="s">
        <v>115</v>
      </c>
      <c r="J1939">
        <v>5000</v>
      </c>
      <c r="K1939">
        <v>235.45699999999999</v>
      </c>
      <c r="L1939">
        <v>21.235299999999999</v>
      </c>
      <c r="M1939">
        <v>6111.6350000000002</v>
      </c>
      <c r="N1939" t="s">
        <v>15</v>
      </c>
    </row>
    <row r="1940" spans="1:14" x14ac:dyDescent="0.2">
      <c r="A1940" t="s">
        <v>23</v>
      </c>
      <c r="B1940" t="s">
        <v>133</v>
      </c>
      <c r="C1940" t="s">
        <v>130</v>
      </c>
      <c r="D1940" t="s">
        <v>124</v>
      </c>
      <c r="E1940" t="s">
        <v>53</v>
      </c>
      <c r="F1940" t="s">
        <v>114</v>
      </c>
      <c r="G1940">
        <v>120664</v>
      </c>
      <c r="H1940" s="75">
        <v>41020</v>
      </c>
      <c r="I1940" t="s">
        <v>115</v>
      </c>
      <c r="J1940">
        <v>5000</v>
      </c>
      <c r="K1940">
        <v>230.80699999999999</v>
      </c>
      <c r="L1940">
        <v>21.6631</v>
      </c>
      <c r="M1940">
        <v>6342.442</v>
      </c>
      <c r="N1940" t="s">
        <v>15</v>
      </c>
    </row>
    <row r="1941" spans="1:14" x14ac:dyDescent="0.2">
      <c r="A1941" t="s">
        <v>23</v>
      </c>
      <c r="B1941" t="s">
        <v>133</v>
      </c>
      <c r="C1941" t="s">
        <v>130</v>
      </c>
      <c r="D1941" t="s">
        <v>124</v>
      </c>
      <c r="E1941" t="s">
        <v>53</v>
      </c>
      <c r="F1941" t="s">
        <v>114</v>
      </c>
      <c r="G1941">
        <v>120664</v>
      </c>
      <c r="H1941" s="75">
        <v>41050</v>
      </c>
      <c r="I1941" t="s">
        <v>115</v>
      </c>
      <c r="J1941">
        <v>5000</v>
      </c>
      <c r="K1941">
        <v>234.91499999999999</v>
      </c>
      <c r="L1941">
        <v>21.284300000000002</v>
      </c>
      <c r="M1941">
        <v>6577.357</v>
      </c>
      <c r="N1941" t="s">
        <v>15</v>
      </c>
    </row>
    <row r="1942" spans="1:14" x14ac:dyDescent="0.2">
      <c r="A1942" t="s">
        <v>23</v>
      </c>
      <c r="B1942" t="s">
        <v>133</v>
      </c>
      <c r="C1942" t="s">
        <v>130</v>
      </c>
      <c r="D1942" t="s">
        <v>124</v>
      </c>
      <c r="E1942" t="s">
        <v>53</v>
      </c>
      <c r="F1942" t="s">
        <v>114</v>
      </c>
      <c r="G1942">
        <v>120664</v>
      </c>
      <c r="H1942" s="75">
        <v>41080</v>
      </c>
      <c r="I1942" t="s">
        <v>115</v>
      </c>
      <c r="J1942">
        <v>5000</v>
      </c>
      <c r="K1942">
        <v>239.51400000000001</v>
      </c>
      <c r="L1942">
        <v>20.875599999999999</v>
      </c>
      <c r="M1942">
        <v>6816.8710000000001</v>
      </c>
      <c r="N1942" t="s">
        <v>15</v>
      </c>
    </row>
    <row r="1943" spans="1:14" x14ac:dyDescent="0.2">
      <c r="A1943" t="s">
        <v>23</v>
      </c>
      <c r="B1943" t="s">
        <v>133</v>
      </c>
      <c r="C1943" t="s">
        <v>130</v>
      </c>
      <c r="D1943" t="s">
        <v>124</v>
      </c>
      <c r="E1943" t="s">
        <v>53</v>
      </c>
      <c r="F1943" t="s">
        <v>114</v>
      </c>
      <c r="G1943">
        <v>120664</v>
      </c>
      <c r="H1943" s="75">
        <v>41110</v>
      </c>
      <c r="I1943" t="s">
        <v>115</v>
      </c>
      <c r="J1943">
        <v>5000</v>
      </c>
      <c r="K1943">
        <v>232.69200000000001</v>
      </c>
      <c r="L1943">
        <v>21.4876</v>
      </c>
      <c r="M1943">
        <v>7049.5630000000001</v>
      </c>
      <c r="N1943" t="s">
        <v>15</v>
      </c>
    </row>
    <row r="1944" spans="1:14" x14ac:dyDescent="0.2">
      <c r="A1944" t="s">
        <v>23</v>
      </c>
      <c r="B1944" t="s">
        <v>133</v>
      </c>
      <c r="C1944" t="s">
        <v>130</v>
      </c>
      <c r="D1944" t="s">
        <v>124</v>
      </c>
      <c r="E1944" t="s">
        <v>53</v>
      </c>
      <c r="F1944" t="s">
        <v>114</v>
      </c>
      <c r="G1944">
        <v>120664</v>
      </c>
      <c r="H1944" s="75">
        <v>41140</v>
      </c>
      <c r="I1944" t="s">
        <v>115</v>
      </c>
      <c r="J1944">
        <v>5000</v>
      </c>
      <c r="K1944">
        <v>229.44399999999999</v>
      </c>
      <c r="L1944">
        <v>21.791799999999999</v>
      </c>
      <c r="M1944">
        <v>7279.0069999999996</v>
      </c>
      <c r="N1944" t="s">
        <v>15</v>
      </c>
    </row>
    <row r="1945" spans="1:14" x14ac:dyDescent="0.2">
      <c r="A1945" t="s">
        <v>23</v>
      </c>
      <c r="B1945" t="s">
        <v>133</v>
      </c>
      <c r="C1945" t="s">
        <v>130</v>
      </c>
      <c r="D1945" t="s">
        <v>124</v>
      </c>
      <c r="E1945" t="s">
        <v>53</v>
      </c>
      <c r="F1945" t="s">
        <v>114</v>
      </c>
      <c r="G1945">
        <v>120664</v>
      </c>
      <c r="H1945" s="75">
        <v>41140</v>
      </c>
      <c r="I1945" t="s">
        <v>116</v>
      </c>
      <c r="J1945">
        <v>2.5</v>
      </c>
      <c r="K1945">
        <v>0</v>
      </c>
      <c r="M1945">
        <v>7279.0069999999996</v>
      </c>
      <c r="N1945" t="s">
        <v>17</v>
      </c>
    </row>
    <row r="1946" spans="1:14" x14ac:dyDescent="0.2">
      <c r="A1946" t="s">
        <v>23</v>
      </c>
      <c r="B1946" t="s">
        <v>133</v>
      </c>
      <c r="C1946" t="s">
        <v>130</v>
      </c>
      <c r="D1946" t="s">
        <v>124</v>
      </c>
      <c r="E1946" t="s">
        <v>53</v>
      </c>
      <c r="F1946" t="s">
        <v>114</v>
      </c>
      <c r="G1946">
        <v>120664</v>
      </c>
      <c r="H1946" s="75">
        <v>41170</v>
      </c>
      <c r="I1946" t="s">
        <v>115</v>
      </c>
      <c r="J1946">
        <v>5000</v>
      </c>
      <c r="K1946">
        <v>226.732</v>
      </c>
      <c r="L1946">
        <v>22.052499999999998</v>
      </c>
      <c r="M1946">
        <v>7505.7389999999996</v>
      </c>
      <c r="N1946" t="s">
        <v>15</v>
      </c>
    </row>
    <row r="1947" spans="1:14" x14ac:dyDescent="0.2">
      <c r="A1947" t="s">
        <v>23</v>
      </c>
      <c r="B1947" t="s">
        <v>133</v>
      </c>
      <c r="C1947" t="s">
        <v>130</v>
      </c>
      <c r="D1947" t="s">
        <v>124</v>
      </c>
      <c r="E1947" t="s">
        <v>53</v>
      </c>
      <c r="F1947" t="s">
        <v>114</v>
      </c>
      <c r="G1947">
        <v>120664</v>
      </c>
      <c r="H1947" s="75">
        <v>41200</v>
      </c>
      <c r="I1947" t="s">
        <v>115</v>
      </c>
      <c r="J1947">
        <v>5000</v>
      </c>
      <c r="K1947">
        <v>222.56899999999999</v>
      </c>
      <c r="L1947">
        <v>22.465</v>
      </c>
      <c r="M1947">
        <v>7728.308</v>
      </c>
      <c r="N1947" t="s">
        <v>15</v>
      </c>
    </row>
    <row r="1948" spans="1:14" x14ac:dyDescent="0.2">
      <c r="A1948" t="s">
        <v>23</v>
      </c>
      <c r="B1948" t="s">
        <v>133</v>
      </c>
      <c r="C1948" t="s">
        <v>130</v>
      </c>
      <c r="D1948" t="s">
        <v>124</v>
      </c>
      <c r="E1948" t="s">
        <v>53</v>
      </c>
      <c r="F1948" t="s">
        <v>114</v>
      </c>
      <c r="G1948">
        <v>120664</v>
      </c>
      <c r="H1948" s="75">
        <v>41230</v>
      </c>
      <c r="I1948" t="s">
        <v>115</v>
      </c>
      <c r="J1948">
        <v>5000</v>
      </c>
      <c r="K1948">
        <v>219.101</v>
      </c>
      <c r="L1948">
        <v>22.820499999999999</v>
      </c>
      <c r="M1948">
        <v>7947.4089999999997</v>
      </c>
      <c r="N1948" t="s">
        <v>15</v>
      </c>
    </row>
    <row r="1949" spans="1:14" x14ac:dyDescent="0.2">
      <c r="A1949" t="s">
        <v>23</v>
      </c>
      <c r="B1949" t="s">
        <v>133</v>
      </c>
      <c r="C1949" t="s">
        <v>130</v>
      </c>
      <c r="D1949" t="s">
        <v>124</v>
      </c>
      <c r="E1949" t="s">
        <v>53</v>
      </c>
      <c r="F1949" t="s">
        <v>114</v>
      </c>
      <c r="G1949">
        <v>120664</v>
      </c>
      <c r="H1949" s="75">
        <v>41260</v>
      </c>
      <c r="I1949" t="s">
        <v>115</v>
      </c>
      <c r="J1949">
        <v>5000</v>
      </c>
      <c r="K1949">
        <v>219.26300000000001</v>
      </c>
      <c r="L1949">
        <v>22.803699999999999</v>
      </c>
      <c r="M1949">
        <v>8166.6719999999996</v>
      </c>
      <c r="N1949" t="s">
        <v>15</v>
      </c>
    </row>
    <row r="1950" spans="1:14" x14ac:dyDescent="0.2">
      <c r="A1950" t="s">
        <v>23</v>
      </c>
      <c r="B1950" t="s">
        <v>133</v>
      </c>
      <c r="C1950" t="s">
        <v>130</v>
      </c>
      <c r="D1950" t="s">
        <v>124</v>
      </c>
      <c r="E1950" t="s">
        <v>53</v>
      </c>
      <c r="F1950" t="s">
        <v>114</v>
      </c>
      <c r="G1950">
        <v>120664</v>
      </c>
      <c r="H1950" s="75">
        <v>41290</v>
      </c>
      <c r="I1950" t="s">
        <v>115</v>
      </c>
      <c r="J1950">
        <v>5000</v>
      </c>
      <c r="K1950">
        <v>223.33799999999999</v>
      </c>
      <c r="L1950">
        <v>22.387599999999999</v>
      </c>
      <c r="M1950">
        <v>8390.01</v>
      </c>
      <c r="N1950" t="s">
        <v>15</v>
      </c>
    </row>
    <row r="1951" spans="1:14" x14ac:dyDescent="0.2">
      <c r="A1951" t="s">
        <v>23</v>
      </c>
      <c r="B1951" t="s">
        <v>133</v>
      </c>
      <c r="C1951" t="s">
        <v>130</v>
      </c>
      <c r="D1951" t="s">
        <v>124</v>
      </c>
      <c r="E1951" t="s">
        <v>53</v>
      </c>
      <c r="F1951" t="s">
        <v>114</v>
      </c>
      <c r="G1951">
        <v>120664</v>
      </c>
      <c r="H1951" s="75">
        <v>41320</v>
      </c>
      <c r="I1951" t="s">
        <v>115</v>
      </c>
      <c r="J1951">
        <v>5000</v>
      </c>
      <c r="K1951">
        <v>227.55600000000001</v>
      </c>
      <c r="L1951">
        <v>21.9727</v>
      </c>
      <c r="M1951">
        <v>8617.5660000000007</v>
      </c>
      <c r="N1951" t="s">
        <v>15</v>
      </c>
    </row>
    <row r="1952" spans="1:14" x14ac:dyDescent="0.2">
      <c r="A1952" t="s">
        <v>23</v>
      </c>
      <c r="B1952" t="s">
        <v>133</v>
      </c>
      <c r="C1952" t="s">
        <v>130</v>
      </c>
      <c r="D1952" t="s">
        <v>124</v>
      </c>
      <c r="E1952" t="s">
        <v>53</v>
      </c>
      <c r="F1952" t="s">
        <v>114</v>
      </c>
      <c r="G1952">
        <v>120664</v>
      </c>
      <c r="H1952" s="75">
        <v>41350</v>
      </c>
      <c r="I1952" t="s">
        <v>115</v>
      </c>
      <c r="J1952">
        <v>5000</v>
      </c>
      <c r="K1952">
        <v>223.387</v>
      </c>
      <c r="L1952">
        <v>22.3827</v>
      </c>
      <c r="M1952">
        <v>8840.9519999999993</v>
      </c>
      <c r="N1952" t="s">
        <v>15</v>
      </c>
    </row>
    <row r="1953" spans="1:14" x14ac:dyDescent="0.2">
      <c r="A1953" t="s">
        <v>23</v>
      </c>
      <c r="B1953" t="s">
        <v>133</v>
      </c>
      <c r="C1953" t="s">
        <v>130</v>
      </c>
      <c r="D1953" t="s">
        <v>124</v>
      </c>
      <c r="E1953" t="s">
        <v>53</v>
      </c>
      <c r="F1953" t="s">
        <v>114</v>
      </c>
      <c r="G1953">
        <v>120664</v>
      </c>
      <c r="H1953" s="75">
        <v>41380</v>
      </c>
      <c r="I1953" t="s">
        <v>115</v>
      </c>
      <c r="J1953">
        <v>5000</v>
      </c>
      <c r="K1953">
        <v>219.999</v>
      </c>
      <c r="L1953">
        <v>22.727399999999999</v>
      </c>
      <c r="M1953">
        <v>9060.9509999999991</v>
      </c>
      <c r="N1953" t="s">
        <v>15</v>
      </c>
    </row>
    <row r="1954" spans="1:14" x14ac:dyDescent="0.2">
      <c r="A1954" t="s">
        <v>23</v>
      </c>
      <c r="B1954" t="s">
        <v>133</v>
      </c>
      <c r="C1954" t="s">
        <v>130</v>
      </c>
      <c r="D1954" t="s">
        <v>124</v>
      </c>
      <c r="E1954" t="s">
        <v>53</v>
      </c>
      <c r="F1954" t="s">
        <v>114</v>
      </c>
      <c r="G1954">
        <v>120664</v>
      </c>
      <c r="H1954" s="75">
        <v>41410</v>
      </c>
      <c r="I1954" t="s">
        <v>115</v>
      </c>
      <c r="J1954">
        <v>5000</v>
      </c>
      <c r="K1954">
        <v>216.19300000000001</v>
      </c>
      <c r="L1954">
        <v>23.127500000000001</v>
      </c>
      <c r="M1954">
        <v>9277.1440000000002</v>
      </c>
      <c r="N1954" t="s">
        <v>15</v>
      </c>
    </row>
    <row r="1955" spans="1:14" x14ac:dyDescent="0.2">
      <c r="A1955" t="s">
        <v>23</v>
      </c>
      <c r="B1955" t="s">
        <v>133</v>
      </c>
      <c r="C1955" t="s">
        <v>130</v>
      </c>
      <c r="D1955" t="s">
        <v>124</v>
      </c>
      <c r="E1955" t="s">
        <v>53</v>
      </c>
      <c r="F1955" t="s">
        <v>114</v>
      </c>
      <c r="G1955">
        <v>120664</v>
      </c>
      <c r="H1955" s="75">
        <v>41410</v>
      </c>
      <c r="I1955" t="s">
        <v>116</v>
      </c>
      <c r="J1955">
        <v>2.5</v>
      </c>
      <c r="K1955">
        <v>0</v>
      </c>
      <c r="M1955">
        <v>9277.1440000000002</v>
      </c>
      <c r="N1955" t="s">
        <v>17</v>
      </c>
    </row>
    <row r="1956" spans="1:14" x14ac:dyDescent="0.2">
      <c r="A1956" t="s">
        <v>23</v>
      </c>
      <c r="B1956" t="s">
        <v>133</v>
      </c>
      <c r="C1956" t="s">
        <v>130</v>
      </c>
      <c r="D1956" t="s">
        <v>124</v>
      </c>
      <c r="E1956" t="s">
        <v>53</v>
      </c>
      <c r="F1956" t="s">
        <v>114</v>
      </c>
      <c r="G1956">
        <v>120664</v>
      </c>
      <c r="H1956" s="75">
        <v>41440</v>
      </c>
      <c r="I1956" t="s">
        <v>115</v>
      </c>
      <c r="J1956">
        <v>5000</v>
      </c>
      <c r="K1956">
        <v>214.584</v>
      </c>
      <c r="L1956">
        <v>23.300899999999999</v>
      </c>
      <c r="M1956">
        <v>9491.7279999999992</v>
      </c>
      <c r="N1956" t="s">
        <v>15</v>
      </c>
    </row>
    <row r="1957" spans="1:14" x14ac:dyDescent="0.2">
      <c r="A1957" t="s">
        <v>23</v>
      </c>
      <c r="B1957" t="s">
        <v>133</v>
      </c>
      <c r="C1957" t="s">
        <v>130</v>
      </c>
      <c r="D1957" t="s">
        <v>124</v>
      </c>
      <c r="E1957" t="s">
        <v>53</v>
      </c>
      <c r="F1957" t="s">
        <v>114</v>
      </c>
      <c r="G1957">
        <v>120664</v>
      </c>
      <c r="H1957" s="75">
        <v>41470</v>
      </c>
      <c r="I1957" t="s">
        <v>115</v>
      </c>
      <c r="J1957">
        <v>5000</v>
      </c>
      <c r="K1957">
        <v>208.35300000000001</v>
      </c>
      <c r="L1957">
        <v>23.997699999999998</v>
      </c>
      <c r="M1957">
        <v>9700.0810000000001</v>
      </c>
      <c r="N1957" t="s">
        <v>15</v>
      </c>
    </row>
    <row r="1958" spans="1:14" x14ac:dyDescent="0.2">
      <c r="A1958" t="s">
        <v>23</v>
      </c>
      <c r="B1958" t="s">
        <v>133</v>
      </c>
      <c r="C1958" t="s">
        <v>130</v>
      </c>
      <c r="D1958" t="s">
        <v>124</v>
      </c>
      <c r="E1958" t="s">
        <v>53</v>
      </c>
      <c r="F1958" t="s">
        <v>114</v>
      </c>
      <c r="G1958">
        <v>120664</v>
      </c>
      <c r="H1958" s="75">
        <v>41470</v>
      </c>
      <c r="I1958" t="s">
        <v>117</v>
      </c>
      <c r="J1958">
        <v>2.5</v>
      </c>
      <c r="K1958">
        <v>0</v>
      </c>
      <c r="M1958">
        <v>9700.0810000000001</v>
      </c>
      <c r="N1958" t="s">
        <v>46</v>
      </c>
    </row>
    <row r="1959" spans="1:14" x14ac:dyDescent="0.2">
      <c r="A1959" t="s">
        <v>23</v>
      </c>
      <c r="B1959" t="s">
        <v>133</v>
      </c>
      <c r="C1959" t="s">
        <v>130</v>
      </c>
      <c r="D1959" t="s">
        <v>124</v>
      </c>
      <c r="E1959" t="s">
        <v>53</v>
      </c>
      <c r="F1959" t="s">
        <v>114</v>
      </c>
      <c r="G1959">
        <v>120664</v>
      </c>
      <c r="H1959" s="75">
        <v>41500</v>
      </c>
      <c r="I1959" t="s">
        <v>115</v>
      </c>
      <c r="J1959">
        <v>5000</v>
      </c>
      <c r="K1959">
        <v>212.41499999999999</v>
      </c>
      <c r="L1959">
        <v>23.538900000000002</v>
      </c>
      <c r="M1959">
        <v>9912.4959999999992</v>
      </c>
      <c r="N1959" t="s">
        <v>15</v>
      </c>
    </row>
    <row r="1960" spans="1:14" x14ac:dyDescent="0.2">
      <c r="A1960" t="s">
        <v>23</v>
      </c>
      <c r="B1960" t="s">
        <v>133</v>
      </c>
      <c r="C1960" t="s">
        <v>130</v>
      </c>
      <c r="D1960" t="s">
        <v>124</v>
      </c>
      <c r="E1960" t="s">
        <v>53</v>
      </c>
      <c r="F1960" t="s">
        <v>114</v>
      </c>
      <c r="G1960">
        <v>120664</v>
      </c>
      <c r="H1960" s="75">
        <v>41530</v>
      </c>
      <c r="I1960" t="s">
        <v>115</v>
      </c>
      <c r="J1960">
        <v>5000</v>
      </c>
      <c r="K1960">
        <v>214.62100000000001</v>
      </c>
      <c r="L1960">
        <v>23.296800000000001</v>
      </c>
      <c r="M1960">
        <v>10127.117</v>
      </c>
      <c r="N1960" t="s">
        <v>15</v>
      </c>
    </row>
    <row r="1961" spans="1:14" x14ac:dyDescent="0.2">
      <c r="A1961" t="s">
        <v>23</v>
      </c>
      <c r="B1961" t="s">
        <v>133</v>
      </c>
      <c r="C1961" t="s">
        <v>130</v>
      </c>
      <c r="D1961" t="s">
        <v>124</v>
      </c>
      <c r="E1961" t="s">
        <v>53</v>
      </c>
      <c r="F1961" t="s">
        <v>114</v>
      </c>
      <c r="G1961">
        <v>120664</v>
      </c>
      <c r="H1961" s="75">
        <v>41560</v>
      </c>
      <c r="I1961" t="s">
        <v>115</v>
      </c>
      <c r="J1961">
        <v>5000</v>
      </c>
      <c r="K1961">
        <v>212.55600000000001</v>
      </c>
      <c r="L1961">
        <v>23.523299999999999</v>
      </c>
      <c r="M1961">
        <v>10339.673000000001</v>
      </c>
      <c r="N1961" t="s">
        <v>15</v>
      </c>
    </row>
    <row r="1962" spans="1:14" x14ac:dyDescent="0.2">
      <c r="A1962" t="s">
        <v>23</v>
      </c>
      <c r="B1962" t="s">
        <v>133</v>
      </c>
      <c r="C1962" t="s">
        <v>130</v>
      </c>
      <c r="D1962" t="s">
        <v>124</v>
      </c>
      <c r="E1962" t="s">
        <v>53</v>
      </c>
      <c r="F1962" t="s">
        <v>114</v>
      </c>
      <c r="G1962">
        <v>120664</v>
      </c>
      <c r="H1962" s="75">
        <v>41590</v>
      </c>
      <c r="I1962" t="s">
        <v>115</v>
      </c>
      <c r="J1962">
        <v>5000</v>
      </c>
      <c r="K1962">
        <v>211.99</v>
      </c>
      <c r="L1962">
        <v>23.585999999999999</v>
      </c>
      <c r="M1962">
        <v>10551.663</v>
      </c>
      <c r="N1962" t="s">
        <v>15</v>
      </c>
    </row>
    <row r="1963" spans="1:14" x14ac:dyDescent="0.2">
      <c r="A1963" t="s">
        <v>23</v>
      </c>
      <c r="B1963" t="s">
        <v>133</v>
      </c>
      <c r="C1963" t="s">
        <v>130</v>
      </c>
      <c r="D1963" t="s">
        <v>124</v>
      </c>
      <c r="E1963" t="s">
        <v>53</v>
      </c>
      <c r="F1963" t="s">
        <v>114</v>
      </c>
      <c r="G1963">
        <v>120664</v>
      </c>
      <c r="H1963" s="75">
        <v>41620</v>
      </c>
      <c r="I1963" t="s">
        <v>115</v>
      </c>
      <c r="J1963">
        <v>5000</v>
      </c>
      <c r="K1963">
        <v>207.69399999999999</v>
      </c>
      <c r="L1963">
        <v>24.073899999999998</v>
      </c>
      <c r="M1963">
        <v>10759.357</v>
      </c>
      <c r="N1963" t="s">
        <v>15</v>
      </c>
    </row>
    <row r="1964" spans="1:14" x14ac:dyDescent="0.2">
      <c r="A1964" t="s">
        <v>23</v>
      </c>
      <c r="B1964" t="s">
        <v>133</v>
      </c>
      <c r="C1964" t="s">
        <v>130</v>
      </c>
      <c r="D1964" t="s">
        <v>124</v>
      </c>
      <c r="E1964" t="s">
        <v>53</v>
      </c>
      <c r="F1964" t="s">
        <v>114</v>
      </c>
      <c r="G1964">
        <v>120664</v>
      </c>
      <c r="H1964" s="75">
        <v>41650</v>
      </c>
      <c r="I1964" t="s">
        <v>115</v>
      </c>
      <c r="J1964">
        <v>5000</v>
      </c>
      <c r="K1964">
        <v>204.495</v>
      </c>
      <c r="L1964">
        <v>24.450399999999998</v>
      </c>
      <c r="M1964">
        <v>10963.852999999999</v>
      </c>
      <c r="N1964" t="s">
        <v>15</v>
      </c>
    </row>
    <row r="1965" spans="1:14" x14ac:dyDescent="0.2">
      <c r="A1965" t="s">
        <v>23</v>
      </c>
      <c r="B1965" t="s">
        <v>133</v>
      </c>
      <c r="C1965" t="s">
        <v>130</v>
      </c>
      <c r="D1965" t="s">
        <v>124</v>
      </c>
      <c r="E1965" t="s">
        <v>53</v>
      </c>
      <c r="F1965" t="s">
        <v>114</v>
      </c>
      <c r="G1965">
        <v>120664</v>
      </c>
      <c r="H1965" s="75">
        <v>41680</v>
      </c>
      <c r="I1965" t="s">
        <v>115</v>
      </c>
      <c r="J1965">
        <v>5000</v>
      </c>
      <c r="K1965">
        <v>203.56399999999999</v>
      </c>
      <c r="L1965">
        <v>24.5623</v>
      </c>
      <c r="M1965">
        <v>11167.416999999999</v>
      </c>
      <c r="N1965" t="s">
        <v>15</v>
      </c>
    </row>
    <row r="1966" spans="1:14" x14ac:dyDescent="0.2">
      <c r="A1966" t="s">
        <v>23</v>
      </c>
      <c r="B1966" t="s">
        <v>133</v>
      </c>
      <c r="C1966" t="s">
        <v>130</v>
      </c>
      <c r="D1966" t="s">
        <v>124</v>
      </c>
      <c r="E1966" t="s">
        <v>53</v>
      </c>
      <c r="F1966" t="s">
        <v>114</v>
      </c>
      <c r="G1966">
        <v>120664</v>
      </c>
      <c r="H1966" s="75">
        <v>41710</v>
      </c>
      <c r="I1966" t="s">
        <v>115</v>
      </c>
      <c r="J1966">
        <v>5000</v>
      </c>
      <c r="K1966">
        <v>204.61699999999999</v>
      </c>
      <c r="L1966">
        <v>24.4359</v>
      </c>
      <c r="M1966">
        <v>11372.032999999999</v>
      </c>
      <c r="N1966" t="s">
        <v>15</v>
      </c>
    </row>
    <row r="1967" spans="1:14" x14ac:dyDescent="0.2">
      <c r="A1967" t="s">
        <v>23</v>
      </c>
      <c r="B1967" t="s">
        <v>133</v>
      </c>
      <c r="C1967" t="s">
        <v>130</v>
      </c>
      <c r="D1967" t="s">
        <v>124</v>
      </c>
      <c r="E1967" t="s">
        <v>53</v>
      </c>
      <c r="F1967" t="s">
        <v>114</v>
      </c>
      <c r="G1967">
        <v>120664</v>
      </c>
      <c r="H1967" s="75">
        <v>41740</v>
      </c>
      <c r="I1967" t="s">
        <v>115</v>
      </c>
      <c r="J1967">
        <v>5000</v>
      </c>
      <c r="K1967">
        <v>202.41800000000001</v>
      </c>
      <c r="L1967">
        <v>24.7014</v>
      </c>
      <c r="M1967">
        <v>11574.450999999999</v>
      </c>
      <c r="N1967" t="s">
        <v>15</v>
      </c>
    </row>
    <row r="1968" spans="1:14" x14ac:dyDescent="0.2">
      <c r="A1968" t="s">
        <v>23</v>
      </c>
      <c r="B1968" t="s">
        <v>133</v>
      </c>
      <c r="C1968" t="s">
        <v>130</v>
      </c>
      <c r="D1968" t="s">
        <v>124</v>
      </c>
      <c r="E1968" t="s">
        <v>53</v>
      </c>
      <c r="F1968" t="s">
        <v>114</v>
      </c>
      <c r="G1968">
        <v>120664</v>
      </c>
      <c r="H1968" s="75">
        <v>41770</v>
      </c>
      <c r="I1968" t="s">
        <v>115</v>
      </c>
      <c r="J1968">
        <v>5000</v>
      </c>
      <c r="K1968">
        <v>199.27799999999999</v>
      </c>
      <c r="L1968">
        <v>25.090599999999998</v>
      </c>
      <c r="M1968">
        <v>11773.728999999999</v>
      </c>
      <c r="N1968" t="s">
        <v>15</v>
      </c>
    </row>
    <row r="1969" spans="1:14" x14ac:dyDescent="0.2">
      <c r="A1969" t="s">
        <v>23</v>
      </c>
      <c r="B1969" t="s">
        <v>133</v>
      </c>
      <c r="C1969" t="s">
        <v>130</v>
      </c>
      <c r="D1969" t="s">
        <v>124</v>
      </c>
      <c r="E1969" t="s">
        <v>53</v>
      </c>
      <c r="F1969" t="s">
        <v>114</v>
      </c>
      <c r="G1969">
        <v>120664</v>
      </c>
      <c r="H1969" s="75">
        <v>41800</v>
      </c>
      <c r="I1969" t="s">
        <v>115</v>
      </c>
      <c r="J1969">
        <v>5000</v>
      </c>
      <c r="K1969">
        <v>193.958</v>
      </c>
      <c r="L1969">
        <v>25.778700000000001</v>
      </c>
      <c r="M1969">
        <v>11967.688</v>
      </c>
      <c r="N1969" t="s">
        <v>15</v>
      </c>
    </row>
    <row r="1970" spans="1:14" x14ac:dyDescent="0.2">
      <c r="A1970" t="s">
        <v>23</v>
      </c>
      <c r="B1970" t="s">
        <v>133</v>
      </c>
      <c r="C1970" t="s">
        <v>130</v>
      </c>
      <c r="D1970" t="s">
        <v>124</v>
      </c>
      <c r="E1970" t="s">
        <v>53</v>
      </c>
      <c r="F1970" t="s">
        <v>114</v>
      </c>
      <c r="G1970">
        <v>120664</v>
      </c>
      <c r="H1970" s="75">
        <v>41830</v>
      </c>
      <c r="I1970" t="s">
        <v>115</v>
      </c>
      <c r="J1970">
        <v>5000</v>
      </c>
      <c r="K1970">
        <v>197.46600000000001</v>
      </c>
      <c r="L1970">
        <v>25.320799999999998</v>
      </c>
      <c r="M1970">
        <v>12165.154</v>
      </c>
      <c r="N1970" t="s">
        <v>15</v>
      </c>
    </row>
    <row r="1971" spans="1:14" x14ac:dyDescent="0.2">
      <c r="A1971" t="s">
        <v>23</v>
      </c>
      <c r="B1971" t="s">
        <v>133</v>
      </c>
      <c r="C1971" t="s">
        <v>130</v>
      </c>
      <c r="D1971" t="s">
        <v>124</v>
      </c>
      <c r="E1971" t="s">
        <v>53</v>
      </c>
      <c r="F1971" t="s">
        <v>114</v>
      </c>
      <c r="G1971">
        <v>120664</v>
      </c>
      <c r="H1971" s="75">
        <v>41830</v>
      </c>
      <c r="I1971" t="s">
        <v>116</v>
      </c>
      <c r="J1971">
        <v>2.5</v>
      </c>
      <c r="K1971">
        <v>0</v>
      </c>
      <c r="M1971">
        <v>12165.154</v>
      </c>
      <c r="N1971" t="s">
        <v>17</v>
      </c>
    </row>
    <row r="1972" spans="1:14" x14ac:dyDescent="0.2">
      <c r="A1972" t="s">
        <v>23</v>
      </c>
      <c r="B1972" t="s">
        <v>133</v>
      </c>
      <c r="C1972" t="s">
        <v>130</v>
      </c>
      <c r="D1972" t="s">
        <v>124</v>
      </c>
      <c r="E1972" t="s">
        <v>53</v>
      </c>
      <c r="F1972" t="s">
        <v>114</v>
      </c>
      <c r="G1972">
        <v>120664</v>
      </c>
      <c r="H1972" s="75">
        <v>41860</v>
      </c>
      <c r="I1972" t="s">
        <v>115</v>
      </c>
      <c r="J1972">
        <v>5000</v>
      </c>
      <c r="K1972">
        <v>196.416</v>
      </c>
      <c r="L1972">
        <v>25.456199999999999</v>
      </c>
      <c r="M1972">
        <v>12361.57</v>
      </c>
      <c r="N1972" t="s">
        <v>15</v>
      </c>
    </row>
    <row r="1973" spans="1:14" x14ac:dyDescent="0.2">
      <c r="A1973" t="s">
        <v>23</v>
      </c>
      <c r="B1973" t="s">
        <v>133</v>
      </c>
      <c r="C1973" t="s">
        <v>130</v>
      </c>
      <c r="D1973" t="s">
        <v>124</v>
      </c>
      <c r="E1973" t="s">
        <v>53</v>
      </c>
      <c r="F1973" t="s">
        <v>114</v>
      </c>
      <c r="G1973">
        <v>120664</v>
      </c>
      <c r="H1973" s="75">
        <v>41890</v>
      </c>
      <c r="I1973" t="s">
        <v>115</v>
      </c>
      <c r="J1973">
        <v>5000</v>
      </c>
      <c r="K1973">
        <v>193.46299999999999</v>
      </c>
      <c r="L1973">
        <v>25.8447</v>
      </c>
      <c r="M1973">
        <v>12555.032999999999</v>
      </c>
      <c r="N1973" t="s">
        <v>15</v>
      </c>
    </row>
    <row r="1974" spans="1:14" x14ac:dyDescent="0.2">
      <c r="A1974" t="s">
        <v>23</v>
      </c>
      <c r="B1974" t="s">
        <v>133</v>
      </c>
      <c r="C1974" t="s">
        <v>130</v>
      </c>
      <c r="D1974" t="s">
        <v>124</v>
      </c>
      <c r="E1974" t="s">
        <v>53</v>
      </c>
      <c r="F1974" t="s">
        <v>114</v>
      </c>
      <c r="G1974">
        <v>120664</v>
      </c>
      <c r="H1974" s="75">
        <v>41920</v>
      </c>
      <c r="I1974" t="s">
        <v>115</v>
      </c>
      <c r="J1974">
        <v>5000</v>
      </c>
      <c r="K1974">
        <v>192.66800000000001</v>
      </c>
      <c r="L1974">
        <v>25.9514</v>
      </c>
      <c r="M1974">
        <v>12747.7</v>
      </c>
      <c r="N1974" t="s">
        <v>15</v>
      </c>
    </row>
    <row r="1975" spans="1:14" x14ac:dyDescent="0.2">
      <c r="A1975" t="s">
        <v>23</v>
      </c>
      <c r="B1975" t="s">
        <v>133</v>
      </c>
      <c r="C1975" t="s">
        <v>130</v>
      </c>
      <c r="D1975" t="s">
        <v>124</v>
      </c>
      <c r="E1975" t="s">
        <v>53</v>
      </c>
      <c r="F1975" t="s">
        <v>114</v>
      </c>
      <c r="G1975">
        <v>120664</v>
      </c>
      <c r="H1975" s="75">
        <v>41950</v>
      </c>
      <c r="I1975" t="s">
        <v>115</v>
      </c>
      <c r="J1975">
        <v>5000</v>
      </c>
      <c r="K1975">
        <v>193.602</v>
      </c>
      <c r="L1975">
        <v>25.8262</v>
      </c>
      <c r="M1975">
        <v>12941.302</v>
      </c>
      <c r="N1975" t="s">
        <v>15</v>
      </c>
    </row>
    <row r="1976" spans="1:14" x14ac:dyDescent="0.2">
      <c r="A1976" t="s">
        <v>23</v>
      </c>
      <c r="B1976" t="s">
        <v>133</v>
      </c>
      <c r="C1976" t="s">
        <v>130</v>
      </c>
      <c r="D1976" t="s">
        <v>124</v>
      </c>
      <c r="E1976" t="s">
        <v>53</v>
      </c>
      <c r="F1976" t="s">
        <v>114</v>
      </c>
      <c r="G1976">
        <v>120664</v>
      </c>
      <c r="H1976" s="75">
        <v>41980</v>
      </c>
      <c r="I1976" t="s">
        <v>115</v>
      </c>
      <c r="J1976">
        <v>5000</v>
      </c>
      <c r="K1976">
        <v>195.94399999999999</v>
      </c>
      <c r="L1976">
        <v>25.517499999999998</v>
      </c>
      <c r="M1976">
        <v>13137.245999999999</v>
      </c>
      <c r="N1976" t="s">
        <v>15</v>
      </c>
    </row>
    <row r="1977" spans="1:14" x14ac:dyDescent="0.2">
      <c r="A1977" t="s">
        <v>23</v>
      </c>
      <c r="B1977" t="s">
        <v>133</v>
      </c>
      <c r="C1977" t="s">
        <v>130</v>
      </c>
      <c r="D1977" t="s">
        <v>124</v>
      </c>
      <c r="E1977" t="s">
        <v>53</v>
      </c>
      <c r="F1977" t="s">
        <v>114</v>
      </c>
      <c r="G1977">
        <v>120664</v>
      </c>
      <c r="H1977" s="75">
        <v>41980</v>
      </c>
      <c r="I1977" t="s">
        <v>116</v>
      </c>
      <c r="J1977">
        <v>2.5</v>
      </c>
      <c r="K1977">
        <v>0</v>
      </c>
      <c r="M1977">
        <v>13137.245999999999</v>
      </c>
      <c r="N1977" t="s">
        <v>17</v>
      </c>
    </row>
    <row r="1978" spans="1:14" x14ac:dyDescent="0.2">
      <c r="A1978" t="s">
        <v>23</v>
      </c>
      <c r="B1978" t="s">
        <v>133</v>
      </c>
      <c r="C1978" t="s">
        <v>130</v>
      </c>
      <c r="D1978" t="s">
        <v>124</v>
      </c>
      <c r="E1978" t="s">
        <v>53</v>
      </c>
      <c r="F1978" t="s">
        <v>114</v>
      </c>
      <c r="G1978">
        <v>120664</v>
      </c>
      <c r="H1978" s="75">
        <v>42010</v>
      </c>
      <c r="I1978" t="s">
        <v>115</v>
      </c>
      <c r="J1978">
        <v>5000</v>
      </c>
      <c r="K1978">
        <v>198.99600000000001</v>
      </c>
      <c r="L1978">
        <v>25.126100000000001</v>
      </c>
      <c r="M1978">
        <v>13336.242</v>
      </c>
      <c r="N1978" t="s">
        <v>15</v>
      </c>
    </row>
    <row r="1979" spans="1:14" x14ac:dyDescent="0.2">
      <c r="A1979" t="s">
        <v>23</v>
      </c>
      <c r="B1979" t="s">
        <v>133</v>
      </c>
      <c r="C1979" t="s">
        <v>130</v>
      </c>
      <c r="D1979" t="s">
        <v>124</v>
      </c>
      <c r="E1979" t="s">
        <v>53</v>
      </c>
      <c r="F1979" t="s">
        <v>114</v>
      </c>
      <c r="G1979">
        <v>120664</v>
      </c>
      <c r="H1979" s="75">
        <v>42040</v>
      </c>
      <c r="I1979" t="s">
        <v>115</v>
      </c>
      <c r="J1979">
        <v>5000</v>
      </c>
      <c r="K1979">
        <v>196.52099999999999</v>
      </c>
      <c r="L1979">
        <v>25.442599999999999</v>
      </c>
      <c r="M1979">
        <v>13532.763000000001</v>
      </c>
      <c r="N1979" t="s">
        <v>15</v>
      </c>
    </row>
    <row r="1980" spans="1:14" x14ac:dyDescent="0.2">
      <c r="A1980" t="s">
        <v>23</v>
      </c>
      <c r="B1980" t="s">
        <v>133</v>
      </c>
      <c r="C1980" t="s">
        <v>130</v>
      </c>
      <c r="D1980" t="s">
        <v>124</v>
      </c>
      <c r="E1980" t="s">
        <v>53</v>
      </c>
      <c r="F1980" t="s">
        <v>114</v>
      </c>
      <c r="G1980">
        <v>120664</v>
      </c>
      <c r="H1980" s="75">
        <v>42070</v>
      </c>
      <c r="I1980" t="s">
        <v>115</v>
      </c>
      <c r="J1980">
        <v>5000</v>
      </c>
      <c r="K1980">
        <v>194.54599999999999</v>
      </c>
      <c r="L1980">
        <v>25.700900000000001</v>
      </c>
      <c r="M1980">
        <v>13727.308999999999</v>
      </c>
      <c r="N1980" t="s">
        <v>15</v>
      </c>
    </row>
    <row r="1981" spans="1:14" x14ac:dyDescent="0.2">
      <c r="A1981" t="s">
        <v>23</v>
      </c>
      <c r="B1981" t="s">
        <v>133</v>
      </c>
      <c r="C1981" t="s">
        <v>130</v>
      </c>
      <c r="D1981" t="s">
        <v>124</v>
      </c>
      <c r="E1981" t="s">
        <v>53</v>
      </c>
      <c r="F1981" t="s">
        <v>114</v>
      </c>
      <c r="G1981">
        <v>120664</v>
      </c>
      <c r="H1981" s="75">
        <v>42100</v>
      </c>
      <c r="I1981" t="s">
        <v>115</v>
      </c>
      <c r="J1981">
        <v>5000</v>
      </c>
      <c r="K1981">
        <v>195.374</v>
      </c>
      <c r="L1981">
        <v>25.591999999999999</v>
      </c>
      <c r="M1981">
        <v>13922.683000000001</v>
      </c>
      <c r="N1981" t="s">
        <v>15</v>
      </c>
    </row>
    <row r="1982" spans="1:14" x14ac:dyDescent="0.2">
      <c r="A1982" t="s">
        <v>23</v>
      </c>
      <c r="B1982" t="s">
        <v>133</v>
      </c>
      <c r="C1982" t="s">
        <v>130</v>
      </c>
      <c r="D1982" t="s">
        <v>124</v>
      </c>
      <c r="E1982" t="s">
        <v>53</v>
      </c>
      <c r="F1982" t="s">
        <v>114</v>
      </c>
      <c r="G1982">
        <v>120664</v>
      </c>
      <c r="H1982" s="75">
        <v>42100</v>
      </c>
      <c r="I1982" t="s">
        <v>117</v>
      </c>
      <c r="J1982">
        <v>2.5</v>
      </c>
      <c r="K1982">
        <v>0</v>
      </c>
      <c r="M1982">
        <v>13922.683000000001</v>
      </c>
      <c r="N1982" t="s">
        <v>46</v>
      </c>
    </row>
    <row r="1983" spans="1:14" x14ac:dyDescent="0.2">
      <c r="A1983" t="s">
        <v>23</v>
      </c>
      <c r="B1983" t="s">
        <v>133</v>
      </c>
      <c r="C1983" t="s">
        <v>130</v>
      </c>
      <c r="D1983" t="s">
        <v>124</v>
      </c>
      <c r="E1983" t="s">
        <v>53</v>
      </c>
      <c r="F1983" t="s">
        <v>114</v>
      </c>
      <c r="G1983">
        <v>120664</v>
      </c>
      <c r="H1983" s="75">
        <v>42130</v>
      </c>
      <c r="I1983" t="s">
        <v>115</v>
      </c>
      <c r="J1983">
        <v>5000</v>
      </c>
      <c r="K1983">
        <v>194.386</v>
      </c>
      <c r="L1983">
        <v>25.722000000000001</v>
      </c>
      <c r="M1983">
        <v>14117.069</v>
      </c>
      <c r="N1983" t="s">
        <v>15</v>
      </c>
    </row>
    <row r="1984" spans="1:14" x14ac:dyDescent="0.2">
      <c r="A1984" t="s">
        <v>23</v>
      </c>
      <c r="B1984" t="s">
        <v>133</v>
      </c>
      <c r="C1984" t="s">
        <v>130</v>
      </c>
      <c r="D1984" t="s">
        <v>124</v>
      </c>
      <c r="E1984" t="s">
        <v>53</v>
      </c>
      <c r="F1984" t="s">
        <v>114</v>
      </c>
      <c r="G1984">
        <v>120664</v>
      </c>
      <c r="H1984" s="75">
        <v>42160</v>
      </c>
      <c r="I1984" t="s">
        <v>115</v>
      </c>
      <c r="J1984">
        <v>5000</v>
      </c>
      <c r="K1984">
        <v>191.70599999999999</v>
      </c>
      <c r="L1984">
        <v>26.081499999999998</v>
      </c>
      <c r="M1984">
        <v>14308.775</v>
      </c>
      <c r="N1984" t="s">
        <v>15</v>
      </c>
    </row>
    <row r="1985" spans="1:15" x14ac:dyDescent="0.2">
      <c r="A1985" t="s">
        <v>23</v>
      </c>
      <c r="B1985" t="s">
        <v>133</v>
      </c>
      <c r="C1985" t="s">
        <v>130</v>
      </c>
      <c r="D1985" t="s">
        <v>124</v>
      </c>
      <c r="E1985" t="s">
        <v>53</v>
      </c>
      <c r="F1985" t="s">
        <v>114</v>
      </c>
      <c r="G1985">
        <v>120664</v>
      </c>
      <c r="H1985" s="75">
        <v>42190</v>
      </c>
      <c r="I1985" t="s">
        <v>115</v>
      </c>
      <c r="J1985">
        <v>5000</v>
      </c>
      <c r="K1985">
        <v>192.17699999999999</v>
      </c>
      <c r="L1985">
        <v>26.017600000000002</v>
      </c>
      <c r="M1985">
        <v>14500.953</v>
      </c>
      <c r="N1985" t="s">
        <v>15</v>
      </c>
    </row>
    <row r="1986" spans="1:15" x14ac:dyDescent="0.2">
      <c r="A1986" t="s">
        <v>23</v>
      </c>
      <c r="B1986" t="s">
        <v>133</v>
      </c>
      <c r="C1986" t="s">
        <v>130</v>
      </c>
      <c r="D1986" t="s">
        <v>124</v>
      </c>
      <c r="E1986" t="s">
        <v>53</v>
      </c>
      <c r="F1986" t="s">
        <v>114</v>
      </c>
      <c r="G1986">
        <v>120664</v>
      </c>
      <c r="H1986" s="75">
        <v>42220</v>
      </c>
      <c r="I1986" t="s">
        <v>115</v>
      </c>
      <c r="J1986">
        <v>5000</v>
      </c>
      <c r="K1986">
        <v>193.13800000000001</v>
      </c>
      <c r="L1986">
        <v>25.888200000000001</v>
      </c>
      <c r="M1986">
        <v>14694.091</v>
      </c>
      <c r="N1986" t="s">
        <v>15</v>
      </c>
    </row>
    <row r="1987" spans="1:15" x14ac:dyDescent="0.2">
      <c r="A1987" t="s">
        <v>23</v>
      </c>
      <c r="B1987" t="s">
        <v>133</v>
      </c>
      <c r="C1987" t="s">
        <v>130</v>
      </c>
      <c r="D1987" t="s">
        <v>124</v>
      </c>
      <c r="E1987" t="s">
        <v>53</v>
      </c>
      <c r="F1987" t="s">
        <v>114</v>
      </c>
      <c r="G1987">
        <v>120664</v>
      </c>
      <c r="H1987" s="75">
        <v>42220</v>
      </c>
      <c r="I1987" t="s">
        <v>117</v>
      </c>
      <c r="J1987">
        <v>2.5</v>
      </c>
      <c r="K1987">
        <v>0</v>
      </c>
      <c r="M1987">
        <v>14694.091</v>
      </c>
      <c r="N1987" t="s">
        <v>46</v>
      </c>
    </row>
    <row r="1988" spans="1:15" x14ac:dyDescent="0.2">
      <c r="A1988" t="s">
        <v>23</v>
      </c>
      <c r="B1988" t="s">
        <v>133</v>
      </c>
      <c r="C1988" t="s">
        <v>130</v>
      </c>
      <c r="D1988" t="s">
        <v>124</v>
      </c>
      <c r="E1988" t="s">
        <v>53</v>
      </c>
      <c r="F1988" t="s">
        <v>114</v>
      </c>
      <c r="G1988">
        <v>120664</v>
      </c>
      <c r="H1988" s="75">
        <v>42250</v>
      </c>
      <c r="I1988" t="s">
        <v>115</v>
      </c>
      <c r="J1988">
        <v>5000</v>
      </c>
      <c r="K1988">
        <v>187.72</v>
      </c>
      <c r="L1988">
        <v>26.6355</v>
      </c>
      <c r="M1988">
        <v>14881.81</v>
      </c>
      <c r="N1988" t="s">
        <v>15</v>
      </c>
    </row>
    <row r="1989" spans="1:15" x14ac:dyDescent="0.2">
      <c r="A1989" t="s">
        <v>23</v>
      </c>
      <c r="B1989" t="s">
        <v>133</v>
      </c>
      <c r="C1989" t="s">
        <v>130</v>
      </c>
      <c r="D1989" t="s">
        <v>124</v>
      </c>
      <c r="E1989" t="s">
        <v>53</v>
      </c>
      <c r="F1989" t="s">
        <v>114</v>
      </c>
      <c r="G1989">
        <v>120664</v>
      </c>
      <c r="H1989" s="75">
        <v>42280</v>
      </c>
      <c r="I1989" t="s">
        <v>115</v>
      </c>
      <c r="J1989">
        <v>5000</v>
      </c>
      <c r="K1989">
        <v>191.52600000000001</v>
      </c>
      <c r="L1989">
        <v>26.106100000000001</v>
      </c>
      <c r="M1989">
        <v>15073.337</v>
      </c>
      <c r="N1989" t="s">
        <v>15</v>
      </c>
    </row>
    <row r="1990" spans="1:15" x14ac:dyDescent="0.2">
      <c r="A1990" t="s">
        <v>23</v>
      </c>
      <c r="B1990" t="s">
        <v>133</v>
      </c>
      <c r="C1990" t="s">
        <v>130</v>
      </c>
      <c r="D1990" t="s">
        <v>124</v>
      </c>
      <c r="E1990" t="s">
        <v>53</v>
      </c>
      <c r="F1990" t="s">
        <v>114</v>
      </c>
      <c r="G1990">
        <v>120664</v>
      </c>
      <c r="H1990" s="75">
        <v>42310</v>
      </c>
      <c r="I1990" t="s">
        <v>115</v>
      </c>
      <c r="J1990">
        <v>5000</v>
      </c>
      <c r="K1990">
        <v>186.45099999999999</v>
      </c>
      <c r="L1990">
        <v>26.816700000000001</v>
      </c>
      <c r="M1990">
        <v>15259.788</v>
      </c>
      <c r="N1990" t="s">
        <v>15</v>
      </c>
    </row>
    <row r="1991" spans="1:15" x14ac:dyDescent="0.2">
      <c r="A1991" t="s">
        <v>23</v>
      </c>
      <c r="B1991" t="s">
        <v>133</v>
      </c>
      <c r="C1991" t="s">
        <v>130</v>
      </c>
      <c r="D1991" t="s">
        <v>124</v>
      </c>
      <c r="E1991" t="s">
        <v>53</v>
      </c>
      <c r="F1991" t="s">
        <v>114</v>
      </c>
      <c r="G1991">
        <v>120664</v>
      </c>
      <c r="H1991" s="75">
        <v>42340</v>
      </c>
      <c r="I1991" t="s">
        <v>115</v>
      </c>
      <c r="J1991">
        <v>5000</v>
      </c>
      <c r="K1991">
        <v>190.005</v>
      </c>
      <c r="L1991">
        <v>26.315100000000001</v>
      </c>
      <c r="M1991">
        <v>15449.793</v>
      </c>
      <c r="N1991" t="s">
        <v>15</v>
      </c>
    </row>
    <row r="1992" spans="1:15" x14ac:dyDescent="0.2">
      <c r="A1992" t="s">
        <v>23</v>
      </c>
      <c r="B1992" t="s">
        <v>133</v>
      </c>
      <c r="C1992" t="s">
        <v>130</v>
      </c>
      <c r="D1992" t="s">
        <v>124</v>
      </c>
      <c r="E1992" t="s">
        <v>53</v>
      </c>
      <c r="F1992" t="s">
        <v>114</v>
      </c>
      <c r="G1992">
        <v>120664</v>
      </c>
      <c r="H1992" s="75">
        <v>42370</v>
      </c>
      <c r="I1992" t="s">
        <v>115</v>
      </c>
      <c r="J1992">
        <v>5000</v>
      </c>
      <c r="K1992">
        <v>192.548</v>
      </c>
      <c r="L1992">
        <v>25.967600000000001</v>
      </c>
      <c r="M1992">
        <v>15642.341</v>
      </c>
      <c r="N1992" t="s">
        <v>15</v>
      </c>
    </row>
    <row r="1993" spans="1:15" x14ac:dyDescent="0.2">
      <c r="A1993" t="s">
        <v>23</v>
      </c>
      <c r="B1993" t="s">
        <v>133</v>
      </c>
      <c r="C1993" t="s">
        <v>130</v>
      </c>
      <c r="D1993" t="s">
        <v>124</v>
      </c>
      <c r="E1993" t="s">
        <v>53</v>
      </c>
      <c r="F1993" t="s">
        <v>114</v>
      </c>
      <c r="G1993">
        <v>120664</v>
      </c>
      <c r="H1993" s="75">
        <v>42400</v>
      </c>
      <c r="I1993" t="s">
        <v>115</v>
      </c>
      <c r="J1993">
        <v>5000</v>
      </c>
      <c r="K1993">
        <v>187.86799999999999</v>
      </c>
      <c r="L1993">
        <v>26.6144</v>
      </c>
      <c r="M1993">
        <v>15830.209000000001</v>
      </c>
      <c r="N1993" t="s">
        <v>15</v>
      </c>
    </row>
    <row r="1994" spans="1:15" x14ac:dyDescent="0.2">
      <c r="A1994" t="s">
        <v>23</v>
      </c>
      <c r="B1994" t="s">
        <v>133</v>
      </c>
      <c r="C1994" t="s">
        <v>130</v>
      </c>
      <c r="D1994" t="s">
        <v>124</v>
      </c>
      <c r="E1994" t="s">
        <v>53</v>
      </c>
      <c r="F1994" t="s">
        <v>114</v>
      </c>
      <c r="G1994">
        <v>120664</v>
      </c>
      <c r="H1994" s="75">
        <v>42400</v>
      </c>
      <c r="I1994" t="s">
        <v>116</v>
      </c>
      <c r="J1994">
        <v>2.5</v>
      </c>
      <c r="K1994">
        <v>0</v>
      </c>
      <c r="M1994">
        <v>15830.209000000001</v>
      </c>
      <c r="N1994" t="s">
        <v>17</v>
      </c>
    </row>
    <row r="1995" spans="1:15" x14ac:dyDescent="0.2">
      <c r="A1995" t="s">
        <v>23</v>
      </c>
      <c r="B1995" t="s">
        <v>133</v>
      </c>
      <c r="C1995" t="s">
        <v>130</v>
      </c>
      <c r="D1995" t="s">
        <v>124</v>
      </c>
      <c r="E1995" t="s">
        <v>53</v>
      </c>
      <c r="F1995" t="s">
        <v>114</v>
      </c>
      <c r="G1995">
        <v>120664</v>
      </c>
      <c r="H1995" s="75">
        <v>42430</v>
      </c>
      <c r="I1995" t="s">
        <v>115</v>
      </c>
      <c r="J1995">
        <v>5000</v>
      </c>
      <c r="K1995">
        <v>189.33500000000001</v>
      </c>
      <c r="L1995">
        <v>26.408300000000001</v>
      </c>
      <c r="M1995">
        <v>16019.543</v>
      </c>
      <c r="N1995" t="s">
        <v>15</v>
      </c>
    </row>
    <row r="1996" spans="1:15" x14ac:dyDescent="0.2">
      <c r="A1996" t="s">
        <v>23</v>
      </c>
      <c r="B1996" t="s">
        <v>133</v>
      </c>
      <c r="C1996" t="s">
        <v>130</v>
      </c>
      <c r="D1996" t="s">
        <v>124</v>
      </c>
      <c r="E1996" t="s">
        <v>53</v>
      </c>
      <c r="F1996" t="s">
        <v>114</v>
      </c>
      <c r="G1996">
        <v>120664</v>
      </c>
      <c r="H1996" s="75">
        <v>42430</v>
      </c>
      <c r="I1996" t="s">
        <v>118</v>
      </c>
      <c r="J1996">
        <v>8009.77</v>
      </c>
      <c r="K1996">
        <v>0</v>
      </c>
      <c r="M1996">
        <v>16019.543</v>
      </c>
      <c r="N1996" t="s">
        <v>19</v>
      </c>
      <c r="O1996">
        <v>8009.77</v>
      </c>
    </row>
    <row r="1997" spans="1:15" x14ac:dyDescent="0.2">
      <c r="A1997" t="s">
        <v>23</v>
      </c>
      <c r="B1997" t="s">
        <v>133</v>
      </c>
      <c r="C1997" t="s">
        <v>130</v>
      </c>
      <c r="D1997" t="s">
        <v>124</v>
      </c>
      <c r="E1997" t="s">
        <v>53</v>
      </c>
      <c r="F1997" t="s">
        <v>114</v>
      </c>
      <c r="G1997">
        <v>120664</v>
      </c>
      <c r="H1997" s="75">
        <v>42460</v>
      </c>
      <c r="I1997" t="s">
        <v>115</v>
      </c>
      <c r="J1997">
        <v>5000</v>
      </c>
      <c r="K1997">
        <v>187.33500000000001</v>
      </c>
      <c r="L1997">
        <v>26.690200000000001</v>
      </c>
      <c r="M1997">
        <v>16206.878000000001</v>
      </c>
      <c r="N1997" t="s">
        <v>15</v>
      </c>
    </row>
    <row r="1998" spans="1:15" x14ac:dyDescent="0.2">
      <c r="A1998" t="s">
        <v>23</v>
      </c>
      <c r="B1998" t="s">
        <v>133</v>
      </c>
      <c r="C1998" t="s">
        <v>130</v>
      </c>
      <c r="D1998" t="s">
        <v>124</v>
      </c>
      <c r="E1998" t="s">
        <v>53</v>
      </c>
      <c r="F1998" t="s">
        <v>114</v>
      </c>
      <c r="G1998">
        <v>120664</v>
      </c>
      <c r="H1998" s="75">
        <v>42490</v>
      </c>
      <c r="I1998" t="s">
        <v>115</v>
      </c>
      <c r="J1998">
        <v>5000</v>
      </c>
      <c r="K1998">
        <v>184.87700000000001</v>
      </c>
      <c r="L1998">
        <v>27.045000000000002</v>
      </c>
      <c r="M1998">
        <v>16391.755000000001</v>
      </c>
      <c r="N1998" t="s">
        <v>15</v>
      </c>
    </row>
    <row r="1999" spans="1:15" x14ac:dyDescent="0.2">
      <c r="A1999" t="s">
        <v>23</v>
      </c>
      <c r="B1999" t="s">
        <v>133</v>
      </c>
      <c r="C1999" t="s">
        <v>130</v>
      </c>
      <c r="D1999" t="s">
        <v>124</v>
      </c>
      <c r="E1999" t="s">
        <v>53</v>
      </c>
      <c r="F1999" t="s">
        <v>114</v>
      </c>
      <c r="G1999">
        <v>120664</v>
      </c>
      <c r="H1999" s="75">
        <v>42490</v>
      </c>
      <c r="I1999" t="s">
        <v>116</v>
      </c>
      <c r="J1999">
        <v>2.5</v>
      </c>
      <c r="K1999">
        <v>0</v>
      </c>
      <c r="M1999">
        <v>16391.755000000001</v>
      </c>
      <c r="N1999" t="s">
        <v>17</v>
      </c>
    </row>
    <row r="2000" spans="1:15" x14ac:dyDescent="0.2">
      <c r="A2000" t="s">
        <v>23</v>
      </c>
      <c r="B2000" t="s">
        <v>133</v>
      </c>
      <c r="C2000" t="s">
        <v>130</v>
      </c>
      <c r="D2000" t="s">
        <v>124</v>
      </c>
      <c r="E2000" t="s">
        <v>53</v>
      </c>
      <c r="F2000" t="s">
        <v>114</v>
      </c>
      <c r="G2000">
        <v>120664</v>
      </c>
      <c r="H2000" s="75">
        <v>42490</v>
      </c>
      <c r="I2000" t="s">
        <v>118</v>
      </c>
      <c r="J2000">
        <v>8195.8799999999992</v>
      </c>
      <c r="K2000">
        <v>0</v>
      </c>
      <c r="M2000">
        <v>16391.755000000001</v>
      </c>
      <c r="N2000" t="s">
        <v>19</v>
      </c>
      <c r="O2000">
        <v>8195.8799999999992</v>
      </c>
    </row>
    <row r="2001" spans="1:15" x14ac:dyDescent="0.2">
      <c r="A2001" t="s">
        <v>23</v>
      </c>
      <c r="B2001" t="s">
        <v>133</v>
      </c>
      <c r="C2001" t="s">
        <v>130</v>
      </c>
      <c r="D2001" t="s">
        <v>124</v>
      </c>
      <c r="E2001" t="s">
        <v>53</v>
      </c>
      <c r="F2001" t="s">
        <v>114</v>
      </c>
      <c r="G2001">
        <v>120664</v>
      </c>
      <c r="H2001" s="75">
        <v>42520</v>
      </c>
      <c r="I2001" t="s">
        <v>115</v>
      </c>
      <c r="J2001">
        <v>5000</v>
      </c>
      <c r="K2001">
        <v>181.19800000000001</v>
      </c>
      <c r="L2001">
        <v>27.594100000000001</v>
      </c>
      <c r="M2001">
        <v>16572.954000000002</v>
      </c>
      <c r="N2001" t="s">
        <v>15</v>
      </c>
    </row>
    <row r="2002" spans="1:15" x14ac:dyDescent="0.2">
      <c r="A2002" t="s">
        <v>23</v>
      </c>
      <c r="B2002" t="s">
        <v>133</v>
      </c>
      <c r="C2002" t="s">
        <v>130</v>
      </c>
      <c r="D2002" t="s">
        <v>124</v>
      </c>
      <c r="E2002" t="s">
        <v>53</v>
      </c>
      <c r="F2002" t="s">
        <v>114</v>
      </c>
      <c r="G2002">
        <v>120664</v>
      </c>
      <c r="H2002" s="75">
        <v>42550</v>
      </c>
      <c r="I2002" t="s">
        <v>115</v>
      </c>
      <c r="J2002">
        <v>5000</v>
      </c>
      <c r="K2002">
        <v>182.81800000000001</v>
      </c>
      <c r="L2002">
        <v>27.349599999999999</v>
      </c>
      <c r="M2002">
        <v>16755.771000000001</v>
      </c>
      <c r="N2002" t="s">
        <v>15</v>
      </c>
    </row>
    <row r="2003" spans="1:15" x14ac:dyDescent="0.2">
      <c r="A2003" t="s">
        <v>23</v>
      </c>
      <c r="B2003" t="s">
        <v>133</v>
      </c>
      <c r="C2003" t="s">
        <v>130</v>
      </c>
      <c r="D2003" t="s">
        <v>124</v>
      </c>
      <c r="E2003" t="s">
        <v>53</v>
      </c>
      <c r="F2003" t="s">
        <v>114</v>
      </c>
      <c r="G2003">
        <v>120664</v>
      </c>
      <c r="H2003" s="75">
        <v>42580</v>
      </c>
      <c r="I2003" t="s">
        <v>115</v>
      </c>
      <c r="J2003">
        <v>5000</v>
      </c>
      <c r="K2003">
        <v>180.709</v>
      </c>
      <c r="L2003">
        <v>27.668800000000001</v>
      </c>
      <c r="M2003">
        <v>16936.48</v>
      </c>
      <c r="N2003" t="s">
        <v>15</v>
      </c>
    </row>
    <row r="2004" spans="1:15" x14ac:dyDescent="0.2">
      <c r="A2004" t="s">
        <v>23</v>
      </c>
      <c r="B2004" t="s">
        <v>133</v>
      </c>
      <c r="C2004" t="s">
        <v>130</v>
      </c>
      <c r="D2004" t="s">
        <v>124</v>
      </c>
      <c r="E2004" t="s">
        <v>53</v>
      </c>
      <c r="F2004" t="s">
        <v>114</v>
      </c>
      <c r="G2004">
        <v>120664</v>
      </c>
      <c r="H2004" s="75">
        <v>42610</v>
      </c>
      <c r="I2004" t="s">
        <v>115</v>
      </c>
      <c r="J2004">
        <v>5000</v>
      </c>
      <c r="K2004">
        <v>176.39099999999999</v>
      </c>
      <c r="L2004">
        <v>28.346</v>
      </c>
      <c r="M2004">
        <v>17112.871999999999</v>
      </c>
      <c r="N2004" t="s">
        <v>15</v>
      </c>
    </row>
    <row r="2005" spans="1:15" x14ac:dyDescent="0.2">
      <c r="A2005" t="s">
        <v>23</v>
      </c>
      <c r="B2005" t="s">
        <v>133</v>
      </c>
      <c r="C2005" t="s">
        <v>130</v>
      </c>
      <c r="D2005" t="s">
        <v>124</v>
      </c>
      <c r="E2005" t="s">
        <v>53</v>
      </c>
      <c r="F2005" t="s">
        <v>114</v>
      </c>
      <c r="G2005">
        <v>120664</v>
      </c>
      <c r="H2005" s="75">
        <v>42610</v>
      </c>
      <c r="I2005" t="s">
        <v>116</v>
      </c>
      <c r="J2005">
        <v>2.5</v>
      </c>
      <c r="K2005">
        <v>0</v>
      </c>
      <c r="M2005">
        <v>17112.871999999999</v>
      </c>
      <c r="N2005" t="s">
        <v>17</v>
      </c>
    </row>
    <row r="2006" spans="1:15" x14ac:dyDescent="0.2">
      <c r="A2006" t="s">
        <v>23</v>
      </c>
      <c r="B2006" t="s">
        <v>133</v>
      </c>
      <c r="C2006" t="s">
        <v>130</v>
      </c>
      <c r="D2006" t="s">
        <v>124</v>
      </c>
      <c r="E2006" t="s">
        <v>53</v>
      </c>
      <c r="F2006" t="s">
        <v>114</v>
      </c>
      <c r="G2006">
        <v>120664</v>
      </c>
      <c r="H2006" s="75">
        <v>42640</v>
      </c>
      <c r="I2006" t="s">
        <v>115</v>
      </c>
      <c r="J2006">
        <v>5000</v>
      </c>
      <c r="K2006">
        <v>175.24100000000001</v>
      </c>
      <c r="L2006">
        <v>28.5322</v>
      </c>
      <c r="M2006">
        <v>17288.113000000001</v>
      </c>
      <c r="N2006" t="s">
        <v>15</v>
      </c>
    </row>
    <row r="2007" spans="1:15" x14ac:dyDescent="0.2">
      <c r="A2007" t="s">
        <v>23</v>
      </c>
      <c r="B2007" t="s">
        <v>133</v>
      </c>
      <c r="C2007" t="s">
        <v>130</v>
      </c>
      <c r="D2007" t="s">
        <v>124</v>
      </c>
      <c r="E2007" t="s">
        <v>53</v>
      </c>
      <c r="F2007" t="s">
        <v>114</v>
      </c>
      <c r="G2007">
        <v>120664</v>
      </c>
      <c r="H2007" s="75">
        <v>42670</v>
      </c>
      <c r="I2007" t="s">
        <v>115</v>
      </c>
      <c r="J2007">
        <v>5000</v>
      </c>
      <c r="K2007">
        <v>173.30199999999999</v>
      </c>
      <c r="L2007">
        <v>28.851299999999998</v>
      </c>
      <c r="M2007">
        <v>17461.415000000001</v>
      </c>
      <c r="N2007" t="s">
        <v>15</v>
      </c>
    </row>
    <row r="2008" spans="1:15" x14ac:dyDescent="0.2">
      <c r="A2008" t="s">
        <v>23</v>
      </c>
      <c r="B2008" t="s">
        <v>133</v>
      </c>
      <c r="C2008" t="s">
        <v>130</v>
      </c>
      <c r="D2008" t="s">
        <v>124</v>
      </c>
      <c r="E2008" t="s">
        <v>53</v>
      </c>
      <c r="F2008" t="s">
        <v>114</v>
      </c>
      <c r="G2008">
        <v>120664</v>
      </c>
      <c r="H2008" s="75">
        <v>42670</v>
      </c>
      <c r="I2008" t="s">
        <v>118</v>
      </c>
      <c r="J2008">
        <v>8730.7099999999991</v>
      </c>
      <c r="K2008">
        <v>0</v>
      </c>
      <c r="M2008">
        <v>17461.415000000001</v>
      </c>
      <c r="N2008" t="s">
        <v>19</v>
      </c>
      <c r="O2008">
        <v>8730.7099999999991</v>
      </c>
    </row>
    <row r="2009" spans="1:15" x14ac:dyDescent="0.2">
      <c r="A2009" t="s">
        <v>23</v>
      </c>
      <c r="B2009" t="s">
        <v>133</v>
      </c>
      <c r="C2009" t="s">
        <v>130</v>
      </c>
      <c r="D2009" t="s">
        <v>124</v>
      </c>
      <c r="E2009" t="s">
        <v>53</v>
      </c>
      <c r="F2009" t="s">
        <v>114</v>
      </c>
      <c r="G2009">
        <v>120664</v>
      </c>
      <c r="H2009" s="75">
        <v>42700</v>
      </c>
      <c r="I2009" t="s">
        <v>115</v>
      </c>
      <c r="J2009">
        <v>5000</v>
      </c>
      <c r="K2009">
        <v>175.72399999999999</v>
      </c>
      <c r="L2009">
        <v>28.453700000000001</v>
      </c>
      <c r="M2009">
        <v>17637.138999999999</v>
      </c>
      <c r="N2009" t="s">
        <v>15</v>
      </c>
    </row>
    <row r="2010" spans="1:15" x14ac:dyDescent="0.2">
      <c r="A2010" t="s">
        <v>23</v>
      </c>
      <c r="B2010" t="s">
        <v>133</v>
      </c>
      <c r="C2010" t="s">
        <v>130</v>
      </c>
      <c r="D2010" t="s">
        <v>124</v>
      </c>
      <c r="E2010" t="s">
        <v>53</v>
      </c>
      <c r="F2010" t="s">
        <v>114</v>
      </c>
      <c r="G2010">
        <v>120664</v>
      </c>
      <c r="H2010" s="75">
        <v>42730</v>
      </c>
      <c r="I2010" t="s">
        <v>115</v>
      </c>
      <c r="J2010">
        <v>5000</v>
      </c>
      <c r="K2010">
        <v>174.054</v>
      </c>
      <c r="L2010">
        <v>28.726700000000001</v>
      </c>
      <c r="M2010">
        <v>17811.192999999999</v>
      </c>
      <c r="N2010" t="s">
        <v>15</v>
      </c>
    </row>
    <row r="2011" spans="1:15" x14ac:dyDescent="0.2">
      <c r="A2011" t="s">
        <v>23</v>
      </c>
      <c r="B2011" t="s">
        <v>133</v>
      </c>
      <c r="C2011" t="s">
        <v>130</v>
      </c>
      <c r="D2011" t="s">
        <v>124</v>
      </c>
      <c r="E2011" t="s">
        <v>53</v>
      </c>
      <c r="F2011" t="s">
        <v>114</v>
      </c>
      <c r="G2011">
        <v>120664</v>
      </c>
      <c r="H2011" s="75">
        <v>42730</v>
      </c>
      <c r="I2011" t="s">
        <v>117</v>
      </c>
      <c r="J2011">
        <v>2.5</v>
      </c>
      <c r="K2011">
        <v>0</v>
      </c>
      <c r="M2011">
        <v>17811.192999999999</v>
      </c>
      <c r="N2011" t="s">
        <v>46</v>
      </c>
    </row>
    <row r="2012" spans="1:15" x14ac:dyDescent="0.2">
      <c r="A2012" t="s">
        <v>23</v>
      </c>
      <c r="B2012" t="s">
        <v>133</v>
      </c>
      <c r="C2012" t="s">
        <v>130</v>
      </c>
      <c r="D2012" t="s">
        <v>124</v>
      </c>
      <c r="E2012" t="s">
        <v>53</v>
      </c>
      <c r="F2012" t="s">
        <v>114</v>
      </c>
      <c r="G2012">
        <v>120664</v>
      </c>
      <c r="H2012" s="75">
        <v>42760</v>
      </c>
      <c r="I2012" t="s">
        <v>115</v>
      </c>
      <c r="J2012">
        <v>5000</v>
      </c>
      <c r="K2012">
        <v>173.43700000000001</v>
      </c>
      <c r="L2012">
        <v>28.828900000000001</v>
      </c>
      <c r="M2012">
        <v>17984.63</v>
      </c>
      <c r="N2012" t="s">
        <v>15</v>
      </c>
    </row>
    <row r="2013" spans="1:15" x14ac:dyDescent="0.2">
      <c r="A2013" t="s">
        <v>23</v>
      </c>
      <c r="B2013" t="s">
        <v>133</v>
      </c>
      <c r="C2013" t="s">
        <v>130</v>
      </c>
      <c r="D2013" t="s">
        <v>124</v>
      </c>
      <c r="E2013" t="s">
        <v>53</v>
      </c>
      <c r="F2013" t="s">
        <v>114</v>
      </c>
      <c r="G2013">
        <v>120664</v>
      </c>
      <c r="H2013" s="75">
        <v>42790</v>
      </c>
      <c r="I2013" t="s">
        <v>115</v>
      </c>
      <c r="J2013">
        <v>5000</v>
      </c>
      <c r="K2013">
        <v>168.56899999999999</v>
      </c>
      <c r="L2013">
        <v>29.6614</v>
      </c>
      <c r="M2013">
        <v>18153.2</v>
      </c>
      <c r="N2013" t="s">
        <v>15</v>
      </c>
    </row>
    <row r="2014" spans="1:15" x14ac:dyDescent="0.2">
      <c r="A2014" t="s">
        <v>23</v>
      </c>
      <c r="B2014" t="s">
        <v>133</v>
      </c>
      <c r="C2014" t="s">
        <v>130</v>
      </c>
      <c r="D2014" t="s">
        <v>124</v>
      </c>
      <c r="E2014" t="s">
        <v>53</v>
      </c>
      <c r="F2014" t="s">
        <v>114</v>
      </c>
      <c r="G2014">
        <v>120664</v>
      </c>
      <c r="H2014" s="75">
        <v>42820</v>
      </c>
      <c r="I2014" t="s">
        <v>115</v>
      </c>
      <c r="J2014">
        <v>5000</v>
      </c>
      <c r="K2014">
        <v>164.81299999999999</v>
      </c>
      <c r="L2014">
        <v>30.337399999999999</v>
      </c>
      <c r="M2014">
        <v>18318.012999999999</v>
      </c>
      <c r="N2014" t="s">
        <v>15</v>
      </c>
    </row>
    <row r="2015" spans="1:15" x14ac:dyDescent="0.2">
      <c r="A2015" t="s">
        <v>23</v>
      </c>
      <c r="B2015" t="s">
        <v>133</v>
      </c>
      <c r="C2015" t="s">
        <v>130</v>
      </c>
      <c r="D2015" t="s">
        <v>124</v>
      </c>
      <c r="E2015" t="s">
        <v>53</v>
      </c>
      <c r="F2015" t="s">
        <v>114</v>
      </c>
      <c r="G2015">
        <v>120664</v>
      </c>
      <c r="H2015" s="75">
        <v>42820</v>
      </c>
      <c r="I2015" t="s">
        <v>118</v>
      </c>
      <c r="J2015">
        <v>9159.01</v>
      </c>
      <c r="K2015">
        <v>0</v>
      </c>
      <c r="M2015">
        <v>18318.012999999999</v>
      </c>
      <c r="N2015" t="s">
        <v>19</v>
      </c>
      <c r="O2015">
        <v>9159.01</v>
      </c>
    </row>
    <row r="2016" spans="1:15" x14ac:dyDescent="0.2">
      <c r="A2016" t="s">
        <v>23</v>
      </c>
      <c r="B2016" t="s">
        <v>133</v>
      </c>
      <c r="C2016" t="s">
        <v>130</v>
      </c>
      <c r="D2016" t="s">
        <v>124</v>
      </c>
      <c r="E2016" t="s">
        <v>53</v>
      </c>
      <c r="F2016" t="s">
        <v>114</v>
      </c>
      <c r="G2016">
        <v>120664</v>
      </c>
      <c r="H2016" s="75">
        <v>42850</v>
      </c>
      <c r="I2016" t="s">
        <v>115</v>
      </c>
      <c r="J2016">
        <v>5000</v>
      </c>
      <c r="K2016">
        <v>165.43700000000001</v>
      </c>
      <c r="L2016">
        <v>30.222899999999999</v>
      </c>
      <c r="M2016">
        <v>18483.45</v>
      </c>
      <c r="N2016" t="s">
        <v>15</v>
      </c>
    </row>
    <row r="2017" spans="1:14" x14ac:dyDescent="0.2">
      <c r="A2017" t="s">
        <v>23</v>
      </c>
      <c r="B2017" t="s">
        <v>133</v>
      </c>
      <c r="C2017" t="s">
        <v>130</v>
      </c>
      <c r="D2017" t="s">
        <v>124</v>
      </c>
      <c r="E2017" t="s">
        <v>53</v>
      </c>
      <c r="F2017" t="s">
        <v>114</v>
      </c>
      <c r="G2017">
        <v>120664</v>
      </c>
      <c r="H2017" s="75">
        <v>42880</v>
      </c>
      <c r="I2017" t="s">
        <v>115</v>
      </c>
      <c r="J2017">
        <v>5000</v>
      </c>
      <c r="K2017">
        <v>167.44800000000001</v>
      </c>
      <c r="L2017">
        <v>29.86</v>
      </c>
      <c r="M2017">
        <v>18650.898000000001</v>
      </c>
      <c r="N2017" t="s">
        <v>15</v>
      </c>
    </row>
    <row r="2018" spans="1:14" x14ac:dyDescent="0.2">
      <c r="A2018" t="s">
        <v>23</v>
      </c>
      <c r="B2018" t="s">
        <v>133</v>
      </c>
      <c r="C2018" t="s">
        <v>130</v>
      </c>
      <c r="D2018" t="s">
        <v>124</v>
      </c>
      <c r="E2018" t="s">
        <v>53</v>
      </c>
      <c r="F2018" t="s">
        <v>114</v>
      </c>
      <c r="G2018">
        <v>120664</v>
      </c>
      <c r="H2018" s="75">
        <v>42910</v>
      </c>
      <c r="I2018" t="s">
        <v>115</v>
      </c>
      <c r="J2018">
        <v>5000</v>
      </c>
      <c r="K2018">
        <v>170.297</v>
      </c>
      <c r="L2018">
        <v>29.360499999999998</v>
      </c>
      <c r="M2018">
        <v>18821.195</v>
      </c>
      <c r="N2018" t="s">
        <v>15</v>
      </c>
    </row>
    <row r="2019" spans="1:14" x14ac:dyDescent="0.2">
      <c r="A2019" t="s">
        <v>23</v>
      </c>
      <c r="B2019" t="s">
        <v>133</v>
      </c>
      <c r="C2019" t="s">
        <v>130</v>
      </c>
      <c r="D2019" t="s">
        <v>124</v>
      </c>
      <c r="E2019" t="s">
        <v>53</v>
      </c>
      <c r="F2019" t="s">
        <v>114</v>
      </c>
      <c r="G2019">
        <v>120664</v>
      </c>
      <c r="H2019" s="75">
        <v>42940</v>
      </c>
      <c r="I2019" t="s">
        <v>115</v>
      </c>
      <c r="J2019">
        <v>5000</v>
      </c>
      <c r="K2019">
        <v>165.54</v>
      </c>
      <c r="L2019">
        <v>30.2042</v>
      </c>
      <c r="M2019">
        <v>18986.735000000001</v>
      </c>
      <c r="N2019" t="s">
        <v>15</v>
      </c>
    </row>
    <row r="2020" spans="1:14" x14ac:dyDescent="0.2">
      <c r="A2020" t="s">
        <v>23</v>
      </c>
      <c r="B2020" t="s">
        <v>133</v>
      </c>
      <c r="C2020" t="s">
        <v>130</v>
      </c>
      <c r="D2020" t="s">
        <v>124</v>
      </c>
      <c r="E2020" t="s">
        <v>53</v>
      </c>
      <c r="F2020" t="s">
        <v>114</v>
      </c>
      <c r="G2020">
        <v>120664</v>
      </c>
      <c r="H2020" s="75">
        <v>42970</v>
      </c>
      <c r="I2020" t="s">
        <v>115</v>
      </c>
      <c r="J2020">
        <v>5000</v>
      </c>
      <c r="K2020">
        <v>164.65299999999999</v>
      </c>
      <c r="L2020">
        <v>30.366900000000001</v>
      </c>
      <c r="M2020">
        <v>19151.387999999999</v>
      </c>
      <c r="N2020" t="s">
        <v>15</v>
      </c>
    </row>
    <row r="2021" spans="1:14" x14ac:dyDescent="0.2">
      <c r="A2021" t="s">
        <v>23</v>
      </c>
      <c r="B2021" t="s">
        <v>133</v>
      </c>
      <c r="C2021" t="s">
        <v>130</v>
      </c>
      <c r="D2021" t="s">
        <v>124</v>
      </c>
      <c r="E2021" t="s">
        <v>53</v>
      </c>
      <c r="F2021" t="s">
        <v>114</v>
      </c>
      <c r="G2021">
        <v>120664</v>
      </c>
      <c r="H2021" s="75">
        <v>43000</v>
      </c>
      <c r="I2021" t="s">
        <v>115</v>
      </c>
      <c r="J2021">
        <v>5000</v>
      </c>
      <c r="K2021">
        <v>161.22800000000001</v>
      </c>
      <c r="L2021">
        <v>31.012</v>
      </c>
      <c r="M2021">
        <v>19312.616000000002</v>
      </c>
      <c r="N2021" t="s">
        <v>15</v>
      </c>
    </row>
    <row r="2022" spans="1:14" x14ac:dyDescent="0.2">
      <c r="A2022" t="s">
        <v>23</v>
      </c>
      <c r="B2022" t="s">
        <v>133</v>
      </c>
      <c r="C2022" t="s">
        <v>130</v>
      </c>
      <c r="D2022" t="s">
        <v>124</v>
      </c>
      <c r="E2022" t="s">
        <v>53</v>
      </c>
      <c r="F2022" t="s">
        <v>114</v>
      </c>
      <c r="G2022">
        <v>120664</v>
      </c>
      <c r="H2022" s="75">
        <v>43030</v>
      </c>
      <c r="I2022" t="s">
        <v>115</v>
      </c>
      <c r="J2022">
        <v>5000</v>
      </c>
      <c r="K2022">
        <v>157.566</v>
      </c>
      <c r="L2022">
        <v>31.732700000000001</v>
      </c>
      <c r="M2022">
        <v>19470.183000000001</v>
      </c>
      <c r="N2022" t="s">
        <v>15</v>
      </c>
    </row>
    <row r="2023" spans="1:14" x14ac:dyDescent="0.2">
      <c r="A2023" t="s">
        <v>23</v>
      </c>
      <c r="B2023" t="s">
        <v>133</v>
      </c>
      <c r="C2023" t="s">
        <v>130</v>
      </c>
      <c r="D2023" t="s">
        <v>124</v>
      </c>
      <c r="E2023" t="s">
        <v>53</v>
      </c>
      <c r="F2023" t="s">
        <v>114</v>
      </c>
      <c r="G2023">
        <v>120664</v>
      </c>
      <c r="H2023" s="75">
        <v>43060</v>
      </c>
      <c r="I2023" t="s">
        <v>115</v>
      </c>
      <c r="J2023">
        <v>5000</v>
      </c>
      <c r="K2023">
        <v>155.74600000000001</v>
      </c>
      <c r="L2023">
        <v>32.1036</v>
      </c>
      <c r="M2023">
        <v>19625.928</v>
      </c>
      <c r="N2023" t="s">
        <v>15</v>
      </c>
    </row>
    <row r="2024" spans="1:14" x14ac:dyDescent="0.2">
      <c r="A2024" t="s">
        <v>23</v>
      </c>
      <c r="B2024" t="s">
        <v>133</v>
      </c>
      <c r="C2024" t="s">
        <v>130</v>
      </c>
      <c r="D2024" t="s">
        <v>124</v>
      </c>
      <c r="E2024" t="s">
        <v>53</v>
      </c>
      <c r="F2024" t="s">
        <v>114</v>
      </c>
      <c r="G2024">
        <v>120664</v>
      </c>
      <c r="H2024" s="75">
        <v>43090</v>
      </c>
      <c r="I2024" t="s">
        <v>115</v>
      </c>
      <c r="J2024">
        <v>5000</v>
      </c>
      <c r="K2024">
        <v>155.84200000000001</v>
      </c>
      <c r="L2024">
        <v>32.083799999999997</v>
      </c>
      <c r="M2024">
        <v>19781.77</v>
      </c>
      <c r="N2024" t="s">
        <v>15</v>
      </c>
    </row>
    <row r="2025" spans="1:14" x14ac:dyDescent="0.2">
      <c r="A2025" t="s">
        <v>23</v>
      </c>
      <c r="B2025" t="s">
        <v>133</v>
      </c>
      <c r="C2025" t="s">
        <v>130</v>
      </c>
      <c r="D2025" t="s">
        <v>124</v>
      </c>
      <c r="E2025" t="s">
        <v>53</v>
      </c>
      <c r="F2025" t="s">
        <v>114</v>
      </c>
      <c r="G2025">
        <v>120664</v>
      </c>
      <c r="H2025" s="75">
        <v>43120</v>
      </c>
      <c r="I2025" t="s">
        <v>115</v>
      </c>
      <c r="J2025">
        <v>5000</v>
      </c>
      <c r="K2025">
        <v>155.07300000000001</v>
      </c>
      <c r="L2025">
        <v>32.242899999999999</v>
      </c>
      <c r="M2025">
        <v>19936.843000000001</v>
      </c>
      <c r="N2025" t="s">
        <v>15</v>
      </c>
    </row>
    <row r="2026" spans="1:14" x14ac:dyDescent="0.2">
      <c r="A2026" t="s">
        <v>23</v>
      </c>
      <c r="B2026" t="s">
        <v>133</v>
      </c>
      <c r="C2026" t="s">
        <v>130</v>
      </c>
      <c r="D2026" t="s">
        <v>124</v>
      </c>
      <c r="E2026" t="s">
        <v>53</v>
      </c>
      <c r="F2026" t="s">
        <v>114</v>
      </c>
      <c r="G2026">
        <v>120664</v>
      </c>
      <c r="H2026" s="75">
        <v>43150</v>
      </c>
      <c r="I2026" t="s">
        <v>115</v>
      </c>
      <c r="J2026">
        <v>5000</v>
      </c>
      <c r="K2026">
        <v>154.95599999999999</v>
      </c>
      <c r="L2026">
        <v>32.267299999999999</v>
      </c>
      <c r="M2026">
        <v>20091.798999999999</v>
      </c>
      <c r="N2026" t="s">
        <v>15</v>
      </c>
    </row>
    <row r="2027" spans="1:14" x14ac:dyDescent="0.2">
      <c r="A2027" t="s">
        <v>23</v>
      </c>
      <c r="B2027" t="s">
        <v>133</v>
      </c>
      <c r="C2027" t="s">
        <v>130</v>
      </c>
      <c r="D2027" t="s">
        <v>124</v>
      </c>
      <c r="E2027" t="s">
        <v>53</v>
      </c>
      <c r="F2027" t="s">
        <v>114</v>
      </c>
      <c r="G2027">
        <v>120664</v>
      </c>
      <c r="H2027" s="75">
        <v>43180</v>
      </c>
      <c r="I2027" t="s">
        <v>115</v>
      </c>
      <c r="J2027">
        <v>5000</v>
      </c>
      <c r="K2027">
        <v>157.215</v>
      </c>
      <c r="L2027">
        <v>31.8035</v>
      </c>
      <c r="M2027">
        <v>20249.013999999999</v>
      </c>
      <c r="N2027" t="s">
        <v>15</v>
      </c>
    </row>
    <row r="2028" spans="1:14" x14ac:dyDescent="0.2">
      <c r="A2028" t="s">
        <v>23</v>
      </c>
      <c r="B2028" t="s">
        <v>133</v>
      </c>
      <c r="C2028" t="s">
        <v>130</v>
      </c>
      <c r="D2028" t="s">
        <v>124</v>
      </c>
      <c r="E2028" t="s">
        <v>53</v>
      </c>
      <c r="F2028" t="s">
        <v>114</v>
      </c>
      <c r="G2028">
        <v>120664</v>
      </c>
      <c r="H2028" s="75">
        <v>43210</v>
      </c>
      <c r="I2028" t="s">
        <v>115</v>
      </c>
      <c r="J2028">
        <v>5000</v>
      </c>
      <c r="K2028">
        <v>157.316</v>
      </c>
      <c r="L2028">
        <v>31.783200000000001</v>
      </c>
      <c r="M2028">
        <v>20406.330000000002</v>
      </c>
      <c r="N2028" t="s">
        <v>15</v>
      </c>
    </row>
    <row r="2029" spans="1:14" x14ac:dyDescent="0.2">
      <c r="A2029" t="s">
        <v>23</v>
      </c>
      <c r="B2029" t="s">
        <v>133</v>
      </c>
      <c r="C2029" t="s">
        <v>130</v>
      </c>
      <c r="D2029" t="s">
        <v>124</v>
      </c>
      <c r="E2029" t="s">
        <v>53</v>
      </c>
      <c r="F2029" t="s">
        <v>114</v>
      </c>
      <c r="G2029">
        <v>120664</v>
      </c>
      <c r="H2029" s="75">
        <v>43240</v>
      </c>
      <c r="I2029" t="s">
        <v>115</v>
      </c>
      <c r="J2029">
        <v>5000</v>
      </c>
      <c r="K2029">
        <v>157.29499999999999</v>
      </c>
      <c r="L2029">
        <v>31.787500000000001</v>
      </c>
      <c r="M2029">
        <v>20563.624</v>
      </c>
      <c r="N2029" t="s">
        <v>15</v>
      </c>
    </row>
    <row r="2030" spans="1:14" x14ac:dyDescent="0.2">
      <c r="A2030" t="s">
        <v>23</v>
      </c>
      <c r="B2030" t="s">
        <v>133</v>
      </c>
      <c r="C2030" t="s">
        <v>130</v>
      </c>
      <c r="D2030" t="s">
        <v>124</v>
      </c>
      <c r="E2030" t="s">
        <v>53</v>
      </c>
      <c r="F2030" t="s">
        <v>114</v>
      </c>
      <c r="G2030">
        <v>120664</v>
      </c>
      <c r="H2030" s="75">
        <v>43270</v>
      </c>
      <c r="I2030" t="s">
        <v>115</v>
      </c>
      <c r="J2030">
        <v>5000</v>
      </c>
      <c r="K2030">
        <v>159.78700000000001</v>
      </c>
      <c r="L2030">
        <v>31.291599999999999</v>
      </c>
      <c r="M2030">
        <v>20723.412</v>
      </c>
      <c r="N2030" t="s">
        <v>15</v>
      </c>
    </row>
    <row r="2031" spans="1:14" x14ac:dyDescent="0.2">
      <c r="A2031" t="s">
        <v>23</v>
      </c>
      <c r="B2031" t="s">
        <v>133</v>
      </c>
      <c r="C2031" t="s">
        <v>130</v>
      </c>
      <c r="D2031" t="s">
        <v>124</v>
      </c>
      <c r="E2031" t="s">
        <v>53</v>
      </c>
      <c r="F2031" t="s">
        <v>114</v>
      </c>
      <c r="G2031">
        <v>120664</v>
      </c>
      <c r="H2031" s="75">
        <v>43300</v>
      </c>
      <c r="I2031" t="s">
        <v>115</v>
      </c>
      <c r="J2031">
        <v>5000</v>
      </c>
      <c r="K2031">
        <v>159.751</v>
      </c>
      <c r="L2031">
        <v>31.2987</v>
      </c>
      <c r="M2031">
        <v>20883.163</v>
      </c>
      <c r="N2031" t="s">
        <v>15</v>
      </c>
    </row>
    <row r="2032" spans="1:14" x14ac:dyDescent="0.2">
      <c r="A2032" t="s">
        <v>23</v>
      </c>
      <c r="B2032" t="s">
        <v>133</v>
      </c>
      <c r="C2032" t="s">
        <v>130</v>
      </c>
      <c r="D2032" t="s">
        <v>124</v>
      </c>
      <c r="E2032" t="s">
        <v>53</v>
      </c>
      <c r="F2032" t="s">
        <v>114</v>
      </c>
      <c r="G2032">
        <v>120664</v>
      </c>
      <c r="H2032" s="75">
        <v>43300</v>
      </c>
      <c r="I2032" t="s">
        <v>116</v>
      </c>
      <c r="J2032">
        <v>2.5</v>
      </c>
      <c r="K2032">
        <v>0</v>
      </c>
      <c r="M2032">
        <v>20883.163</v>
      </c>
      <c r="N2032" t="s">
        <v>17</v>
      </c>
    </row>
    <row r="2033" spans="1:15" x14ac:dyDescent="0.2">
      <c r="A2033" t="s">
        <v>23</v>
      </c>
      <c r="B2033" t="s">
        <v>133</v>
      </c>
      <c r="C2033" t="s">
        <v>130</v>
      </c>
      <c r="D2033" t="s">
        <v>124</v>
      </c>
      <c r="E2033" t="s">
        <v>53</v>
      </c>
      <c r="F2033" t="s">
        <v>114</v>
      </c>
      <c r="G2033">
        <v>120664</v>
      </c>
      <c r="H2033" s="75">
        <v>43330</v>
      </c>
      <c r="I2033" t="s">
        <v>115</v>
      </c>
      <c r="J2033">
        <v>5000</v>
      </c>
      <c r="K2033">
        <v>156.58099999999999</v>
      </c>
      <c r="L2033">
        <v>31.932300000000001</v>
      </c>
      <c r="M2033">
        <v>21039.743999999999</v>
      </c>
      <c r="N2033" t="s">
        <v>15</v>
      </c>
    </row>
    <row r="2034" spans="1:15" x14ac:dyDescent="0.2">
      <c r="A2034" t="s">
        <v>23</v>
      </c>
      <c r="B2034" t="s">
        <v>133</v>
      </c>
      <c r="C2034" t="s">
        <v>130</v>
      </c>
      <c r="D2034" t="s">
        <v>124</v>
      </c>
      <c r="E2034" t="s">
        <v>53</v>
      </c>
      <c r="F2034" t="s">
        <v>114</v>
      </c>
      <c r="G2034">
        <v>120664</v>
      </c>
      <c r="H2034" s="75">
        <v>43330</v>
      </c>
      <c r="I2034" t="s">
        <v>118</v>
      </c>
      <c r="J2034">
        <v>10519.87</v>
      </c>
      <c r="K2034">
        <v>0</v>
      </c>
      <c r="M2034">
        <v>21039.743999999999</v>
      </c>
      <c r="N2034" t="s">
        <v>19</v>
      </c>
      <c r="O2034">
        <v>10519.87</v>
      </c>
    </row>
    <row r="2035" spans="1:15" x14ac:dyDescent="0.2">
      <c r="A2035" t="s">
        <v>23</v>
      </c>
      <c r="B2035" t="s">
        <v>133</v>
      </c>
      <c r="C2035" t="s">
        <v>130</v>
      </c>
      <c r="D2035" t="s">
        <v>124</v>
      </c>
      <c r="E2035" t="s">
        <v>53</v>
      </c>
      <c r="F2035" t="s">
        <v>114</v>
      </c>
      <c r="G2035">
        <v>120664</v>
      </c>
      <c r="H2035" s="75">
        <v>43360</v>
      </c>
      <c r="I2035" t="s">
        <v>115</v>
      </c>
      <c r="J2035">
        <v>5000</v>
      </c>
      <c r="K2035">
        <v>154.78299999999999</v>
      </c>
      <c r="L2035">
        <v>32.303400000000003</v>
      </c>
      <c r="M2035">
        <v>21194.526000000002</v>
      </c>
      <c r="N2035" t="s">
        <v>15</v>
      </c>
    </row>
    <row r="2036" spans="1:15" x14ac:dyDescent="0.2">
      <c r="A2036" t="s">
        <v>23</v>
      </c>
      <c r="B2036" t="s">
        <v>133</v>
      </c>
      <c r="C2036" t="s">
        <v>130</v>
      </c>
      <c r="D2036" t="s">
        <v>124</v>
      </c>
      <c r="E2036" t="s">
        <v>53</v>
      </c>
      <c r="F2036" t="s">
        <v>114</v>
      </c>
      <c r="G2036">
        <v>120664</v>
      </c>
      <c r="H2036" s="75">
        <v>43390</v>
      </c>
      <c r="I2036" t="s">
        <v>115</v>
      </c>
      <c r="J2036">
        <v>5000</v>
      </c>
      <c r="K2036">
        <v>157.36600000000001</v>
      </c>
      <c r="L2036">
        <v>31.773</v>
      </c>
      <c r="M2036">
        <v>21351.893</v>
      </c>
      <c r="N2036" t="s">
        <v>15</v>
      </c>
    </row>
    <row r="2037" spans="1:15" x14ac:dyDescent="0.2">
      <c r="A2037" t="s">
        <v>23</v>
      </c>
      <c r="B2037" t="s">
        <v>133</v>
      </c>
      <c r="C2037" t="s">
        <v>130</v>
      </c>
      <c r="D2037" t="s">
        <v>124</v>
      </c>
      <c r="E2037" t="s">
        <v>53</v>
      </c>
      <c r="F2037" t="s">
        <v>114</v>
      </c>
      <c r="G2037">
        <v>120664</v>
      </c>
      <c r="H2037" s="75">
        <v>43420</v>
      </c>
      <c r="I2037" t="s">
        <v>115</v>
      </c>
      <c r="J2037">
        <v>5000</v>
      </c>
      <c r="K2037">
        <v>156.57900000000001</v>
      </c>
      <c r="L2037">
        <v>31.9328</v>
      </c>
      <c r="M2037">
        <v>21508.471000000001</v>
      </c>
      <c r="N2037" t="s">
        <v>15</v>
      </c>
    </row>
    <row r="2038" spans="1:15" x14ac:dyDescent="0.2">
      <c r="A2038" t="s">
        <v>23</v>
      </c>
      <c r="B2038" t="s">
        <v>133</v>
      </c>
      <c r="C2038" t="s">
        <v>130</v>
      </c>
      <c r="D2038" t="s">
        <v>124</v>
      </c>
      <c r="E2038" t="s">
        <v>53</v>
      </c>
      <c r="F2038" t="s">
        <v>114</v>
      </c>
      <c r="G2038">
        <v>120664</v>
      </c>
      <c r="H2038" s="75">
        <v>43420</v>
      </c>
      <c r="I2038" t="s">
        <v>116</v>
      </c>
      <c r="J2038">
        <v>2.5</v>
      </c>
      <c r="K2038">
        <v>0</v>
      </c>
      <c r="M2038">
        <v>21508.471000000001</v>
      </c>
      <c r="N2038" t="s">
        <v>17</v>
      </c>
    </row>
    <row r="2039" spans="1:15" x14ac:dyDescent="0.2">
      <c r="A2039" t="s">
        <v>23</v>
      </c>
      <c r="B2039" t="s">
        <v>133</v>
      </c>
      <c r="C2039" t="s">
        <v>130</v>
      </c>
      <c r="D2039" t="s">
        <v>124</v>
      </c>
      <c r="E2039" t="s">
        <v>53</v>
      </c>
      <c r="F2039" t="s">
        <v>114</v>
      </c>
      <c r="G2039">
        <v>120664</v>
      </c>
      <c r="H2039" s="75">
        <v>43450</v>
      </c>
      <c r="I2039" t="s">
        <v>115</v>
      </c>
      <c r="J2039">
        <v>5000</v>
      </c>
      <c r="K2039">
        <v>154.071</v>
      </c>
      <c r="L2039">
        <v>32.452599999999997</v>
      </c>
      <c r="M2039">
        <v>21662.542000000001</v>
      </c>
      <c r="N2039" t="s">
        <v>15</v>
      </c>
    </row>
    <row r="2040" spans="1:15" x14ac:dyDescent="0.2">
      <c r="A2040" t="s">
        <v>23</v>
      </c>
      <c r="B2040" t="s">
        <v>133</v>
      </c>
      <c r="C2040" t="s">
        <v>130</v>
      </c>
      <c r="D2040" t="s">
        <v>124</v>
      </c>
      <c r="E2040" t="s">
        <v>53</v>
      </c>
      <c r="F2040" t="s">
        <v>114</v>
      </c>
      <c r="G2040">
        <v>120664</v>
      </c>
      <c r="H2040" s="75">
        <v>43480</v>
      </c>
      <c r="I2040" t="s">
        <v>115</v>
      </c>
      <c r="J2040">
        <v>5000</v>
      </c>
      <c r="K2040">
        <v>154.88</v>
      </c>
      <c r="L2040">
        <v>32.283099999999997</v>
      </c>
      <c r="M2040">
        <v>21817.421999999999</v>
      </c>
      <c r="N2040" t="s">
        <v>15</v>
      </c>
    </row>
    <row r="2041" spans="1:15" x14ac:dyDescent="0.2">
      <c r="A2041" t="s">
        <v>23</v>
      </c>
      <c r="B2041" t="s">
        <v>133</v>
      </c>
      <c r="C2041" t="s">
        <v>130</v>
      </c>
      <c r="D2041" t="s">
        <v>124</v>
      </c>
      <c r="E2041" t="s">
        <v>53</v>
      </c>
      <c r="F2041" t="s">
        <v>114</v>
      </c>
      <c r="G2041">
        <v>120664</v>
      </c>
      <c r="H2041" s="75">
        <v>43510</v>
      </c>
      <c r="I2041" t="s">
        <v>115</v>
      </c>
      <c r="J2041">
        <v>5000</v>
      </c>
      <c r="K2041">
        <v>152.959</v>
      </c>
      <c r="L2041">
        <v>32.688600000000001</v>
      </c>
      <c r="M2041">
        <v>21970.381000000001</v>
      </c>
      <c r="N2041" t="s">
        <v>15</v>
      </c>
    </row>
    <row r="2042" spans="1:15" x14ac:dyDescent="0.2">
      <c r="A2042" t="s">
        <v>23</v>
      </c>
      <c r="B2042" t="s">
        <v>133</v>
      </c>
      <c r="C2042" t="s">
        <v>130</v>
      </c>
      <c r="D2042" t="s">
        <v>124</v>
      </c>
      <c r="E2042" t="s">
        <v>53</v>
      </c>
      <c r="F2042" t="s">
        <v>114</v>
      </c>
      <c r="G2042">
        <v>120664</v>
      </c>
      <c r="H2042" s="75">
        <v>43510</v>
      </c>
      <c r="I2042" t="s">
        <v>116</v>
      </c>
      <c r="J2042">
        <v>2.5</v>
      </c>
      <c r="K2042">
        <v>0</v>
      </c>
      <c r="M2042">
        <v>21970.381000000001</v>
      </c>
      <c r="N2042" t="s">
        <v>17</v>
      </c>
    </row>
    <row r="2043" spans="1:15" x14ac:dyDescent="0.2">
      <c r="A2043" t="s">
        <v>23</v>
      </c>
      <c r="B2043" t="s">
        <v>133</v>
      </c>
      <c r="C2043" t="s">
        <v>130</v>
      </c>
      <c r="D2043" t="s">
        <v>124</v>
      </c>
      <c r="E2043" t="s">
        <v>53</v>
      </c>
      <c r="F2043" t="s">
        <v>114</v>
      </c>
      <c r="G2043">
        <v>120664</v>
      </c>
      <c r="H2043" s="75">
        <v>43540</v>
      </c>
      <c r="I2043" t="s">
        <v>115</v>
      </c>
      <c r="J2043">
        <v>5000</v>
      </c>
      <c r="K2043">
        <v>150.767</v>
      </c>
      <c r="L2043">
        <v>33.163800000000002</v>
      </c>
      <c r="M2043">
        <v>22121.147000000001</v>
      </c>
      <c r="N2043" t="s">
        <v>15</v>
      </c>
    </row>
    <row r="2044" spans="1:15" x14ac:dyDescent="0.2">
      <c r="A2044" t="s">
        <v>23</v>
      </c>
      <c r="B2044" t="s">
        <v>133</v>
      </c>
      <c r="C2044" t="s">
        <v>130</v>
      </c>
      <c r="D2044" t="s">
        <v>124</v>
      </c>
      <c r="E2044" t="s">
        <v>53</v>
      </c>
      <c r="F2044" t="s">
        <v>114</v>
      </c>
      <c r="G2044">
        <v>120664</v>
      </c>
      <c r="H2044" s="75">
        <v>43570</v>
      </c>
      <c r="I2044" t="s">
        <v>115</v>
      </c>
      <c r="J2044">
        <v>5000</v>
      </c>
      <c r="K2044">
        <v>148.744</v>
      </c>
      <c r="L2044">
        <v>33.614899999999999</v>
      </c>
      <c r="M2044">
        <v>22269.891</v>
      </c>
      <c r="N2044" t="s">
        <v>15</v>
      </c>
    </row>
    <row r="2045" spans="1:15" x14ac:dyDescent="0.2">
      <c r="A2045" t="s">
        <v>23</v>
      </c>
      <c r="B2045" t="s">
        <v>133</v>
      </c>
      <c r="C2045" t="s">
        <v>130</v>
      </c>
      <c r="D2045" t="s">
        <v>124</v>
      </c>
      <c r="E2045" t="s">
        <v>53</v>
      </c>
      <c r="F2045" t="s">
        <v>114</v>
      </c>
      <c r="G2045">
        <v>120664</v>
      </c>
      <c r="H2045" s="75">
        <v>43600</v>
      </c>
      <c r="I2045" t="s">
        <v>115</v>
      </c>
      <c r="J2045">
        <v>5000</v>
      </c>
      <c r="K2045">
        <v>146.34800000000001</v>
      </c>
      <c r="L2045">
        <v>34.165100000000002</v>
      </c>
      <c r="M2045">
        <v>22416.239000000001</v>
      </c>
      <c r="N2045" t="s">
        <v>15</v>
      </c>
    </row>
    <row r="2046" spans="1:15" x14ac:dyDescent="0.2">
      <c r="A2046" t="s">
        <v>23</v>
      </c>
      <c r="B2046" t="s">
        <v>133</v>
      </c>
      <c r="C2046" t="s">
        <v>130</v>
      </c>
      <c r="D2046" t="s">
        <v>124</v>
      </c>
      <c r="E2046" t="s">
        <v>53</v>
      </c>
      <c r="F2046" t="s">
        <v>114</v>
      </c>
      <c r="G2046">
        <v>120664</v>
      </c>
      <c r="H2046" s="75">
        <v>43630</v>
      </c>
      <c r="I2046" t="s">
        <v>115</v>
      </c>
      <c r="J2046">
        <v>5000</v>
      </c>
      <c r="K2046">
        <v>142.55600000000001</v>
      </c>
      <c r="L2046">
        <v>35.074100000000001</v>
      </c>
      <c r="M2046">
        <v>22558.794999999998</v>
      </c>
      <c r="N2046" t="s">
        <v>15</v>
      </c>
    </row>
    <row r="2047" spans="1:15" x14ac:dyDescent="0.2">
      <c r="A2047" t="s">
        <v>23</v>
      </c>
      <c r="B2047" t="s">
        <v>133</v>
      </c>
      <c r="C2047" t="s">
        <v>130</v>
      </c>
      <c r="D2047" t="s">
        <v>124</v>
      </c>
      <c r="E2047" t="s">
        <v>53</v>
      </c>
      <c r="F2047" t="s">
        <v>114</v>
      </c>
      <c r="G2047">
        <v>120664</v>
      </c>
      <c r="H2047" s="75">
        <v>43660</v>
      </c>
      <c r="I2047" t="s">
        <v>115</v>
      </c>
      <c r="J2047">
        <v>5000</v>
      </c>
      <c r="K2047">
        <v>139.74100000000001</v>
      </c>
      <c r="L2047">
        <v>35.780500000000004</v>
      </c>
      <c r="M2047">
        <v>22698.536</v>
      </c>
      <c r="N2047" t="s">
        <v>15</v>
      </c>
    </row>
    <row r="2048" spans="1:15" x14ac:dyDescent="0.2">
      <c r="A2048" t="s">
        <v>23</v>
      </c>
      <c r="B2048" t="s">
        <v>133</v>
      </c>
      <c r="C2048" t="s">
        <v>130</v>
      </c>
      <c r="D2048" t="s">
        <v>124</v>
      </c>
      <c r="E2048" t="s">
        <v>53</v>
      </c>
      <c r="F2048" t="s">
        <v>114</v>
      </c>
      <c r="G2048">
        <v>120664</v>
      </c>
      <c r="H2048" s="75">
        <v>43660</v>
      </c>
      <c r="I2048" t="s">
        <v>116</v>
      </c>
      <c r="J2048">
        <v>2.5</v>
      </c>
      <c r="K2048">
        <v>0</v>
      </c>
      <c r="M2048">
        <v>22698.536</v>
      </c>
      <c r="N2048" t="s">
        <v>17</v>
      </c>
    </row>
    <row r="2049" spans="1:15" x14ac:dyDescent="0.2">
      <c r="A2049" t="s">
        <v>23</v>
      </c>
      <c r="B2049" t="s">
        <v>133</v>
      </c>
      <c r="C2049" t="s">
        <v>130</v>
      </c>
      <c r="D2049" t="s">
        <v>124</v>
      </c>
      <c r="E2049" t="s">
        <v>53</v>
      </c>
      <c r="F2049" t="s">
        <v>114</v>
      </c>
      <c r="G2049">
        <v>120664</v>
      </c>
      <c r="H2049" s="75">
        <v>43690</v>
      </c>
      <c r="I2049" t="s">
        <v>115</v>
      </c>
      <c r="J2049">
        <v>5000</v>
      </c>
      <c r="K2049">
        <v>142.48400000000001</v>
      </c>
      <c r="L2049">
        <v>35.091799999999999</v>
      </c>
      <c r="M2049">
        <v>22841.019</v>
      </c>
      <c r="N2049" t="s">
        <v>15</v>
      </c>
    </row>
    <row r="2050" spans="1:15" x14ac:dyDescent="0.2">
      <c r="A2050" t="s">
        <v>23</v>
      </c>
      <c r="B2050" t="s">
        <v>133</v>
      </c>
      <c r="C2050" t="s">
        <v>130</v>
      </c>
      <c r="D2050" t="s">
        <v>124</v>
      </c>
      <c r="E2050" t="s">
        <v>53</v>
      </c>
      <c r="F2050" t="s">
        <v>114</v>
      </c>
      <c r="G2050">
        <v>120664</v>
      </c>
      <c r="H2050" s="75">
        <v>43720</v>
      </c>
      <c r="I2050" t="s">
        <v>115</v>
      </c>
      <c r="J2050">
        <v>5000</v>
      </c>
      <c r="K2050">
        <v>140.15600000000001</v>
      </c>
      <c r="L2050">
        <v>35.674500000000002</v>
      </c>
      <c r="M2050">
        <v>22981.175999999999</v>
      </c>
      <c r="N2050" t="s">
        <v>15</v>
      </c>
    </row>
    <row r="2051" spans="1:15" x14ac:dyDescent="0.2">
      <c r="A2051" t="s">
        <v>23</v>
      </c>
      <c r="B2051" t="s">
        <v>133</v>
      </c>
      <c r="C2051" t="s">
        <v>130</v>
      </c>
      <c r="D2051" t="s">
        <v>124</v>
      </c>
      <c r="E2051" t="s">
        <v>53</v>
      </c>
      <c r="F2051" t="s">
        <v>114</v>
      </c>
      <c r="G2051">
        <v>120664</v>
      </c>
      <c r="H2051" s="75">
        <v>43750</v>
      </c>
      <c r="I2051" t="s">
        <v>115</v>
      </c>
      <c r="J2051">
        <v>5000</v>
      </c>
      <c r="K2051">
        <v>138.262</v>
      </c>
      <c r="L2051">
        <v>36.1633</v>
      </c>
      <c r="M2051">
        <v>23119.437000000002</v>
      </c>
      <c r="N2051" t="s">
        <v>15</v>
      </c>
    </row>
    <row r="2052" spans="1:15" x14ac:dyDescent="0.2">
      <c r="A2052" t="s">
        <v>23</v>
      </c>
      <c r="B2052" t="s">
        <v>133</v>
      </c>
      <c r="C2052" t="s">
        <v>130</v>
      </c>
      <c r="D2052" t="s">
        <v>124</v>
      </c>
      <c r="E2052" t="s">
        <v>53</v>
      </c>
      <c r="F2052" t="s">
        <v>114</v>
      </c>
      <c r="G2052">
        <v>120664</v>
      </c>
      <c r="H2052" s="75">
        <v>43780</v>
      </c>
      <c r="I2052" t="s">
        <v>115</v>
      </c>
      <c r="J2052">
        <v>5000</v>
      </c>
      <c r="K2052">
        <v>136.81800000000001</v>
      </c>
      <c r="L2052">
        <v>36.545000000000002</v>
      </c>
      <c r="M2052">
        <v>23256.255000000001</v>
      </c>
      <c r="N2052" t="s">
        <v>15</v>
      </c>
    </row>
    <row r="2053" spans="1:15" x14ac:dyDescent="0.2">
      <c r="A2053" t="s">
        <v>23</v>
      </c>
      <c r="B2053" t="s">
        <v>133</v>
      </c>
      <c r="C2053" t="s">
        <v>130</v>
      </c>
      <c r="D2053" t="s">
        <v>124</v>
      </c>
      <c r="E2053" t="s">
        <v>53</v>
      </c>
      <c r="F2053" t="s">
        <v>114</v>
      </c>
      <c r="G2053">
        <v>120664</v>
      </c>
      <c r="H2053" s="75">
        <v>43810</v>
      </c>
      <c r="I2053" t="s">
        <v>115</v>
      </c>
      <c r="J2053">
        <v>5000</v>
      </c>
      <c r="K2053">
        <v>136.233</v>
      </c>
      <c r="L2053">
        <v>36.701900000000002</v>
      </c>
      <c r="M2053">
        <v>23392.488000000001</v>
      </c>
      <c r="N2053" t="s">
        <v>15</v>
      </c>
    </row>
    <row r="2054" spans="1:15" x14ac:dyDescent="0.2">
      <c r="A2054" t="s">
        <v>23</v>
      </c>
      <c r="B2054" t="s">
        <v>133</v>
      </c>
      <c r="C2054" t="s">
        <v>130</v>
      </c>
      <c r="D2054" t="s">
        <v>124</v>
      </c>
      <c r="E2054" t="s">
        <v>53</v>
      </c>
      <c r="F2054" t="s">
        <v>114</v>
      </c>
      <c r="G2054">
        <v>120664</v>
      </c>
      <c r="H2054" s="75">
        <v>43810</v>
      </c>
      <c r="I2054" t="s">
        <v>25</v>
      </c>
      <c r="J2054">
        <v>-171709.62</v>
      </c>
      <c r="K2054">
        <v>-4678.4979999999996</v>
      </c>
      <c r="L2054">
        <v>36.701900000000002</v>
      </c>
      <c r="M2054">
        <v>18713.990000000002</v>
      </c>
      <c r="N2054" t="s">
        <v>16</v>
      </c>
    </row>
    <row r="2055" spans="1:15" x14ac:dyDescent="0.2">
      <c r="A2055" t="s">
        <v>23</v>
      </c>
      <c r="B2055" t="s">
        <v>133</v>
      </c>
      <c r="C2055" t="s">
        <v>130</v>
      </c>
      <c r="D2055" t="s">
        <v>124</v>
      </c>
      <c r="E2055" t="s">
        <v>53</v>
      </c>
      <c r="F2055" t="s">
        <v>114</v>
      </c>
      <c r="G2055">
        <v>120664</v>
      </c>
      <c r="H2055" s="75">
        <v>43840</v>
      </c>
      <c r="I2055" t="s">
        <v>115</v>
      </c>
      <c r="J2055">
        <v>5000</v>
      </c>
      <c r="K2055">
        <v>133.54499999999999</v>
      </c>
      <c r="L2055">
        <v>37.4407</v>
      </c>
      <c r="M2055">
        <v>18847.535</v>
      </c>
      <c r="N2055" t="s">
        <v>15</v>
      </c>
    </row>
    <row r="2056" spans="1:15" x14ac:dyDescent="0.2">
      <c r="A2056" t="s">
        <v>23</v>
      </c>
      <c r="B2056" t="s">
        <v>133</v>
      </c>
      <c r="C2056" t="s">
        <v>130</v>
      </c>
      <c r="D2056" t="s">
        <v>124</v>
      </c>
      <c r="E2056" t="s">
        <v>53</v>
      </c>
      <c r="F2056" t="s">
        <v>114</v>
      </c>
      <c r="G2056">
        <v>120664</v>
      </c>
      <c r="H2056" s="75">
        <v>43870</v>
      </c>
      <c r="I2056" t="s">
        <v>115</v>
      </c>
      <c r="J2056">
        <v>5000</v>
      </c>
      <c r="K2056">
        <v>133.07599999999999</v>
      </c>
      <c r="L2056">
        <v>37.572400000000002</v>
      </c>
      <c r="M2056">
        <v>18980.611000000001</v>
      </c>
      <c r="N2056" t="s">
        <v>15</v>
      </c>
    </row>
    <row r="2057" spans="1:15" x14ac:dyDescent="0.2">
      <c r="A2057" t="s">
        <v>23</v>
      </c>
      <c r="B2057" t="s">
        <v>133</v>
      </c>
      <c r="C2057" t="s">
        <v>130</v>
      </c>
      <c r="D2057" t="s">
        <v>124</v>
      </c>
      <c r="E2057" t="s">
        <v>53</v>
      </c>
      <c r="F2057" t="s">
        <v>114</v>
      </c>
      <c r="G2057">
        <v>120664</v>
      </c>
      <c r="H2057" s="75">
        <v>43900</v>
      </c>
      <c r="I2057" t="s">
        <v>115</v>
      </c>
      <c r="J2057">
        <v>5000</v>
      </c>
      <c r="K2057">
        <v>132.685</v>
      </c>
      <c r="L2057">
        <v>37.683199999999999</v>
      </c>
      <c r="M2057">
        <v>19113.295999999998</v>
      </c>
      <c r="N2057" t="s">
        <v>15</v>
      </c>
    </row>
    <row r="2058" spans="1:15" x14ac:dyDescent="0.2">
      <c r="A2058" t="s">
        <v>23</v>
      </c>
      <c r="B2058" t="s">
        <v>133</v>
      </c>
      <c r="C2058" t="s">
        <v>130</v>
      </c>
      <c r="D2058" t="s">
        <v>124</v>
      </c>
      <c r="E2058" t="s">
        <v>53</v>
      </c>
      <c r="F2058" t="s">
        <v>114</v>
      </c>
      <c r="G2058">
        <v>120664</v>
      </c>
      <c r="H2058" s="75">
        <v>43930</v>
      </c>
      <c r="I2058" t="s">
        <v>115</v>
      </c>
      <c r="J2058">
        <v>5000</v>
      </c>
      <c r="K2058">
        <v>135.37200000000001</v>
      </c>
      <c r="L2058">
        <v>36.935299999999998</v>
      </c>
      <c r="M2058">
        <v>19248.668000000001</v>
      </c>
      <c r="N2058" t="s">
        <v>15</v>
      </c>
    </row>
    <row r="2059" spans="1:15" x14ac:dyDescent="0.2">
      <c r="A2059" t="s">
        <v>23</v>
      </c>
      <c r="B2059" t="s">
        <v>133</v>
      </c>
      <c r="C2059" t="s">
        <v>130</v>
      </c>
      <c r="D2059" t="s">
        <v>124</v>
      </c>
      <c r="E2059" t="s">
        <v>53</v>
      </c>
      <c r="F2059" t="s">
        <v>114</v>
      </c>
      <c r="G2059">
        <v>120664</v>
      </c>
      <c r="H2059" s="75">
        <v>43960</v>
      </c>
      <c r="I2059" t="s">
        <v>115</v>
      </c>
      <c r="J2059">
        <v>5000</v>
      </c>
      <c r="K2059">
        <v>137.38300000000001</v>
      </c>
      <c r="L2059">
        <v>36.394500000000001</v>
      </c>
      <c r="M2059">
        <v>19386.050999999999</v>
      </c>
      <c r="N2059" t="s">
        <v>15</v>
      </c>
    </row>
    <row r="2060" spans="1:15" x14ac:dyDescent="0.2">
      <c r="A2060" t="s">
        <v>23</v>
      </c>
      <c r="B2060" t="s">
        <v>133</v>
      </c>
      <c r="C2060" t="s">
        <v>130</v>
      </c>
      <c r="D2060" t="s">
        <v>124</v>
      </c>
      <c r="E2060" t="s">
        <v>53</v>
      </c>
      <c r="F2060" t="s">
        <v>114</v>
      </c>
      <c r="G2060">
        <v>120664</v>
      </c>
      <c r="H2060" s="75">
        <v>43990</v>
      </c>
      <c r="I2060" t="s">
        <v>115</v>
      </c>
      <c r="J2060">
        <v>5000</v>
      </c>
      <c r="K2060">
        <v>136.65700000000001</v>
      </c>
      <c r="L2060">
        <v>36.588000000000001</v>
      </c>
      <c r="M2060">
        <v>19522.707999999999</v>
      </c>
      <c r="N2060" t="s">
        <v>15</v>
      </c>
    </row>
    <row r="2061" spans="1:15" x14ac:dyDescent="0.2">
      <c r="A2061" t="s">
        <v>23</v>
      </c>
      <c r="B2061" t="s">
        <v>133</v>
      </c>
      <c r="C2061" t="s">
        <v>130</v>
      </c>
      <c r="D2061" t="s">
        <v>124</v>
      </c>
      <c r="E2061" t="s">
        <v>53</v>
      </c>
      <c r="F2061" t="s">
        <v>114</v>
      </c>
      <c r="G2061">
        <v>120664</v>
      </c>
      <c r="H2061" s="75">
        <v>43990</v>
      </c>
      <c r="I2061" t="s">
        <v>117</v>
      </c>
      <c r="J2061">
        <v>2.5</v>
      </c>
      <c r="K2061">
        <v>0</v>
      </c>
      <c r="M2061">
        <v>19522.707999999999</v>
      </c>
      <c r="N2061" t="s">
        <v>46</v>
      </c>
    </row>
    <row r="2062" spans="1:15" x14ac:dyDescent="0.2">
      <c r="A2062" t="s">
        <v>23</v>
      </c>
      <c r="B2062" t="s">
        <v>133</v>
      </c>
      <c r="C2062" t="s">
        <v>130</v>
      </c>
      <c r="D2062" t="s">
        <v>124</v>
      </c>
      <c r="E2062" t="s">
        <v>53</v>
      </c>
      <c r="F2062" t="s">
        <v>114</v>
      </c>
      <c r="G2062">
        <v>120664</v>
      </c>
      <c r="H2062" s="75">
        <v>44020</v>
      </c>
      <c r="I2062" t="s">
        <v>115</v>
      </c>
      <c r="J2062">
        <v>5000</v>
      </c>
      <c r="K2062">
        <v>137.821</v>
      </c>
      <c r="L2062">
        <v>36.2789</v>
      </c>
      <c r="M2062">
        <v>19660.53</v>
      </c>
      <c r="N2062" t="s">
        <v>15</v>
      </c>
    </row>
    <row r="2063" spans="1:15" x14ac:dyDescent="0.2">
      <c r="A2063" t="s">
        <v>23</v>
      </c>
      <c r="B2063" t="s">
        <v>133</v>
      </c>
      <c r="C2063" t="s">
        <v>130</v>
      </c>
      <c r="D2063" t="s">
        <v>124</v>
      </c>
      <c r="E2063" t="s">
        <v>53</v>
      </c>
      <c r="F2063" t="s">
        <v>114</v>
      </c>
      <c r="G2063">
        <v>120664</v>
      </c>
      <c r="H2063" s="75">
        <v>44050</v>
      </c>
      <c r="I2063" t="s">
        <v>115</v>
      </c>
      <c r="J2063">
        <v>5000</v>
      </c>
      <c r="K2063">
        <v>138.553</v>
      </c>
      <c r="L2063">
        <v>36.087200000000003</v>
      </c>
      <c r="M2063">
        <v>19799.082999999999</v>
      </c>
      <c r="N2063" t="s">
        <v>15</v>
      </c>
    </row>
    <row r="2064" spans="1:15" x14ac:dyDescent="0.2">
      <c r="A2064" t="s">
        <v>23</v>
      </c>
      <c r="B2064" t="s">
        <v>133</v>
      </c>
      <c r="C2064" t="s">
        <v>130</v>
      </c>
      <c r="D2064" t="s">
        <v>124</v>
      </c>
      <c r="E2064" t="s">
        <v>53</v>
      </c>
      <c r="F2064" t="s">
        <v>114</v>
      </c>
      <c r="G2064">
        <v>120664</v>
      </c>
      <c r="H2064" s="75">
        <v>44050</v>
      </c>
      <c r="I2064" t="s">
        <v>118</v>
      </c>
      <c r="J2064">
        <v>9899.5400000000009</v>
      </c>
      <c r="K2064">
        <v>0</v>
      </c>
      <c r="M2064">
        <v>19799.082999999999</v>
      </c>
      <c r="N2064" t="s">
        <v>19</v>
      </c>
      <c r="O2064">
        <v>9899.5400000000009</v>
      </c>
    </row>
    <row r="2065" spans="1:14" x14ac:dyDescent="0.2">
      <c r="A2065" t="s">
        <v>23</v>
      </c>
      <c r="B2065" t="s">
        <v>133</v>
      </c>
      <c r="C2065" t="s">
        <v>130</v>
      </c>
      <c r="D2065" t="s">
        <v>124</v>
      </c>
      <c r="E2065" t="s">
        <v>53</v>
      </c>
      <c r="F2065" t="s">
        <v>114</v>
      </c>
      <c r="G2065">
        <v>120664</v>
      </c>
      <c r="H2065" s="75">
        <v>44080</v>
      </c>
      <c r="I2065" t="s">
        <v>115</v>
      </c>
      <c r="J2065">
        <v>5000</v>
      </c>
      <c r="K2065">
        <v>136.82599999999999</v>
      </c>
      <c r="L2065">
        <v>36.542700000000004</v>
      </c>
      <c r="M2065">
        <v>19935.909</v>
      </c>
      <c r="N2065" t="s">
        <v>15</v>
      </c>
    </row>
    <row r="2066" spans="1:14" x14ac:dyDescent="0.2">
      <c r="A2066" t="s">
        <v>23</v>
      </c>
      <c r="B2066" t="s">
        <v>133</v>
      </c>
      <c r="C2066" t="s">
        <v>130</v>
      </c>
      <c r="D2066" t="s">
        <v>124</v>
      </c>
      <c r="E2066" t="s">
        <v>53</v>
      </c>
      <c r="F2066" t="s">
        <v>114</v>
      </c>
      <c r="G2066">
        <v>120664</v>
      </c>
      <c r="H2066" s="75">
        <v>44110</v>
      </c>
      <c r="I2066" t="s">
        <v>115</v>
      </c>
      <c r="J2066">
        <v>5000</v>
      </c>
      <c r="K2066">
        <v>133.94</v>
      </c>
      <c r="L2066">
        <v>37.330199999999998</v>
      </c>
      <c r="M2066">
        <v>20069.848000000002</v>
      </c>
      <c r="N2066" t="s">
        <v>15</v>
      </c>
    </row>
    <row r="2067" spans="1:14" x14ac:dyDescent="0.2">
      <c r="A2067" t="s">
        <v>23</v>
      </c>
      <c r="B2067" t="s">
        <v>133</v>
      </c>
      <c r="C2067" t="s">
        <v>130</v>
      </c>
      <c r="D2067" t="s">
        <v>124</v>
      </c>
      <c r="E2067" t="s">
        <v>53</v>
      </c>
      <c r="F2067" t="s">
        <v>114</v>
      </c>
      <c r="G2067">
        <v>120664</v>
      </c>
      <c r="H2067" s="75">
        <v>44140</v>
      </c>
      <c r="I2067" t="s">
        <v>115</v>
      </c>
      <c r="J2067">
        <v>5000</v>
      </c>
      <c r="K2067">
        <v>132.19300000000001</v>
      </c>
      <c r="L2067">
        <v>37.823399999999999</v>
      </c>
      <c r="M2067">
        <v>20202.042000000001</v>
      </c>
      <c r="N2067" t="s">
        <v>15</v>
      </c>
    </row>
    <row r="2068" spans="1:14" x14ac:dyDescent="0.2">
      <c r="A2068" t="s">
        <v>23</v>
      </c>
      <c r="B2068" t="s">
        <v>133</v>
      </c>
      <c r="C2068" t="s">
        <v>130</v>
      </c>
      <c r="D2068" t="s">
        <v>124</v>
      </c>
      <c r="E2068" t="s">
        <v>53</v>
      </c>
      <c r="F2068" t="s">
        <v>114</v>
      </c>
      <c r="G2068">
        <v>120664</v>
      </c>
      <c r="H2068" s="75">
        <v>44170</v>
      </c>
      <c r="I2068" t="s">
        <v>115</v>
      </c>
      <c r="J2068">
        <v>5000</v>
      </c>
      <c r="K2068">
        <v>130.446</v>
      </c>
      <c r="L2068">
        <v>38.33</v>
      </c>
      <c r="M2068">
        <v>20332.488000000001</v>
      </c>
      <c r="N2068" t="s">
        <v>15</v>
      </c>
    </row>
    <row r="2069" spans="1:14" x14ac:dyDescent="0.2">
      <c r="A2069" t="s">
        <v>23</v>
      </c>
      <c r="B2069" t="s">
        <v>133</v>
      </c>
      <c r="C2069" t="s">
        <v>130</v>
      </c>
      <c r="D2069" t="s">
        <v>124</v>
      </c>
      <c r="E2069" t="s">
        <v>53</v>
      </c>
      <c r="F2069" t="s">
        <v>114</v>
      </c>
      <c r="G2069">
        <v>120664</v>
      </c>
      <c r="H2069" s="75">
        <v>44200</v>
      </c>
      <c r="I2069" t="s">
        <v>115</v>
      </c>
      <c r="J2069">
        <v>5000</v>
      </c>
      <c r="K2069">
        <v>129.71899999999999</v>
      </c>
      <c r="L2069">
        <v>38.544899999999998</v>
      </c>
      <c r="M2069">
        <v>20462.206999999999</v>
      </c>
      <c r="N2069" t="s">
        <v>15</v>
      </c>
    </row>
    <row r="2070" spans="1:14" x14ac:dyDescent="0.2">
      <c r="A2070" t="s">
        <v>23</v>
      </c>
      <c r="B2070" t="s">
        <v>133</v>
      </c>
      <c r="C2070" t="s">
        <v>130</v>
      </c>
      <c r="D2070" t="s">
        <v>124</v>
      </c>
      <c r="E2070" t="s">
        <v>53</v>
      </c>
      <c r="F2070" t="s">
        <v>114</v>
      </c>
      <c r="G2070">
        <v>120664</v>
      </c>
      <c r="H2070" s="75">
        <v>44230</v>
      </c>
      <c r="I2070" t="s">
        <v>115</v>
      </c>
      <c r="J2070">
        <v>5000</v>
      </c>
      <c r="K2070">
        <v>130.209</v>
      </c>
      <c r="L2070">
        <v>38.399799999999999</v>
      </c>
      <c r="M2070">
        <v>20592.416000000001</v>
      </c>
      <c r="N2070" t="s">
        <v>15</v>
      </c>
    </row>
    <row r="2071" spans="1:14" x14ac:dyDescent="0.2">
      <c r="A2071" t="s">
        <v>23</v>
      </c>
      <c r="B2071" t="s">
        <v>133</v>
      </c>
      <c r="C2071" t="s">
        <v>130</v>
      </c>
      <c r="D2071" t="s">
        <v>124</v>
      </c>
      <c r="E2071" t="s">
        <v>53</v>
      </c>
      <c r="F2071" t="s">
        <v>114</v>
      </c>
      <c r="G2071">
        <v>120664</v>
      </c>
      <c r="H2071" s="75">
        <v>44260</v>
      </c>
      <c r="I2071" t="s">
        <v>115</v>
      </c>
      <c r="J2071">
        <v>5000</v>
      </c>
      <c r="K2071">
        <v>128.46199999999999</v>
      </c>
      <c r="L2071">
        <v>38.921900000000001</v>
      </c>
      <c r="M2071">
        <v>20720.878000000001</v>
      </c>
      <c r="N2071" t="s">
        <v>15</v>
      </c>
    </row>
    <row r="2072" spans="1:14" x14ac:dyDescent="0.2">
      <c r="A2072" t="s">
        <v>23</v>
      </c>
      <c r="B2072" t="s">
        <v>133</v>
      </c>
      <c r="C2072" t="s">
        <v>130</v>
      </c>
      <c r="D2072" t="s">
        <v>124</v>
      </c>
      <c r="E2072" t="s">
        <v>53</v>
      </c>
      <c r="F2072" t="s">
        <v>114</v>
      </c>
      <c r="G2072">
        <v>120664</v>
      </c>
      <c r="H2072" s="75">
        <v>44290</v>
      </c>
      <c r="I2072" t="s">
        <v>115</v>
      </c>
      <c r="J2072">
        <v>5000</v>
      </c>
      <c r="K2072">
        <v>124.848</v>
      </c>
      <c r="L2072">
        <v>40.0486</v>
      </c>
      <c r="M2072">
        <v>20845.726999999999</v>
      </c>
      <c r="N2072" t="s">
        <v>15</v>
      </c>
    </row>
    <row r="2073" spans="1:14" x14ac:dyDescent="0.2">
      <c r="A2073" t="s">
        <v>23</v>
      </c>
      <c r="B2073" t="s">
        <v>133</v>
      </c>
      <c r="C2073" t="s">
        <v>130</v>
      </c>
      <c r="D2073" t="s">
        <v>124</v>
      </c>
      <c r="E2073" t="s">
        <v>53</v>
      </c>
      <c r="F2073" t="s">
        <v>114</v>
      </c>
      <c r="G2073">
        <v>120664</v>
      </c>
      <c r="H2073" s="75">
        <v>44320</v>
      </c>
      <c r="I2073" t="s">
        <v>115</v>
      </c>
      <c r="J2073">
        <v>5000</v>
      </c>
      <c r="K2073">
        <v>122.82299999999999</v>
      </c>
      <c r="L2073">
        <v>40.708799999999997</v>
      </c>
      <c r="M2073">
        <v>20968.55</v>
      </c>
      <c r="N2073" t="s">
        <v>15</v>
      </c>
    </row>
    <row r="2074" spans="1:14" x14ac:dyDescent="0.2">
      <c r="A2074" t="s">
        <v>23</v>
      </c>
      <c r="B2074" t="s">
        <v>133</v>
      </c>
      <c r="C2074" t="s">
        <v>130</v>
      </c>
      <c r="D2074" t="s">
        <v>124</v>
      </c>
      <c r="E2074" t="s">
        <v>53</v>
      </c>
      <c r="F2074" t="s">
        <v>114</v>
      </c>
      <c r="G2074">
        <v>120664</v>
      </c>
      <c r="H2074" s="75">
        <v>44350</v>
      </c>
      <c r="I2074" t="s">
        <v>115</v>
      </c>
      <c r="J2074">
        <v>5000</v>
      </c>
      <c r="K2074">
        <v>120.22199999999999</v>
      </c>
      <c r="L2074">
        <v>41.589700000000001</v>
      </c>
      <c r="M2074">
        <v>21088.772000000001</v>
      </c>
      <c r="N2074" t="s">
        <v>15</v>
      </c>
    </row>
    <row r="2075" spans="1:14" x14ac:dyDescent="0.2">
      <c r="A2075" t="s">
        <v>23</v>
      </c>
      <c r="B2075" t="s">
        <v>133</v>
      </c>
      <c r="C2075" t="s">
        <v>130</v>
      </c>
      <c r="D2075" t="s">
        <v>124</v>
      </c>
      <c r="E2075" t="s">
        <v>53</v>
      </c>
      <c r="F2075" t="s">
        <v>114</v>
      </c>
      <c r="G2075">
        <v>120664</v>
      </c>
      <c r="H2075" s="75">
        <v>44380</v>
      </c>
      <c r="I2075" t="s">
        <v>115</v>
      </c>
      <c r="J2075">
        <v>5000</v>
      </c>
      <c r="K2075">
        <v>119.85899999999999</v>
      </c>
      <c r="L2075">
        <v>41.715600000000002</v>
      </c>
      <c r="M2075">
        <v>21208.631000000001</v>
      </c>
      <c r="N2075" t="s">
        <v>15</v>
      </c>
    </row>
    <row r="2076" spans="1:14" x14ac:dyDescent="0.2">
      <c r="A2076" t="s">
        <v>23</v>
      </c>
      <c r="B2076" t="s">
        <v>133</v>
      </c>
      <c r="C2076" t="s">
        <v>130</v>
      </c>
      <c r="D2076" t="s">
        <v>124</v>
      </c>
      <c r="E2076" t="s">
        <v>53</v>
      </c>
      <c r="F2076" t="s">
        <v>114</v>
      </c>
      <c r="G2076">
        <v>120664</v>
      </c>
      <c r="H2076" s="75">
        <v>44410</v>
      </c>
      <c r="I2076" t="s">
        <v>115</v>
      </c>
      <c r="J2076">
        <v>5000</v>
      </c>
      <c r="K2076">
        <v>119.45399999999999</v>
      </c>
      <c r="L2076">
        <v>41.857100000000003</v>
      </c>
      <c r="M2076">
        <v>21328.085999999999</v>
      </c>
      <c r="N2076" t="s">
        <v>15</v>
      </c>
    </row>
    <row r="2077" spans="1:14" x14ac:dyDescent="0.2">
      <c r="A2077" t="s">
        <v>23</v>
      </c>
      <c r="B2077" t="s">
        <v>133</v>
      </c>
      <c r="C2077" t="s">
        <v>130</v>
      </c>
      <c r="D2077" t="s">
        <v>124</v>
      </c>
      <c r="E2077" t="s">
        <v>53</v>
      </c>
      <c r="F2077" t="s">
        <v>114</v>
      </c>
      <c r="G2077">
        <v>120664</v>
      </c>
      <c r="H2077" s="75">
        <v>44440</v>
      </c>
      <c r="I2077" t="s">
        <v>115</v>
      </c>
      <c r="J2077">
        <v>5000</v>
      </c>
      <c r="K2077">
        <v>120.68600000000001</v>
      </c>
      <c r="L2077">
        <v>41.4298</v>
      </c>
      <c r="M2077">
        <v>21448.771000000001</v>
      </c>
      <c r="N2077" t="s">
        <v>15</v>
      </c>
    </row>
    <row r="2078" spans="1:14" x14ac:dyDescent="0.2">
      <c r="A2078" t="s">
        <v>23</v>
      </c>
      <c r="B2078" t="s">
        <v>133</v>
      </c>
      <c r="C2078" t="s">
        <v>130</v>
      </c>
      <c r="D2078" t="s">
        <v>124</v>
      </c>
      <c r="E2078" t="s">
        <v>53</v>
      </c>
      <c r="F2078" t="s">
        <v>114</v>
      </c>
      <c r="G2078">
        <v>120664</v>
      </c>
      <c r="H2078" s="75">
        <v>44470</v>
      </c>
      <c r="I2078" t="s">
        <v>115</v>
      </c>
      <c r="J2078">
        <v>5000</v>
      </c>
      <c r="K2078">
        <v>119.434</v>
      </c>
      <c r="L2078">
        <v>41.8643</v>
      </c>
      <c r="M2078">
        <v>21568.205000000002</v>
      </c>
      <c r="N2078" t="s">
        <v>15</v>
      </c>
    </row>
    <row r="2079" spans="1:14" x14ac:dyDescent="0.2">
      <c r="A2079" t="s">
        <v>23</v>
      </c>
      <c r="B2079" t="s">
        <v>133</v>
      </c>
      <c r="C2079" t="s">
        <v>130</v>
      </c>
      <c r="D2079" t="s">
        <v>124</v>
      </c>
      <c r="E2079" t="s">
        <v>53</v>
      </c>
      <c r="F2079" t="s">
        <v>114</v>
      </c>
      <c r="G2079">
        <v>120664</v>
      </c>
      <c r="H2079" s="75">
        <v>44470</v>
      </c>
      <c r="I2079" t="s">
        <v>117</v>
      </c>
      <c r="J2079">
        <v>2.5</v>
      </c>
      <c r="K2079">
        <v>0</v>
      </c>
      <c r="M2079">
        <v>21568.205000000002</v>
      </c>
      <c r="N2079" t="s">
        <v>46</v>
      </c>
    </row>
    <row r="2080" spans="1:14" x14ac:dyDescent="0.2">
      <c r="A2080" t="s">
        <v>23</v>
      </c>
      <c r="B2080" t="s">
        <v>133</v>
      </c>
      <c r="C2080" t="s">
        <v>130</v>
      </c>
      <c r="D2080" t="s">
        <v>124</v>
      </c>
      <c r="E2080" t="s">
        <v>53</v>
      </c>
      <c r="F2080" t="s">
        <v>114</v>
      </c>
      <c r="G2080">
        <v>120664</v>
      </c>
      <c r="H2080" s="75">
        <v>44500</v>
      </c>
      <c r="I2080" t="s">
        <v>115</v>
      </c>
      <c r="J2080">
        <v>5000</v>
      </c>
      <c r="K2080">
        <v>119.315</v>
      </c>
      <c r="L2080">
        <v>41.905999999999999</v>
      </c>
      <c r="M2080">
        <v>21687.52</v>
      </c>
      <c r="N2080" t="s">
        <v>15</v>
      </c>
    </row>
    <row r="2081" spans="1:15" x14ac:dyDescent="0.2">
      <c r="A2081" t="s">
        <v>23</v>
      </c>
      <c r="B2081" t="s">
        <v>133</v>
      </c>
      <c r="C2081" t="s">
        <v>130</v>
      </c>
      <c r="D2081" t="s">
        <v>124</v>
      </c>
      <c r="E2081" t="s">
        <v>53</v>
      </c>
      <c r="F2081" t="s">
        <v>114</v>
      </c>
      <c r="G2081">
        <v>120664</v>
      </c>
      <c r="H2081" s="75">
        <v>44500</v>
      </c>
      <c r="I2081" t="s">
        <v>118</v>
      </c>
      <c r="J2081">
        <v>10843.76</v>
      </c>
      <c r="K2081">
        <v>0</v>
      </c>
      <c r="M2081">
        <v>21687.52</v>
      </c>
      <c r="N2081" t="s">
        <v>19</v>
      </c>
      <c r="O2081">
        <v>10843.76</v>
      </c>
    </row>
    <row r="2082" spans="1:15" x14ac:dyDescent="0.2">
      <c r="A2082" t="s">
        <v>23</v>
      </c>
      <c r="B2082" t="s">
        <v>133</v>
      </c>
      <c r="C2082" t="s">
        <v>130</v>
      </c>
      <c r="D2082" t="s">
        <v>124</v>
      </c>
      <c r="E2082" t="s">
        <v>53</v>
      </c>
      <c r="F2082" t="s">
        <v>114</v>
      </c>
      <c r="G2082">
        <v>120664</v>
      </c>
      <c r="H2082" s="75">
        <v>44530</v>
      </c>
      <c r="I2082" t="s">
        <v>115</v>
      </c>
      <c r="J2082">
        <v>5000</v>
      </c>
      <c r="K2082">
        <v>117.82599999999999</v>
      </c>
      <c r="L2082">
        <v>42.435400000000001</v>
      </c>
      <c r="M2082">
        <v>21805.346000000001</v>
      </c>
      <c r="N2082" t="s">
        <v>15</v>
      </c>
    </row>
    <row r="2083" spans="1:15" x14ac:dyDescent="0.2">
      <c r="A2083" t="s">
        <v>23</v>
      </c>
      <c r="B2083" t="s">
        <v>133</v>
      </c>
      <c r="C2083" t="s">
        <v>130</v>
      </c>
      <c r="D2083" t="s">
        <v>124</v>
      </c>
      <c r="E2083" t="s">
        <v>53</v>
      </c>
      <c r="F2083" t="s">
        <v>114</v>
      </c>
      <c r="G2083">
        <v>120664</v>
      </c>
      <c r="H2083" s="75">
        <v>44530</v>
      </c>
      <c r="I2083" t="s">
        <v>116</v>
      </c>
      <c r="J2083">
        <v>2.5</v>
      </c>
      <c r="K2083">
        <v>0</v>
      </c>
      <c r="M2083">
        <v>21805.346000000001</v>
      </c>
      <c r="N2083" t="s">
        <v>17</v>
      </c>
    </row>
    <row r="2084" spans="1:15" x14ac:dyDescent="0.2">
      <c r="A2084" t="s">
        <v>23</v>
      </c>
      <c r="B2084" t="s">
        <v>133</v>
      </c>
      <c r="C2084" t="s">
        <v>130</v>
      </c>
      <c r="D2084" t="s">
        <v>124</v>
      </c>
      <c r="E2084" t="s">
        <v>53</v>
      </c>
      <c r="F2084" t="s">
        <v>114</v>
      </c>
      <c r="G2084">
        <v>120664</v>
      </c>
      <c r="H2084" s="75">
        <v>44560</v>
      </c>
      <c r="I2084" t="s">
        <v>115</v>
      </c>
      <c r="J2084">
        <v>5000</v>
      </c>
      <c r="K2084">
        <v>118.001</v>
      </c>
      <c r="L2084">
        <v>42.372500000000002</v>
      </c>
      <c r="M2084">
        <v>21923.347000000002</v>
      </c>
      <c r="N2084" t="s">
        <v>15</v>
      </c>
    </row>
    <row r="2085" spans="1:15" x14ac:dyDescent="0.2">
      <c r="A2085" t="s">
        <v>23</v>
      </c>
      <c r="B2085" t="s">
        <v>133</v>
      </c>
      <c r="C2085" t="s">
        <v>130</v>
      </c>
      <c r="D2085" t="s">
        <v>124</v>
      </c>
      <c r="E2085" t="s">
        <v>53</v>
      </c>
      <c r="F2085" t="s">
        <v>114</v>
      </c>
      <c r="G2085">
        <v>120664</v>
      </c>
      <c r="H2085" s="75">
        <v>44590</v>
      </c>
      <c r="I2085" t="s">
        <v>115</v>
      </c>
      <c r="J2085">
        <v>5000</v>
      </c>
      <c r="K2085">
        <v>115.011</v>
      </c>
      <c r="L2085">
        <v>43.474299999999999</v>
      </c>
      <c r="M2085">
        <v>22038.357</v>
      </c>
      <c r="N2085" t="s">
        <v>15</v>
      </c>
    </row>
    <row r="2086" spans="1:15" x14ac:dyDescent="0.2">
      <c r="A2086" t="s">
        <v>23</v>
      </c>
      <c r="B2086" t="s">
        <v>133</v>
      </c>
      <c r="C2086" t="s">
        <v>130</v>
      </c>
      <c r="D2086" t="s">
        <v>124</v>
      </c>
      <c r="E2086" t="s">
        <v>53</v>
      </c>
      <c r="F2086" t="s">
        <v>114</v>
      </c>
      <c r="G2086">
        <v>120664</v>
      </c>
      <c r="H2086" s="75">
        <v>44620</v>
      </c>
      <c r="I2086" t="s">
        <v>115</v>
      </c>
      <c r="J2086">
        <v>5000</v>
      </c>
      <c r="K2086">
        <v>116.062</v>
      </c>
      <c r="L2086">
        <v>43.080500000000001</v>
      </c>
      <c r="M2086">
        <v>22154.419000000002</v>
      </c>
      <c r="N2086" t="s">
        <v>15</v>
      </c>
    </row>
    <row r="2087" spans="1:15" x14ac:dyDescent="0.2">
      <c r="A2087" t="s">
        <v>23</v>
      </c>
      <c r="B2087" t="s">
        <v>133</v>
      </c>
      <c r="C2087" t="s">
        <v>130</v>
      </c>
      <c r="D2087" t="s">
        <v>124</v>
      </c>
      <c r="E2087" t="s">
        <v>53</v>
      </c>
      <c r="F2087" t="s">
        <v>114</v>
      </c>
      <c r="G2087">
        <v>120664</v>
      </c>
      <c r="H2087" s="75">
        <v>44650</v>
      </c>
      <c r="I2087" t="s">
        <v>115</v>
      </c>
      <c r="J2087">
        <v>5000</v>
      </c>
      <c r="K2087">
        <v>113.197</v>
      </c>
      <c r="L2087">
        <v>44.170699999999997</v>
      </c>
      <c r="M2087">
        <v>22267.616999999998</v>
      </c>
      <c r="N2087" t="s">
        <v>15</v>
      </c>
    </row>
    <row r="2088" spans="1:15" x14ac:dyDescent="0.2">
      <c r="A2088" t="s">
        <v>23</v>
      </c>
      <c r="B2088" t="s">
        <v>133</v>
      </c>
      <c r="C2088" t="s">
        <v>130</v>
      </c>
      <c r="D2088" t="s">
        <v>124</v>
      </c>
      <c r="E2088" t="s">
        <v>53</v>
      </c>
      <c r="F2088" t="s">
        <v>114</v>
      </c>
      <c r="G2088">
        <v>120664</v>
      </c>
      <c r="H2088" s="75">
        <v>44680</v>
      </c>
      <c r="I2088" t="s">
        <v>115</v>
      </c>
      <c r="J2088">
        <v>5000</v>
      </c>
      <c r="K2088">
        <v>114.622</v>
      </c>
      <c r="L2088">
        <v>43.621600000000001</v>
      </c>
      <c r="M2088">
        <v>22382.239000000001</v>
      </c>
      <c r="N2088" t="s">
        <v>15</v>
      </c>
    </row>
    <row r="2089" spans="1:15" x14ac:dyDescent="0.2">
      <c r="A2089" t="s">
        <v>23</v>
      </c>
      <c r="B2089" t="s">
        <v>133</v>
      </c>
      <c r="C2089" t="s">
        <v>130</v>
      </c>
      <c r="D2089" t="s">
        <v>124</v>
      </c>
      <c r="E2089" t="s">
        <v>53</v>
      </c>
      <c r="F2089" t="s">
        <v>114</v>
      </c>
      <c r="G2089">
        <v>120664</v>
      </c>
      <c r="H2089" s="75">
        <v>44710</v>
      </c>
      <c r="I2089" t="s">
        <v>115</v>
      </c>
      <c r="J2089">
        <v>5000</v>
      </c>
      <c r="K2089">
        <v>112.61799999999999</v>
      </c>
      <c r="L2089">
        <v>44.398000000000003</v>
      </c>
      <c r="M2089">
        <v>22494.856</v>
      </c>
      <c r="N2089" t="s">
        <v>15</v>
      </c>
    </row>
    <row r="2090" spans="1:15" x14ac:dyDescent="0.2">
      <c r="A2090" t="s">
        <v>23</v>
      </c>
      <c r="B2090" t="s">
        <v>133</v>
      </c>
      <c r="C2090" t="s">
        <v>130</v>
      </c>
      <c r="D2090" t="s">
        <v>124</v>
      </c>
      <c r="E2090" t="s">
        <v>53</v>
      </c>
      <c r="F2090" t="s">
        <v>114</v>
      </c>
      <c r="G2090">
        <v>120664</v>
      </c>
      <c r="H2090" s="75">
        <v>44740</v>
      </c>
      <c r="I2090" t="s">
        <v>115</v>
      </c>
      <c r="J2090">
        <v>5000</v>
      </c>
      <c r="K2090">
        <v>111.98099999999999</v>
      </c>
      <c r="L2090">
        <v>44.650399999999998</v>
      </c>
      <c r="M2090">
        <v>22606.837</v>
      </c>
      <c r="N2090" t="s">
        <v>15</v>
      </c>
    </row>
    <row r="2091" spans="1:15" x14ac:dyDescent="0.2">
      <c r="A2091" t="s">
        <v>23</v>
      </c>
      <c r="B2091" t="s">
        <v>133</v>
      </c>
      <c r="C2091" t="s">
        <v>130</v>
      </c>
      <c r="D2091" t="s">
        <v>124</v>
      </c>
      <c r="E2091" t="s">
        <v>53</v>
      </c>
      <c r="F2091" t="s">
        <v>114</v>
      </c>
      <c r="G2091">
        <v>120664</v>
      </c>
      <c r="H2091" s="75">
        <v>44740</v>
      </c>
      <c r="I2091" t="s">
        <v>117</v>
      </c>
      <c r="J2091">
        <v>2.5</v>
      </c>
      <c r="K2091">
        <v>0</v>
      </c>
      <c r="M2091">
        <v>22606.837</v>
      </c>
      <c r="N2091" t="s">
        <v>46</v>
      </c>
    </row>
    <row r="2092" spans="1:15" x14ac:dyDescent="0.2">
      <c r="A2092" t="s">
        <v>23</v>
      </c>
      <c r="B2092" t="s">
        <v>133</v>
      </c>
      <c r="C2092" t="s">
        <v>130</v>
      </c>
      <c r="D2092" t="s">
        <v>124</v>
      </c>
      <c r="E2092" t="s">
        <v>53</v>
      </c>
      <c r="F2092" t="s">
        <v>114</v>
      </c>
      <c r="G2092">
        <v>120664</v>
      </c>
      <c r="H2092" s="75">
        <v>44740</v>
      </c>
      <c r="I2092" t="s">
        <v>118</v>
      </c>
      <c r="J2092">
        <v>11303.42</v>
      </c>
      <c r="K2092">
        <v>0</v>
      </c>
      <c r="M2092">
        <v>22606.837</v>
      </c>
      <c r="N2092" t="s">
        <v>19</v>
      </c>
      <c r="O2092">
        <v>11303.42</v>
      </c>
    </row>
    <row r="2093" spans="1:15" x14ac:dyDescent="0.2">
      <c r="A2093" t="s">
        <v>23</v>
      </c>
      <c r="B2093" t="s">
        <v>133</v>
      </c>
      <c r="C2093" t="s">
        <v>130</v>
      </c>
      <c r="D2093" t="s">
        <v>124</v>
      </c>
      <c r="E2093" t="s">
        <v>53</v>
      </c>
      <c r="F2093" t="s">
        <v>114</v>
      </c>
      <c r="G2093">
        <v>120664</v>
      </c>
      <c r="H2093" s="75">
        <v>44770</v>
      </c>
      <c r="I2093" t="s">
        <v>115</v>
      </c>
      <c r="J2093">
        <v>5000</v>
      </c>
      <c r="K2093">
        <v>111.039</v>
      </c>
      <c r="L2093">
        <v>45.029299999999999</v>
      </c>
      <c r="M2093">
        <v>22717.876</v>
      </c>
      <c r="N2093" t="s">
        <v>15</v>
      </c>
    </row>
    <row r="2094" spans="1:15" x14ac:dyDescent="0.2">
      <c r="A2094" t="s">
        <v>23</v>
      </c>
      <c r="B2094" t="s">
        <v>133</v>
      </c>
      <c r="C2094" t="s">
        <v>130</v>
      </c>
      <c r="D2094" t="s">
        <v>124</v>
      </c>
      <c r="E2094" t="s">
        <v>53</v>
      </c>
      <c r="F2094" t="s">
        <v>114</v>
      </c>
      <c r="G2094">
        <v>120664</v>
      </c>
      <c r="H2094" s="75">
        <v>44800</v>
      </c>
      <c r="I2094" t="s">
        <v>115</v>
      </c>
      <c r="J2094">
        <v>5000</v>
      </c>
      <c r="K2094">
        <v>109.18899999999999</v>
      </c>
      <c r="L2094">
        <v>45.792299999999997</v>
      </c>
      <c r="M2094">
        <v>22827.064999999999</v>
      </c>
      <c r="N2094" t="s">
        <v>15</v>
      </c>
    </row>
    <row r="2095" spans="1:15" x14ac:dyDescent="0.2">
      <c r="A2095" t="s">
        <v>23</v>
      </c>
      <c r="B2095" t="s">
        <v>133</v>
      </c>
      <c r="C2095" t="s">
        <v>130</v>
      </c>
      <c r="D2095" t="s">
        <v>124</v>
      </c>
      <c r="E2095" t="s">
        <v>53</v>
      </c>
      <c r="F2095" t="s">
        <v>114</v>
      </c>
      <c r="G2095">
        <v>120664</v>
      </c>
      <c r="H2095" s="75">
        <v>44830</v>
      </c>
      <c r="I2095" t="s">
        <v>115</v>
      </c>
      <c r="J2095">
        <v>5000</v>
      </c>
      <c r="K2095">
        <v>107.369</v>
      </c>
      <c r="L2095">
        <v>46.568300000000001</v>
      </c>
      <c r="M2095">
        <v>22934.434000000001</v>
      </c>
      <c r="N2095" t="s">
        <v>15</v>
      </c>
    </row>
    <row r="2096" spans="1:15" x14ac:dyDescent="0.2">
      <c r="A2096" t="s">
        <v>23</v>
      </c>
      <c r="B2096" t="s">
        <v>133</v>
      </c>
      <c r="C2096" t="s">
        <v>130</v>
      </c>
      <c r="D2096" t="s">
        <v>124</v>
      </c>
      <c r="E2096" t="s">
        <v>53</v>
      </c>
      <c r="F2096" t="s">
        <v>114</v>
      </c>
      <c r="G2096">
        <v>120664</v>
      </c>
      <c r="H2096" s="75">
        <v>44830</v>
      </c>
      <c r="I2096" t="s">
        <v>117</v>
      </c>
      <c r="J2096">
        <v>2.5</v>
      </c>
      <c r="K2096">
        <v>0</v>
      </c>
      <c r="M2096">
        <v>22934.434000000001</v>
      </c>
      <c r="N2096" t="s">
        <v>46</v>
      </c>
    </row>
    <row r="2097" spans="1:15" x14ac:dyDescent="0.2">
      <c r="A2097" t="s">
        <v>23</v>
      </c>
      <c r="B2097" t="s">
        <v>133</v>
      </c>
      <c r="C2097" t="s">
        <v>130</v>
      </c>
      <c r="D2097" t="s">
        <v>124</v>
      </c>
      <c r="E2097" t="s">
        <v>53</v>
      </c>
      <c r="F2097" t="s">
        <v>114</v>
      </c>
      <c r="G2097">
        <v>120664</v>
      </c>
      <c r="H2097" s="75">
        <v>44830</v>
      </c>
      <c r="I2097" t="s">
        <v>118</v>
      </c>
      <c r="J2097">
        <v>11467.22</v>
      </c>
      <c r="K2097">
        <v>0</v>
      </c>
      <c r="M2097">
        <v>22934.434000000001</v>
      </c>
      <c r="N2097" t="s">
        <v>19</v>
      </c>
      <c r="O2097">
        <v>11467.22</v>
      </c>
    </row>
    <row r="2098" spans="1:15" x14ac:dyDescent="0.2">
      <c r="A2098" t="s">
        <v>23</v>
      </c>
      <c r="B2098" t="s">
        <v>133</v>
      </c>
      <c r="C2098" t="s">
        <v>130</v>
      </c>
      <c r="D2098" t="s">
        <v>124</v>
      </c>
      <c r="E2098" t="s">
        <v>53</v>
      </c>
      <c r="F2098" t="s">
        <v>114</v>
      </c>
      <c r="G2098">
        <v>120664</v>
      </c>
      <c r="H2098" s="75">
        <v>44860</v>
      </c>
      <c r="I2098" t="s">
        <v>115</v>
      </c>
      <c r="J2098">
        <v>5000</v>
      </c>
      <c r="K2098">
        <v>108.566</v>
      </c>
      <c r="L2098">
        <v>46.055100000000003</v>
      </c>
      <c r="M2098">
        <v>23043</v>
      </c>
      <c r="N2098" t="s">
        <v>15</v>
      </c>
    </row>
    <row r="2099" spans="1:15" x14ac:dyDescent="0.2">
      <c r="A2099" t="s">
        <v>23</v>
      </c>
      <c r="B2099" t="s">
        <v>133</v>
      </c>
      <c r="C2099" t="s">
        <v>130</v>
      </c>
      <c r="D2099" t="s">
        <v>124</v>
      </c>
      <c r="E2099" t="s">
        <v>53</v>
      </c>
      <c r="F2099" t="s">
        <v>114</v>
      </c>
      <c r="G2099">
        <v>120664</v>
      </c>
      <c r="H2099" s="75">
        <v>44860</v>
      </c>
      <c r="I2099" t="s">
        <v>118</v>
      </c>
      <c r="J2099">
        <v>11521.5</v>
      </c>
      <c r="K2099">
        <v>0</v>
      </c>
      <c r="M2099">
        <v>23043</v>
      </c>
      <c r="N2099" t="s">
        <v>19</v>
      </c>
      <c r="O2099">
        <v>11521.5</v>
      </c>
    </row>
    <row r="2100" spans="1:15" x14ac:dyDescent="0.2">
      <c r="A2100" t="s">
        <v>23</v>
      </c>
      <c r="B2100" t="s">
        <v>133</v>
      </c>
      <c r="C2100" t="s">
        <v>130</v>
      </c>
      <c r="D2100" t="s">
        <v>124</v>
      </c>
      <c r="E2100" t="s">
        <v>53</v>
      </c>
      <c r="F2100" t="s">
        <v>114</v>
      </c>
      <c r="G2100">
        <v>120664</v>
      </c>
      <c r="H2100" s="75">
        <v>44890</v>
      </c>
      <c r="I2100" t="s">
        <v>115</v>
      </c>
      <c r="J2100">
        <v>5000</v>
      </c>
      <c r="K2100">
        <v>105.877</v>
      </c>
      <c r="L2100">
        <v>47.224800000000002</v>
      </c>
      <c r="M2100">
        <v>23148.876</v>
      </c>
      <c r="N2100" t="s">
        <v>15</v>
      </c>
    </row>
    <row r="2101" spans="1:15" x14ac:dyDescent="0.2">
      <c r="A2101" t="s">
        <v>23</v>
      </c>
      <c r="B2101" t="s">
        <v>133</v>
      </c>
      <c r="C2101" t="s">
        <v>130</v>
      </c>
      <c r="D2101" t="s">
        <v>124</v>
      </c>
      <c r="E2101" t="s">
        <v>53</v>
      </c>
      <c r="F2101" t="s">
        <v>114</v>
      </c>
      <c r="G2101">
        <v>120664</v>
      </c>
      <c r="H2101" s="75">
        <v>44920</v>
      </c>
      <c r="I2101" t="s">
        <v>115</v>
      </c>
      <c r="J2101">
        <v>5000</v>
      </c>
      <c r="K2101">
        <v>105.916</v>
      </c>
      <c r="L2101">
        <v>47.207299999999996</v>
      </c>
      <c r="M2101">
        <v>23254.792000000001</v>
      </c>
      <c r="N2101" t="s">
        <v>15</v>
      </c>
    </row>
    <row r="2102" spans="1:15" x14ac:dyDescent="0.2">
      <c r="A2102" t="s">
        <v>23</v>
      </c>
      <c r="B2102" t="s">
        <v>133</v>
      </c>
      <c r="C2102" t="s">
        <v>130</v>
      </c>
      <c r="D2102" t="s">
        <v>124</v>
      </c>
      <c r="E2102" t="s">
        <v>53</v>
      </c>
      <c r="F2102" t="s">
        <v>114</v>
      </c>
      <c r="G2102">
        <v>120664</v>
      </c>
      <c r="H2102" s="75">
        <v>44950</v>
      </c>
      <c r="I2102" t="s">
        <v>115</v>
      </c>
      <c r="J2102">
        <v>5000</v>
      </c>
      <c r="K2102">
        <v>106.28700000000001</v>
      </c>
      <c r="L2102">
        <v>47.042400000000001</v>
      </c>
      <c r="M2102">
        <v>23361.079000000002</v>
      </c>
      <c r="N2102" t="s">
        <v>15</v>
      </c>
    </row>
    <row r="2103" spans="1:15" x14ac:dyDescent="0.2">
      <c r="A2103" t="s">
        <v>23</v>
      </c>
      <c r="B2103" t="s">
        <v>133</v>
      </c>
      <c r="C2103" t="s">
        <v>130</v>
      </c>
      <c r="D2103" t="s">
        <v>124</v>
      </c>
      <c r="E2103" t="s">
        <v>53</v>
      </c>
      <c r="F2103" t="s">
        <v>114</v>
      </c>
      <c r="G2103">
        <v>120664</v>
      </c>
      <c r="H2103" s="75">
        <v>44980</v>
      </c>
      <c r="I2103" t="s">
        <v>115</v>
      </c>
      <c r="J2103">
        <v>5000</v>
      </c>
      <c r="K2103">
        <v>103.699</v>
      </c>
      <c r="L2103">
        <v>48.216299999999997</v>
      </c>
      <c r="M2103">
        <v>23464.778999999999</v>
      </c>
      <c r="N2103" t="s">
        <v>15</v>
      </c>
    </row>
    <row r="2104" spans="1:15" x14ac:dyDescent="0.2">
      <c r="A2104" t="s">
        <v>23</v>
      </c>
      <c r="B2104" t="s">
        <v>133</v>
      </c>
      <c r="C2104" t="s">
        <v>130</v>
      </c>
      <c r="D2104" t="s">
        <v>124</v>
      </c>
      <c r="E2104" t="s">
        <v>53</v>
      </c>
      <c r="F2104" t="s">
        <v>114</v>
      </c>
      <c r="G2104">
        <v>120664</v>
      </c>
      <c r="H2104" s="75">
        <v>44980</v>
      </c>
      <c r="I2104" t="s">
        <v>25</v>
      </c>
      <c r="J2104">
        <v>-226277.07</v>
      </c>
      <c r="K2104">
        <v>-4692.9560000000001</v>
      </c>
      <c r="L2104">
        <v>48.216299999999997</v>
      </c>
      <c r="M2104">
        <v>18771.823</v>
      </c>
      <c r="N2104" t="s">
        <v>16</v>
      </c>
    </row>
    <row r="2105" spans="1:15" x14ac:dyDescent="0.2">
      <c r="A2105" t="s">
        <v>23</v>
      </c>
      <c r="B2105" t="s">
        <v>133</v>
      </c>
      <c r="C2105" t="s">
        <v>130</v>
      </c>
      <c r="D2105" t="s">
        <v>124</v>
      </c>
      <c r="E2105" t="s">
        <v>53</v>
      </c>
      <c r="F2105" t="s">
        <v>114</v>
      </c>
      <c r="G2105">
        <v>120664</v>
      </c>
      <c r="H2105" s="75">
        <v>45010</v>
      </c>
      <c r="I2105" t="s">
        <v>115</v>
      </c>
      <c r="J2105">
        <v>5000</v>
      </c>
      <c r="K2105">
        <v>102.83</v>
      </c>
      <c r="L2105">
        <v>48.623899999999999</v>
      </c>
      <c r="M2105">
        <v>18874.652999999998</v>
      </c>
      <c r="N2105" t="s">
        <v>15</v>
      </c>
    </row>
    <row r="2106" spans="1:15" x14ac:dyDescent="0.2">
      <c r="A2106" t="s">
        <v>23</v>
      </c>
      <c r="B2106" t="s">
        <v>133</v>
      </c>
      <c r="C2106" t="s">
        <v>130</v>
      </c>
      <c r="D2106" t="s">
        <v>124</v>
      </c>
      <c r="E2106" t="s">
        <v>53</v>
      </c>
      <c r="F2106" t="s">
        <v>114</v>
      </c>
      <c r="G2106">
        <v>120664</v>
      </c>
      <c r="H2106" s="75">
        <v>45040</v>
      </c>
      <c r="I2106" t="s">
        <v>115</v>
      </c>
      <c r="J2106">
        <v>5000</v>
      </c>
      <c r="K2106">
        <v>101.017</v>
      </c>
      <c r="L2106">
        <v>49.496499999999997</v>
      </c>
      <c r="M2106">
        <v>18975.669999999998</v>
      </c>
      <c r="N2106" t="s">
        <v>15</v>
      </c>
    </row>
    <row r="2107" spans="1:15" x14ac:dyDescent="0.2">
      <c r="A2107" t="s">
        <v>23</v>
      </c>
      <c r="B2107" t="s">
        <v>133</v>
      </c>
      <c r="C2107" t="s">
        <v>130</v>
      </c>
      <c r="D2107" t="s">
        <v>124</v>
      </c>
      <c r="E2107" t="s">
        <v>53</v>
      </c>
      <c r="F2107" t="s">
        <v>114</v>
      </c>
      <c r="G2107">
        <v>120664</v>
      </c>
      <c r="H2107" s="75">
        <v>45070</v>
      </c>
      <c r="I2107" t="s">
        <v>115</v>
      </c>
      <c r="J2107">
        <v>5000</v>
      </c>
      <c r="K2107">
        <v>98.576999999999998</v>
      </c>
      <c r="L2107">
        <v>50.721699999999998</v>
      </c>
      <c r="M2107">
        <v>19074.246999999999</v>
      </c>
      <c r="N2107" t="s">
        <v>15</v>
      </c>
    </row>
    <row r="2108" spans="1:15" x14ac:dyDescent="0.2">
      <c r="A2108" t="s">
        <v>23</v>
      </c>
      <c r="B2108" t="s">
        <v>133</v>
      </c>
      <c r="C2108" t="s">
        <v>130</v>
      </c>
      <c r="D2108" t="s">
        <v>124</v>
      </c>
      <c r="E2108" t="s">
        <v>53</v>
      </c>
      <c r="F2108" t="s">
        <v>114</v>
      </c>
      <c r="G2108">
        <v>120664</v>
      </c>
      <c r="H2108" s="75">
        <v>45100</v>
      </c>
      <c r="I2108" t="s">
        <v>115</v>
      </c>
      <c r="J2108">
        <v>5000</v>
      </c>
      <c r="K2108">
        <v>98.16</v>
      </c>
      <c r="L2108">
        <v>50.9373</v>
      </c>
      <c r="M2108">
        <v>19172.406999999999</v>
      </c>
      <c r="N2108" t="s">
        <v>15</v>
      </c>
    </row>
    <row r="2109" spans="1:15" x14ac:dyDescent="0.2">
      <c r="A2109" t="s">
        <v>23</v>
      </c>
      <c r="B2109" t="s">
        <v>133</v>
      </c>
      <c r="C2109" t="s">
        <v>130</v>
      </c>
      <c r="D2109" t="s">
        <v>124</v>
      </c>
      <c r="E2109" t="s">
        <v>53</v>
      </c>
      <c r="F2109" t="s">
        <v>114</v>
      </c>
      <c r="G2109">
        <v>120664</v>
      </c>
      <c r="H2109" s="75">
        <v>45130</v>
      </c>
      <c r="I2109" t="s">
        <v>115</v>
      </c>
      <c r="J2109">
        <v>5000</v>
      </c>
      <c r="K2109">
        <v>99.447999999999993</v>
      </c>
      <c r="L2109">
        <v>50.277500000000003</v>
      </c>
      <c r="M2109">
        <v>19271.855</v>
      </c>
      <c r="N2109" t="s">
        <v>15</v>
      </c>
    </row>
    <row r="2110" spans="1:15" x14ac:dyDescent="0.2">
      <c r="A2110" t="s">
        <v>23</v>
      </c>
      <c r="B2110" t="s">
        <v>133</v>
      </c>
      <c r="C2110" t="s">
        <v>130</v>
      </c>
      <c r="D2110" t="s">
        <v>124</v>
      </c>
      <c r="E2110" t="s">
        <v>53</v>
      </c>
      <c r="F2110" t="s">
        <v>114</v>
      </c>
      <c r="G2110">
        <v>120664</v>
      </c>
      <c r="H2110" s="75">
        <v>45130</v>
      </c>
      <c r="I2110" t="s">
        <v>117</v>
      </c>
      <c r="J2110">
        <v>2.5</v>
      </c>
      <c r="K2110">
        <v>0</v>
      </c>
      <c r="M2110">
        <v>19271.855</v>
      </c>
      <c r="N2110" t="s">
        <v>46</v>
      </c>
    </row>
    <row r="2111" spans="1:15" x14ac:dyDescent="0.2">
      <c r="A2111" t="s">
        <v>23</v>
      </c>
      <c r="B2111" t="s">
        <v>133</v>
      </c>
      <c r="C2111" t="s">
        <v>130</v>
      </c>
      <c r="D2111" t="s">
        <v>124</v>
      </c>
      <c r="E2111" t="s">
        <v>53</v>
      </c>
      <c r="F2111" t="s">
        <v>114</v>
      </c>
      <c r="G2111">
        <v>120664</v>
      </c>
      <c r="H2111" s="75">
        <v>45160</v>
      </c>
      <c r="I2111" t="s">
        <v>115</v>
      </c>
      <c r="J2111">
        <v>5000</v>
      </c>
      <c r="K2111">
        <v>100.298</v>
      </c>
      <c r="L2111">
        <v>49.851399999999998</v>
      </c>
      <c r="M2111">
        <v>19372.153999999999</v>
      </c>
      <c r="N2111" t="s">
        <v>15</v>
      </c>
    </row>
    <row r="2112" spans="1:15" x14ac:dyDescent="0.2">
      <c r="A2112" t="s">
        <v>23</v>
      </c>
      <c r="B2112" t="s">
        <v>133</v>
      </c>
      <c r="C2112" t="s">
        <v>130</v>
      </c>
      <c r="D2112" t="s">
        <v>124</v>
      </c>
      <c r="E2112" t="s">
        <v>53</v>
      </c>
      <c r="F2112" t="s">
        <v>114</v>
      </c>
      <c r="G2112">
        <v>120664</v>
      </c>
      <c r="H2112" s="75">
        <v>45190</v>
      </c>
      <c r="I2112" t="s">
        <v>115</v>
      </c>
      <c r="J2112">
        <v>5000</v>
      </c>
      <c r="K2112">
        <v>101.105</v>
      </c>
      <c r="L2112">
        <v>49.453600000000002</v>
      </c>
      <c r="M2112">
        <v>19473.258000000002</v>
      </c>
      <c r="N2112" t="s">
        <v>15</v>
      </c>
    </row>
    <row r="2113" spans="1:15" x14ac:dyDescent="0.2">
      <c r="A2113" t="s">
        <v>23</v>
      </c>
      <c r="B2113" t="s">
        <v>133</v>
      </c>
      <c r="C2113" t="s">
        <v>130</v>
      </c>
      <c r="D2113" t="s">
        <v>124</v>
      </c>
      <c r="E2113" t="s">
        <v>53</v>
      </c>
      <c r="F2113" t="s">
        <v>114</v>
      </c>
      <c r="G2113">
        <v>120664</v>
      </c>
      <c r="H2113" s="75">
        <v>45220</v>
      </c>
      <c r="I2113" t="s">
        <v>115</v>
      </c>
      <c r="J2113">
        <v>5000</v>
      </c>
      <c r="K2113">
        <v>102.979</v>
      </c>
      <c r="L2113">
        <v>48.553699999999999</v>
      </c>
      <c r="M2113">
        <v>19576.237000000001</v>
      </c>
      <c r="N2113" t="s">
        <v>15</v>
      </c>
    </row>
    <row r="2114" spans="1:15" x14ac:dyDescent="0.2">
      <c r="A2114" t="s">
        <v>23</v>
      </c>
      <c r="B2114" t="s">
        <v>133</v>
      </c>
      <c r="C2114" t="s">
        <v>130</v>
      </c>
      <c r="D2114" t="s">
        <v>124</v>
      </c>
      <c r="E2114" t="s">
        <v>53</v>
      </c>
      <c r="F2114" t="s">
        <v>114</v>
      </c>
      <c r="G2114">
        <v>120664</v>
      </c>
      <c r="H2114" s="75">
        <v>45250</v>
      </c>
      <c r="I2114" t="s">
        <v>115</v>
      </c>
      <c r="J2114">
        <v>5000</v>
      </c>
      <c r="K2114">
        <v>104.795</v>
      </c>
      <c r="L2114">
        <v>47.712000000000003</v>
      </c>
      <c r="M2114">
        <v>19681.032999999999</v>
      </c>
      <c r="N2114" t="s">
        <v>15</v>
      </c>
    </row>
    <row r="2115" spans="1:15" x14ac:dyDescent="0.2">
      <c r="A2115" t="s">
        <v>23</v>
      </c>
      <c r="B2115" t="s">
        <v>133</v>
      </c>
      <c r="C2115" t="s">
        <v>130</v>
      </c>
      <c r="D2115" t="s">
        <v>124</v>
      </c>
      <c r="E2115" t="s">
        <v>53</v>
      </c>
      <c r="F2115" t="s">
        <v>114</v>
      </c>
      <c r="G2115">
        <v>120664</v>
      </c>
      <c r="H2115" s="75">
        <v>45280</v>
      </c>
      <c r="I2115" t="s">
        <v>115</v>
      </c>
      <c r="J2115">
        <v>5000</v>
      </c>
      <c r="K2115">
        <v>101.879</v>
      </c>
      <c r="L2115">
        <v>49.0777</v>
      </c>
      <c r="M2115">
        <v>19782.912</v>
      </c>
      <c r="N2115" t="s">
        <v>15</v>
      </c>
    </row>
    <row r="2116" spans="1:15" x14ac:dyDescent="0.2">
      <c r="A2116" t="s">
        <v>23</v>
      </c>
      <c r="B2116" t="s">
        <v>133</v>
      </c>
      <c r="C2116" t="s">
        <v>130</v>
      </c>
      <c r="D2116" t="s">
        <v>124</v>
      </c>
      <c r="E2116" t="s">
        <v>53</v>
      </c>
      <c r="F2116" t="s">
        <v>114</v>
      </c>
      <c r="G2116">
        <v>120664</v>
      </c>
      <c r="H2116" s="75">
        <v>45280</v>
      </c>
      <c r="I2116" t="s">
        <v>118</v>
      </c>
      <c r="J2116">
        <v>9891.4599999999991</v>
      </c>
      <c r="K2116">
        <v>0</v>
      </c>
      <c r="M2116">
        <v>19782.912</v>
      </c>
      <c r="N2116" t="s">
        <v>19</v>
      </c>
      <c r="O2116">
        <v>9891.4599999999991</v>
      </c>
    </row>
    <row r="2117" spans="1:15" x14ac:dyDescent="0.2">
      <c r="A2117" t="s">
        <v>23</v>
      </c>
      <c r="B2117" t="s">
        <v>133</v>
      </c>
      <c r="C2117" t="s">
        <v>130</v>
      </c>
      <c r="D2117" t="s">
        <v>124</v>
      </c>
      <c r="E2117" t="s">
        <v>53</v>
      </c>
      <c r="F2117" t="s">
        <v>114</v>
      </c>
      <c r="G2117">
        <v>120664</v>
      </c>
      <c r="H2117" s="75">
        <v>45310</v>
      </c>
      <c r="I2117" t="s">
        <v>115</v>
      </c>
      <c r="J2117">
        <v>5000</v>
      </c>
      <c r="K2117">
        <v>99.997</v>
      </c>
      <c r="L2117">
        <v>50.001399999999997</v>
      </c>
      <c r="M2117">
        <v>19882.909</v>
      </c>
      <c r="N2117" t="s">
        <v>15</v>
      </c>
    </row>
    <row r="2118" spans="1:15" x14ac:dyDescent="0.2">
      <c r="A2118" t="s">
        <v>23</v>
      </c>
      <c r="B2118" t="s">
        <v>133</v>
      </c>
      <c r="C2118" t="s">
        <v>130</v>
      </c>
      <c r="D2118" t="s">
        <v>124</v>
      </c>
      <c r="E2118" t="s">
        <v>53</v>
      </c>
      <c r="F2118" t="s">
        <v>114</v>
      </c>
      <c r="G2118">
        <v>120664</v>
      </c>
      <c r="H2118" s="75">
        <v>45340</v>
      </c>
      <c r="I2118" t="s">
        <v>115</v>
      </c>
      <c r="J2118">
        <v>5000</v>
      </c>
      <c r="K2118">
        <v>99.747</v>
      </c>
      <c r="L2118">
        <v>50.126600000000003</v>
      </c>
      <c r="M2118">
        <v>19982.656999999999</v>
      </c>
      <c r="N2118" t="s">
        <v>15</v>
      </c>
    </row>
    <row r="2119" spans="1:15" x14ac:dyDescent="0.2">
      <c r="A2119" t="s">
        <v>23</v>
      </c>
      <c r="B2119" t="s">
        <v>133</v>
      </c>
      <c r="C2119" t="s">
        <v>130</v>
      </c>
      <c r="D2119" t="s">
        <v>124</v>
      </c>
      <c r="E2119" t="s">
        <v>53</v>
      </c>
      <c r="F2119" t="s">
        <v>114</v>
      </c>
      <c r="G2119">
        <v>120664</v>
      </c>
      <c r="H2119" s="75">
        <v>45340</v>
      </c>
      <c r="I2119" t="s">
        <v>25</v>
      </c>
      <c r="J2119">
        <v>-200332.51</v>
      </c>
      <c r="K2119">
        <v>-3996.5309999999999</v>
      </c>
      <c r="L2119">
        <v>50.126600000000003</v>
      </c>
      <c r="M2119">
        <v>15986.125</v>
      </c>
      <c r="N2119" t="s">
        <v>16</v>
      </c>
    </row>
    <row r="2120" spans="1:15" x14ac:dyDescent="0.2">
      <c r="A2120" t="s">
        <v>23</v>
      </c>
      <c r="B2120" t="s">
        <v>133</v>
      </c>
      <c r="C2120" t="s">
        <v>130</v>
      </c>
      <c r="D2120" t="s">
        <v>124</v>
      </c>
      <c r="E2120" t="s">
        <v>53</v>
      </c>
      <c r="F2120" t="s">
        <v>114</v>
      </c>
      <c r="G2120">
        <v>120664</v>
      </c>
      <c r="H2120" s="75">
        <v>45370</v>
      </c>
      <c r="I2120" t="s">
        <v>115</v>
      </c>
      <c r="J2120">
        <v>5000</v>
      </c>
      <c r="K2120">
        <v>97.120999999999995</v>
      </c>
      <c r="L2120">
        <v>51.482399999999998</v>
      </c>
      <c r="M2120">
        <v>16083.245999999999</v>
      </c>
      <c r="N2120" t="s">
        <v>15</v>
      </c>
    </row>
    <row r="2121" spans="1:15" x14ac:dyDescent="0.2">
      <c r="A2121" t="s">
        <v>23</v>
      </c>
      <c r="B2121" t="s">
        <v>133</v>
      </c>
      <c r="C2121" t="s">
        <v>130</v>
      </c>
      <c r="D2121" t="s">
        <v>124</v>
      </c>
      <c r="E2121" t="s">
        <v>53</v>
      </c>
      <c r="F2121" t="s">
        <v>114</v>
      </c>
      <c r="G2121">
        <v>120664</v>
      </c>
      <c r="H2121" s="75">
        <v>45400</v>
      </c>
      <c r="I2121" t="s">
        <v>115</v>
      </c>
      <c r="J2121">
        <v>5000</v>
      </c>
      <c r="K2121">
        <v>98.457999999999998</v>
      </c>
      <c r="L2121">
        <v>50.783000000000001</v>
      </c>
      <c r="M2121">
        <v>16181.704</v>
      </c>
      <c r="N2121" t="s">
        <v>15</v>
      </c>
    </row>
    <row r="2122" spans="1:15" x14ac:dyDescent="0.2">
      <c r="A2122" t="s">
        <v>23</v>
      </c>
      <c r="B2122" t="s">
        <v>133</v>
      </c>
      <c r="C2122" t="s">
        <v>130</v>
      </c>
      <c r="D2122" t="s">
        <v>124</v>
      </c>
      <c r="E2122" t="s">
        <v>53</v>
      </c>
      <c r="F2122" t="s">
        <v>114</v>
      </c>
      <c r="G2122">
        <v>120664</v>
      </c>
      <c r="H2122" s="75">
        <v>45400</v>
      </c>
      <c r="I2122" t="s">
        <v>117</v>
      </c>
      <c r="J2122">
        <v>2.5</v>
      </c>
      <c r="K2122">
        <v>0</v>
      </c>
      <c r="M2122">
        <v>16181.704</v>
      </c>
      <c r="N2122" t="s">
        <v>46</v>
      </c>
    </row>
    <row r="2123" spans="1:15" x14ac:dyDescent="0.2">
      <c r="A2123" t="s">
        <v>23</v>
      </c>
      <c r="B2123" t="s">
        <v>133</v>
      </c>
      <c r="C2123" t="s">
        <v>130</v>
      </c>
      <c r="D2123" t="s">
        <v>124</v>
      </c>
      <c r="E2123" t="s">
        <v>53</v>
      </c>
      <c r="F2123" t="s">
        <v>114</v>
      </c>
      <c r="G2123">
        <v>120664</v>
      </c>
      <c r="H2123" s="75">
        <v>45430</v>
      </c>
      <c r="I2123" t="s">
        <v>115</v>
      </c>
      <c r="J2123">
        <v>5000</v>
      </c>
      <c r="K2123">
        <v>98.605000000000004</v>
      </c>
      <c r="L2123">
        <v>50.707299999999996</v>
      </c>
      <c r="M2123">
        <v>16280.308999999999</v>
      </c>
      <c r="N2123" t="s">
        <v>15</v>
      </c>
    </row>
    <row r="2124" spans="1:15" x14ac:dyDescent="0.2">
      <c r="A2124" t="s">
        <v>23</v>
      </c>
      <c r="B2124" t="s">
        <v>133</v>
      </c>
      <c r="C2124" t="s">
        <v>130</v>
      </c>
      <c r="D2124" t="s">
        <v>124</v>
      </c>
      <c r="E2124" t="s">
        <v>53</v>
      </c>
      <c r="F2124" t="s">
        <v>114</v>
      </c>
      <c r="G2124">
        <v>120664</v>
      </c>
      <c r="H2124" s="75">
        <v>45460</v>
      </c>
      <c r="I2124" t="s">
        <v>115</v>
      </c>
      <c r="J2124">
        <v>5000</v>
      </c>
      <c r="K2124">
        <v>98.225999999999999</v>
      </c>
      <c r="L2124">
        <v>50.902799999999999</v>
      </c>
      <c r="M2124">
        <v>16378.535</v>
      </c>
      <c r="N2124" t="s">
        <v>15</v>
      </c>
    </row>
    <row r="2125" spans="1:15" x14ac:dyDescent="0.2">
      <c r="A2125" t="s">
        <v>23</v>
      </c>
      <c r="B2125" t="s">
        <v>133</v>
      </c>
      <c r="C2125" t="s">
        <v>130</v>
      </c>
      <c r="D2125" t="s">
        <v>124</v>
      </c>
      <c r="E2125" t="s">
        <v>53</v>
      </c>
      <c r="F2125" t="s">
        <v>114</v>
      </c>
      <c r="G2125">
        <v>120664</v>
      </c>
      <c r="H2125" s="75">
        <v>45490</v>
      </c>
      <c r="I2125" t="s">
        <v>115</v>
      </c>
      <c r="J2125">
        <v>5000</v>
      </c>
      <c r="K2125">
        <v>97.41</v>
      </c>
      <c r="L2125">
        <v>51.329700000000003</v>
      </c>
      <c r="M2125">
        <v>16475.945</v>
      </c>
      <c r="N2125" t="s">
        <v>15</v>
      </c>
    </row>
    <row r="2126" spans="1:15" x14ac:dyDescent="0.2">
      <c r="A2126" t="s">
        <v>23</v>
      </c>
      <c r="B2126" t="s">
        <v>133</v>
      </c>
      <c r="C2126" t="s">
        <v>130</v>
      </c>
      <c r="D2126" t="s">
        <v>124</v>
      </c>
      <c r="E2126" t="s">
        <v>53</v>
      </c>
      <c r="F2126" t="s">
        <v>114</v>
      </c>
      <c r="G2126">
        <v>120664</v>
      </c>
      <c r="H2126" s="75">
        <v>45490</v>
      </c>
      <c r="I2126" t="s">
        <v>118</v>
      </c>
      <c r="J2126">
        <v>8237.9699999999993</v>
      </c>
      <c r="K2126">
        <v>0</v>
      </c>
      <c r="M2126">
        <v>16475.945</v>
      </c>
      <c r="N2126" t="s">
        <v>19</v>
      </c>
      <c r="O2126">
        <v>8237.9699999999993</v>
      </c>
    </row>
    <row r="2127" spans="1:15" x14ac:dyDescent="0.2">
      <c r="A2127" t="s">
        <v>23</v>
      </c>
      <c r="B2127" t="s">
        <v>133</v>
      </c>
      <c r="C2127" t="s">
        <v>130</v>
      </c>
      <c r="D2127" t="s">
        <v>124</v>
      </c>
      <c r="E2127" t="s">
        <v>53</v>
      </c>
      <c r="F2127" t="s">
        <v>114</v>
      </c>
      <c r="G2127">
        <v>120664</v>
      </c>
      <c r="H2127" s="75">
        <v>45490</v>
      </c>
      <c r="I2127" t="s">
        <v>25</v>
      </c>
      <c r="J2127">
        <v>-169140.96</v>
      </c>
      <c r="K2127">
        <v>-3295.1889999999999</v>
      </c>
      <c r="L2127">
        <v>51.329700000000003</v>
      </c>
      <c r="M2127">
        <v>13180.755999999999</v>
      </c>
      <c r="N2127" t="s">
        <v>16</v>
      </c>
    </row>
    <row r="2128" spans="1:15" x14ac:dyDescent="0.2">
      <c r="A2128" t="s">
        <v>23</v>
      </c>
      <c r="B2128" t="s">
        <v>133</v>
      </c>
      <c r="C2128" t="s">
        <v>130</v>
      </c>
      <c r="D2128" t="s">
        <v>124</v>
      </c>
      <c r="E2128" t="s">
        <v>53</v>
      </c>
      <c r="F2128" t="s">
        <v>114</v>
      </c>
      <c r="G2128">
        <v>120664</v>
      </c>
      <c r="H2128" s="75">
        <v>45520</v>
      </c>
      <c r="I2128" t="s">
        <v>115</v>
      </c>
      <c r="J2128">
        <v>5000</v>
      </c>
      <c r="K2128">
        <v>97.730999999999995</v>
      </c>
      <c r="L2128">
        <v>51.160600000000002</v>
      </c>
      <c r="M2128">
        <v>13278.486999999999</v>
      </c>
      <c r="N2128" t="s">
        <v>15</v>
      </c>
    </row>
    <row r="2129" spans="1:14" x14ac:dyDescent="0.2">
      <c r="A2129" t="s">
        <v>23</v>
      </c>
      <c r="B2129" t="s">
        <v>133</v>
      </c>
      <c r="C2129" t="s">
        <v>130</v>
      </c>
      <c r="D2129" t="s">
        <v>124</v>
      </c>
      <c r="E2129" t="s">
        <v>53</v>
      </c>
      <c r="F2129" t="s">
        <v>114</v>
      </c>
      <c r="G2129">
        <v>120664</v>
      </c>
      <c r="H2129" s="75">
        <v>45550</v>
      </c>
      <c r="I2129" t="s">
        <v>115</v>
      </c>
      <c r="J2129">
        <v>5000</v>
      </c>
      <c r="K2129">
        <v>99.5</v>
      </c>
      <c r="L2129">
        <v>50.251300000000001</v>
      </c>
      <c r="M2129">
        <v>13377.986999999999</v>
      </c>
      <c r="N2129" t="s">
        <v>15</v>
      </c>
    </row>
    <row r="2130" spans="1:14" x14ac:dyDescent="0.2">
      <c r="A2130" t="s">
        <v>23</v>
      </c>
      <c r="B2130" t="s">
        <v>133</v>
      </c>
      <c r="C2130" t="s">
        <v>130</v>
      </c>
      <c r="D2130" t="s">
        <v>124</v>
      </c>
      <c r="E2130" t="s">
        <v>53</v>
      </c>
      <c r="F2130" t="s">
        <v>114</v>
      </c>
      <c r="G2130">
        <v>120664</v>
      </c>
      <c r="H2130" s="75">
        <v>45580</v>
      </c>
      <c r="I2130" t="s">
        <v>115</v>
      </c>
      <c r="J2130">
        <v>5000</v>
      </c>
      <c r="K2130">
        <v>98.177999999999997</v>
      </c>
      <c r="L2130">
        <v>50.928100000000001</v>
      </c>
      <c r="M2130">
        <v>13476.165000000001</v>
      </c>
      <c r="N2130" t="s">
        <v>15</v>
      </c>
    </row>
    <row r="2131" spans="1:14" x14ac:dyDescent="0.2">
      <c r="A2131" t="s">
        <v>23</v>
      </c>
      <c r="B2131" t="s">
        <v>133</v>
      </c>
      <c r="C2131" t="s">
        <v>130</v>
      </c>
      <c r="D2131" t="s">
        <v>124</v>
      </c>
      <c r="E2131" t="s">
        <v>53</v>
      </c>
      <c r="F2131" t="s">
        <v>114</v>
      </c>
      <c r="G2131">
        <v>120664</v>
      </c>
      <c r="H2131" s="75">
        <v>45610</v>
      </c>
      <c r="I2131" t="s">
        <v>115</v>
      </c>
      <c r="J2131">
        <v>5000</v>
      </c>
      <c r="K2131">
        <v>96.067999999999998</v>
      </c>
      <c r="L2131">
        <v>52.046300000000002</v>
      </c>
      <c r="M2131">
        <v>13572.233</v>
      </c>
      <c r="N2131" t="s">
        <v>15</v>
      </c>
    </row>
    <row r="2132" spans="1:14" x14ac:dyDescent="0.2">
      <c r="A2132" t="s">
        <v>23</v>
      </c>
      <c r="B2132" t="s">
        <v>133</v>
      </c>
      <c r="C2132" t="s">
        <v>130</v>
      </c>
      <c r="D2132" t="s">
        <v>124</v>
      </c>
      <c r="E2132" t="s">
        <v>53</v>
      </c>
      <c r="F2132" t="s">
        <v>114</v>
      </c>
      <c r="G2132">
        <v>120664</v>
      </c>
      <c r="H2132" s="75">
        <v>45640</v>
      </c>
      <c r="I2132" t="s">
        <v>115</v>
      </c>
      <c r="J2132">
        <v>5000</v>
      </c>
      <c r="K2132">
        <v>94.394999999999996</v>
      </c>
      <c r="L2132">
        <v>52.968800000000002</v>
      </c>
      <c r="M2132">
        <v>13666.628000000001</v>
      </c>
      <c r="N2132" t="s">
        <v>15</v>
      </c>
    </row>
    <row r="2133" spans="1:14" x14ac:dyDescent="0.2">
      <c r="A2133" t="s">
        <v>23</v>
      </c>
      <c r="B2133" t="s">
        <v>133</v>
      </c>
      <c r="C2133" t="s">
        <v>130</v>
      </c>
      <c r="D2133" t="s">
        <v>124</v>
      </c>
      <c r="E2133" t="s">
        <v>53</v>
      </c>
      <c r="F2133" t="s">
        <v>114</v>
      </c>
      <c r="G2133">
        <v>120664</v>
      </c>
      <c r="H2133" s="75">
        <v>45670</v>
      </c>
      <c r="I2133" t="s">
        <v>115</v>
      </c>
      <c r="J2133">
        <v>5000</v>
      </c>
      <c r="K2133">
        <v>95.972999999999999</v>
      </c>
      <c r="L2133">
        <v>52.097900000000003</v>
      </c>
      <c r="M2133">
        <v>13762.601000000001</v>
      </c>
      <c r="N2133" t="s">
        <v>15</v>
      </c>
    </row>
    <row r="2134" spans="1:14" x14ac:dyDescent="0.2">
      <c r="A2134" t="s">
        <v>23</v>
      </c>
      <c r="B2134" t="s">
        <v>133</v>
      </c>
      <c r="C2134" t="s">
        <v>130</v>
      </c>
      <c r="D2134" t="s">
        <v>124</v>
      </c>
      <c r="E2134" t="s">
        <v>53</v>
      </c>
      <c r="F2134" t="s">
        <v>114</v>
      </c>
      <c r="G2134">
        <v>120664</v>
      </c>
      <c r="H2134" s="75">
        <v>45700</v>
      </c>
      <c r="I2134" t="s">
        <v>115</v>
      </c>
      <c r="J2134">
        <v>5000</v>
      </c>
      <c r="K2134">
        <v>96.177999999999997</v>
      </c>
      <c r="L2134">
        <v>51.986800000000002</v>
      </c>
      <c r="M2134">
        <v>13858.78</v>
      </c>
      <c r="N2134" t="s">
        <v>15</v>
      </c>
    </row>
    <row r="2135" spans="1:14" x14ac:dyDescent="0.2">
      <c r="A2135" t="s">
        <v>23</v>
      </c>
      <c r="B2135" t="s">
        <v>133</v>
      </c>
      <c r="C2135" t="s">
        <v>130</v>
      </c>
      <c r="D2135" t="s">
        <v>124</v>
      </c>
      <c r="E2135" t="s">
        <v>53</v>
      </c>
      <c r="F2135" t="s">
        <v>114</v>
      </c>
      <c r="G2135">
        <v>120664</v>
      </c>
      <c r="H2135" s="75">
        <v>45730</v>
      </c>
      <c r="I2135" t="s">
        <v>115</v>
      </c>
      <c r="J2135">
        <v>5000</v>
      </c>
      <c r="K2135">
        <v>97.29</v>
      </c>
      <c r="L2135">
        <v>51.392800000000001</v>
      </c>
      <c r="M2135">
        <v>13956.07</v>
      </c>
      <c r="N2135" t="s">
        <v>15</v>
      </c>
    </row>
    <row r="2136" spans="1:14" x14ac:dyDescent="0.2">
      <c r="A2136" t="s">
        <v>23</v>
      </c>
      <c r="B2136" t="s">
        <v>133</v>
      </c>
      <c r="C2136" t="s">
        <v>130</v>
      </c>
      <c r="D2136" t="s">
        <v>124</v>
      </c>
      <c r="E2136" t="s">
        <v>53</v>
      </c>
      <c r="F2136" t="s">
        <v>114</v>
      </c>
      <c r="G2136">
        <v>120664</v>
      </c>
      <c r="H2136" s="75">
        <v>45730</v>
      </c>
      <c r="I2136" t="s">
        <v>117</v>
      </c>
      <c r="J2136">
        <v>2.5</v>
      </c>
      <c r="K2136">
        <v>0</v>
      </c>
      <c r="M2136">
        <v>13956.07</v>
      </c>
      <c r="N2136" t="s">
        <v>46</v>
      </c>
    </row>
    <row r="2137" spans="1:14" x14ac:dyDescent="0.2">
      <c r="A2137" t="s">
        <v>23</v>
      </c>
      <c r="B2137" t="s">
        <v>133</v>
      </c>
      <c r="C2137" t="s">
        <v>130</v>
      </c>
      <c r="D2137" t="s">
        <v>124</v>
      </c>
      <c r="E2137" t="s">
        <v>53</v>
      </c>
      <c r="F2137" t="s">
        <v>114</v>
      </c>
      <c r="G2137">
        <v>120664</v>
      </c>
      <c r="H2137" s="75">
        <v>45760</v>
      </c>
      <c r="I2137" t="s">
        <v>115</v>
      </c>
      <c r="J2137">
        <v>5000</v>
      </c>
      <c r="K2137">
        <v>97.748999999999995</v>
      </c>
      <c r="L2137">
        <v>51.151200000000003</v>
      </c>
      <c r="M2137">
        <v>14053.819</v>
      </c>
      <c r="N2137" t="s">
        <v>15</v>
      </c>
    </row>
    <row r="2138" spans="1:14" x14ac:dyDescent="0.2">
      <c r="A2138" t="s">
        <v>23</v>
      </c>
      <c r="B2138" t="s">
        <v>133</v>
      </c>
      <c r="C2138" t="s">
        <v>130</v>
      </c>
      <c r="D2138" t="s">
        <v>124</v>
      </c>
      <c r="E2138" t="s">
        <v>53</v>
      </c>
      <c r="F2138" t="s">
        <v>114</v>
      </c>
      <c r="G2138">
        <v>120664</v>
      </c>
      <c r="H2138" s="75">
        <v>45790</v>
      </c>
      <c r="I2138" t="s">
        <v>115</v>
      </c>
      <c r="J2138">
        <v>5000</v>
      </c>
      <c r="K2138">
        <v>97.93</v>
      </c>
      <c r="L2138">
        <v>51.056899999999999</v>
      </c>
      <c r="M2138">
        <v>14151.749</v>
      </c>
      <c r="N2138" t="s">
        <v>15</v>
      </c>
    </row>
    <row r="2139" spans="1:14" x14ac:dyDescent="0.2">
      <c r="A2139" t="s">
        <v>23</v>
      </c>
      <c r="B2139" t="s">
        <v>133</v>
      </c>
      <c r="C2139" t="s">
        <v>130</v>
      </c>
      <c r="D2139" t="s">
        <v>124</v>
      </c>
      <c r="E2139" t="s">
        <v>53</v>
      </c>
      <c r="F2139" t="s">
        <v>114</v>
      </c>
      <c r="G2139">
        <v>120664</v>
      </c>
      <c r="H2139" s="75">
        <v>45820</v>
      </c>
      <c r="I2139" t="s">
        <v>115</v>
      </c>
      <c r="J2139">
        <v>5000</v>
      </c>
      <c r="K2139">
        <v>96.742000000000004</v>
      </c>
      <c r="L2139">
        <v>51.683799999999998</v>
      </c>
      <c r="M2139">
        <v>14248.491</v>
      </c>
      <c r="N2139" t="s">
        <v>15</v>
      </c>
    </row>
    <row r="2140" spans="1:14" x14ac:dyDescent="0.2">
      <c r="A2140" t="s">
        <v>23</v>
      </c>
      <c r="B2140" t="s">
        <v>133</v>
      </c>
      <c r="C2140" t="s">
        <v>130</v>
      </c>
      <c r="D2140" t="s">
        <v>124</v>
      </c>
      <c r="E2140" t="s">
        <v>53</v>
      </c>
      <c r="F2140" t="s">
        <v>114</v>
      </c>
      <c r="G2140">
        <v>120664</v>
      </c>
      <c r="H2140" s="75">
        <v>45820</v>
      </c>
      <c r="I2140" t="s">
        <v>116</v>
      </c>
      <c r="J2140">
        <v>2.5</v>
      </c>
      <c r="K2140">
        <v>0</v>
      </c>
      <c r="M2140">
        <v>14248.491</v>
      </c>
      <c r="N2140" t="s">
        <v>17</v>
      </c>
    </row>
    <row r="2141" spans="1:14" x14ac:dyDescent="0.2">
      <c r="A2141" t="s">
        <v>23</v>
      </c>
      <c r="B2141" t="s">
        <v>133</v>
      </c>
      <c r="C2141" t="s">
        <v>130</v>
      </c>
      <c r="D2141" t="s">
        <v>124</v>
      </c>
      <c r="E2141" t="s">
        <v>53</v>
      </c>
      <c r="F2141" t="s">
        <v>114</v>
      </c>
      <c r="G2141">
        <v>120664</v>
      </c>
      <c r="H2141" s="75">
        <v>45850</v>
      </c>
      <c r="I2141" t="s">
        <v>115</v>
      </c>
      <c r="J2141">
        <v>5000</v>
      </c>
      <c r="K2141">
        <v>97.406999999999996</v>
      </c>
      <c r="L2141">
        <v>51.330800000000004</v>
      </c>
      <c r="M2141">
        <v>14345.897999999999</v>
      </c>
      <c r="N2141" t="s">
        <v>15</v>
      </c>
    </row>
    <row r="2142" spans="1:14" x14ac:dyDescent="0.2">
      <c r="A2142" t="s">
        <v>23</v>
      </c>
      <c r="B2142" t="s">
        <v>133</v>
      </c>
      <c r="C2142" t="s">
        <v>130</v>
      </c>
      <c r="D2142" t="s">
        <v>124</v>
      </c>
      <c r="E2142" t="s">
        <v>53</v>
      </c>
      <c r="F2142" t="s">
        <v>114</v>
      </c>
      <c r="G2142">
        <v>120664</v>
      </c>
      <c r="H2142" s="75">
        <v>45850</v>
      </c>
      <c r="I2142" t="s">
        <v>117</v>
      </c>
      <c r="J2142">
        <v>2.5</v>
      </c>
      <c r="K2142">
        <v>0</v>
      </c>
      <c r="M2142">
        <v>14345.897999999999</v>
      </c>
      <c r="N2142" t="s">
        <v>46</v>
      </c>
    </row>
    <row r="2143" spans="1:14" x14ac:dyDescent="0.2">
      <c r="A2143" t="s">
        <v>23</v>
      </c>
      <c r="B2143" t="s">
        <v>133</v>
      </c>
      <c r="C2143" t="s">
        <v>130</v>
      </c>
      <c r="D2143" t="s">
        <v>124</v>
      </c>
      <c r="E2143" t="s">
        <v>53</v>
      </c>
      <c r="F2143" t="s">
        <v>114</v>
      </c>
      <c r="G2143">
        <v>120664</v>
      </c>
      <c r="H2143" s="75">
        <v>45880</v>
      </c>
      <c r="I2143" t="s">
        <v>115</v>
      </c>
      <c r="J2143">
        <v>5000</v>
      </c>
      <c r="K2143">
        <v>94.653999999999996</v>
      </c>
      <c r="L2143">
        <v>52.823799999999999</v>
      </c>
      <c r="M2143">
        <v>14440.553</v>
      </c>
      <c r="N2143" t="s">
        <v>15</v>
      </c>
    </row>
    <row r="2144" spans="1:14" x14ac:dyDescent="0.2">
      <c r="A2144" t="s">
        <v>23</v>
      </c>
      <c r="B2144" t="s">
        <v>133</v>
      </c>
      <c r="C2144" t="s">
        <v>130</v>
      </c>
      <c r="D2144" t="s">
        <v>124</v>
      </c>
      <c r="E2144" t="s">
        <v>53</v>
      </c>
      <c r="F2144" t="s">
        <v>114</v>
      </c>
      <c r="G2144">
        <v>120664</v>
      </c>
      <c r="H2144" s="75">
        <v>45910</v>
      </c>
      <c r="I2144" t="s">
        <v>115</v>
      </c>
      <c r="J2144">
        <v>5000</v>
      </c>
      <c r="K2144">
        <v>95.116</v>
      </c>
      <c r="L2144">
        <v>52.567500000000003</v>
      </c>
      <c r="M2144">
        <v>14535.668</v>
      </c>
      <c r="N2144" t="s">
        <v>15</v>
      </c>
    </row>
    <row r="2145" spans="1:15" x14ac:dyDescent="0.2">
      <c r="A2145" t="s">
        <v>23</v>
      </c>
      <c r="B2145" t="s">
        <v>133</v>
      </c>
      <c r="C2145" t="s">
        <v>130</v>
      </c>
      <c r="D2145" t="s">
        <v>124</v>
      </c>
      <c r="E2145" t="s">
        <v>53</v>
      </c>
      <c r="F2145" t="s">
        <v>114</v>
      </c>
      <c r="G2145">
        <v>120664</v>
      </c>
      <c r="H2145" s="75">
        <v>45940</v>
      </c>
      <c r="I2145" t="s">
        <v>115</v>
      </c>
      <c r="J2145">
        <v>5000</v>
      </c>
      <c r="K2145">
        <v>92.933999999999997</v>
      </c>
      <c r="L2145">
        <v>53.801600000000001</v>
      </c>
      <c r="M2145">
        <v>14628.602999999999</v>
      </c>
      <c r="N2145" t="s">
        <v>15</v>
      </c>
    </row>
    <row r="2146" spans="1:15" x14ac:dyDescent="0.2">
      <c r="A2146" t="s">
        <v>23</v>
      </c>
      <c r="B2146" t="s">
        <v>133</v>
      </c>
      <c r="C2146" t="s">
        <v>130</v>
      </c>
      <c r="D2146" t="s">
        <v>124</v>
      </c>
      <c r="E2146" t="s">
        <v>53</v>
      </c>
      <c r="F2146" t="s">
        <v>114</v>
      </c>
      <c r="G2146">
        <v>120664</v>
      </c>
      <c r="H2146" s="75">
        <v>45940</v>
      </c>
      <c r="I2146" t="s">
        <v>116</v>
      </c>
      <c r="J2146">
        <v>2.5</v>
      </c>
      <c r="K2146">
        <v>0</v>
      </c>
      <c r="M2146">
        <v>14628.602999999999</v>
      </c>
      <c r="N2146" t="s">
        <v>17</v>
      </c>
    </row>
    <row r="2147" spans="1:15" x14ac:dyDescent="0.2">
      <c r="A2147" t="s">
        <v>23</v>
      </c>
      <c r="B2147" t="s">
        <v>133</v>
      </c>
      <c r="C2147" t="s">
        <v>130</v>
      </c>
      <c r="D2147" t="s">
        <v>124</v>
      </c>
      <c r="E2147" t="s">
        <v>53</v>
      </c>
      <c r="F2147" t="s">
        <v>114</v>
      </c>
      <c r="G2147">
        <v>120664</v>
      </c>
      <c r="H2147" s="75">
        <v>45970</v>
      </c>
      <c r="I2147" t="s">
        <v>115</v>
      </c>
      <c r="J2147">
        <v>5000</v>
      </c>
      <c r="K2147">
        <v>90.248999999999995</v>
      </c>
      <c r="L2147">
        <v>55.402299999999997</v>
      </c>
      <c r="M2147">
        <v>14718.851000000001</v>
      </c>
      <c r="N2147" t="s">
        <v>15</v>
      </c>
    </row>
    <row r="2148" spans="1:15" x14ac:dyDescent="0.2">
      <c r="A2148" t="s">
        <v>23</v>
      </c>
      <c r="B2148" t="s">
        <v>133</v>
      </c>
      <c r="C2148" t="s">
        <v>130</v>
      </c>
      <c r="D2148" t="s">
        <v>124</v>
      </c>
      <c r="E2148" t="s">
        <v>53</v>
      </c>
      <c r="F2148" t="s">
        <v>114</v>
      </c>
      <c r="G2148">
        <v>120664</v>
      </c>
      <c r="H2148" s="75">
        <v>45970</v>
      </c>
      <c r="I2148" t="s">
        <v>116</v>
      </c>
      <c r="J2148">
        <v>2.5</v>
      </c>
      <c r="K2148">
        <v>0</v>
      </c>
      <c r="M2148">
        <v>14718.851000000001</v>
      </c>
      <c r="N2148" t="s">
        <v>17</v>
      </c>
    </row>
    <row r="2149" spans="1:15" x14ac:dyDescent="0.2">
      <c r="A2149" t="s">
        <v>23</v>
      </c>
      <c r="B2149" t="s">
        <v>133</v>
      </c>
      <c r="C2149" t="s">
        <v>130</v>
      </c>
      <c r="D2149" t="s">
        <v>124</v>
      </c>
      <c r="E2149" t="s">
        <v>53</v>
      </c>
      <c r="F2149" t="s">
        <v>114</v>
      </c>
      <c r="G2149">
        <v>120664</v>
      </c>
      <c r="H2149" s="75">
        <v>45970</v>
      </c>
      <c r="I2149" t="s">
        <v>118</v>
      </c>
      <c r="J2149">
        <v>7359.43</v>
      </c>
      <c r="K2149">
        <v>0</v>
      </c>
      <c r="M2149">
        <v>14718.851000000001</v>
      </c>
      <c r="N2149" t="s">
        <v>19</v>
      </c>
      <c r="O2149">
        <v>7359.43</v>
      </c>
    </row>
    <row r="2150" spans="1:15" x14ac:dyDescent="0.2">
      <c r="A2150" t="s">
        <v>23</v>
      </c>
      <c r="B2150" t="s">
        <v>133</v>
      </c>
      <c r="C2150" t="s">
        <v>130</v>
      </c>
      <c r="D2150" t="s">
        <v>124</v>
      </c>
      <c r="E2150" t="s">
        <v>53</v>
      </c>
      <c r="F2150" t="s">
        <v>114</v>
      </c>
      <c r="G2150">
        <v>120664</v>
      </c>
      <c r="H2150" s="75">
        <v>46000</v>
      </c>
      <c r="I2150" t="s">
        <v>115</v>
      </c>
      <c r="J2150">
        <v>5000</v>
      </c>
      <c r="K2150">
        <v>89.656000000000006</v>
      </c>
      <c r="L2150">
        <v>55.768900000000002</v>
      </c>
      <c r="M2150">
        <v>14808.507</v>
      </c>
      <c r="N2150" t="s">
        <v>15</v>
      </c>
    </row>
    <row r="2151" spans="1:15" x14ac:dyDescent="0.2">
      <c r="A2151" t="s">
        <v>23</v>
      </c>
      <c r="B2151" t="s">
        <v>133</v>
      </c>
      <c r="C2151" t="s">
        <v>130</v>
      </c>
      <c r="D2151" t="s">
        <v>124</v>
      </c>
      <c r="E2151" t="s">
        <v>53</v>
      </c>
      <c r="F2151" t="s">
        <v>114</v>
      </c>
      <c r="G2151">
        <v>120664</v>
      </c>
      <c r="H2151" s="75">
        <v>46030</v>
      </c>
      <c r="I2151" t="s">
        <v>115</v>
      </c>
      <c r="J2151">
        <v>5000</v>
      </c>
      <c r="K2151">
        <v>89.754000000000005</v>
      </c>
      <c r="L2151">
        <v>55.707700000000003</v>
      </c>
      <c r="M2151">
        <v>14898.261</v>
      </c>
      <c r="N2151" t="s">
        <v>15</v>
      </c>
    </row>
    <row r="2152" spans="1:15" x14ac:dyDescent="0.2">
      <c r="A2152" t="s">
        <v>23</v>
      </c>
      <c r="B2152" t="s">
        <v>133</v>
      </c>
      <c r="C2152" t="s">
        <v>130</v>
      </c>
      <c r="D2152" t="s">
        <v>124</v>
      </c>
      <c r="E2152" t="s">
        <v>53</v>
      </c>
      <c r="F2152" t="s">
        <v>114</v>
      </c>
      <c r="G2152">
        <v>120664</v>
      </c>
      <c r="H2152" s="75">
        <v>46060</v>
      </c>
      <c r="I2152" t="s">
        <v>115</v>
      </c>
      <c r="J2152">
        <v>5000</v>
      </c>
      <c r="K2152">
        <v>87.238</v>
      </c>
      <c r="L2152">
        <v>57.314399999999999</v>
      </c>
      <c r="M2152">
        <v>14985.499</v>
      </c>
      <c r="N2152" t="s">
        <v>15</v>
      </c>
    </row>
    <row r="2153" spans="1:15" x14ac:dyDescent="0.2">
      <c r="A2153" t="s">
        <v>23</v>
      </c>
      <c r="B2153" t="s">
        <v>133</v>
      </c>
      <c r="C2153" t="s">
        <v>130</v>
      </c>
      <c r="D2153" t="s">
        <v>124</v>
      </c>
      <c r="E2153" t="s">
        <v>53</v>
      </c>
      <c r="F2153" t="s">
        <v>114</v>
      </c>
      <c r="G2153">
        <v>120664</v>
      </c>
      <c r="H2153" s="75">
        <v>46090</v>
      </c>
      <c r="I2153" t="s">
        <v>115</v>
      </c>
      <c r="J2153">
        <v>5000</v>
      </c>
      <c r="K2153">
        <v>87.674000000000007</v>
      </c>
      <c r="L2153">
        <v>57.029299999999999</v>
      </c>
      <c r="M2153">
        <v>15073.174000000001</v>
      </c>
      <c r="N2153" t="s">
        <v>15</v>
      </c>
    </row>
    <row r="2154" spans="1:15" x14ac:dyDescent="0.2">
      <c r="A2154" t="s">
        <v>23</v>
      </c>
      <c r="B2154" t="s">
        <v>133</v>
      </c>
      <c r="C2154" t="s">
        <v>130</v>
      </c>
      <c r="D2154" t="s">
        <v>124</v>
      </c>
      <c r="E2154" t="s">
        <v>53</v>
      </c>
      <c r="F2154" t="s">
        <v>114</v>
      </c>
      <c r="G2154">
        <v>120664</v>
      </c>
      <c r="H2154" s="75">
        <v>46120</v>
      </c>
      <c r="I2154" t="s">
        <v>115</v>
      </c>
      <c r="J2154">
        <v>5000</v>
      </c>
      <c r="K2154">
        <v>89.212000000000003</v>
      </c>
      <c r="L2154">
        <v>56.046300000000002</v>
      </c>
      <c r="M2154">
        <v>15162.386</v>
      </c>
      <c r="N2154" t="s">
        <v>15</v>
      </c>
    </row>
    <row r="2155" spans="1:15" x14ac:dyDescent="0.2">
      <c r="A2155" t="s">
        <v>23</v>
      </c>
      <c r="B2155" t="s">
        <v>133</v>
      </c>
      <c r="C2155" t="s">
        <v>130</v>
      </c>
      <c r="D2155" t="s">
        <v>124</v>
      </c>
      <c r="E2155" t="s">
        <v>53</v>
      </c>
      <c r="F2155" t="s">
        <v>114</v>
      </c>
      <c r="G2155">
        <v>120664</v>
      </c>
      <c r="H2155" s="75">
        <v>46120</v>
      </c>
      <c r="I2155" t="s">
        <v>118</v>
      </c>
      <c r="J2155">
        <v>7581.19</v>
      </c>
      <c r="K2155">
        <v>0</v>
      </c>
      <c r="M2155">
        <v>15162.386</v>
      </c>
      <c r="N2155" t="s">
        <v>19</v>
      </c>
      <c r="O2155">
        <v>7581.19</v>
      </c>
    </row>
    <row r="2156" spans="1:15" x14ac:dyDescent="0.2">
      <c r="A2156" t="s">
        <v>23</v>
      </c>
      <c r="B2156" t="s">
        <v>133</v>
      </c>
      <c r="C2156" t="s">
        <v>130</v>
      </c>
      <c r="D2156" t="s">
        <v>124</v>
      </c>
      <c r="E2156" t="s">
        <v>53</v>
      </c>
      <c r="F2156" t="s">
        <v>114</v>
      </c>
      <c r="G2156">
        <v>120664</v>
      </c>
      <c r="H2156" s="75">
        <v>46150</v>
      </c>
      <c r="I2156" t="s">
        <v>115</v>
      </c>
      <c r="J2156">
        <v>5000</v>
      </c>
      <c r="K2156">
        <v>89.811000000000007</v>
      </c>
      <c r="L2156">
        <v>55.672600000000003</v>
      </c>
      <c r="M2156">
        <v>15252.196</v>
      </c>
      <c r="N2156" t="s">
        <v>15</v>
      </c>
    </row>
    <row r="2157" spans="1:15" x14ac:dyDescent="0.2">
      <c r="A2157" t="s">
        <v>23</v>
      </c>
      <c r="B2157" t="s">
        <v>133</v>
      </c>
      <c r="C2157" t="s">
        <v>130</v>
      </c>
      <c r="D2157" t="s">
        <v>124</v>
      </c>
      <c r="E2157" t="s">
        <v>53</v>
      </c>
      <c r="F2157" t="s">
        <v>114</v>
      </c>
      <c r="G2157">
        <v>120664</v>
      </c>
      <c r="H2157" s="75">
        <v>46180</v>
      </c>
      <c r="I2157" t="s">
        <v>115</v>
      </c>
      <c r="J2157">
        <v>5000</v>
      </c>
      <c r="K2157">
        <v>91.254000000000005</v>
      </c>
      <c r="L2157">
        <v>54.792000000000002</v>
      </c>
      <c r="M2157">
        <v>15343.450999999999</v>
      </c>
      <c r="N2157" t="s">
        <v>15</v>
      </c>
    </row>
    <row r="2158" spans="1:15" x14ac:dyDescent="0.2">
      <c r="A2158" t="s">
        <v>23</v>
      </c>
      <c r="B2158" t="s">
        <v>133</v>
      </c>
      <c r="C2158" t="s">
        <v>130</v>
      </c>
      <c r="D2158" t="s">
        <v>124</v>
      </c>
      <c r="E2158" t="s">
        <v>53</v>
      </c>
      <c r="F2158" t="s">
        <v>114</v>
      </c>
      <c r="G2158">
        <v>120664</v>
      </c>
      <c r="H2158" s="75">
        <v>46180</v>
      </c>
      <c r="I2158" t="s">
        <v>25</v>
      </c>
      <c r="J2158">
        <v>-168139.62</v>
      </c>
      <c r="K2158">
        <v>-3068.69</v>
      </c>
      <c r="L2158">
        <v>54.792000000000002</v>
      </c>
      <c r="M2158">
        <v>12274.761</v>
      </c>
      <c r="N2158" t="s">
        <v>16</v>
      </c>
    </row>
    <row r="2159" spans="1:15" x14ac:dyDescent="0.2">
      <c r="A2159" t="s">
        <v>125</v>
      </c>
      <c r="B2159" t="s">
        <v>134</v>
      </c>
      <c r="C2159" t="s">
        <v>130</v>
      </c>
      <c r="D2159" t="s">
        <v>127</v>
      </c>
      <c r="E2159" t="s">
        <v>53</v>
      </c>
      <c r="F2159" t="s">
        <v>114</v>
      </c>
      <c r="G2159">
        <v>112323</v>
      </c>
      <c r="H2159" s="75">
        <v>40378</v>
      </c>
      <c r="I2159" t="s">
        <v>115</v>
      </c>
      <c r="J2159">
        <v>5000</v>
      </c>
      <c r="K2159">
        <v>247.16200000000001</v>
      </c>
      <c r="L2159">
        <v>20.229600000000001</v>
      </c>
      <c r="M2159">
        <v>247.16200000000001</v>
      </c>
      <c r="N2159" t="s">
        <v>15</v>
      </c>
    </row>
    <row r="2160" spans="1:15" x14ac:dyDescent="0.2">
      <c r="A2160" t="s">
        <v>125</v>
      </c>
      <c r="B2160" t="s">
        <v>134</v>
      </c>
      <c r="C2160" t="s">
        <v>130</v>
      </c>
      <c r="D2160" t="s">
        <v>127</v>
      </c>
      <c r="E2160" t="s">
        <v>53</v>
      </c>
      <c r="F2160" t="s">
        <v>114</v>
      </c>
      <c r="G2160">
        <v>112323</v>
      </c>
      <c r="H2160" s="75">
        <v>40408</v>
      </c>
      <c r="I2160" t="s">
        <v>115</v>
      </c>
      <c r="J2160">
        <v>5000</v>
      </c>
      <c r="K2160">
        <v>246.78899999999999</v>
      </c>
      <c r="L2160">
        <v>20.260300000000001</v>
      </c>
      <c r="M2160">
        <v>493.95100000000002</v>
      </c>
      <c r="N2160" t="s">
        <v>15</v>
      </c>
    </row>
    <row r="2161" spans="1:15" x14ac:dyDescent="0.2">
      <c r="A2161" t="s">
        <v>125</v>
      </c>
      <c r="B2161" t="s">
        <v>134</v>
      </c>
      <c r="C2161" t="s">
        <v>130</v>
      </c>
      <c r="D2161" t="s">
        <v>127</v>
      </c>
      <c r="E2161" t="s">
        <v>53</v>
      </c>
      <c r="F2161" t="s">
        <v>114</v>
      </c>
      <c r="G2161">
        <v>112323</v>
      </c>
      <c r="H2161" s="75">
        <v>40438</v>
      </c>
      <c r="I2161" t="s">
        <v>115</v>
      </c>
      <c r="J2161">
        <v>5000</v>
      </c>
      <c r="K2161">
        <v>248.15</v>
      </c>
      <c r="L2161">
        <v>20.149100000000001</v>
      </c>
      <c r="M2161">
        <v>742.101</v>
      </c>
      <c r="N2161" t="s">
        <v>15</v>
      </c>
    </row>
    <row r="2162" spans="1:15" x14ac:dyDescent="0.2">
      <c r="A2162" t="s">
        <v>125</v>
      </c>
      <c r="B2162" t="s">
        <v>134</v>
      </c>
      <c r="C2162" t="s">
        <v>130</v>
      </c>
      <c r="D2162" t="s">
        <v>127</v>
      </c>
      <c r="E2162" t="s">
        <v>53</v>
      </c>
      <c r="F2162" t="s">
        <v>114</v>
      </c>
      <c r="G2162">
        <v>112323</v>
      </c>
      <c r="H2162" s="75">
        <v>40468</v>
      </c>
      <c r="I2162" t="s">
        <v>115</v>
      </c>
      <c r="J2162">
        <v>5000</v>
      </c>
      <c r="K2162">
        <v>242.43100000000001</v>
      </c>
      <c r="L2162">
        <v>20.624400000000001</v>
      </c>
      <c r="M2162">
        <v>984.53300000000002</v>
      </c>
      <c r="N2162" t="s">
        <v>15</v>
      </c>
    </row>
    <row r="2163" spans="1:15" x14ac:dyDescent="0.2">
      <c r="A2163" t="s">
        <v>125</v>
      </c>
      <c r="B2163" t="s">
        <v>134</v>
      </c>
      <c r="C2163" t="s">
        <v>130</v>
      </c>
      <c r="D2163" t="s">
        <v>127</v>
      </c>
      <c r="E2163" t="s">
        <v>53</v>
      </c>
      <c r="F2163" t="s">
        <v>114</v>
      </c>
      <c r="G2163">
        <v>112323</v>
      </c>
      <c r="H2163" s="75">
        <v>40468</v>
      </c>
      <c r="I2163" t="s">
        <v>117</v>
      </c>
      <c r="J2163">
        <v>2.5</v>
      </c>
      <c r="K2163">
        <v>0</v>
      </c>
      <c r="M2163">
        <v>984.53300000000002</v>
      </c>
      <c r="N2163" t="s">
        <v>46</v>
      </c>
    </row>
    <row r="2164" spans="1:15" x14ac:dyDescent="0.2">
      <c r="A2164" t="s">
        <v>125</v>
      </c>
      <c r="B2164" t="s">
        <v>134</v>
      </c>
      <c r="C2164" t="s">
        <v>130</v>
      </c>
      <c r="D2164" t="s">
        <v>127</v>
      </c>
      <c r="E2164" t="s">
        <v>53</v>
      </c>
      <c r="F2164" t="s">
        <v>114</v>
      </c>
      <c r="G2164">
        <v>112323</v>
      </c>
      <c r="H2164" s="75">
        <v>40498</v>
      </c>
      <c r="I2164" t="s">
        <v>115</v>
      </c>
      <c r="J2164">
        <v>5000</v>
      </c>
      <c r="K2164">
        <v>242.65299999999999</v>
      </c>
      <c r="L2164">
        <v>20.605599999999999</v>
      </c>
      <c r="M2164">
        <v>1227.1859999999999</v>
      </c>
      <c r="N2164" t="s">
        <v>15</v>
      </c>
    </row>
    <row r="2165" spans="1:15" x14ac:dyDescent="0.2">
      <c r="A2165" t="s">
        <v>125</v>
      </c>
      <c r="B2165" t="s">
        <v>134</v>
      </c>
      <c r="C2165" t="s">
        <v>130</v>
      </c>
      <c r="D2165" t="s">
        <v>127</v>
      </c>
      <c r="E2165" t="s">
        <v>53</v>
      </c>
      <c r="F2165" t="s">
        <v>114</v>
      </c>
      <c r="G2165">
        <v>112323</v>
      </c>
      <c r="H2165" s="75">
        <v>40528</v>
      </c>
      <c r="I2165" t="s">
        <v>115</v>
      </c>
      <c r="J2165">
        <v>5000</v>
      </c>
      <c r="K2165">
        <v>245.09700000000001</v>
      </c>
      <c r="L2165">
        <v>20.400099999999998</v>
      </c>
      <c r="M2165">
        <v>1472.2819999999999</v>
      </c>
      <c r="N2165" t="s">
        <v>15</v>
      </c>
    </row>
    <row r="2166" spans="1:15" x14ac:dyDescent="0.2">
      <c r="A2166" t="s">
        <v>125</v>
      </c>
      <c r="B2166" t="s">
        <v>134</v>
      </c>
      <c r="C2166" t="s">
        <v>130</v>
      </c>
      <c r="D2166" t="s">
        <v>127</v>
      </c>
      <c r="E2166" t="s">
        <v>53</v>
      </c>
      <c r="F2166" t="s">
        <v>114</v>
      </c>
      <c r="G2166">
        <v>112323</v>
      </c>
      <c r="H2166" s="75">
        <v>40558</v>
      </c>
      <c r="I2166" t="s">
        <v>115</v>
      </c>
      <c r="J2166">
        <v>5000</v>
      </c>
      <c r="K2166">
        <v>243.31</v>
      </c>
      <c r="L2166">
        <v>20.549900000000001</v>
      </c>
      <c r="M2166">
        <v>1715.5920000000001</v>
      </c>
      <c r="N2166" t="s">
        <v>15</v>
      </c>
    </row>
    <row r="2167" spans="1:15" x14ac:dyDescent="0.2">
      <c r="A2167" t="s">
        <v>125</v>
      </c>
      <c r="B2167" t="s">
        <v>134</v>
      </c>
      <c r="C2167" t="s">
        <v>130</v>
      </c>
      <c r="D2167" t="s">
        <v>127</v>
      </c>
      <c r="E2167" t="s">
        <v>53</v>
      </c>
      <c r="F2167" t="s">
        <v>114</v>
      </c>
      <c r="G2167">
        <v>112323</v>
      </c>
      <c r="H2167" s="75">
        <v>40588</v>
      </c>
      <c r="I2167" t="s">
        <v>115</v>
      </c>
      <c r="J2167">
        <v>5000</v>
      </c>
      <c r="K2167">
        <v>245.89400000000001</v>
      </c>
      <c r="L2167">
        <v>20.334</v>
      </c>
      <c r="M2167">
        <v>1961.4860000000001</v>
      </c>
      <c r="N2167" t="s">
        <v>15</v>
      </c>
    </row>
    <row r="2168" spans="1:15" x14ac:dyDescent="0.2">
      <c r="A2168" t="s">
        <v>125</v>
      </c>
      <c r="B2168" t="s">
        <v>134</v>
      </c>
      <c r="C2168" t="s">
        <v>130</v>
      </c>
      <c r="D2168" t="s">
        <v>127</v>
      </c>
      <c r="E2168" t="s">
        <v>53</v>
      </c>
      <c r="F2168" t="s">
        <v>114</v>
      </c>
      <c r="G2168">
        <v>112323</v>
      </c>
      <c r="H2168" s="75">
        <v>40588</v>
      </c>
      <c r="I2168" t="s">
        <v>118</v>
      </c>
      <c r="J2168">
        <v>980.74</v>
      </c>
      <c r="K2168">
        <v>0</v>
      </c>
      <c r="M2168">
        <v>1961.4860000000001</v>
      </c>
      <c r="N2168" t="s">
        <v>19</v>
      </c>
      <c r="O2168">
        <v>980.74</v>
      </c>
    </row>
    <row r="2169" spans="1:15" x14ac:dyDescent="0.2">
      <c r="A2169" t="s">
        <v>125</v>
      </c>
      <c r="B2169" t="s">
        <v>134</v>
      </c>
      <c r="C2169" t="s">
        <v>130</v>
      </c>
      <c r="D2169" t="s">
        <v>127</v>
      </c>
      <c r="E2169" t="s">
        <v>53</v>
      </c>
      <c r="F2169" t="s">
        <v>114</v>
      </c>
      <c r="G2169">
        <v>112323</v>
      </c>
      <c r="H2169" s="75">
        <v>40618</v>
      </c>
      <c r="I2169" t="s">
        <v>115</v>
      </c>
      <c r="J2169">
        <v>5000</v>
      </c>
      <c r="K2169">
        <v>247.21899999999999</v>
      </c>
      <c r="L2169">
        <v>20.225000000000001</v>
      </c>
      <c r="M2169">
        <v>2208.7049999999999</v>
      </c>
      <c r="N2169" t="s">
        <v>15</v>
      </c>
    </row>
    <row r="2170" spans="1:15" x14ac:dyDescent="0.2">
      <c r="A2170" t="s">
        <v>125</v>
      </c>
      <c r="B2170" t="s">
        <v>134</v>
      </c>
      <c r="C2170" t="s">
        <v>130</v>
      </c>
      <c r="D2170" t="s">
        <v>127</v>
      </c>
      <c r="E2170" t="s">
        <v>53</v>
      </c>
      <c r="F2170" t="s">
        <v>114</v>
      </c>
      <c r="G2170">
        <v>112323</v>
      </c>
      <c r="H2170" s="75">
        <v>40648</v>
      </c>
      <c r="I2170" t="s">
        <v>115</v>
      </c>
      <c r="J2170">
        <v>5000</v>
      </c>
      <c r="K2170">
        <v>242.61699999999999</v>
      </c>
      <c r="L2170">
        <v>20.608599999999999</v>
      </c>
      <c r="M2170">
        <v>2451.3220000000001</v>
      </c>
      <c r="N2170" t="s">
        <v>15</v>
      </c>
    </row>
    <row r="2171" spans="1:15" x14ac:dyDescent="0.2">
      <c r="A2171" t="s">
        <v>125</v>
      </c>
      <c r="B2171" t="s">
        <v>134</v>
      </c>
      <c r="C2171" t="s">
        <v>130</v>
      </c>
      <c r="D2171" t="s">
        <v>127</v>
      </c>
      <c r="E2171" t="s">
        <v>53</v>
      </c>
      <c r="F2171" t="s">
        <v>114</v>
      </c>
      <c r="G2171">
        <v>112323</v>
      </c>
      <c r="H2171" s="75">
        <v>40648</v>
      </c>
      <c r="I2171" t="s">
        <v>118</v>
      </c>
      <c r="J2171">
        <v>1225.6600000000001</v>
      </c>
      <c r="K2171">
        <v>0</v>
      </c>
      <c r="M2171">
        <v>2451.3220000000001</v>
      </c>
      <c r="N2171" t="s">
        <v>19</v>
      </c>
      <c r="O2171">
        <v>1225.6600000000001</v>
      </c>
    </row>
    <row r="2172" spans="1:15" x14ac:dyDescent="0.2">
      <c r="A2172" t="s">
        <v>125</v>
      </c>
      <c r="B2172" t="s">
        <v>134</v>
      </c>
      <c r="C2172" t="s">
        <v>130</v>
      </c>
      <c r="D2172" t="s">
        <v>127</v>
      </c>
      <c r="E2172" t="s">
        <v>53</v>
      </c>
      <c r="F2172" t="s">
        <v>114</v>
      </c>
      <c r="G2172">
        <v>112323</v>
      </c>
      <c r="H2172" s="75">
        <v>40678</v>
      </c>
      <c r="I2172" t="s">
        <v>115</v>
      </c>
      <c r="J2172">
        <v>5000</v>
      </c>
      <c r="K2172">
        <v>246.01599999999999</v>
      </c>
      <c r="L2172">
        <v>20.323799999999999</v>
      </c>
      <c r="M2172">
        <v>2697.3380000000002</v>
      </c>
      <c r="N2172" t="s">
        <v>15</v>
      </c>
    </row>
    <row r="2173" spans="1:15" x14ac:dyDescent="0.2">
      <c r="A2173" t="s">
        <v>125</v>
      </c>
      <c r="B2173" t="s">
        <v>134</v>
      </c>
      <c r="C2173" t="s">
        <v>130</v>
      </c>
      <c r="D2173" t="s">
        <v>127</v>
      </c>
      <c r="E2173" t="s">
        <v>53</v>
      </c>
      <c r="F2173" t="s">
        <v>114</v>
      </c>
      <c r="G2173">
        <v>112323</v>
      </c>
      <c r="H2173" s="75">
        <v>40678</v>
      </c>
      <c r="I2173" t="s">
        <v>116</v>
      </c>
      <c r="J2173">
        <v>2.5</v>
      </c>
      <c r="K2173">
        <v>0</v>
      </c>
      <c r="M2173">
        <v>2697.3380000000002</v>
      </c>
      <c r="N2173" t="s">
        <v>17</v>
      </c>
    </row>
    <row r="2174" spans="1:15" x14ac:dyDescent="0.2">
      <c r="A2174" t="s">
        <v>125</v>
      </c>
      <c r="B2174" t="s">
        <v>134</v>
      </c>
      <c r="C2174" t="s">
        <v>130</v>
      </c>
      <c r="D2174" t="s">
        <v>127</v>
      </c>
      <c r="E2174" t="s">
        <v>53</v>
      </c>
      <c r="F2174" t="s">
        <v>114</v>
      </c>
      <c r="G2174">
        <v>112323</v>
      </c>
      <c r="H2174" s="75">
        <v>40708</v>
      </c>
      <c r="I2174" t="s">
        <v>115</v>
      </c>
      <c r="J2174">
        <v>5000</v>
      </c>
      <c r="K2174">
        <v>243.05199999999999</v>
      </c>
      <c r="L2174">
        <v>20.5717</v>
      </c>
      <c r="M2174">
        <v>2940.3910000000001</v>
      </c>
      <c r="N2174" t="s">
        <v>15</v>
      </c>
    </row>
    <row r="2175" spans="1:15" x14ac:dyDescent="0.2">
      <c r="A2175" t="s">
        <v>125</v>
      </c>
      <c r="B2175" t="s">
        <v>134</v>
      </c>
      <c r="C2175" t="s">
        <v>130</v>
      </c>
      <c r="D2175" t="s">
        <v>127</v>
      </c>
      <c r="E2175" t="s">
        <v>53</v>
      </c>
      <c r="F2175" t="s">
        <v>114</v>
      </c>
      <c r="G2175">
        <v>112323</v>
      </c>
      <c r="H2175" s="75">
        <v>40708</v>
      </c>
      <c r="I2175" t="s">
        <v>116</v>
      </c>
      <c r="J2175">
        <v>2.5</v>
      </c>
      <c r="K2175">
        <v>0</v>
      </c>
      <c r="M2175">
        <v>2940.3910000000001</v>
      </c>
      <c r="N2175" t="s">
        <v>17</v>
      </c>
    </row>
    <row r="2176" spans="1:15" x14ac:dyDescent="0.2">
      <c r="A2176" t="s">
        <v>125</v>
      </c>
      <c r="B2176" t="s">
        <v>134</v>
      </c>
      <c r="C2176" t="s">
        <v>130</v>
      </c>
      <c r="D2176" t="s">
        <v>127</v>
      </c>
      <c r="E2176" t="s">
        <v>53</v>
      </c>
      <c r="F2176" t="s">
        <v>114</v>
      </c>
      <c r="G2176">
        <v>112323</v>
      </c>
      <c r="H2176" s="75">
        <v>40738</v>
      </c>
      <c r="I2176" t="s">
        <v>115</v>
      </c>
      <c r="J2176">
        <v>5000</v>
      </c>
      <c r="K2176">
        <v>238.976</v>
      </c>
      <c r="L2176">
        <v>20.922599999999999</v>
      </c>
      <c r="M2176">
        <v>3179.366</v>
      </c>
      <c r="N2176" t="s">
        <v>15</v>
      </c>
    </row>
    <row r="2177" spans="1:15" x14ac:dyDescent="0.2">
      <c r="A2177" t="s">
        <v>125</v>
      </c>
      <c r="B2177" t="s">
        <v>134</v>
      </c>
      <c r="C2177" t="s">
        <v>130</v>
      </c>
      <c r="D2177" t="s">
        <v>127</v>
      </c>
      <c r="E2177" t="s">
        <v>53</v>
      </c>
      <c r="F2177" t="s">
        <v>114</v>
      </c>
      <c r="G2177">
        <v>112323</v>
      </c>
      <c r="H2177" s="75">
        <v>40768</v>
      </c>
      <c r="I2177" t="s">
        <v>115</v>
      </c>
      <c r="J2177">
        <v>5000</v>
      </c>
      <c r="K2177">
        <v>232.62200000000001</v>
      </c>
      <c r="L2177">
        <v>21.4941</v>
      </c>
      <c r="M2177">
        <v>3411.9879999999998</v>
      </c>
      <c r="N2177" t="s">
        <v>15</v>
      </c>
    </row>
    <row r="2178" spans="1:15" x14ac:dyDescent="0.2">
      <c r="A2178" t="s">
        <v>125</v>
      </c>
      <c r="B2178" t="s">
        <v>134</v>
      </c>
      <c r="C2178" t="s">
        <v>130</v>
      </c>
      <c r="D2178" t="s">
        <v>127</v>
      </c>
      <c r="E2178" t="s">
        <v>53</v>
      </c>
      <c r="F2178" t="s">
        <v>114</v>
      </c>
      <c r="G2178">
        <v>112323</v>
      </c>
      <c r="H2178" s="75">
        <v>40798</v>
      </c>
      <c r="I2178" t="s">
        <v>115</v>
      </c>
      <c r="J2178">
        <v>5000</v>
      </c>
      <c r="K2178">
        <v>231.03299999999999</v>
      </c>
      <c r="L2178">
        <v>21.6419</v>
      </c>
      <c r="M2178">
        <v>3643.0219999999999</v>
      </c>
      <c r="N2178" t="s">
        <v>15</v>
      </c>
    </row>
    <row r="2179" spans="1:15" x14ac:dyDescent="0.2">
      <c r="A2179" t="s">
        <v>125</v>
      </c>
      <c r="B2179" t="s">
        <v>134</v>
      </c>
      <c r="C2179" t="s">
        <v>130</v>
      </c>
      <c r="D2179" t="s">
        <v>127</v>
      </c>
      <c r="E2179" t="s">
        <v>53</v>
      </c>
      <c r="F2179" t="s">
        <v>114</v>
      </c>
      <c r="G2179">
        <v>112323</v>
      </c>
      <c r="H2179" s="75">
        <v>40828</v>
      </c>
      <c r="I2179" t="s">
        <v>115</v>
      </c>
      <c r="J2179">
        <v>5000</v>
      </c>
      <c r="K2179">
        <v>225.91900000000001</v>
      </c>
      <c r="L2179">
        <v>22.131900000000002</v>
      </c>
      <c r="M2179">
        <v>3868.9409999999998</v>
      </c>
      <c r="N2179" t="s">
        <v>15</v>
      </c>
    </row>
    <row r="2180" spans="1:15" x14ac:dyDescent="0.2">
      <c r="A2180" t="s">
        <v>125</v>
      </c>
      <c r="B2180" t="s">
        <v>134</v>
      </c>
      <c r="C2180" t="s">
        <v>130</v>
      </c>
      <c r="D2180" t="s">
        <v>127</v>
      </c>
      <c r="E2180" t="s">
        <v>53</v>
      </c>
      <c r="F2180" t="s">
        <v>114</v>
      </c>
      <c r="G2180">
        <v>112323</v>
      </c>
      <c r="H2180" s="75">
        <v>40858</v>
      </c>
      <c r="I2180" t="s">
        <v>115</v>
      </c>
      <c r="J2180">
        <v>5000</v>
      </c>
      <c r="K2180">
        <v>223.863</v>
      </c>
      <c r="L2180">
        <v>22.335100000000001</v>
      </c>
      <c r="M2180">
        <v>4092.8029999999999</v>
      </c>
      <c r="N2180" t="s">
        <v>15</v>
      </c>
    </row>
    <row r="2181" spans="1:15" x14ac:dyDescent="0.2">
      <c r="A2181" t="s">
        <v>125</v>
      </c>
      <c r="B2181" t="s">
        <v>134</v>
      </c>
      <c r="C2181" t="s">
        <v>130</v>
      </c>
      <c r="D2181" t="s">
        <v>127</v>
      </c>
      <c r="E2181" t="s">
        <v>53</v>
      </c>
      <c r="F2181" t="s">
        <v>114</v>
      </c>
      <c r="G2181">
        <v>112323</v>
      </c>
      <c r="H2181" s="75">
        <v>40858</v>
      </c>
      <c r="I2181" t="s">
        <v>116</v>
      </c>
      <c r="J2181">
        <v>2.5</v>
      </c>
      <c r="K2181">
        <v>0</v>
      </c>
      <c r="M2181">
        <v>4092.8029999999999</v>
      </c>
      <c r="N2181" t="s">
        <v>17</v>
      </c>
    </row>
    <row r="2182" spans="1:15" x14ac:dyDescent="0.2">
      <c r="A2182" t="s">
        <v>125</v>
      </c>
      <c r="B2182" t="s">
        <v>134</v>
      </c>
      <c r="C2182" t="s">
        <v>130</v>
      </c>
      <c r="D2182" t="s">
        <v>127</v>
      </c>
      <c r="E2182" t="s">
        <v>53</v>
      </c>
      <c r="F2182" t="s">
        <v>114</v>
      </c>
      <c r="G2182">
        <v>112323</v>
      </c>
      <c r="H2182" s="75">
        <v>40888</v>
      </c>
      <c r="I2182" t="s">
        <v>115</v>
      </c>
      <c r="J2182">
        <v>5000</v>
      </c>
      <c r="K2182">
        <v>225.38800000000001</v>
      </c>
      <c r="L2182">
        <v>22.183900000000001</v>
      </c>
      <c r="M2182">
        <v>4318.192</v>
      </c>
      <c r="N2182" t="s">
        <v>15</v>
      </c>
    </row>
    <row r="2183" spans="1:15" x14ac:dyDescent="0.2">
      <c r="A2183" t="s">
        <v>125</v>
      </c>
      <c r="B2183" t="s">
        <v>134</v>
      </c>
      <c r="C2183" t="s">
        <v>130</v>
      </c>
      <c r="D2183" t="s">
        <v>127</v>
      </c>
      <c r="E2183" t="s">
        <v>53</v>
      </c>
      <c r="F2183" t="s">
        <v>114</v>
      </c>
      <c r="G2183">
        <v>112323</v>
      </c>
      <c r="H2183" s="75">
        <v>40918</v>
      </c>
      <c r="I2183" t="s">
        <v>115</v>
      </c>
      <c r="J2183">
        <v>5000</v>
      </c>
      <c r="K2183">
        <v>226.01</v>
      </c>
      <c r="L2183">
        <v>22.122900000000001</v>
      </c>
      <c r="M2183">
        <v>4544.2020000000002</v>
      </c>
      <c r="N2183" t="s">
        <v>15</v>
      </c>
    </row>
    <row r="2184" spans="1:15" x14ac:dyDescent="0.2">
      <c r="A2184" t="s">
        <v>125</v>
      </c>
      <c r="B2184" t="s">
        <v>134</v>
      </c>
      <c r="C2184" t="s">
        <v>130</v>
      </c>
      <c r="D2184" t="s">
        <v>127</v>
      </c>
      <c r="E2184" t="s">
        <v>53</v>
      </c>
      <c r="F2184" t="s">
        <v>114</v>
      </c>
      <c r="G2184">
        <v>112323</v>
      </c>
      <c r="H2184" s="75">
        <v>40948</v>
      </c>
      <c r="I2184" t="s">
        <v>115</v>
      </c>
      <c r="J2184">
        <v>5000</v>
      </c>
      <c r="K2184">
        <v>227.90899999999999</v>
      </c>
      <c r="L2184">
        <v>21.938600000000001</v>
      </c>
      <c r="M2184">
        <v>4772.1099999999997</v>
      </c>
      <c r="N2184" t="s">
        <v>15</v>
      </c>
    </row>
    <row r="2185" spans="1:15" x14ac:dyDescent="0.2">
      <c r="A2185" t="s">
        <v>125</v>
      </c>
      <c r="B2185" t="s">
        <v>134</v>
      </c>
      <c r="C2185" t="s">
        <v>130</v>
      </c>
      <c r="D2185" t="s">
        <v>127</v>
      </c>
      <c r="E2185" t="s">
        <v>53</v>
      </c>
      <c r="F2185" t="s">
        <v>114</v>
      </c>
      <c r="G2185">
        <v>112323</v>
      </c>
      <c r="H2185" s="75">
        <v>40978</v>
      </c>
      <c r="I2185" t="s">
        <v>115</v>
      </c>
      <c r="J2185">
        <v>5000</v>
      </c>
      <c r="K2185">
        <v>225.98400000000001</v>
      </c>
      <c r="L2185">
        <v>22.125399999999999</v>
      </c>
      <c r="M2185">
        <v>4998.0950000000003</v>
      </c>
      <c r="N2185" t="s">
        <v>15</v>
      </c>
    </row>
    <row r="2186" spans="1:15" x14ac:dyDescent="0.2">
      <c r="A2186" t="s">
        <v>125</v>
      </c>
      <c r="B2186" t="s">
        <v>134</v>
      </c>
      <c r="C2186" t="s">
        <v>130</v>
      </c>
      <c r="D2186" t="s">
        <v>127</v>
      </c>
      <c r="E2186" t="s">
        <v>53</v>
      </c>
      <c r="F2186" t="s">
        <v>114</v>
      </c>
      <c r="G2186">
        <v>112323</v>
      </c>
      <c r="H2186" s="75">
        <v>41008</v>
      </c>
      <c r="I2186" t="s">
        <v>115</v>
      </c>
      <c r="J2186">
        <v>5000</v>
      </c>
      <c r="K2186">
        <v>229.33</v>
      </c>
      <c r="L2186">
        <v>21.802600000000002</v>
      </c>
      <c r="M2186">
        <v>5227.4250000000002</v>
      </c>
      <c r="N2186" t="s">
        <v>15</v>
      </c>
    </row>
    <row r="2187" spans="1:15" x14ac:dyDescent="0.2">
      <c r="A2187" t="s">
        <v>125</v>
      </c>
      <c r="B2187" t="s">
        <v>134</v>
      </c>
      <c r="C2187" t="s">
        <v>130</v>
      </c>
      <c r="D2187" t="s">
        <v>127</v>
      </c>
      <c r="E2187" t="s">
        <v>53</v>
      </c>
      <c r="F2187" t="s">
        <v>114</v>
      </c>
      <c r="G2187">
        <v>112323</v>
      </c>
      <c r="H2187" s="75">
        <v>41038</v>
      </c>
      <c r="I2187" t="s">
        <v>115</v>
      </c>
      <c r="J2187">
        <v>5000</v>
      </c>
      <c r="K2187">
        <v>229.35300000000001</v>
      </c>
      <c r="L2187">
        <v>21.8005</v>
      </c>
      <c r="M2187">
        <v>5456.7780000000002</v>
      </c>
      <c r="N2187" t="s">
        <v>15</v>
      </c>
    </row>
    <row r="2188" spans="1:15" x14ac:dyDescent="0.2">
      <c r="A2188" t="s">
        <v>125</v>
      </c>
      <c r="B2188" t="s">
        <v>134</v>
      </c>
      <c r="C2188" t="s">
        <v>130</v>
      </c>
      <c r="D2188" t="s">
        <v>127</v>
      </c>
      <c r="E2188" t="s">
        <v>53</v>
      </c>
      <c r="F2188" t="s">
        <v>114</v>
      </c>
      <c r="G2188">
        <v>112323</v>
      </c>
      <c r="H2188" s="75">
        <v>41038</v>
      </c>
      <c r="I2188" t="s">
        <v>117</v>
      </c>
      <c r="J2188">
        <v>2.5</v>
      </c>
      <c r="K2188">
        <v>0</v>
      </c>
      <c r="M2188">
        <v>5456.7780000000002</v>
      </c>
      <c r="N2188" t="s">
        <v>46</v>
      </c>
    </row>
    <row r="2189" spans="1:15" x14ac:dyDescent="0.2">
      <c r="A2189" t="s">
        <v>125</v>
      </c>
      <c r="B2189" t="s">
        <v>134</v>
      </c>
      <c r="C2189" t="s">
        <v>130</v>
      </c>
      <c r="D2189" t="s">
        <v>127</v>
      </c>
      <c r="E2189" t="s">
        <v>53</v>
      </c>
      <c r="F2189" t="s">
        <v>114</v>
      </c>
      <c r="G2189">
        <v>112323</v>
      </c>
      <c r="H2189" s="75">
        <v>41068</v>
      </c>
      <c r="I2189" t="s">
        <v>115</v>
      </c>
      <c r="J2189">
        <v>5000</v>
      </c>
      <c r="K2189">
        <v>230.55699999999999</v>
      </c>
      <c r="L2189">
        <v>21.686599999999999</v>
      </c>
      <c r="M2189">
        <v>5687.335</v>
      </c>
      <c r="N2189" t="s">
        <v>15</v>
      </c>
    </row>
    <row r="2190" spans="1:15" x14ac:dyDescent="0.2">
      <c r="A2190" t="s">
        <v>125</v>
      </c>
      <c r="B2190" t="s">
        <v>134</v>
      </c>
      <c r="C2190" t="s">
        <v>130</v>
      </c>
      <c r="D2190" t="s">
        <v>127</v>
      </c>
      <c r="E2190" t="s">
        <v>53</v>
      </c>
      <c r="F2190" t="s">
        <v>114</v>
      </c>
      <c r="G2190">
        <v>112323</v>
      </c>
      <c r="H2190" s="75">
        <v>41098</v>
      </c>
      <c r="I2190" t="s">
        <v>115</v>
      </c>
      <c r="J2190">
        <v>5000</v>
      </c>
      <c r="K2190">
        <v>230.03399999999999</v>
      </c>
      <c r="L2190">
        <v>21.735900000000001</v>
      </c>
      <c r="M2190">
        <v>5917.3689999999997</v>
      </c>
      <c r="N2190" t="s">
        <v>15</v>
      </c>
    </row>
    <row r="2191" spans="1:15" x14ac:dyDescent="0.2">
      <c r="A2191" t="s">
        <v>125</v>
      </c>
      <c r="B2191" t="s">
        <v>134</v>
      </c>
      <c r="C2191" t="s">
        <v>130</v>
      </c>
      <c r="D2191" t="s">
        <v>127</v>
      </c>
      <c r="E2191" t="s">
        <v>53</v>
      </c>
      <c r="F2191" t="s">
        <v>114</v>
      </c>
      <c r="G2191">
        <v>112323</v>
      </c>
      <c r="H2191" s="75">
        <v>41128</v>
      </c>
      <c r="I2191" t="s">
        <v>115</v>
      </c>
      <c r="J2191">
        <v>5000</v>
      </c>
      <c r="K2191">
        <v>225.59100000000001</v>
      </c>
      <c r="L2191">
        <v>22.164000000000001</v>
      </c>
      <c r="M2191">
        <v>6142.96</v>
      </c>
      <c r="N2191" t="s">
        <v>15</v>
      </c>
    </row>
    <row r="2192" spans="1:15" x14ac:dyDescent="0.2">
      <c r="A2192" t="s">
        <v>125</v>
      </c>
      <c r="B2192" t="s">
        <v>134</v>
      </c>
      <c r="C2192" t="s">
        <v>130</v>
      </c>
      <c r="D2192" t="s">
        <v>127</v>
      </c>
      <c r="E2192" t="s">
        <v>53</v>
      </c>
      <c r="F2192" t="s">
        <v>114</v>
      </c>
      <c r="G2192">
        <v>112323</v>
      </c>
      <c r="H2192" s="75">
        <v>41128</v>
      </c>
      <c r="I2192" t="s">
        <v>118</v>
      </c>
      <c r="J2192">
        <v>3071.48</v>
      </c>
      <c r="K2192">
        <v>0</v>
      </c>
      <c r="M2192">
        <v>6142.96</v>
      </c>
      <c r="N2192" t="s">
        <v>19</v>
      </c>
      <c r="O2192">
        <v>3071.48</v>
      </c>
    </row>
    <row r="2193" spans="1:15" x14ac:dyDescent="0.2">
      <c r="A2193" t="s">
        <v>125</v>
      </c>
      <c r="B2193" t="s">
        <v>134</v>
      </c>
      <c r="C2193" t="s">
        <v>130</v>
      </c>
      <c r="D2193" t="s">
        <v>127</v>
      </c>
      <c r="E2193" t="s">
        <v>53</v>
      </c>
      <c r="F2193" t="s">
        <v>114</v>
      </c>
      <c r="G2193">
        <v>112323</v>
      </c>
      <c r="H2193" s="75">
        <v>41158</v>
      </c>
      <c r="I2193" t="s">
        <v>115</v>
      </c>
      <c r="J2193">
        <v>5000</v>
      </c>
      <c r="K2193">
        <v>226.02699999999999</v>
      </c>
      <c r="L2193">
        <v>22.121300000000002</v>
      </c>
      <c r="M2193">
        <v>6368.9870000000001</v>
      </c>
      <c r="N2193" t="s">
        <v>15</v>
      </c>
    </row>
    <row r="2194" spans="1:15" x14ac:dyDescent="0.2">
      <c r="A2194" t="s">
        <v>125</v>
      </c>
      <c r="B2194" t="s">
        <v>134</v>
      </c>
      <c r="C2194" t="s">
        <v>130</v>
      </c>
      <c r="D2194" t="s">
        <v>127</v>
      </c>
      <c r="E2194" t="s">
        <v>53</v>
      </c>
      <c r="F2194" t="s">
        <v>114</v>
      </c>
      <c r="G2194">
        <v>112323</v>
      </c>
      <c r="H2194" s="75">
        <v>41158</v>
      </c>
      <c r="I2194" t="s">
        <v>117</v>
      </c>
      <c r="J2194">
        <v>2.5</v>
      </c>
      <c r="K2194">
        <v>0</v>
      </c>
      <c r="M2194">
        <v>6368.9870000000001</v>
      </c>
      <c r="N2194" t="s">
        <v>46</v>
      </c>
    </row>
    <row r="2195" spans="1:15" x14ac:dyDescent="0.2">
      <c r="A2195" t="s">
        <v>125</v>
      </c>
      <c r="B2195" t="s">
        <v>134</v>
      </c>
      <c r="C2195" t="s">
        <v>130</v>
      </c>
      <c r="D2195" t="s">
        <v>127</v>
      </c>
      <c r="E2195" t="s">
        <v>53</v>
      </c>
      <c r="F2195" t="s">
        <v>114</v>
      </c>
      <c r="G2195">
        <v>112323</v>
      </c>
      <c r="H2195" s="75">
        <v>41188</v>
      </c>
      <c r="I2195" t="s">
        <v>115</v>
      </c>
      <c r="J2195">
        <v>5000</v>
      </c>
      <c r="K2195">
        <v>228.21899999999999</v>
      </c>
      <c r="L2195">
        <v>21.908799999999999</v>
      </c>
      <c r="M2195">
        <v>6597.2049999999999</v>
      </c>
      <c r="N2195" t="s">
        <v>15</v>
      </c>
    </row>
    <row r="2196" spans="1:15" x14ac:dyDescent="0.2">
      <c r="A2196" t="s">
        <v>125</v>
      </c>
      <c r="B2196" t="s">
        <v>134</v>
      </c>
      <c r="C2196" t="s">
        <v>130</v>
      </c>
      <c r="D2196" t="s">
        <v>127</v>
      </c>
      <c r="E2196" t="s">
        <v>53</v>
      </c>
      <c r="F2196" t="s">
        <v>114</v>
      </c>
      <c r="G2196">
        <v>112323</v>
      </c>
      <c r="H2196" s="75">
        <v>41218</v>
      </c>
      <c r="I2196" t="s">
        <v>115</v>
      </c>
      <c r="J2196">
        <v>5000</v>
      </c>
      <c r="K2196">
        <v>226.18100000000001</v>
      </c>
      <c r="L2196">
        <v>22.106200000000001</v>
      </c>
      <c r="M2196">
        <v>6823.3869999999997</v>
      </c>
      <c r="N2196" t="s">
        <v>15</v>
      </c>
    </row>
    <row r="2197" spans="1:15" x14ac:dyDescent="0.2">
      <c r="A2197" t="s">
        <v>125</v>
      </c>
      <c r="B2197" t="s">
        <v>134</v>
      </c>
      <c r="C2197" t="s">
        <v>130</v>
      </c>
      <c r="D2197" t="s">
        <v>127</v>
      </c>
      <c r="E2197" t="s">
        <v>53</v>
      </c>
      <c r="F2197" t="s">
        <v>114</v>
      </c>
      <c r="G2197">
        <v>112323</v>
      </c>
      <c r="H2197" s="75">
        <v>41248</v>
      </c>
      <c r="I2197" t="s">
        <v>115</v>
      </c>
      <c r="J2197">
        <v>5000</v>
      </c>
      <c r="K2197">
        <v>219.67400000000001</v>
      </c>
      <c r="L2197">
        <v>22.760999999999999</v>
      </c>
      <c r="M2197">
        <v>7043.0609999999997</v>
      </c>
      <c r="N2197" t="s">
        <v>15</v>
      </c>
    </row>
    <row r="2198" spans="1:15" x14ac:dyDescent="0.2">
      <c r="A2198" t="s">
        <v>125</v>
      </c>
      <c r="B2198" t="s">
        <v>134</v>
      </c>
      <c r="C2198" t="s">
        <v>130</v>
      </c>
      <c r="D2198" t="s">
        <v>127</v>
      </c>
      <c r="E2198" t="s">
        <v>53</v>
      </c>
      <c r="F2198" t="s">
        <v>114</v>
      </c>
      <c r="G2198">
        <v>112323</v>
      </c>
      <c r="H2198" s="75">
        <v>41278</v>
      </c>
      <c r="I2198" t="s">
        <v>115</v>
      </c>
      <c r="J2198">
        <v>5000</v>
      </c>
      <c r="K2198">
        <v>213.53299999999999</v>
      </c>
      <c r="L2198">
        <v>23.415600000000001</v>
      </c>
      <c r="M2198">
        <v>7256.5929999999998</v>
      </c>
      <c r="N2198" t="s">
        <v>15</v>
      </c>
    </row>
    <row r="2199" spans="1:15" x14ac:dyDescent="0.2">
      <c r="A2199" t="s">
        <v>125</v>
      </c>
      <c r="B2199" t="s">
        <v>134</v>
      </c>
      <c r="C2199" t="s">
        <v>130</v>
      </c>
      <c r="D2199" t="s">
        <v>127</v>
      </c>
      <c r="E2199" t="s">
        <v>53</v>
      </c>
      <c r="F2199" t="s">
        <v>114</v>
      </c>
      <c r="G2199">
        <v>112323</v>
      </c>
      <c r="H2199" s="75">
        <v>41308</v>
      </c>
      <c r="I2199" t="s">
        <v>115</v>
      </c>
      <c r="J2199">
        <v>5000</v>
      </c>
      <c r="K2199">
        <v>217.34399999999999</v>
      </c>
      <c r="L2199">
        <v>23.004999999999999</v>
      </c>
      <c r="M2199">
        <v>7473.9369999999999</v>
      </c>
      <c r="N2199" t="s">
        <v>15</v>
      </c>
    </row>
    <row r="2200" spans="1:15" x14ac:dyDescent="0.2">
      <c r="A2200" t="s">
        <v>125</v>
      </c>
      <c r="B2200" t="s">
        <v>134</v>
      </c>
      <c r="C2200" t="s">
        <v>130</v>
      </c>
      <c r="D2200" t="s">
        <v>127</v>
      </c>
      <c r="E2200" t="s">
        <v>53</v>
      </c>
      <c r="F2200" t="s">
        <v>114</v>
      </c>
      <c r="G2200">
        <v>112323</v>
      </c>
      <c r="H2200" s="75">
        <v>41308</v>
      </c>
      <c r="I2200" t="s">
        <v>118</v>
      </c>
      <c r="J2200">
        <v>3736.97</v>
      </c>
      <c r="K2200">
        <v>0</v>
      </c>
      <c r="M2200">
        <v>7473.9369999999999</v>
      </c>
      <c r="N2200" t="s">
        <v>19</v>
      </c>
      <c r="O2200">
        <v>3736.97</v>
      </c>
    </row>
    <row r="2201" spans="1:15" x14ac:dyDescent="0.2">
      <c r="A2201" t="s">
        <v>125</v>
      </c>
      <c r="B2201" t="s">
        <v>134</v>
      </c>
      <c r="C2201" t="s">
        <v>130</v>
      </c>
      <c r="D2201" t="s">
        <v>127</v>
      </c>
      <c r="E2201" t="s">
        <v>53</v>
      </c>
      <c r="F2201" t="s">
        <v>114</v>
      </c>
      <c r="G2201">
        <v>112323</v>
      </c>
      <c r="H2201" s="75">
        <v>41338</v>
      </c>
      <c r="I2201" t="s">
        <v>115</v>
      </c>
      <c r="J2201">
        <v>5000</v>
      </c>
      <c r="K2201">
        <v>213.68899999999999</v>
      </c>
      <c r="L2201">
        <v>23.398499999999999</v>
      </c>
      <c r="M2201">
        <v>7687.6260000000002</v>
      </c>
      <c r="N2201" t="s">
        <v>15</v>
      </c>
    </row>
    <row r="2202" spans="1:15" x14ac:dyDescent="0.2">
      <c r="A2202" t="s">
        <v>125</v>
      </c>
      <c r="B2202" t="s">
        <v>134</v>
      </c>
      <c r="C2202" t="s">
        <v>130</v>
      </c>
      <c r="D2202" t="s">
        <v>127</v>
      </c>
      <c r="E2202" t="s">
        <v>53</v>
      </c>
      <c r="F2202" t="s">
        <v>114</v>
      </c>
      <c r="G2202">
        <v>112323</v>
      </c>
      <c r="H2202" s="75">
        <v>41368</v>
      </c>
      <c r="I2202" t="s">
        <v>115</v>
      </c>
      <c r="J2202">
        <v>5000</v>
      </c>
      <c r="K2202">
        <v>214.72499999999999</v>
      </c>
      <c r="L2202">
        <v>23.285599999999999</v>
      </c>
      <c r="M2202">
        <v>7902.3509999999997</v>
      </c>
      <c r="N2202" t="s">
        <v>15</v>
      </c>
    </row>
    <row r="2203" spans="1:15" x14ac:dyDescent="0.2">
      <c r="A2203" t="s">
        <v>125</v>
      </c>
      <c r="B2203" t="s">
        <v>134</v>
      </c>
      <c r="C2203" t="s">
        <v>130</v>
      </c>
      <c r="D2203" t="s">
        <v>127</v>
      </c>
      <c r="E2203" t="s">
        <v>53</v>
      </c>
      <c r="F2203" t="s">
        <v>114</v>
      </c>
      <c r="G2203">
        <v>112323</v>
      </c>
      <c r="H2203" s="75">
        <v>41368</v>
      </c>
      <c r="I2203" t="s">
        <v>116</v>
      </c>
      <c r="J2203">
        <v>2.5</v>
      </c>
      <c r="K2203">
        <v>0</v>
      </c>
      <c r="M2203">
        <v>7902.3509999999997</v>
      </c>
      <c r="N2203" t="s">
        <v>17</v>
      </c>
    </row>
    <row r="2204" spans="1:15" x14ac:dyDescent="0.2">
      <c r="A2204" t="s">
        <v>125</v>
      </c>
      <c r="B2204" t="s">
        <v>134</v>
      </c>
      <c r="C2204" t="s">
        <v>130</v>
      </c>
      <c r="D2204" t="s">
        <v>127</v>
      </c>
      <c r="E2204" t="s">
        <v>53</v>
      </c>
      <c r="F2204" t="s">
        <v>114</v>
      </c>
      <c r="G2204">
        <v>112323</v>
      </c>
      <c r="H2204" s="75">
        <v>41398</v>
      </c>
      <c r="I2204" t="s">
        <v>115</v>
      </c>
      <c r="J2204">
        <v>5000</v>
      </c>
      <c r="K2204">
        <v>217.75800000000001</v>
      </c>
      <c r="L2204">
        <v>22.961200000000002</v>
      </c>
      <c r="M2204">
        <v>8120.11</v>
      </c>
      <c r="N2204" t="s">
        <v>15</v>
      </c>
    </row>
    <row r="2205" spans="1:15" x14ac:dyDescent="0.2">
      <c r="A2205" t="s">
        <v>125</v>
      </c>
      <c r="B2205" t="s">
        <v>134</v>
      </c>
      <c r="C2205" t="s">
        <v>130</v>
      </c>
      <c r="D2205" t="s">
        <v>127</v>
      </c>
      <c r="E2205" t="s">
        <v>53</v>
      </c>
      <c r="F2205" t="s">
        <v>114</v>
      </c>
      <c r="G2205">
        <v>112323</v>
      </c>
      <c r="H2205" s="75">
        <v>41428</v>
      </c>
      <c r="I2205" t="s">
        <v>115</v>
      </c>
      <c r="J2205">
        <v>5000</v>
      </c>
      <c r="K2205">
        <v>219.87899999999999</v>
      </c>
      <c r="L2205">
        <v>22.739799999999999</v>
      </c>
      <c r="M2205">
        <v>8339.9889999999996</v>
      </c>
      <c r="N2205" t="s">
        <v>15</v>
      </c>
    </row>
    <row r="2206" spans="1:15" x14ac:dyDescent="0.2">
      <c r="A2206" t="s">
        <v>125</v>
      </c>
      <c r="B2206" t="s">
        <v>134</v>
      </c>
      <c r="C2206" t="s">
        <v>130</v>
      </c>
      <c r="D2206" t="s">
        <v>127</v>
      </c>
      <c r="E2206" t="s">
        <v>53</v>
      </c>
      <c r="F2206" t="s">
        <v>114</v>
      </c>
      <c r="G2206">
        <v>112323</v>
      </c>
      <c r="H2206" s="75">
        <v>41458</v>
      </c>
      <c r="I2206" t="s">
        <v>115</v>
      </c>
      <c r="J2206">
        <v>5000</v>
      </c>
      <c r="K2206">
        <v>219.268</v>
      </c>
      <c r="L2206">
        <v>22.803100000000001</v>
      </c>
      <c r="M2206">
        <v>8559.2569999999996</v>
      </c>
      <c r="N2206" t="s">
        <v>15</v>
      </c>
    </row>
    <row r="2207" spans="1:15" x14ac:dyDescent="0.2">
      <c r="A2207" t="s">
        <v>125</v>
      </c>
      <c r="B2207" t="s">
        <v>134</v>
      </c>
      <c r="C2207" t="s">
        <v>130</v>
      </c>
      <c r="D2207" t="s">
        <v>127</v>
      </c>
      <c r="E2207" t="s">
        <v>53</v>
      </c>
      <c r="F2207" t="s">
        <v>114</v>
      </c>
      <c r="G2207">
        <v>112323</v>
      </c>
      <c r="H2207" s="75">
        <v>41458</v>
      </c>
      <c r="I2207" t="s">
        <v>116</v>
      </c>
      <c r="J2207">
        <v>2.5</v>
      </c>
      <c r="K2207">
        <v>0</v>
      </c>
      <c r="M2207">
        <v>8559.2569999999996</v>
      </c>
      <c r="N2207" t="s">
        <v>17</v>
      </c>
    </row>
    <row r="2208" spans="1:15" x14ac:dyDescent="0.2">
      <c r="A2208" t="s">
        <v>125</v>
      </c>
      <c r="B2208" t="s">
        <v>134</v>
      </c>
      <c r="C2208" t="s">
        <v>130</v>
      </c>
      <c r="D2208" t="s">
        <v>127</v>
      </c>
      <c r="E2208" t="s">
        <v>53</v>
      </c>
      <c r="F2208" t="s">
        <v>114</v>
      </c>
      <c r="G2208">
        <v>112323</v>
      </c>
      <c r="H2208" s="75">
        <v>41458</v>
      </c>
      <c r="I2208" t="s">
        <v>118</v>
      </c>
      <c r="J2208">
        <v>4279.63</v>
      </c>
      <c r="K2208">
        <v>0</v>
      </c>
      <c r="M2208">
        <v>8559.2569999999996</v>
      </c>
      <c r="N2208" t="s">
        <v>19</v>
      </c>
      <c r="O2208">
        <v>4279.63</v>
      </c>
    </row>
    <row r="2209" spans="1:14" x14ac:dyDescent="0.2">
      <c r="A2209" t="s">
        <v>125</v>
      </c>
      <c r="B2209" t="s">
        <v>134</v>
      </c>
      <c r="C2209" t="s">
        <v>130</v>
      </c>
      <c r="D2209" t="s">
        <v>127</v>
      </c>
      <c r="E2209" t="s">
        <v>53</v>
      </c>
      <c r="F2209" t="s">
        <v>114</v>
      </c>
      <c r="G2209">
        <v>112323</v>
      </c>
      <c r="H2209" s="75">
        <v>41488</v>
      </c>
      <c r="I2209" t="s">
        <v>115</v>
      </c>
      <c r="J2209">
        <v>5000</v>
      </c>
      <c r="K2209">
        <v>221.68299999999999</v>
      </c>
      <c r="L2209">
        <v>22.5547</v>
      </c>
      <c r="M2209">
        <v>8780.94</v>
      </c>
      <c r="N2209" t="s">
        <v>15</v>
      </c>
    </row>
    <row r="2210" spans="1:14" x14ac:dyDescent="0.2">
      <c r="A2210" t="s">
        <v>125</v>
      </c>
      <c r="B2210" t="s">
        <v>134</v>
      </c>
      <c r="C2210" t="s">
        <v>130</v>
      </c>
      <c r="D2210" t="s">
        <v>127</v>
      </c>
      <c r="E2210" t="s">
        <v>53</v>
      </c>
      <c r="F2210" t="s">
        <v>114</v>
      </c>
      <c r="G2210">
        <v>112323</v>
      </c>
      <c r="H2210" s="75">
        <v>41518</v>
      </c>
      <c r="I2210" t="s">
        <v>115</v>
      </c>
      <c r="J2210">
        <v>5000</v>
      </c>
      <c r="K2210">
        <v>215.26</v>
      </c>
      <c r="L2210">
        <v>23.227699999999999</v>
      </c>
      <c r="M2210">
        <v>8996.2000000000007</v>
      </c>
      <c r="N2210" t="s">
        <v>15</v>
      </c>
    </row>
    <row r="2211" spans="1:14" x14ac:dyDescent="0.2">
      <c r="A2211" t="s">
        <v>125</v>
      </c>
      <c r="B2211" t="s">
        <v>134</v>
      </c>
      <c r="C2211" t="s">
        <v>130</v>
      </c>
      <c r="D2211" t="s">
        <v>127</v>
      </c>
      <c r="E2211" t="s">
        <v>53</v>
      </c>
      <c r="F2211" t="s">
        <v>114</v>
      </c>
      <c r="G2211">
        <v>112323</v>
      </c>
      <c r="H2211" s="75">
        <v>41548</v>
      </c>
      <c r="I2211" t="s">
        <v>115</v>
      </c>
      <c r="J2211">
        <v>5000</v>
      </c>
      <c r="K2211">
        <v>216.88</v>
      </c>
      <c r="L2211">
        <v>23.054200000000002</v>
      </c>
      <c r="M2211">
        <v>9213.08</v>
      </c>
      <c r="N2211" t="s">
        <v>15</v>
      </c>
    </row>
    <row r="2212" spans="1:14" x14ac:dyDescent="0.2">
      <c r="A2212" t="s">
        <v>125</v>
      </c>
      <c r="B2212" t="s">
        <v>134</v>
      </c>
      <c r="C2212" t="s">
        <v>130</v>
      </c>
      <c r="D2212" t="s">
        <v>127</v>
      </c>
      <c r="E2212" t="s">
        <v>53</v>
      </c>
      <c r="F2212" t="s">
        <v>114</v>
      </c>
      <c r="G2212">
        <v>112323</v>
      </c>
      <c r="H2212" s="75">
        <v>41578</v>
      </c>
      <c r="I2212" t="s">
        <v>115</v>
      </c>
      <c r="J2212">
        <v>5000</v>
      </c>
      <c r="K2212">
        <v>214.012</v>
      </c>
      <c r="L2212">
        <v>23.363199999999999</v>
      </c>
      <c r="M2212">
        <v>9427.0930000000008</v>
      </c>
      <c r="N2212" t="s">
        <v>15</v>
      </c>
    </row>
    <row r="2213" spans="1:14" x14ac:dyDescent="0.2">
      <c r="A2213" t="s">
        <v>125</v>
      </c>
      <c r="B2213" t="s">
        <v>134</v>
      </c>
      <c r="C2213" t="s">
        <v>130</v>
      </c>
      <c r="D2213" t="s">
        <v>127</v>
      </c>
      <c r="E2213" t="s">
        <v>53</v>
      </c>
      <c r="F2213" t="s">
        <v>114</v>
      </c>
      <c r="G2213">
        <v>112323</v>
      </c>
      <c r="H2213" s="75">
        <v>41608</v>
      </c>
      <c r="I2213" t="s">
        <v>115</v>
      </c>
      <c r="J2213">
        <v>5000</v>
      </c>
      <c r="K2213">
        <v>211.73</v>
      </c>
      <c r="L2213">
        <v>23.614999999999998</v>
      </c>
      <c r="M2213">
        <v>9638.8220000000001</v>
      </c>
      <c r="N2213" t="s">
        <v>15</v>
      </c>
    </row>
    <row r="2214" spans="1:14" x14ac:dyDescent="0.2">
      <c r="A2214" t="s">
        <v>125</v>
      </c>
      <c r="B2214" t="s">
        <v>134</v>
      </c>
      <c r="C2214" t="s">
        <v>130</v>
      </c>
      <c r="D2214" t="s">
        <v>127</v>
      </c>
      <c r="E2214" t="s">
        <v>53</v>
      </c>
      <c r="F2214" t="s">
        <v>114</v>
      </c>
      <c r="G2214">
        <v>112323</v>
      </c>
      <c r="H2214" s="75">
        <v>41638</v>
      </c>
      <c r="I2214" t="s">
        <v>115</v>
      </c>
      <c r="J2214">
        <v>5000</v>
      </c>
      <c r="K2214">
        <v>209.518</v>
      </c>
      <c r="L2214">
        <v>23.8643</v>
      </c>
      <c r="M2214">
        <v>9848.34</v>
      </c>
      <c r="N2214" t="s">
        <v>15</v>
      </c>
    </row>
    <row r="2215" spans="1:14" x14ac:dyDescent="0.2">
      <c r="A2215" t="s">
        <v>125</v>
      </c>
      <c r="B2215" t="s">
        <v>134</v>
      </c>
      <c r="C2215" t="s">
        <v>130</v>
      </c>
      <c r="D2215" t="s">
        <v>127</v>
      </c>
      <c r="E2215" t="s">
        <v>53</v>
      </c>
      <c r="F2215" t="s">
        <v>114</v>
      </c>
      <c r="G2215">
        <v>112323</v>
      </c>
      <c r="H2215" s="75">
        <v>41668</v>
      </c>
      <c r="I2215" t="s">
        <v>115</v>
      </c>
      <c r="J2215">
        <v>5000</v>
      </c>
      <c r="K2215">
        <v>210.173</v>
      </c>
      <c r="L2215">
        <v>23.789899999999999</v>
      </c>
      <c r="M2215">
        <v>10058.513999999999</v>
      </c>
      <c r="N2215" t="s">
        <v>15</v>
      </c>
    </row>
    <row r="2216" spans="1:14" x14ac:dyDescent="0.2">
      <c r="A2216" t="s">
        <v>125</v>
      </c>
      <c r="B2216" t="s">
        <v>134</v>
      </c>
      <c r="C2216" t="s">
        <v>130</v>
      </c>
      <c r="D2216" t="s">
        <v>127</v>
      </c>
      <c r="E2216" t="s">
        <v>53</v>
      </c>
      <c r="F2216" t="s">
        <v>114</v>
      </c>
      <c r="G2216">
        <v>112323</v>
      </c>
      <c r="H2216" s="75">
        <v>41698</v>
      </c>
      <c r="I2216" t="s">
        <v>115</v>
      </c>
      <c r="J2216">
        <v>5000</v>
      </c>
      <c r="K2216">
        <v>211.75200000000001</v>
      </c>
      <c r="L2216">
        <v>23.612500000000001</v>
      </c>
      <c r="M2216">
        <v>10270.266</v>
      </c>
      <c r="N2216" t="s">
        <v>15</v>
      </c>
    </row>
    <row r="2217" spans="1:14" x14ac:dyDescent="0.2">
      <c r="A2217" t="s">
        <v>125</v>
      </c>
      <c r="B2217" t="s">
        <v>134</v>
      </c>
      <c r="C2217" t="s">
        <v>130</v>
      </c>
      <c r="D2217" t="s">
        <v>127</v>
      </c>
      <c r="E2217" t="s">
        <v>53</v>
      </c>
      <c r="F2217" t="s">
        <v>114</v>
      </c>
      <c r="G2217">
        <v>112323</v>
      </c>
      <c r="H2217" s="75">
        <v>41728</v>
      </c>
      <c r="I2217" t="s">
        <v>115</v>
      </c>
      <c r="J2217">
        <v>5000</v>
      </c>
      <c r="K2217">
        <v>210.446</v>
      </c>
      <c r="L2217">
        <v>23.7591</v>
      </c>
      <c r="M2217">
        <v>10480.710999999999</v>
      </c>
      <c r="N2217" t="s">
        <v>15</v>
      </c>
    </row>
    <row r="2218" spans="1:14" x14ac:dyDescent="0.2">
      <c r="A2218" t="s">
        <v>125</v>
      </c>
      <c r="B2218" t="s">
        <v>134</v>
      </c>
      <c r="C2218" t="s">
        <v>130</v>
      </c>
      <c r="D2218" t="s">
        <v>127</v>
      </c>
      <c r="E2218" t="s">
        <v>53</v>
      </c>
      <c r="F2218" t="s">
        <v>114</v>
      </c>
      <c r="G2218">
        <v>112323</v>
      </c>
      <c r="H2218" s="75">
        <v>41758</v>
      </c>
      <c r="I2218" t="s">
        <v>115</v>
      </c>
      <c r="J2218">
        <v>5000</v>
      </c>
      <c r="K2218">
        <v>208.55699999999999</v>
      </c>
      <c r="L2218">
        <v>23.974299999999999</v>
      </c>
      <c r="M2218">
        <v>10689.268</v>
      </c>
      <c r="N2218" t="s">
        <v>15</v>
      </c>
    </row>
    <row r="2219" spans="1:14" x14ac:dyDescent="0.2">
      <c r="A2219" t="s">
        <v>125</v>
      </c>
      <c r="B2219" t="s">
        <v>134</v>
      </c>
      <c r="C2219" t="s">
        <v>130</v>
      </c>
      <c r="D2219" t="s">
        <v>127</v>
      </c>
      <c r="E2219" t="s">
        <v>53</v>
      </c>
      <c r="F2219" t="s">
        <v>114</v>
      </c>
      <c r="G2219">
        <v>112323</v>
      </c>
      <c r="H2219" s="75">
        <v>41788</v>
      </c>
      <c r="I2219" t="s">
        <v>115</v>
      </c>
      <c r="J2219">
        <v>5000</v>
      </c>
      <c r="K2219">
        <v>204.696</v>
      </c>
      <c r="L2219">
        <v>24.426500000000001</v>
      </c>
      <c r="M2219">
        <v>10893.964</v>
      </c>
      <c r="N2219" t="s">
        <v>15</v>
      </c>
    </row>
    <row r="2220" spans="1:14" x14ac:dyDescent="0.2">
      <c r="A2220" t="s">
        <v>125</v>
      </c>
      <c r="B2220" t="s">
        <v>134</v>
      </c>
      <c r="C2220" t="s">
        <v>130</v>
      </c>
      <c r="D2220" t="s">
        <v>127</v>
      </c>
      <c r="E2220" t="s">
        <v>53</v>
      </c>
      <c r="F2220" t="s">
        <v>114</v>
      </c>
      <c r="G2220">
        <v>112323</v>
      </c>
      <c r="H2220" s="75">
        <v>41818</v>
      </c>
      <c r="I2220" t="s">
        <v>115</v>
      </c>
      <c r="J2220">
        <v>5000</v>
      </c>
      <c r="K2220">
        <v>201.41499999999999</v>
      </c>
      <c r="L2220">
        <v>24.824400000000001</v>
      </c>
      <c r="M2220">
        <v>11095.378000000001</v>
      </c>
      <c r="N2220" t="s">
        <v>15</v>
      </c>
    </row>
    <row r="2221" spans="1:14" x14ac:dyDescent="0.2">
      <c r="A2221" t="s">
        <v>125</v>
      </c>
      <c r="B2221" t="s">
        <v>134</v>
      </c>
      <c r="C2221" t="s">
        <v>130</v>
      </c>
      <c r="D2221" t="s">
        <v>127</v>
      </c>
      <c r="E2221" t="s">
        <v>53</v>
      </c>
      <c r="F2221" t="s">
        <v>114</v>
      </c>
      <c r="G2221">
        <v>112323</v>
      </c>
      <c r="H2221" s="75">
        <v>41848</v>
      </c>
      <c r="I2221" t="s">
        <v>115</v>
      </c>
      <c r="J2221">
        <v>5000</v>
      </c>
      <c r="K2221">
        <v>198.744</v>
      </c>
      <c r="L2221">
        <v>25.157900000000001</v>
      </c>
      <c r="M2221">
        <v>11294.123</v>
      </c>
      <c r="N2221" t="s">
        <v>15</v>
      </c>
    </row>
    <row r="2222" spans="1:14" x14ac:dyDescent="0.2">
      <c r="A2222" t="s">
        <v>125</v>
      </c>
      <c r="B2222" t="s">
        <v>134</v>
      </c>
      <c r="C2222" t="s">
        <v>130</v>
      </c>
      <c r="D2222" t="s">
        <v>127</v>
      </c>
      <c r="E2222" t="s">
        <v>53</v>
      </c>
      <c r="F2222" t="s">
        <v>114</v>
      </c>
      <c r="G2222">
        <v>112323</v>
      </c>
      <c r="H2222" s="75">
        <v>41878</v>
      </c>
      <c r="I2222" t="s">
        <v>115</v>
      </c>
      <c r="J2222">
        <v>5000</v>
      </c>
      <c r="K2222">
        <v>194.99799999999999</v>
      </c>
      <c r="L2222">
        <v>25.641300000000001</v>
      </c>
      <c r="M2222">
        <v>11489.120999999999</v>
      </c>
      <c r="N2222" t="s">
        <v>15</v>
      </c>
    </row>
    <row r="2223" spans="1:14" x14ac:dyDescent="0.2">
      <c r="A2223" t="s">
        <v>125</v>
      </c>
      <c r="B2223" t="s">
        <v>134</v>
      </c>
      <c r="C2223" t="s">
        <v>130</v>
      </c>
      <c r="D2223" t="s">
        <v>127</v>
      </c>
      <c r="E2223" t="s">
        <v>53</v>
      </c>
      <c r="F2223" t="s">
        <v>114</v>
      </c>
      <c r="G2223">
        <v>112323</v>
      </c>
      <c r="H2223" s="75">
        <v>41878</v>
      </c>
      <c r="I2223" t="s">
        <v>116</v>
      </c>
      <c r="J2223">
        <v>2.5</v>
      </c>
      <c r="K2223">
        <v>0</v>
      </c>
      <c r="M2223">
        <v>11489.120999999999</v>
      </c>
      <c r="N2223" t="s">
        <v>17</v>
      </c>
    </row>
    <row r="2224" spans="1:14" x14ac:dyDescent="0.2">
      <c r="A2224" t="s">
        <v>125</v>
      </c>
      <c r="B2224" t="s">
        <v>134</v>
      </c>
      <c r="C2224" t="s">
        <v>130</v>
      </c>
      <c r="D2224" t="s">
        <v>127</v>
      </c>
      <c r="E2224" t="s">
        <v>53</v>
      </c>
      <c r="F2224" t="s">
        <v>114</v>
      </c>
      <c r="G2224">
        <v>112323</v>
      </c>
      <c r="H2224" s="75">
        <v>41908</v>
      </c>
      <c r="I2224" t="s">
        <v>115</v>
      </c>
      <c r="J2224">
        <v>5000</v>
      </c>
      <c r="K2224">
        <v>193.36199999999999</v>
      </c>
      <c r="L2224">
        <v>25.8583</v>
      </c>
      <c r="M2224">
        <v>11682.482</v>
      </c>
      <c r="N2224" t="s">
        <v>15</v>
      </c>
    </row>
    <row r="2225" spans="1:14" x14ac:dyDescent="0.2">
      <c r="A2225" t="s">
        <v>125</v>
      </c>
      <c r="B2225" t="s">
        <v>134</v>
      </c>
      <c r="C2225" t="s">
        <v>130</v>
      </c>
      <c r="D2225" t="s">
        <v>127</v>
      </c>
      <c r="E2225" t="s">
        <v>53</v>
      </c>
      <c r="F2225" t="s">
        <v>114</v>
      </c>
      <c r="G2225">
        <v>112323</v>
      </c>
      <c r="H2225" s="75">
        <v>41938</v>
      </c>
      <c r="I2225" t="s">
        <v>115</v>
      </c>
      <c r="J2225">
        <v>5000</v>
      </c>
      <c r="K2225">
        <v>193.63200000000001</v>
      </c>
      <c r="L2225">
        <v>25.822099999999999</v>
      </c>
      <c r="M2225">
        <v>11876.115</v>
      </c>
      <c r="N2225" t="s">
        <v>15</v>
      </c>
    </row>
    <row r="2226" spans="1:14" x14ac:dyDescent="0.2">
      <c r="A2226" t="s">
        <v>125</v>
      </c>
      <c r="B2226" t="s">
        <v>134</v>
      </c>
      <c r="C2226" t="s">
        <v>130</v>
      </c>
      <c r="D2226" t="s">
        <v>127</v>
      </c>
      <c r="E2226" t="s">
        <v>53</v>
      </c>
      <c r="F2226" t="s">
        <v>114</v>
      </c>
      <c r="G2226">
        <v>112323</v>
      </c>
      <c r="H2226" s="75">
        <v>41968</v>
      </c>
      <c r="I2226" t="s">
        <v>115</v>
      </c>
      <c r="J2226">
        <v>5000</v>
      </c>
      <c r="K2226">
        <v>188.59899999999999</v>
      </c>
      <c r="L2226">
        <v>26.511299999999999</v>
      </c>
      <c r="M2226">
        <v>12064.714</v>
      </c>
      <c r="N2226" t="s">
        <v>15</v>
      </c>
    </row>
    <row r="2227" spans="1:14" x14ac:dyDescent="0.2">
      <c r="A2227" t="s">
        <v>125</v>
      </c>
      <c r="B2227" t="s">
        <v>134</v>
      </c>
      <c r="C2227" t="s">
        <v>130</v>
      </c>
      <c r="D2227" t="s">
        <v>127</v>
      </c>
      <c r="E2227" t="s">
        <v>53</v>
      </c>
      <c r="F2227" t="s">
        <v>114</v>
      </c>
      <c r="G2227">
        <v>112323</v>
      </c>
      <c r="H2227" s="75">
        <v>41998</v>
      </c>
      <c r="I2227" t="s">
        <v>115</v>
      </c>
      <c r="J2227">
        <v>5000</v>
      </c>
      <c r="K2227">
        <v>186.661</v>
      </c>
      <c r="L2227">
        <v>26.7866</v>
      </c>
      <c r="M2227">
        <v>12251.374</v>
      </c>
      <c r="N2227" t="s">
        <v>15</v>
      </c>
    </row>
    <row r="2228" spans="1:14" x14ac:dyDescent="0.2">
      <c r="A2228" t="s">
        <v>125</v>
      </c>
      <c r="B2228" t="s">
        <v>134</v>
      </c>
      <c r="C2228" t="s">
        <v>130</v>
      </c>
      <c r="D2228" t="s">
        <v>127</v>
      </c>
      <c r="E2228" t="s">
        <v>53</v>
      </c>
      <c r="F2228" t="s">
        <v>114</v>
      </c>
      <c r="G2228">
        <v>112323</v>
      </c>
      <c r="H2228" s="75">
        <v>42028</v>
      </c>
      <c r="I2228" t="s">
        <v>115</v>
      </c>
      <c r="J2228">
        <v>5000</v>
      </c>
      <c r="K2228">
        <v>182.98500000000001</v>
      </c>
      <c r="L2228">
        <v>27.3247</v>
      </c>
      <c r="M2228">
        <v>12434.359</v>
      </c>
      <c r="N2228" t="s">
        <v>15</v>
      </c>
    </row>
    <row r="2229" spans="1:14" x14ac:dyDescent="0.2">
      <c r="A2229" t="s">
        <v>125</v>
      </c>
      <c r="B2229" t="s">
        <v>134</v>
      </c>
      <c r="C2229" t="s">
        <v>130</v>
      </c>
      <c r="D2229" t="s">
        <v>127</v>
      </c>
      <c r="E2229" t="s">
        <v>53</v>
      </c>
      <c r="F2229" t="s">
        <v>114</v>
      </c>
      <c r="G2229">
        <v>112323</v>
      </c>
      <c r="H2229" s="75">
        <v>42058</v>
      </c>
      <c r="I2229" t="s">
        <v>115</v>
      </c>
      <c r="J2229">
        <v>5000</v>
      </c>
      <c r="K2229">
        <v>180.80799999999999</v>
      </c>
      <c r="L2229">
        <v>27.653700000000001</v>
      </c>
      <c r="M2229">
        <v>12615.166999999999</v>
      </c>
      <c r="N2229" t="s">
        <v>15</v>
      </c>
    </row>
    <row r="2230" spans="1:14" x14ac:dyDescent="0.2">
      <c r="A2230" t="s">
        <v>125</v>
      </c>
      <c r="B2230" t="s">
        <v>134</v>
      </c>
      <c r="C2230" t="s">
        <v>130</v>
      </c>
      <c r="D2230" t="s">
        <v>127</v>
      </c>
      <c r="E2230" t="s">
        <v>53</v>
      </c>
      <c r="F2230" t="s">
        <v>114</v>
      </c>
      <c r="G2230">
        <v>112323</v>
      </c>
      <c r="H2230" s="75">
        <v>42088</v>
      </c>
      <c r="I2230" t="s">
        <v>115</v>
      </c>
      <c r="J2230">
        <v>5000</v>
      </c>
      <c r="K2230">
        <v>178.11600000000001</v>
      </c>
      <c r="L2230">
        <v>28.0716</v>
      </c>
      <c r="M2230">
        <v>12793.282999999999</v>
      </c>
      <c r="N2230" t="s">
        <v>15</v>
      </c>
    </row>
    <row r="2231" spans="1:14" x14ac:dyDescent="0.2">
      <c r="A2231" t="s">
        <v>125</v>
      </c>
      <c r="B2231" t="s">
        <v>134</v>
      </c>
      <c r="C2231" t="s">
        <v>130</v>
      </c>
      <c r="D2231" t="s">
        <v>127</v>
      </c>
      <c r="E2231" t="s">
        <v>53</v>
      </c>
      <c r="F2231" t="s">
        <v>114</v>
      </c>
      <c r="G2231">
        <v>112323</v>
      </c>
      <c r="H2231" s="75">
        <v>42118</v>
      </c>
      <c r="I2231" t="s">
        <v>115</v>
      </c>
      <c r="J2231">
        <v>5000</v>
      </c>
      <c r="K2231">
        <v>178.85900000000001</v>
      </c>
      <c r="L2231">
        <v>27.954999999999998</v>
      </c>
      <c r="M2231">
        <v>12972.142</v>
      </c>
      <c r="N2231" t="s">
        <v>15</v>
      </c>
    </row>
    <row r="2232" spans="1:14" x14ac:dyDescent="0.2">
      <c r="A2232" t="s">
        <v>125</v>
      </c>
      <c r="B2232" t="s">
        <v>134</v>
      </c>
      <c r="C2232" t="s">
        <v>130</v>
      </c>
      <c r="D2232" t="s">
        <v>127</v>
      </c>
      <c r="E2232" t="s">
        <v>53</v>
      </c>
      <c r="F2232" t="s">
        <v>114</v>
      </c>
      <c r="G2232">
        <v>112323</v>
      </c>
      <c r="H2232" s="75">
        <v>42148</v>
      </c>
      <c r="I2232" t="s">
        <v>115</v>
      </c>
      <c r="J2232">
        <v>5000</v>
      </c>
      <c r="K2232">
        <v>176.47399999999999</v>
      </c>
      <c r="L2232">
        <v>28.332799999999999</v>
      </c>
      <c r="M2232">
        <v>13148.616</v>
      </c>
      <c r="N2232" t="s">
        <v>15</v>
      </c>
    </row>
    <row r="2233" spans="1:14" x14ac:dyDescent="0.2">
      <c r="A2233" t="s">
        <v>125</v>
      </c>
      <c r="B2233" t="s">
        <v>134</v>
      </c>
      <c r="C2233" t="s">
        <v>130</v>
      </c>
      <c r="D2233" t="s">
        <v>127</v>
      </c>
      <c r="E2233" t="s">
        <v>53</v>
      </c>
      <c r="F2233" t="s">
        <v>114</v>
      </c>
      <c r="G2233">
        <v>112323</v>
      </c>
      <c r="H2233" s="75">
        <v>42178</v>
      </c>
      <c r="I2233" t="s">
        <v>115</v>
      </c>
      <c r="J2233">
        <v>5000</v>
      </c>
      <c r="K2233">
        <v>176.56899999999999</v>
      </c>
      <c r="L2233">
        <v>28.317599999999999</v>
      </c>
      <c r="M2233">
        <v>13325.184999999999</v>
      </c>
      <c r="N2233" t="s">
        <v>15</v>
      </c>
    </row>
    <row r="2234" spans="1:14" x14ac:dyDescent="0.2">
      <c r="A2234" t="s">
        <v>125</v>
      </c>
      <c r="B2234" t="s">
        <v>134</v>
      </c>
      <c r="C2234" t="s">
        <v>130</v>
      </c>
      <c r="D2234" t="s">
        <v>127</v>
      </c>
      <c r="E2234" t="s">
        <v>53</v>
      </c>
      <c r="F2234" t="s">
        <v>114</v>
      </c>
      <c r="G2234">
        <v>112323</v>
      </c>
      <c r="H2234" s="75">
        <v>42208</v>
      </c>
      <c r="I2234" t="s">
        <v>115</v>
      </c>
      <c r="J2234">
        <v>5000</v>
      </c>
      <c r="K2234">
        <v>173.83699999999999</v>
      </c>
      <c r="L2234">
        <v>28.762499999999999</v>
      </c>
      <c r="M2234">
        <v>13499.022000000001</v>
      </c>
      <c r="N2234" t="s">
        <v>15</v>
      </c>
    </row>
    <row r="2235" spans="1:14" x14ac:dyDescent="0.2">
      <c r="A2235" t="s">
        <v>125</v>
      </c>
      <c r="B2235" t="s">
        <v>134</v>
      </c>
      <c r="C2235" t="s">
        <v>130</v>
      </c>
      <c r="D2235" t="s">
        <v>127</v>
      </c>
      <c r="E2235" t="s">
        <v>53</v>
      </c>
      <c r="F2235" t="s">
        <v>114</v>
      </c>
      <c r="G2235">
        <v>112323</v>
      </c>
      <c r="H2235" s="75">
        <v>42238</v>
      </c>
      <c r="I2235" t="s">
        <v>115</v>
      </c>
      <c r="J2235">
        <v>5000</v>
      </c>
      <c r="K2235">
        <v>169.08699999999999</v>
      </c>
      <c r="L2235">
        <v>29.570499999999999</v>
      </c>
      <c r="M2235">
        <v>13668.11</v>
      </c>
      <c r="N2235" t="s">
        <v>15</v>
      </c>
    </row>
    <row r="2236" spans="1:14" x14ac:dyDescent="0.2">
      <c r="A2236" t="s">
        <v>125</v>
      </c>
      <c r="B2236" t="s">
        <v>134</v>
      </c>
      <c r="C2236" t="s">
        <v>130</v>
      </c>
      <c r="D2236" t="s">
        <v>127</v>
      </c>
      <c r="E2236" t="s">
        <v>53</v>
      </c>
      <c r="F2236" t="s">
        <v>114</v>
      </c>
      <c r="G2236">
        <v>112323</v>
      </c>
      <c r="H2236" s="75">
        <v>42268</v>
      </c>
      <c r="I2236" t="s">
        <v>115</v>
      </c>
      <c r="J2236">
        <v>5000</v>
      </c>
      <c r="K2236">
        <v>167.19300000000001</v>
      </c>
      <c r="L2236">
        <v>29.9055</v>
      </c>
      <c r="M2236">
        <v>13835.303</v>
      </c>
      <c r="N2236" t="s">
        <v>15</v>
      </c>
    </row>
    <row r="2237" spans="1:14" x14ac:dyDescent="0.2">
      <c r="A2237" t="s">
        <v>125</v>
      </c>
      <c r="B2237" t="s">
        <v>134</v>
      </c>
      <c r="C2237" t="s">
        <v>130</v>
      </c>
      <c r="D2237" t="s">
        <v>127</v>
      </c>
      <c r="E2237" t="s">
        <v>53</v>
      </c>
      <c r="F2237" t="s">
        <v>114</v>
      </c>
      <c r="G2237">
        <v>112323</v>
      </c>
      <c r="H2237" s="75">
        <v>42298</v>
      </c>
      <c r="I2237" t="s">
        <v>115</v>
      </c>
      <c r="J2237">
        <v>5000</v>
      </c>
      <c r="K2237">
        <v>162.649</v>
      </c>
      <c r="L2237">
        <v>30.741</v>
      </c>
      <c r="M2237">
        <v>13997.951999999999</v>
      </c>
      <c r="N2237" t="s">
        <v>15</v>
      </c>
    </row>
    <row r="2238" spans="1:14" x14ac:dyDescent="0.2">
      <c r="A2238" t="s">
        <v>125</v>
      </c>
      <c r="B2238" t="s">
        <v>134</v>
      </c>
      <c r="C2238" t="s">
        <v>130</v>
      </c>
      <c r="D2238" t="s">
        <v>127</v>
      </c>
      <c r="E2238" t="s">
        <v>53</v>
      </c>
      <c r="F2238" t="s">
        <v>114</v>
      </c>
      <c r="G2238">
        <v>112323</v>
      </c>
      <c r="H2238" s="75">
        <v>42298</v>
      </c>
      <c r="I2238" t="s">
        <v>117</v>
      </c>
      <c r="J2238">
        <v>2.5</v>
      </c>
      <c r="K2238">
        <v>0</v>
      </c>
      <c r="M2238">
        <v>13997.951999999999</v>
      </c>
      <c r="N2238" t="s">
        <v>46</v>
      </c>
    </row>
    <row r="2239" spans="1:14" x14ac:dyDescent="0.2">
      <c r="A2239" t="s">
        <v>125</v>
      </c>
      <c r="B2239" t="s">
        <v>134</v>
      </c>
      <c r="C2239" t="s">
        <v>130</v>
      </c>
      <c r="D2239" t="s">
        <v>127</v>
      </c>
      <c r="E2239" t="s">
        <v>53</v>
      </c>
      <c r="F2239" t="s">
        <v>114</v>
      </c>
      <c r="G2239">
        <v>112323</v>
      </c>
      <c r="H2239" s="75">
        <v>42328</v>
      </c>
      <c r="I2239" t="s">
        <v>115</v>
      </c>
      <c r="J2239">
        <v>5000</v>
      </c>
      <c r="K2239">
        <v>158.63999999999999</v>
      </c>
      <c r="L2239">
        <v>31.517800000000001</v>
      </c>
      <c r="M2239">
        <v>14156.593000000001</v>
      </c>
      <c r="N2239" t="s">
        <v>15</v>
      </c>
    </row>
    <row r="2240" spans="1:14" x14ac:dyDescent="0.2">
      <c r="A2240" t="s">
        <v>125</v>
      </c>
      <c r="B2240" t="s">
        <v>134</v>
      </c>
      <c r="C2240" t="s">
        <v>130</v>
      </c>
      <c r="D2240" t="s">
        <v>127</v>
      </c>
      <c r="E2240" t="s">
        <v>53</v>
      </c>
      <c r="F2240" t="s">
        <v>114</v>
      </c>
      <c r="G2240">
        <v>112323</v>
      </c>
      <c r="H2240" s="75">
        <v>42358</v>
      </c>
      <c r="I2240" t="s">
        <v>115</v>
      </c>
      <c r="J2240">
        <v>5000</v>
      </c>
      <c r="K2240">
        <v>161.56399999999999</v>
      </c>
      <c r="L2240">
        <v>30.947500000000002</v>
      </c>
      <c r="M2240">
        <v>14318.156999999999</v>
      </c>
      <c r="N2240" t="s">
        <v>15</v>
      </c>
    </row>
    <row r="2241" spans="1:15" x14ac:dyDescent="0.2">
      <c r="A2241" t="s">
        <v>125</v>
      </c>
      <c r="B2241" t="s">
        <v>134</v>
      </c>
      <c r="C2241" t="s">
        <v>130</v>
      </c>
      <c r="D2241" t="s">
        <v>127</v>
      </c>
      <c r="E2241" t="s">
        <v>53</v>
      </c>
      <c r="F2241" t="s">
        <v>114</v>
      </c>
      <c r="G2241">
        <v>112323</v>
      </c>
      <c r="H2241" s="75">
        <v>42388</v>
      </c>
      <c r="I2241" t="s">
        <v>115</v>
      </c>
      <c r="J2241">
        <v>5000</v>
      </c>
      <c r="K2241">
        <v>162.87799999999999</v>
      </c>
      <c r="L2241">
        <v>30.697800000000001</v>
      </c>
      <c r="M2241">
        <v>14481.035</v>
      </c>
      <c r="N2241" t="s">
        <v>15</v>
      </c>
    </row>
    <row r="2242" spans="1:15" x14ac:dyDescent="0.2">
      <c r="A2242" t="s">
        <v>125</v>
      </c>
      <c r="B2242" t="s">
        <v>134</v>
      </c>
      <c r="C2242" t="s">
        <v>130</v>
      </c>
      <c r="D2242" t="s">
        <v>127</v>
      </c>
      <c r="E2242" t="s">
        <v>53</v>
      </c>
      <c r="F2242" t="s">
        <v>114</v>
      </c>
      <c r="G2242">
        <v>112323</v>
      </c>
      <c r="H2242" s="75">
        <v>42418</v>
      </c>
      <c r="I2242" t="s">
        <v>115</v>
      </c>
      <c r="J2242">
        <v>5000</v>
      </c>
      <c r="K2242">
        <v>158.20500000000001</v>
      </c>
      <c r="L2242">
        <v>31.604600000000001</v>
      </c>
      <c r="M2242">
        <v>14639.24</v>
      </c>
      <c r="N2242" t="s">
        <v>15</v>
      </c>
    </row>
    <row r="2243" spans="1:15" x14ac:dyDescent="0.2">
      <c r="A2243" t="s">
        <v>125</v>
      </c>
      <c r="B2243" t="s">
        <v>134</v>
      </c>
      <c r="C2243" t="s">
        <v>130</v>
      </c>
      <c r="D2243" t="s">
        <v>127</v>
      </c>
      <c r="E2243" t="s">
        <v>53</v>
      </c>
      <c r="F2243" t="s">
        <v>114</v>
      </c>
      <c r="G2243">
        <v>112323</v>
      </c>
      <c r="H2243" s="75">
        <v>42448</v>
      </c>
      <c r="I2243" t="s">
        <v>115</v>
      </c>
      <c r="J2243">
        <v>5000</v>
      </c>
      <c r="K2243">
        <v>158.72499999999999</v>
      </c>
      <c r="L2243">
        <v>31.501100000000001</v>
      </c>
      <c r="M2243">
        <v>14797.964</v>
      </c>
      <c r="N2243" t="s">
        <v>15</v>
      </c>
    </row>
    <row r="2244" spans="1:15" x14ac:dyDescent="0.2">
      <c r="A2244" t="s">
        <v>125</v>
      </c>
      <c r="B2244" t="s">
        <v>134</v>
      </c>
      <c r="C2244" t="s">
        <v>130</v>
      </c>
      <c r="D2244" t="s">
        <v>127</v>
      </c>
      <c r="E2244" t="s">
        <v>53</v>
      </c>
      <c r="F2244" t="s">
        <v>114</v>
      </c>
      <c r="G2244">
        <v>112323</v>
      </c>
      <c r="H2244" s="75">
        <v>42448</v>
      </c>
      <c r="I2244" t="s">
        <v>118</v>
      </c>
      <c r="J2244">
        <v>7398.98</v>
      </c>
      <c r="K2244">
        <v>0</v>
      </c>
      <c r="M2244">
        <v>14797.964</v>
      </c>
      <c r="N2244" t="s">
        <v>19</v>
      </c>
      <c r="O2244">
        <v>7398.98</v>
      </c>
    </row>
    <row r="2245" spans="1:15" x14ac:dyDescent="0.2">
      <c r="A2245" t="s">
        <v>125</v>
      </c>
      <c r="B2245" t="s">
        <v>134</v>
      </c>
      <c r="C2245" t="s">
        <v>130</v>
      </c>
      <c r="D2245" t="s">
        <v>127</v>
      </c>
      <c r="E2245" t="s">
        <v>53</v>
      </c>
      <c r="F2245" t="s">
        <v>114</v>
      </c>
      <c r="G2245">
        <v>112323</v>
      </c>
      <c r="H2245" s="75">
        <v>42478</v>
      </c>
      <c r="I2245" t="s">
        <v>115</v>
      </c>
      <c r="J2245">
        <v>5000</v>
      </c>
      <c r="K2245">
        <v>159.54499999999999</v>
      </c>
      <c r="L2245">
        <v>31.339200000000002</v>
      </c>
      <c r="M2245">
        <v>14957.509</v>
      </c>
      <c r="N2245" t="s">
        <v>15</v>
      </c>
    </row>
    <row r="2246" spans="1:15" x14ac:dyDescent="0.2">
      <c r="A2246" t="s">
        <v>125</v>
      </c>
      <c r="B2246" t="s">
        <v>134</v>
      </c>
      <c r="C2246" t="s">
        <v>130</v>
      </c>
      <c r="D2246" t="s">
        <v>127</v>
      </c>
      <c r="E2246" t="s">
        <v>53</v>
      </c>
      <c r="F2246" t="s">
        <v>114</v>
      </c>
      <c r="G2246">
        <v>112323</v>
      </c>
      <c r="H2246" s="75">
        <v>42478</v>
      </c>
      <c r="I2246" t="s">
        <v>117</v>
      </c>
      <c r="J2246">
        <v>2.5</v>
      </c>
      <c r="K2246">
        <v>0</v>
      </c>
      <c r="M2246">
        <v>14957.509</v>
      </c>
      <c r="N2246" t="s">
        <v>46</v>
      </c>
    </row>
    <row r="2247" spans="1:15" x14ac:dyDescent="0.2">
      <c r="A2247" t="s">
        <v>125</v>
      </c>
      <c r="B2247" t="s">
        <v>134</v>
      </c>
      <c r="C2247" t="s">
        <v>130</v>
      </c>
      <c r="D2247" t="s">
        <v>127</v>
      </c>
      <c r="E2247" t="s">
        <v>53</v>
      </c>
      <c r="F2247" t="s">
        <v>114</v>
      </c>
      <c r="G2247">
        <v>112323</v>
      </c>
      <c r="H2247" s="75">
        <v>42508</v>
      </c>
      <c r="I2247" t="s">
        <v>115</v>
      </c>
      <c r="J2247">
        <v>5000</v>
      </c>
      <c r="K2247">
        <v>160.751</v>
      </c>
      <c r="L2247">
        <v>31.104099999999999</v>
      </c>
      <c r="M2247">
        <v>15118.26</v>
      </c>
      <c r="N2247" t="s">
        <v>15</v>
      </c>
    </row>
    <row r="2248" spans="1:15" x14ac:dyDescent="0.2">
      <c r="A2248" t="s">
        <v>125</v>
      </c>
      <c r="B2248" t="s">
        <v>134</v>
      </c>
      <c r="C2248" t="s">
        <v>130</v>
      </c>
      <c r="D2248" t="s">
        <v>127</v>
      </c>
      <c r="E2248" t="s">
        <v>53</v>
      </c>
      <c r="F2248" t="s">
        <v>114</v>
      </c>
      <c r="G2248">
        <v>112323</v>
      </c>
      <c r="H2248" s="75">
        <v>42508</v>
      </c>
      <c r="I2248" t="s">
        <v>116</v>
      </c>
      <c r="J2248">
        <v>2.5</v>
      </c>
      <c r="K2248">
        <v>0</v>
      </c>
      <c r="M2248">
        <v>15118.26</v>
      </c>
      <c r="N2248" t="s">
        <v>17</v>
      </c>
    </row>
    <row r="2249" spans="1:15" x14ac:dyDescent="0.2">
      <c r="A2249" t="s">
        <v>125</v>
      </c>
      <c r="B2249" t="s">
        <v>134</v>
      </c>
      <c r="C2249" t="s">
        <v>130</v>
      </c>
      <c r="D2249" t="s">
        <v>127</v>
      </c>
      <c r="E2249" t="s">
        <v>53</v>
      </c>
      <c r="F2249" t="s">
        <v>114</v>
      </c>
      <c r="G2249">
        <v>112323</v>
      </c>
      <c r="H2249" s="75">
        <v>42538</v>
      </c>
      <c r="I2249" t="s">
        <v>115</v>
      </c>
      <c r="J2249">
        <v>5000</v>
      </c>
      <c r="K2249">
        <v>163.43299999999999</v>
      </c>
      <c r="L2249">
        <v>30.593499999999999</v>
      </c>
      <c r="M2249">
        <v>15281.692999999999</v>
      </c>
      <c r="N2249" t="s">
        <v>15</v>
      </c>
    </row>
    <row r="2250" spans="1:15" x14ac:dyDescent="0.2">
      <c r="A2250" t="s">
        <v>125</v>
      </c>
      <c r="B2250" t="s">
        <v>134</v>
      </c>
      <c r="C2250" t="s">
        <v>130</v>
      </c>
      <c r="D2250" t="s">
        <v>127</v>
      </c>
      <c r="E2250" t="s">
        <v>53</v>
      </c>
      <c r="F2250" t="s">
        <v>114</v>
      </c>
      <c r="G2250">
        <v>112323</v>
      </c>
      <c r="H2250" s="75">
        <v>42568</v>
      </c>
      <c r="I2250" t="s">
        <v>115</v>
      </c>
      <c r="J2250">
        <v>5000</v>
      </c>
      <c r="K2250">
        <v>159.94300000000001</v>
      </c>
      <c r="L2250">
        <v>31.261199999999999</v>
      </c>
      <c r="M2250">
        <v>15441.636</v>
      </c>
      <c r="N2250" t="s">
        <v>15</v>
      </c>
    </row>
    <row r="2251" spans="1:15" x14ac:dyDescent="0.2">
      <c r="A2251" t="s">
        <v>125</v>
      </c>
      <c r="B2251" t="s">
        <v>134</v>
      </c>
      <c r="C2251" t="s">
        <v>130</v>
      </c>
      <c r="D2251" t="s">
        <v>127</v>
      </c>
      <c r="E2251" t="s">
        <v>53</v>
      </c>
      <c r="F2251" t="s">
        <v>114</v>
      </c>
      <c r="G2251">
        <v>112323</v>
      </c>
      <c r="H2251" s="75">
        <v>42568</v>
      </c>
      <c r="I2251" t="s">
        <v>25</v>
      </c>
      <c r="J2251">
        <v>-96544.79</v>
      </c>
      <c r="K2251">
        <v>-3088.3270000000002</v>
      </c>
      <c r="L2251">
        <v>31.261199999999999</v>
      </c>
      <c r="M2251">
        <v>12353.308999999999</v>
      </c>
      <c r="N2251" t="s">
        <v>16</v>
      </c>
    </row>
    <row r="2252" spans="1:15" x14ac:dyDescent="0.2">
      <c r="A2252" t="s">
        <v>125</v>
      </c>
      <c r="B2252" t="s">
        <v>134</v>
      </c>
      <c r="C2252" t="s">
        <v>130</v>
      </c>
      <c r="D2252" t="s">
        <v>127</v>
      </c>
      <c r="E2252" t="s">
        <v>53</v>
      </c>
      <c r="F2252" t="s">
        <v>114</v>
      </c>
      <c r="G2252">
        <v>112323</v>
      </c>
      <c r="H2252" s="75">
        <v>42598</v>
      </c>
      <c r="I2252" t="s">
        <v>115</v>
      </c>
      <c r="J2252">
        <v>5000</v>
      </c>
      <c r="K2252">
        <v>162.74799999999999</v>
      </c>
      <c r="L2252">
        <v>30.7224</v>
      </c>
      <c r="M2252">
        <v>12516.056</v>
      </c>
      <c r="N2252" t="s">
        <v>15</v>
      </c>
    </row>
    <row r="2253" spans="1:15" x14ac:dyDescent="0.2">
      <c r="A2253" t="s">
        <v>125</v>
      </c>
      <c r="B2253" t="s">
        <v>134</v>
      </c>
      <c r="C2253" t="s">
        <v>130</v>
      </c>
      <c r="D2253" t="s">
        <v>127</v>
      </c>
      <c r="E2253" t="s">
        <v>53</v>
      </c>
      <c r="F2253" t="s">
        <v>114</v>
      </c>
      <c r="G2253">
        <v>112323</v>
      </c>
      <c r="H2253" s="75">
        <v>42628</v>
      </c>
      <c r="I2253" t="s">
        <v>115</v>
      </c>
      <c r="J2253">
        <v>5000</v>
      </c>
      <c r="K2253">
        <v>165.364</v>
      </c>
      <c r="L2253">
        <v>30.2363</v>
      </c>
      <c r="M2253">
        <v>12681.421</v>
      </c>
      <c r="N2253" t="s">
        <v>15</v>
      </c>
    </row>
    <row r="2254" spans="1:15" x14ac:dyDescent="0.2">
      <c r="A2254" t="s">
        <v>125</v>
      </c>
      <c r="B2254" t="s">
        <v>134</v>
      </c>
      <c r="C2254" t="s">
        <v>130</v>
      </c>
      <c r="D2254" t="s">
        <v>127</v>
      </c>
      <c r="E2254" t="s">
        <v>53</v>
      </c>
      <c r="F2254" t="s">
        <v>114</v>
      </c>
      <c r="G2254">
        <v>112323</v>
      </c>
      <c r="H2254" s="75">
        <v>42658</v>
      </c>
      <c r="I2254" t="s">
        <v>115</v>
      </c>
      <c r="J2254">
        <v>5000</v>
      </c>
      <c r="K2254">
        <v>166.54900000000001</v>
      </c>
      <c r="L2254">
        <v>30.021100000000001</v>
      </c>
      <c r="M2254">
        <v>12847.97</v>
      </c>
      <c r="N2254" t="s">
        <v>15</v>
      </c>
    </row>
    <row r="2255" spans="1:15" x14ac:dyDescent="0.2">
      <c r="A2255" t="s">
        <v>125</v>
      </c>
      <c r="B2255" t="s">
        <v>134</v>
      </c>
      <c r="C2255" t="s">
        <v>130</v>
      </c>
      <c r="D2255" t="s">
        <v>127</v>
      </c>
      <c r="E2255" t="s">
        <v>53</v>
      </c>
      <c r="F2255" t="s">
        <v>114</v>
      </c>
      <c r="G2255">
        <v>112323</v>
      </c>
      <c r="H2255" s="75">
        <v>42688</v>
      </c>
      <c r="I2255" t="s">
        <v>115</v>
      </c>
      <c r="J2255">
        <v>5000</v>
      </c>
      <c r="K2255">
        <v>163.17599999999999</v>
      </c>
      <c r="L2255">
        <v>30.6417</v>
      </c>
      <c r="M2255">
        <v>13011.146000000001</v>
      </c>
      <c r="N2255" t="s">
        <v>15</v>
      </c>
    </row>
    <row r="2256" spans="1:15" x14ac:dyDescent="0.2">
      <c r="A2256" t="s">
        <v>125</v>
      </c>
      <c r="B2256" t="s">
        <v>134</v>
      </c>
      <c r="C2256" t="s">
        <v>130</v>
      </c>
      <c r="D2256" t="s">
        <v>127</v>
      </c>
      <c r="E2256" t="s">
        <v>53</v>
      </c>
      <c r="F2256" t="s">
        <v>114</v>
      </c>
      <c r="G2256">
        <v>112323</v>
      </c>
      <c r="H2256" s="75">
        <v>42718</v>
      </c>
      <c r="I2256" t="s">
        <v>115</v>
      </c>
      <c r="J2256">
        <v>5000</v>
      </c>
      <c r="K2256">
        <v>165.40799999999999</v>
      </c>
      <c r="L2256">
        <v>30.228200000000001</v>
      </c>
      <c r="M2256">
        <v>13176.555</v>
      </c>
      <c r="N2256" t="s">
        <v>15</v>
      </c>
    </row>
    <row r="2257" spans="1:15" x14ac:dyDescent="0.2">
      <c r="A2257" t="s">
        <v>125</v>
      </c>
      <c r="B2257" t="s">
        <v>134</v>
      </c>
      <c r="C2257" t="s">
        <v>130</v>
      </c>
      <c r="D2257" t="s">
        <v>127</v>
      </c>
      <c r="E2257" t="s">
        <v>53</v>
      </c>
      <c r="F2257" t="s">
        <v>114</v>
      </c>
      <c r="G2257">
        <v>112323</v>
      </c>
      <c r="H2257" s="75">
        <v>42748</v>
      </c>
      <c r="I2257" t="s">
        <v>115</v>
      </c>
      <c r="J2257">
        <v>5000</v>
      </c>
      <c r="K2257">
        <v>162.35900000000001</v>
      </c>
      <c r="L2257">
        <v>30.795999999999999</v>
      </c>
      <c r="M2257">
        <v>13338.913</v>
      </c>
      <c r="N2257" t="s">
        <v>15</v>
      </c>
    </row>
    <row r="2258" spans="1:15" x14ac:dyDescent="0.2">
      <c r="A2258" t="s">
        <v>125</v>
      </c>
      <c r="B2258" t="s">
        <v>134</v>
      </c>
      <c r="C2258" t="s">
        <v>130</v>
      </c>
      <c r="D2258" t="s">
        <v>127</v>
      </c>
      <c r="E2258" t="s">
        <v>53</v>
      </c>
      <c r="F2258" t="s">
        <v>114</v>
      </c>
      <c r="G2258">
        <v>112323</v>
      </c>
      <c r="H2258" s="75">
        <v>42778</v>
      </c>
      <c r="I2258" t="s">
        <v>115</v>
      </c>
      <c r="J2258">
        <v>5000</v>
      </c>
      <c r="K2258">
        <v>160.041</v>
      </c>
      <c r="L2258">
        <v>31.241900000000001</v>
      </c>
      <c r="M2258">
        <v>13498.955</v>
      </c>
      <c r="N2258" t="s">
        <v>15</v>
      </c>
    </row>
    <row r="2259" spans="1:15" x14ac:dyDescent="0.2">
      <c r="A2259" t="s">
        <v>125</v>
      </c>
      <c r="B2259" t="s">
        <v>134</v>
      </c>
      <c r="C2259" t="s">
        <v>130</v>
      </c>
      <c r="D2259" t="s">
        <v>127</v>
      </c>
      <c r="E2259" t="s">
        <v>53</v>
      </c>
      <c r="F2259" t="s">
        <v>114</v>
      </c>
      <c r="G2259">
        <v>112323</v>
      </c>
      <c r="H2259" s="75">
        <v>42778</v>
      </c>
      <c r="I2259" t="s">
        <v>117</v>
      </c>
      <c r="J2259">
        <v>2.5</v>
      </c>
      <c r="K2259">
        <v>0</v>
      </c>
      <c r="M2259">
        <v>13498.955</v>
      </c>
      <c r="N2259" t="s">
        <v>46</v>
      </c>
    </row>
    <row r="2260" spans="1:15" x14ac:dyDescent="0.2">
      <c r="A2260" t="s">
        <v>125</v>
      </c>
      <c r="B2260" t="s">
        <v>134</v>
      </c>
      <c r="C2260" t="s">
        <v>130</v>
      </c>
      <c r="D2260" t="s">
        <v>127</v>
      </c>
      <c r="E2260" t="s">
        <v>53</v>
      </c>
      <c r="F2260" t="s">
        <v>114</v>
      </c>
      <c r="G2260">
        <v>112323</v>
      </c>
      <c r="H2260" s="75">
        <v>42808</v>
      </c>
      <c r="I2260" t="s">
        <v>115</v>
      </c>
      <c r="J2260">
        <v>5000</v>
      </c>
      <c r="K2260">
        <v>159.02699999999999</v>
      </c>
      <c r="L2260">
        <v>31.441199999999998</v>
      </c>
      <c r="M2260">
        <v>13657.982</v>
      </c>
      <c r="N2260" t="s">
        <v>15</v>
      </c>
    </row>
    <row r="2261" spans="1:15" x14ac:dyDescent="0.2">
      <c r="A2261" t="s">
        <v>125</v>
      </c>
      <c r="B2261" t="s">
        <v>134</v>
      </c>
      <c r="C2261" t="s">
        <v>130</v>
      </c>
      <c r="D2261" t="s">
        <v>127</v>
      </c>
      <c r="E2261" t="s">
        <v>53</v>
      </c>
      <c r="F2261" t="s">
        <v>114</v>
      </c>
      <c r="G2261">
        <v>112323</v>
      </c>
      <c r="H2261" s="75">
        <v>42838</v>
      </c>
      <c r="I2261" t="s">
        <v>115</v>
      </c>
      <c r="J2261">
        <v>5000</v>
      </c>
      <c r="K2261">
        <v>155.411</v>
      </c>
      <c r="L2261">
        <v>32.172800000000002</v>
      </c>
      <c r="M2261">
        <v>13813.393</v>
      </c>
      <c r="N2261" t="s">
        <v>15</v>
      </c>
    </row>
    <row r="2262" spans="1:15" x14ac:dyDescent="0.2">
      <c r="A2262" t="s">
        <v>125</v>
      </c>
      <c r="B2262" t="s">
        <v>134</v>
      </c>
      <c r="C2262" t="s">
        <v>130</v>
      </c>
      <c r="D2262" t="s">
        <v>127</v>
      </c>
      <c r="E2262" t="s">
        <v>53</v>
      </c>
      <c r="F2262" t="s">
        <v>114</v>
      </c>
      <c r="G2262">
        <v>112323</v>
      </c>
      <c r="H2262" s="75">
        <v>42868</v>
      </c>
      <c r="I2262" t="s">
        <v>115</v>
      </c>
      <c r="J2262">
        <v>5000</v>
      </c>
      <c r="K2262">
        <v>158.53100000000001</v>
      </c>
      <c r="L2262">
        <v>31.5395</v>
      </c>
      <c r="M2262">
        <v>13971.924000000001</v>
      </c>
      <c r="N2262" t="s">
        <v>15</v>
      </c>
    </row>
    <row r="2263" spans="1:15" x14ac:dyDescent="0.2">
      <c r="A2263" t="s">
        <v>125</v>
      </c>
      <c r="B2263" t="s">
        <v>134</v>
      </c>
      <c r="C2263" t="s">
        <v>130</v>
      </c>
      <c r="D2263" t="s">
        <v>127</v>
      </c>
      <c r="E2263" t="s">
        <v>53</v>
      </c>
      <c r="F2263" t="s">
        <v>114</v>
      </c>
      <c r="G2263">
        <v>112323</v>
      </c>
      <c r="H2263" s="75">
        <v>42868</v>
      </c>
      <c r="I2263" t="s">
        <v>117</v>
      </c>
      <c r="J2263">
        <v>2.5</v>
      </c>
      <c r="K2263">
        <v>0</v>
      </c>
      <c r="M2263">
        <v>13971.924000000001</v>
      </c>
      <c r="N2263" t="s">
        <v>46</v>
      </c>
    </row>
    <row r="2264" spans="1:15" x14ac:dyDescent="0.2">
      <c r="A2264" t="s">
        <v>125</v>
      </c>
      <c r="B2264" t="s">
        <v>134</v>
      </c>
      <c r="C2264" t="s">
        <v>130</v>
      </c>
      <c r="D2264" t="s">
        <v>127</v>
      </c>
      <c r="E2264" t="s">
        <v>53</v>
      </c>
      <c r="F2264" t="s">
        <v>114</v>
      </c>
      <c r="G2264">
        <v>112323</v>
      </c>
      <c r="H2264" s="75">
        <v>42898</v>
      </c>
      <c r="I2264" t="s">
        <v>115</v>
      </c>
      <c r="J2264">
        <v>5000</v>
      </c>
      <c r="K2264">
        <v>160.70599999999999</v>
      </c>
      <c r="L2264">
        <v>31.1127</v>
      </c>
      <c r="M2264">
        <v>14132.63</v>
      </c>
      <c r="N2264" t="s">
        <v>15</v>
      </c>
    </row>
    <row r="2265" spans="1:15" x14ac:dyDescent="0.2">
      <c r="A2265" t="s">
        <v>125</v>
      </c>
      <c r="B2265" t="s">
        <v>134</v>
      </c>
      <c r="C2265" t="s">
        <v>130</v>
      </c>
      <c r="D2265" t="s">
        <v>127</v>
      </c>
      <c r="E2265" t="s">
        <v>53</v>
      </c>
      <c r="F2265" t="s">
        <v>114</v>
      </c>
      <c r="G2265">
        <v>112323</v>
      </c>
      <c r="H2265" s="75">
        <v>42928</v>
      </c>
      <c r="I2265" t="s">
        <v>115</v>
      </c>
      <c r="J2265">
        <v>5000</v>
      </c>
      <c r="K2265">
        <v>160.57900000000001</v>
      </c>
      <c r="L2265">
        <v>31.1373</v>
      </c>
      <c r="M2265">
        <v>14293.209000000001</v>
      </c>
      <c r="N2265" t="s">
        <v>15</v>
      </c>
    </row>
    <row r="2266" spans="1:15" x14ac:dyDescent="0.2">
      <c r="A2266" t="s">
        <v>125</v>
      </c>
      <c r="B2266" t="s">
        <v>134</v>
      </c>
      <c r="C2266" t="s">
        <v>130</v>
      </c>
      <c r="D2266" t="s">
        <v>127</v>
      </c>
      <c r="E2266" t="s">
        <v>53</v>
      </c>
      <c r="F2266" t="s">
        <v>114</v>
      </c>
      <c r="G2266">
        <v>112323</v>
      </c>
      <c r="H2266" s="75">
        <v>42958</v>
      </c>
      <c r="I2266" t="s">
        <v>115</v>
      </c>
      <c r="J2266">
        <v>5000</v>
      </c>
      <c r="K2266">
        <v>162.15799999999999</v>
      </c>
      <c r="L2266">
        <v>30.834099999999999</v>
      </c>
      <c r="M2266">
        <v>14455.367</v>
      </c>
      <c r="N2266" t="s">
        <v>15</v>
      </c>
    </row>
    <row r="2267" spans="1:15" x14ac:dyDescent="0.2">
      <c r="A2267" t="s">
        <v>125</v>
      </c>
      <c r="B2267" t="s">
        <v>134</v>
      </c>
      <c r="C2267" t="s">
        <v>130</v>
      </c>
      <c r="D2267" t="s">
        <v>127</v>
      </c>
      <c r="E2267" t="s">
        <v>53</v>
      </c>
      <c r="F2267" t="s">
        <v>114</v>
      </c>
      <c r="G2267">
        <v>112323</v>
      </c>
      <c r="H2267" s="75">
        <v>42958</v>
      </c>
      <c r="I2267" t="s">
        <v>118</v>
      </c>
      <c r="J2267">
        <v>7227.68</v>
      </c>
      <c r="K2267">
        <v>0</v>
      </c>
      <c r="M2267">
        <v>14455.367</v>
      </c>
      <c r="N2267" t="s">
        <v>19</v>
      </c>
      <c r="O2267">
        <v>7227.68</v>
      </c>
    </row>
    <row r="2268" spans="1:15" x14ac:dyDescent="0.2">
      <c r="A2268" t="s">
        <v>125</v>
      </c>
      <c r="B2268" t="s">
        <v>134</v>
      </c>
      <c r="C2268" t="s">
        <v>130</v>
      </c>
      <c r="D2268" t="s">
        <v>127</v>
      </c>
      <c r="E2268" t="s">
        <v>53</v>
      </c>
      <c r="F2268" t="s">
        <v>114</v>
      </c>
      <c r="G2268">
        <v>112323</v>
      </c>
      <c r="H2268" s="75">
        <v>42988</v>
      </c>
      <c r="I2268" t="s">
        <v>115</v>
      </c>
      <c r="J2268">
        <v>5000</v>
      </c>
      <c r="K2268">
        <v>164.714</v>
      </c>
      <c r="L2268">
        <v>30.355599999999999</v>
      </c>
      <c r="M2268">
        <v>14620.081</v>
      </c>
      <c r="N2268" t="s">
        <v>15</v>
      </c>
    </row>
    <row r="2269" spans="1:15" x14ac:dyDescent="0.2">
      <c r="A2269" t="s">
        <v>125</v>
      </c>
      <c r="B2269" t="s">
        <v>134</v>
      </c>
      <c r="C2269" t="s">
        <v>130</v>
      </c>
      <c r="D2269" t="s">
        <v>127</v>
      </c>
      <c r="E2269" t="s">
        <v>53</v>
      </c>
      <c r="F2269" t="s">
        <v>114</v>
      </c>
      <c r="G2269">
        <v>112323</v>
      </c>
      <c r="H2269" s="75">
        <v>43018</v>
      </c>
      <c r="I2269" t="s">
        <v>115</v>
      </c>
      <c r="J2269">
        <v>5000</v>
      </c>
      <c r="K2269">
        <v>164.6</v>
      </c>
      <c r="L2269">
        <v>30.3767</v>
      </c>
      <c r="M2269">
        <v>14784.681</v>
      </c>
      <c r="N2269" t="s">
        <v>15</v>
      </c>
    </row>
    <row r="2270" spans="1:15" x14ac:dyDescent="0.2">
      <c r="A2270" t="s">
        <v>125</v>
      </c>
      <c r="B2270" t="s">
        <v>134</v>
      </c>
      <c r="C2270" t="s">
        <v>130</v>
      </c>
      <c r="D2270" t="s">
        <v>127</v>
      </c>
      <c r="E2270" t="s">
        <v>53</v>
      </c>
      <c r="F2270" t="s">
        <v>114</v>
      </c>
      <c r="G2270">
        <v>112323</v>
      </c>
      <c r="H2270" s="75">
        <v>43048</v>
      </c>
      <c r="I2270" t="s">
        <v>115</v>
      </c>
      <c r="J2270">
        <v>5000</v>
      </c>
      <c r="K2270">
        <v>166.34700000000001</v>
      </c>
      <c r="L2270">
        <v>30.057700000000001</v>
      </c>
      <c r="M2270">
        <v>14951.028</v>
      </c>
      <c r="N2270" t="s">
        <v>15</v>
      </c>
    </row>
    <row r="2271" spans="1:15" x14ac:dyDescent="0.2">
      <c r="A2271" t="s">
        <v>125</v>
      </c>
      <c r="B2271" t="s">
        <v>134</v>
      </c>
      <c r="C2271" t="s">
        <v>130</v>
      </c>
      <c r="D2271" t="s">
        <v>127</v>
      </c>
      <c r="E2271" t="s">
        <v>53</v>
      </c>
      <c r="F2271" t="s">
        <v>114</v>
      </c>
      <c r="G2271">
        <v>112323</v>
      </c>
      <c r="H2271" s="75">
        <v>43078</v>
      </c>
      <c r="I2271" t="s">
        <v>115</v>
      </c>
      <c r="J2271">
        <v>5000</v>
      </c>
      <c r="K2271">
        <v>167.19</v>
      </c>
      <c r="L2271">
        <v>29.906099999999999</v>
      </c>
      <c r="M2271">
        <v>15118.218000000001</v>
      </c>
      <c r="N2271" t="s">
        <v>15</v>
      </c>
    </row>
    <row r="2272" spans="1:15" x14ac:dyDescent="0.2">
      <c r="A2272" t="s">
        <v>125</v>
      </c>
      <c r="B2272" t="s">
        <v>134</v>
      </c>
      <c r="C2272" t="s">
        <v>130</v>
      </c>
      <c r="D2272" t="s">
        <v>127</v>
      </c>
      <c r="E2272" t="s">
        <v>53</v>
      </c>
      <c r="F2272" t="s">
        <v>114</v>
      </c>
      <c r="G2272">
        <v>112323</v>
      </c>
      <c r="H2272" s="75">
        <v>43108</v>
      </c>
      <c r="I2272" t="s">
        <v>115</v>
      </c>
      <c r="J2272">
        <v>5000</v>
      </c>
      <c r="K2272">
        <v>168.70599999999999</v>
      </c>
      <c r="L2272">
        <v>29.6374</v>
      </c>
      <c r="M2272">
        <v>15286.923000000001</v>
      </c>
      <c r="N2272" t="s">
        <v>15</v>
      </c>
    </row>
    <row r="2273" spans="1:14" x14ac:dyDescent="0.2">
      <c r="A2273" t="s">
        <v>125</v>
      </c>
      <c r="B2273" t="s">
        <v>134</v>
      </c>
      <c r="C2273" t="s">
        <v>130</v>
      </c>
      <c r="D2273" t="s">
        <v>127</v>
      </c>
      <c r="E2273" t="s">
        <v>53</v>
      </c>
      <c r="F2273" t="s">
        <v>114</v>
      </c>
      <c r="G2273">
        <v>112323</v>
      </c>
      <c r="H2273" s="75">
        <v>43138</v>
      </c>
      <c r="I2273" t="s">
        <v>115</v>
      </c>
      <c r="J2273">
        <v>5000</v>
      </c>
      <c r="K2273">
        <v>169.946</v>
      </c>
      <c r="L2273">
        <v>29.421099999999999</v>
      </c>
      <c r="M2273">
        <v>15456.869000000001</v>
      </c>
      <c r="N2273" t="s">
        <v>15</v>
      </c>
    </row>
    <row r="2274" spans="1:14" x14ac:dyDescent="0.2">
      <c r="A2274" t="s">
        <v>125</v>
      </c>
      <c r="B2274" t="s">
        <v>134</v>
      </c>
      <c r="C2274" t="s">
        <v>130</v>
      </c>
      <c r="D2274" t="s">
        <v>127</v>
      </c>
      <c r="E2274" t="s">
        <v>53</v>
      </c>
      <c r="F2274" t="s">
        <v>114</v>
      </c>
      <c r="G2274">
        <v>112323</v>
      </c>
      <c r="H2274" s="75">
        <v>43168</v>
      </c>
      <c r="I2274" t="s">
        <v>115</v>
      </c>
      <c r="J2274">
        <v>5000</v>
      </c>
      <c r="K2274">
        <v>173.125</v>
      </c>
      <c r="L2274">
        <v>28.880800000000001</v>
      </c>
      <c r="M2274">
        <v>15629.995000000001</v>
      </c>
      <c r="N2274" t="s">
        <v>15</v>
      </c>
    </row>
    <row r="2275" spans="1:14" x14ac:dyDescent="0.2">
      <c r="A2275" t="s">
        <v>125</v>
      </c>
      <c r="B2275" t="s">
        <v>134</v>
      </c>
      <c r="C2275" t="s">
        <v>130</v>
      </c>
      <c r="D2275" t="s">
        <v>127</v>
      </c>
      <c r="E2275" t="s">
        <v>53</v>
      </c>
      <c r="F2275" t="s">
        <v>114</v>
      </c>
      <c r="G2275">
        <v>112323</v>
      </c>
      <c r="H2275" s="75">
        <v>43198</v>
      </c>
      <c r="I2275" t="s">
        <v>115</v>
      </c>
      <c r="J2275">
        <v>5000</v>
      </c>
      <c r="K2275">
        <v>176.33500000000001</v>
      </c>
      <c r="L2275">
        <v>28.3551</v>
      </c>
      <c r="M2275">
        <v>15806.33</v>
      </c>
      <c r="N2275" t="s">
        <v>15</v>
      </c>
    </row>
    <row r="2276" spans="1:14" x14ac:dyDescent="0.2">
      <c r="A2276" t="s">
        <v>125</v>
      </c>
      <c r="B2276" t="s">
        <v>134</v>
      </c>
      <c r="C2276" t="s">
        <v>130</v>
      </c>
      <c r="D2276" t="s">
        <v>127</v>
      </c>
      <c r="E2276" t="s">
        <v>53</v>
      </c>
      <c r="F2276" t="s">
        <v>114</v>
      </c>
      <c r="G2276">
        <v>112323</v>
      </c>
      <c r="H2276" s="75">
        <v>43198</v>
      </c>
      <c r="I2276" t="s">
        <v>25</v>
      </c>
      <c r="J2276">
        <v>-89637.92</v>
      </c>
      <c r="K2276">
        <v>-3161.2660000000001</v>
      </c>
      <c r="L2276">
        <v>28.3551</v>
      </c>
      <c r="M2276">
        <v>12645.064</v>
      </c>
      <c r="N2276" t="s">
        <v>16</v>
      </c>
    </row>
    <row r="2277" spans="1:14" x14ac:dyDescent="0.2">
      <c r="A2277" t="s">
        <v>125</v>
      </c>
      <c r="B2277" t="s">
        <v>134</v>
      </c>
      <c r="C2277" t="s">
        <v>130</v>
      </c>
      <c r="D2277" t="s">
        <v>127</v>
      </c>
      <c r="E2277" t="s">
        <v>53</v>
      </c>
      <c r="F2277" t="s">
        <v>114</v>
      </c>
      <c r="G2277">
        <v>112323</v>
      </c>
      <c r="H2277" s="75">
        <v>43228</v>
      </c>
      <c r="I2277" t="s">
        <v>115</v>
      </c>
      <c r="J2277">
        <v>5000</v>
      </c>
      <c r="K2277">
        <v>177.375</v>
      </c>
      <c r="L2277">
        <v>28.188800000000001</v>
      </c>
      <c r="M2277">
        <v>12822.439</v>
      </c>
      <c r="N2277" t="s">
        <v>15</v>
      </c>
    </row>
    <row r="2278" spans="1:14" x14ac:dyDescent="0.2">
      <c r="A2278" t="s">
        <v>125</v>
      </c>
      <c r="B2278" t="s">
        <v>134</v>
      </c>
      <c r="C2278" t="s">
        <v>130</v>
      </c>
      <c r="D2278" t="s">
        <v>127</v>
      </c>
      <c r="E2278" t="s">
        <v>53</v>
      </c>
      <c r="F2278" t="s">
        <v>114</v>
      </c>
      <c r="G2278">
        <v>112323</v>
      </c>
      <c r="H2278" s="75">
        <v>43258</v>
      </c>
      <c r="I2278" t="s">
        <v>115</v>
      </c>
      <c r="J2278">
        <v>5000</v>
      </c>
      <c r="K2278">
        <v>177.50899999999999</v>
      </c>
      <c r="L2278">
        <v>28.1676</v>
      </c>
      <c r="M2278">
        <v>12999.948</v>
      </c>
      <c r="N2278" t="s">
        <v>15</v>
      </c>
    </row>
    <row r="2279" spans="1:14" x14ac:dyDescent="0.2">
      <c r="A2279" t="s">
        <v>125</v>
      </c>
      <c r="B2279" t="s">
        <v>134</v>
      </c>
      <c r="C2279" t="s">
        <v>130</v>
      </c>
      <c r="D2279" t="s">
        <v>127</v>
      </c>
      <c r="E2279" t="s">
        <v>53</v>
      </c>
      <c r="F2279" t="s">
        <v>114</v>
      </c>
      <c r="G2279">
        <v>112323</v>
      </c>
      <c r="H2279" s="75">
        <v>43288</v>
      </c>
      <c r="I2279" t="s">
        <v>115</v>
      </c>
      <c r="J2279">
        <v>5000</v>
      </c>
      <c r="K2279">
        <v>177.73</v>
      </c>
      <c r="L2279">
        <v>28.1325</v>
      </c>
      <c r="M2279">
        <v>13177.679</v>
      </c>
      <c r="N2279" t="s">
        <v>15</v>
      </c>
    </row>
    <row r="2280" spans="1:14" x14ac:dyDescent="0.2">
      <c r="A2280" t="s">
        <v>125</v>
      </c>
      <c r="B2280" t="s">
        <v>134</v>
      </c>
      <c r="C2280" t="s">
        <v>130</v>
      </c>
      <c r="D2280" t="s">
        <v>127</v>
      </c>
      <c r="E2280" t="s">
        <v>53</v>
      </c>
      <c r="F2280" t="s">
        <v>114</v>
      </c>
      <c r="G2280">
        <v>112323</v>
      </c>
      <c r="H2280" s="75">
        <v>43318</v>
      </c>
      <c r="I2280" t="s">
        <v>115</v>
      </c>
      <c r="J2280">
        <v>5000</v>
      </c>
      <c r="K2280">
        <v>175.15299999999999</v>
      </c>
      <c r="L2280">
        <v>28.546500000000002</v>
      </c>
      <c r="M2280">
        <v>13352.831</v>
      </c>
      <c r="N2280" t="s">
        <v>15</v>
      </c>
    </row>
    <row r="2281" spans="1:14" x14ac:dyDescent="0.2">
      <c r="A2281" t="s">
        <v>125</v>
      </c>
      <c r="B2281" t="s">
        <v>134</v>
      </c>
      <c r="C2281" t="s">
        <v>130</v>
      </c>
      <c r="D2281" t="s">
        <v>127</v>
      </c>
      <c r="E2281" t="s">
        <v>53</v>
      </c>
      <c r="F2281" t="s">
        <v>114</v>
      </c>
      <c r="G2281">
        <v>112323</v>
      </c>
      <c r="H2281" s="75">
        <v>43348</v>
      </c>
      <c r="I2281" t="s">
        <v>115</v>
      </c>
      <c r="J2281">
        <v>5000</v>
      </c>
      <c r="K2281">
        <v>174.601</v>
      </c>
      <c r="L2281">
        <v>28.636700000000001</v>
      </c>
      <c r="M2281">
        <v>13527.432000000001</v>
      </c>
      <c r="N2281" t="s">
        <v>15</v>
      </c>
    </row>
    <row r="2282" spans="1:14" x14ac:dyDescent="0.2">
      <c r="A2282" t="s">
        <v>125</v>
      </c>
      <c r="B2282" t="s">
        <v>134</v>
      </c>
      <c r="C2282" t="s">
        <v>130</v>
      </c>
      <c r="D2282" t="s">
        <v>127</v>
      </c>
      <c r="E2282" t="s">
        <v>53</v>
      </c>
      <c r="F2282" t="s">
        <v>114</v>
      </c>
      <c r="G2282">
        <v>112323</v>
      </c>
      <c r="H2282" s="75">
        <v>43378</v>
      </c>
      <c r="I2282" t="s">
        <v>115</v>
      </c>
      <c r="J2282">
        <v>5000</v>
      </c>
      <c r="K2282">
        <v>175.333</v>
      </c>
      <c r="L2282">
        <v>28.517099999999999</v>
      </c>
      <c r="M2282">
        <v>13702.766</v>
      </c>
      <c r="N2282" t="s">
        <v>15</v>
      </c>
    </row>
    <row r="2283" spans="1:14" x14ac:dyDescent="0.2">
      <c r="A2283" t="s">
        <v>125</v>
      </c>
      <c r="B2283" t="s">
        <v>134</v>
      </c>
      <c r="C2283" t="s">
        <v>130</v>
      </c>
      <c r="D2283" t="s">
        <v>127</v>
      </c>
      <c r="E2283" t="s">
        <v>53</v>
      </c>
      <c r="F2283" t="s">
        <v>114</v>
      </c>
      <c r="G2283">
        <v>112323</v>
      </c>
      <c r="H2283" s="75">
        <v>43378</v>
      </c>
      <c r="I2283" t="s">
        <v>116</v>
      </c>
      <c r="J2283">
        <v>2.5</v>
      </c>
      <c r="K2283">
        <v>0</v>
      </c>
      <c r="M2283">
        <v>13702.766</v>
      </c>
      <c r="N2283" t="s">
        <v>17</v>
      </c>
    </row>
    <row r="2284" spans="1:14" x14ac:dyDescent="0.2">
      <c r="A2284" t="s">
        <v>125</v>
      </c>
      <c r="B2284" t="s">
        <v>134</v>
      </c>
      <c r="C2284" t="s">
        <v>130</v>
      </c>
      <c r="D2284" t="s">
        <v>127</v>
      </c>
      <c r="E2284" t="s">
        <v>53</v>
      </c>
      <c r="F2284" t="s">
        <v>114</v>
      </c>
      <c r="G2284">
        <v>112323</v>
      </c>
      <c r="H2284" s="75">
        <v>43408</v>
      </c>
      <c r="I2284" t="s">
        <v>115</v>
      </c>
      <c r="J2284">
        <v>5000</v>
      </c>
      <c r="K2284">
        <v>172.03</v>
      </c>
      <c r="L2284">
        <v>29.064800000000002</v>
      </c>
      <c r="M2284">
        <v>13874.795</v>
      </c>
      <c r="N2284" t="s">
        <v>15</v>
      </c>
    </row>
    <row r="2285" spans="1:14" x14ac:dyDescent="0.2">
      <c r="A2285" t="s">
        <v>125</v>
      </c>
      <c r="B2285" t="s">
        <v>134</v>
      </c>
      <c r="C2285" t="s">
        <v>130</v>
      </c>
      <c r="D2285" t="s">
        <v>127</v>
      </c>
      <c r="E2285" t="s">
        <v>53</v>
      </c>
      <c r="F2285" t="s">
        <v>114</v>
      </c>
      <c r="G2285">
        <v>112323</v>
      </c>
      <c r="H2285" s="75">
        <v>43408</v>
      </c>
      <c r="I2285" t="s">
        <v>25</v>
      </c>
      <c r="J2285">
        <v>-80653.52</v>
      </c>
      <c r="K2285">
        <v>-2774.9589999999998</v>
      </c>
      <c r="L2285">
        <v>29.064800000000002</v>
      </c>
      <c r="M2285">
        <v>11099.835999999999</v>
      </c>
      <c r="N2285" t="s">
        <v>16</v>
      </c>
    </row>
    <row r="2286" spans="1:14" x14ac:dyDescent="0.2">
      <c r="A2286" t="s">
        <v>125</v>
      </c>
      <c r="B2286" t="s">
        <v>134</v>
      </c>
      <c r="C2286" t="s">
        <v>130</v>
      </c>
      <c r="D2286" t="s">
        <v>127</v>
      </c>
      <c r="E2286" t="s">
        <v>53</v>
      </c>
      <c r="F2286" t="s">
        <v>114</v>
      </c>
      <c r="G2286">
        <v>112323</v>
      </c>
      <c r="H2286" s="75">
        <v>43438</v>
      </c>
      <c r="I2286" t="s">
        <v>115</v>
      </c>
      <c r="J2286">
        <v>5000</v>
      </c>
      <c r="K2286">
        <v>175.333</v>
      </c>
      <c r="L2286">
        <v>28.517199999999999</v>
      </c>
      <c r="M2286">
        <v>11275.169</v>
      </c>
      <c r="N2286" t="s">
        <v>15</v>
      </c>
    </row>
    <row r="2287" spans="1:14" x14ac:dyDescent="0.2">
      <c r="A2287" t="s">
        <v>125</v>
      </c>
      <c r="B2287" t="s">
        <v>134</v>
      </c>
      <c r="C2287" t="s">
        <v>130</v>
      </c>
      <c r="D2287" t="s">
        <v>127</v>
      </c>
      <c r="E2287" t="s">
        <v>53</v>
      </c>
      <c r="F2287" t="s">
        <v>114</v>
      </c>
      <c r="G2287">
        <v>112323</v>
      </c>
      <c r="H2287" s="75">
        <v>43468</v>
      </c>
      <c r="I2287" t="s">
        <v>115</v>
      </c>
      <c r="J2287">
        <v>5000</v>
      </c>
      <c r="K2287">
        <v>171.30099999999999</v>
      </c>
      <c r="L2287">
        <v>29.188400000000001</v>
      </c>
      <c r="M2287">
        <v>11446.47</v>
      </c>
      <c r="N2287" t="s">
        <v>15</v>
      </c>
    </row>
    <row r="2288" spans="1:14" x14ac:dyDescent="0.2">
      <c r="A2288" t="s">
        <v>125</v>
      </c>
      <c r="B2288" t="s">
        <v>134</v>
      </c>
      <c r="C2288" t="s">
        <v>130</v>
      </c>
      <c r="D2288" t="s">
        <v>127</v>
      </c>
      <c r="E2288" t="s">
        <v>53</v>
      </c>
      <c r="F2288" t="s">
        <v>114</v>
      </c>
      <c r="G2288">
        <v>112323</v>
      </c>
      <c r="H2288" s="75">
        <v>43468</v>
      </c>
      <c r="I2288" t="s">
        <v>117</v>
      </c>
      <c r="J2288">
        <v>2.5</v>
      </c>
      <c r="K2288">
        <v>0</v>
      </c>
      <c r="M2288">
        <v>11446.47</v>
      </c>
      <c r="N2288" t="s">
        <v>46</v>
      </c>
    </row>
    <row r="2289" spans="1:15" x14ac:dyDescent="0.2">
      <c r="A2289" t="s">
        <v>125</v>
      </c>
      <c r="B2289" t="s">
        <v>134</v>
      </c>
      <c r="C2289" t="s">
        <v>130</v>
      </c>
      <c r="D2289" t="s">
        <v>127</v>
      </c>
      <c r="E2289" t="s">
        <v>53</v>
      </c>
      <c r="F2289" t="s">
        <v>114</v>
      </c>
      <c r="G2289">
        <v>112323</v>
      </c>
      <c r="H2289" s="75">
        <v>43498</v>
      </c>
      <c r="I2289" t="s">
        <v>115</v>
      </c>
      <c r="J2289">
        <v>5000</v>
      </c>
      <c r="K2289">
        <v>166.7</v>
      </c>
      <c r="L2289">
        <v>29.994</v>
      </c>
      <c r="M2289">
        <v>11613.17</v>
      </c>
      <c r="N2289" t="s">
        <v>15</v>
      </c>
    </row>
    <row r="2290" spans="1:15" x14ac:dyDescent="0.2">
      <c r="A2290" t="s">
        <v>125</v>
      </c>
      <c r="B2290" t="s">
        <v>134</v>
      </c>
      <c r="C2290" t="s">
        <v>130</v>
      </c>
      <c r="D2290" t="s">
        <v>127</v>
      </c>
      <c r="E2290" t="s">
        <v>53</v>
      </c>
      <c r="F2290" t="s">
        <v>114</v>
      </c>
      <c r="G2290">
        <v>112323</v>
      </c>
      <c r="H2290" s="75">
        <v>43528</v>
      </c>
      <c r="I2290" t="s">
        <v>115</v>
      </c>
      <c r="J2290">
        <v>5000</v>
      </c>
      <c r="K2290">
        <v>164.30199999999999</v>
      </c>
      <c r="L2290">
        <v>30.431799999999999</v>
      </c>
      <c r="M2290">
        <v>11777.471</v>
      </c>
      <c r="N2290" t="s">
        <v>15</v>
      </c>
    </row>
    <row r="2291" spans="1:15" x14ac:dyDescent="0.2">
      <c r="A2291" t="s">
        <v>125</v>
      </c>
      <c r="B2291" t="s">
        <v>134</v>
      </c>
      <c r="C2291" t="s">
        <v>130</v>
      </c>
      <c r="D2291" t="s">
        <v>127</v>
      </c>
      <c r="E2291" t="s">
        <v>53</v>
      </c>
      <c r="F2291" t="s">
        <v>114</v>
      </c>
      <c r="G2291">
        <v>112323</v>
      </c>
      <c r="H2291" s="75">
        <v>43558</v>
      </c>
      <c r="I2291" t="s">
        <v>115</v>
      </c>
      <c r="J2291">
        <v>5000</v>
      </c>
      <c r="K2291">
        <v>166.89</v>
      </c>
      <c r="L2291">
        <v>29.959800000000001</v>
      </c>
      <c r="M2291">
        <v>11944.361000000001</v>
      </c>
      <c r="N2291" t="s">
        <v>15</v>
      </c>
    </row>
    <row r="2292" spans="1:15" x14ac:dyDescent="0.2">
      <c r="A2292" t="s">
        <v>125</v>
      </c>
      <c r="B2292" t="s">
        <v>134</v>
      </c>
      <c r="C2292" t="s">
        <v>130</v>
      </c>
      <c r="D2292" t="s">
        <v>127</v>
      </c>
      <c r="E2292" t="s">
        <v>53</v>
      </c>
      <c r="F2292" t="s">
        <v>114</v>
      </c>
      <c r="G2292">
        <v>112323</v>
      </c>
      <c r="H2292" s="75">
        <v>43558</v>
      </c>
      <c r="I2292" t="s">
        <v>118</v>
      </c>
      <c r="J2292">
        <v>5972.18</v>
      </c>
      <c r="K2292">
        <v>0</v>
      </c>
      <c r="M2292">
        <v>11944.361000000001</v>
      </c>
      <c r="N2292" t="s">
        <v>19</v>
      </c>
      <c r="O2292">
        <v>5972.18</v>
      </c>
    </row>
    <row r="2293" spans="1:15" x14ac:dyDescent="0.2">
      <c r="A2293" t="s">
        <v>125</v>
      </c>
      <c r="B2293" t="s">
        <v>134</v>
      </c>
      <c r="C2293" t="s">
        <v>130</v>
      </c>
      <c r="D2293" t="s">
        <v>127</v>
      </c>
      <c r="E2293" t="s">
        <v>53</v>
      </c>
      <c r="F2293" t="s">
        <v>114</v>
      </c>
      <c r="G2293">
        <v>112323</v>
      </c>
      <c r="H2293" s="75">
        <v>43588</v>
      </c>
      <c r="I2293" t="s">
        <v>115</v>
      </c>
      <c r="J2293">
        <v>5000</v>
      </c>
      <c r="K2293">
        <v>167.857</v>
      </c>
      <c r="L2293">
        <v>29.787199999999999</v>
      </c>
      <c r="M2293">
        <v>12112.218999999999</v>
      </c>
      <c r="N2293" t="s">
        <v>15</v>
      </c>
    </row>
    <row r="2294" spans="1:15" x14ac:dyDescent="0.2">
      <c r="A2294" t="s">
        <v>125</v>
      </c>
      <c r="B2294" t="s">
        <v>134</v>
      </c>
      <c r="C2294" t="s">
        <v>130</v>
      </c>
      <c r="D2294" t="s">
        <v>127</v>
      </c>
      <c r="E2294" t="s">
        <v>53</v>
      </c>
      <c r="F2294" t="s">
        <v>114</v>
      </c>
      <c r="G2294">
        <v>112323</v>
      </c>
      <c r="H2294" s="75">
        <v>43618</v>
      </c>
      <c r="I2294" t="s">
        <v>115</v>
      </c>
      <c r="J2294">
        <v>5000</v>
      </c>
      <c r="K2294">
        <v>165.65899999999999</v>
      </c>
      <c r="L2294">
        <v>30.182500000000001</v>
      </c>
      <c r="M2294">
        <v>12277.878000000001</v>
      </c>
      <c r="N2294" t="s">
        <v>15</v>
      </c>
    </row>
    <row r="2295" spans="1:15" x14ac:dyDescent="0.2">
      <c r="A2295" t="s">
        <v>125</v>
      </c>
      <c r="B2295" t="s">
        <v>134</v>
      </c>
      <c r="C2295" t="s">
        <v>130</v>
      </c>
      <c r="D2295" t="s">
        <v>127</v>
      </c>
      <c r="E2295" t="s">
        <v>53</v>
      </c>
      <c r="F2295" t="s">
        <v>114</v>
      </c>
      <c r="G2295">
        <v>112323</v>
      </c>
      <c r="H2295" s="75">
        <v>43648</v>
      </c>
      <c r="I2295" t="s">
        <v>115</v>
      </c>
      <c r="J2295">
        <v>5000</v>
      </c>
      <c r="K2295">
        <v>163.018</v>
      </c>
      <c r="L2295">
        <v>30.671399999999998</v>
      </c>
      <c r="M2295">
        <v>12440.896000000001</v>
      </c>
      <c r="N2295" t="s">
        <v>15</v>
      </c>
    </row>
    <row r="2296" spans="1:15" x14ac:dyDescent="0.2">
      <c r="A2296" t="s">
        <v>125</v>
      </c>
      <c r="B2296" t="s">
        <v>134</v>
      </c>
      <c r="C2296" t="s">
        <v>130</v>
      </c>
      <c r="D2296" t="s">
        <v>127</v>
      </c>
      <c r="E2296" t="s">
        <v>53</v>
      </c>
      <c r="F2296" t="s">
        <v>114</v>
      </c>
      <c r="G2296">
        <v>112323</v>
      </c>
      <c r="H2296" s="75">
        <v>43678</v>
      </c>
      <c r="I2296" t="s">
        <v>115</v>
      </c>
      <c r="J2296">
        <v>5000</v>
      </c>
      <c r="K2296">
        <v>160.172</v>
      </c>
      <c r="L2296">
        <v>31.2165</v>
      </c>
      <c r="M2296">
        <v>12601.067999999999</v>
      </c>
      <c r="N2296" t="s">
        <v>15</v>
      </c>
    </row>
    <row r="2297" spans="1:15" x14ac:dyDescent="0.2">
      <c r="A2297" t="s">
        <v>125</v>
      </c>
      <c r="B2297" t="s">
        <v>134</v>
      </c>
      <c r="C2297" t="s">
        <v>130</v>
      </c>
      <c r="D2297" t="s">
        <v>127</v>
      </c>
      <c r="E2297" t="s">
        <v>53</v>
      </c>
      <c r="F2297" t="s">
        <v>114</v>
      </c>
      <c r="G2297">
        <v>112323</v>
      </c>
      <c r="H2297" s="75">
        <v>43708</v>
      </c>
      <c r="I2297" t="s">
        <v>115</v>
      </c>
      <c r="J2297">
        <v>5000</v>
      </c>
      <c r="K2297">
        <v>159.345</v>
      </c>
      <c r="L2297">
        <v>31.378499999999999</v>
      </c>
      <c r="M2297">
        <v>12760.413</v>
      </c>
      <c r="N2297" t="s">
        <v>15</v>
      </c>
    </row>
    <row r="2298" spans="1:15" x14ac:dyDescent="0.2">
      <c r="A2298" t="s">
        <v>125</v>
      </c>
      <c r="B2298" t="s">
        <v>134</v>
      </c>
      <c r="C2298" t="s">
        <v>130</v>
      </c>
      <c r="D2298" t="s">
        <v>127</v>
      </c>
      <c r="E2298" t="s">
        <v>53</v>
      </c>
      <c r="F2298" t="s">
        <v>114</v>
      </c>
      <c r="G2298">
        <v>112323</v>
      </c>
      <c r="H2298" s="75">
        <v>43738</v>
      </c>
      <c r="I2298" t="s">
        <v>115</v>
      </c>
      <c r="J2298">
        <v>5000</v>
      </c>
      <c r="K2298">
        <v>156.24299999999999</v>
      </c>
      <c r="L2298">
        <v>32.001399999999997</v>
      </c>
      <c r="M2298">
        <v>12916.656000000001</v>
      </c>
      <c r="N2298" t="s">
        <v>15</v>
      </c>
    </row>
    <row r="2299" spans="1:15" x14ac:dyDescent="0.2">
      <c r="A2299" t="s">
        <v>125</v>
      </c>
      <c r="B2299" t="s">
        <v>134</v>
      </c>
      <c r="C2299" t="s">
        <v>130</v>
      </c>
      <c r="D2299" t="s">
        <v>127</v>
      </c>
      <c r="E2299" t="s">
        <v>53</v>
      </c>
      <c r="F2299" t="s">
        <v>114</v>
      </c>
      <c r="G2299">
        <v>112323</v>
      </c>
      <c r="H2299" s="75">
        <v>43768</v>
      </c>
      <c r="I2299" t="s">
        <v>115</v>
      </c>
      <c r="J2299">
        <v>5000</v>
      </c>
      <c r="K2299">
        <v>157.71600000000001</v>
      </c>
      <c r="L2299">
        <v>31.702500000000001</v>
      </c>
      <c r="M2299">
        <v>13074.371999999999</v>
      </c>
      <c r="N2299" t="s">
        <v>15</v>
      </c>
    </row>
    <row r="2300" spans="1:15" x14ac:dyDescent="0.2">
      <c r="A2300" t="s">
        <v>125</v>
      </c>
      <c r="B2300" t="s">
        <v>134</v>
      </c>
      <c r="C2300" t="s">
        <v>130</v>
      </c>
      <c r="D2300" t="s">
        <v>127</v>
      </c>
      <c r="E2300" t="s">
        <v>53</v>
      </c>
      <c r="F2300" t="s">
        <v>114</v>
      </c>
      <c r="G2300">
        <v>112323</v>
      </c>
      <c r="H2300" s="75">
        <v>43768</v>
      </c>
      <c r="I2300" t="s">
        <v>117</v>
      </c>
      <c r="J2300">
        <v>2.5</v>
      </c>
      <c r="K2300">
        <v>0</v>
      </c>
      <c r="M2300">
        <v>13074.371999999999</v>
      </c>
      <c r="N2300" t="s">
        <v>46</v>
      </c>
    </row>
    <row r="2301" spans="1:15" x14ac:dyDescent="0.2">
      <c r="A2301" t="s">
        <v>125</v>
      </c>
      <c r="B2301" t="s">
        <v>134</v>
      </c>
      <c r="C2301" t="s">
        <v>130</v>
      </c>
      <c r="D2301" t="s">
        <v>127</v>
      </c>
      <c r="E2301" t="s">
        <v>53</v>
      </c>
      <c r="F2301" t="s">
        <v>114</v>
      </c>
      <c r="G2301">
        <v>112323</v>
      </c>
      <c r="H2301" s="75">
        <v>43798</v>
      </c>
      <c r="I2301" t="s">
        <v>115</v>
      </c>
      <c r="J2301">
        <v>5000</v>
      </c>
      <c r="K2301">
        <v>156.35300000000001</v>
      </c>
      <c r="L2301">
        <v>31.978899999999999</v>
      </c>
      <c r="M2301">
        <v>13230.725</v>
      </c>
      <c r="N2301" t="s">
        <v>15</v>
      </c>
    </row>
    <row r="2302" spans="1:15" x14ac:dyDescent="0.2">
      <c r="A2302" t="s">
        <v>125</v>
      </c>
      <c r="B2302" t="s">
        <v>134</v>
      </c>
      <c r="C2302" t="s">
        <v>130</v>
      </c>
      <c r="D2302" t="s">
        <v>127</v>
      </c>
      <c r="E2302" t="s">
        <v>53</v>
      </c>
      <c r="F2302" t="s">
        <v>114</v>
      </c>
      <c r="G2302">
        <v>112323</v>
      </c>
      <c r="H2302" s="75">
        <v>43798</v>
      </c>
      <c r="I2302" t="s">
        <v>116</v>
      </c>
      <c r="J2302">
        <v>2.5</v>
      </c>
      <c r="K2302">
        <v>0</v>
      </c>
      <c r="M2302">
        <v>13230.725</v>
      </c>
      <c r="N2302" t="s">
        <v>17</v>
      </c>
    </row>
    <row r="2303" spans="1:15" x14ac:dyDescent="0.2">
      <c r="A2303" t="s">
        <v>125</v>
      </c>
      <c r="B2303" t="s">
        <v>134</v>
      </c>
      <c r="C2303" t="s">
        <v>130</v>
      </c>
      <c r="D2303" t="s">
        <v>127</v>
      </c>
      <c r="E2303" t="s">
        <v>53</v>
      </c>
      <c r="F2303" t="s">
        <v>114</v>
      </c>
      <c r="G2303">
        <v>112323</v>
      </c>
      <c r="H2303" s="75">
        <v>43828</v>
      </c>
      <c r="I2303" t="s">
        <v>115</v>
      </c>
      <c r="J2303">
        <v>5000</v>
      </c>
      <c r="K2303">
        <v>154.65199999999999</v>
      </c>
      <c r="L2303">
        <v>32.3307</v>
      </c>
      <c r="M2303">
        <v>13385.377</v>
      </c>
      <c r="N2303" t="s">
        <v>15</v>
      </c>
    </row>
    <row r="2304" spans="1:15" x14ac:dyDescent="0.2">
      <c r="A2304" t="s">
        <v>125</v>
      </c>
      <c r="B2304" t="s">
        <v>134</v>
      </c>
      <c r="C2304" t="s">
        <v>130</v>
      </c>
      <c r="D2304" t="s">
        <v>127</v>
      </c>
      <c r="E2304" t="s">
        <v>53</v>
      </c>
      <c r="F2304" t="s">
        <v>114</v>
      </c>
      <c r="G2304">
        <v>112323</v>
      </c>
      <c r="H2304" s="75">
        <v>43858</v>
      </c>
      <c r="I2304" t="s">
        <v>115</v>
      </c>
      <c r="J2304">
        <v>5000</v>
      </c>
      <c r="K2304">
        <v>150.65199999999999</v>
      </c>
      <c r="L2304">
        <v>33.189100000000003</v>
      </c>
      <c r="M2304">
        <v>13536.029</v>
      </c>
      <c r="N2304" t="s">
        <v>15</v>
      </c>
    </row>
    <row r="2305" spans="1:15" x14ac:dyDescent="0.2">
      <c r="A2305" t="s">
        <v>125</v>
      </c>
      <c r="B2305" t="s">
        <v>134</v>
      </c>
      <c r="C2305" t="s">
        <v>130</v>
      </c>
      <c r="D2305" t="s">
        <v>127</v>
      </c>
      <c r="E2305" t="s">
        <v>53</v>
      </c>
      <c r="F2305" t="s">
        <v>114</v>
      </c>
      <c r="G2305">
        <v>112323</v>
      </c>
      <c r="H2305" s="75">
        <v>43858</v>
      </c>
      <c r="I2305" t="s">
        <v>117</v>
      </c>
      <c r="J2305">
        <v>2.5</v>
      </c>
      <c r="K2305">
        <v>0</v>
      </c>
      <c r="M2305">
        <v>13536.029</v>
      </c>
      <c r="N2305" t="s">
        <v>46</v>
      </c>
    </row>
    <row r="2306" spans="1:15" x14ac:dyDescent="0.2">
      <c r="A2306" t="s">
        <v>125</v>
      </c>
      <c r="B2306" t="s">
        <v>134</v>
      </c>
      <c r="C2306" t="s">
        <v>130</v>
      </c>
      <c r="D2306" t="s">
        <v>127</v>
      </c>
      <c r="E2306" t="s">
        <v>53</v>
      </c>
      <c r="F2306" t="s">
        <v>114</v>
      </c>
      <c r="G2306">
        <v>112323</v>
      </c>
      <c r="H2306" s="75">
        <v>43888</v>
      </c>
      <c r="I2306" t="s">
        <v>115</v>
      </c>
      <c r="J2306">
        <v>5000</v>
      </c>
      <c r="K2306">
        <v>151.22</v>
      </c>
      <c r="L2306">
        <v>33.064399999999999</v>
      </c>
      <c r="M2306">
        <v>13687.249</v>
      </c>
      <c r="N2306" t="s">
        <v>15</v>
      </c>
    </row>
    <row r="2307" spans="1:15" x14ac:dyDescent="0.2">
      <c r="A2307" t="s">
        <v>125</v>
      </c>
      <c r="B2307" t="s">
        <v>134</v>
      </c>
      <c r="C2307" t="s">
        <v>130</v>
      </c>
      <c r="D2307" t="s">
        <v>127</v>
      </c>
      <c r="E2307" t="s">
        <v>53</v>
      </c>
      <c r="F2307" t="s">
        <v>114</v>
      </c>
      <c r="G2307">
        <v>112323</v>
      </c>
      <c r="H2307" s="75">
        <v>43918</v>
      </c>
      <c r="I2307" t="s">
        <v>115</v>
      </c>
      <c r="J2307">
        <v>5000</v>
      </c>
      <c r="K2307">
        <v>153.107</v>
      </c>
      <c r="L2307">
        <v>32.6569</v>
      </c>
      <c r="M2307">
        <v>13840.356</v>
      </c>
      <c r="N2307" t="s">
        <v>15</v>
      </c>
    </row>
    <row r="2308" spans="1:15" x14ac:dyDescent="0.2">
      <c r="A2308" t="s">
        <v>125</v>
      </c>
      <c r="B2308" t="s">
        <v>134</v>
      </c>
      <c r="C2308" t="s">
        <v>130</v>
      </c>
      <c r="D2308" t="s">
        <v>127</v>
      </c>
      <c r="E2308" t="s">
        <v>53</v>
      </c>
      <c r="F2308" t="s">
        <v>114</v>
      </c>
      <c r="G2308">
        <v>112323</v>
      </c>
      <c r="H2308" s="75">
        <v>43918</v>
      </c>
      <c r="I2308" t="s">
        <v>118</v>
      </c>
      <c r="J2308">
        <v>6920.18</v>
      </c>
      <c r="K2308">
        <v>0</v>
      </c>
      <c r="M2308">
        <v>13840.356</v>
      </c>
      <c r="N2308" t="s">
        <v>19</v>
      </c>
      <c r="O2308">
        <v>6920.18</v>
      </c>
    </row>
    <row r="2309" spans="1:15" x14ac:dyDescent="0.2">
      <c r="A2309" t="s">
        <v>125</v>
      </c>
      <c r="B2309" t="s">
        <v>134</v>
      </c>
      <c r="C2309" t="s">
        <v>130</v>
      </c>
      <c r="D2309" t="s">
        <v>127</v>
      </c>
      <c r="E2309" t="s">
        <v>53</v>
      </c>
      <c r="F2309" t="s">
        <v>114</v>
      </c>
      <c r="G2309">
        <v>112323</v>
      </c>
      <c r="H2309" s="75">
        <v>43948</v>
      </c>
      <c r="I2309" t="s">
        <v>115</v>
      </c>
      <c r="J2309">
        <v>5000</v>
      </c>
      <c r="K2309">
        <v>153.96899999999999</v>
      </c>
      <c r="L2309">
        <v>32.4741</v>
      </c>
      <c r="M2309">
        <v>13994.325000000001</v>
      </c>
      <c r="N2309" t="s">
        <v>15</v>
      </c>
    </row>
    <row r="2310" spans="1:15" x14ac:dyDescent="0.2">
      <c r="A2310" t="s">
        <v>125</v>
      </c>
      <c r="B2310" t="s">
        <v>134</v>
      </c>
      <c r="C2310" t="s">
        <v>130</v>
      </c>
      <c r="D2310" t="s">
        <v>127</v>
      </c>
      <c r="E2310" t="s">
        <v>53</v>
      </c>
      <c r="F2310" t="s">
        <v>114</v>
      </c>
      <c r="G2310">
        <v>112323</v>
      </c>
      <c r="H2310" s="75">
        <v>43948</v>
      </c>
      <c r="I2310" t="s">
        <v>117</v>
      </c>
      <c r="J2310">
        <v>2.5</v>
      </c>
      <c r="K2310">
        <v>0</v>
      </c>
      <c r="M2310">
        <v>13994.325000000001</v>
      </c>
      <c r="N2310" t="s">
        <v>46</v>
      </c>
    </row>
    <row r="2311" spans="1:15" x14ac:dyDescent="0.2">
      <c r="A2311" t="s">
        <v>125</v>
      </c>
      <c r="B2311" t="s">
        <v>134</v>
      </c>
      <c r="C2311" t="s">
        <v>130</v>
      </c>
      <c r="D2311" t="s">
        <v>127</v>
      </c>
      <c r="E2311" t="s">
        <v>53</v>
      </c>
      <c r="F2311" t="s">
        <v>114</v>
      </c>
      <c r="G2311">
        <v>112323</v>
      </c>
      <c r="H2311" s="75">
        <v>43978</v>
      </c>
      <c r="I2311" t="s">
        <v>115</v>
      </c>
      <c r="J2311">
        <v>5000</v>
      </c>
      <c r="K2311">
        <v>154.23099999999999</v>
      </c>
      <c r="L2311">
        <v>32.418900000000001</v>
      </c>
      <c r="M2311">
        <v>14148.556</v>
      </c>
      <c r="N2311" t="s">
        <v>15</v>
      </c>
    </row>
    <row r="2312" spans="1:15" x14ac:dyDescent="0.2">
      <c r="A2312" t="s">
        <v>125</v>
      </c>
      <c r="B2312" t="s">
        <v>134</v>
      </c>
      <c r="C2312" t="s">
        <v>130</v>
      </c>
      <c r="D2312" t="s">
        <v>127</v>
      </c>
      <c r="E2312" t="s">
        <v>53</v>
      </c>
      <c r="F2312" t="s">
        <v>114</v>
      </c>
      <c r="G2312">
        <v>112323</v>
      </c>
      <c r="H2312" s="75">
        <v>44008</v>
      </c>
      <c r="I2312" t="s">
        <v>115</v>
      </c>
      <c r="J2312">
        <v>5000</v>
      </c>
      <c r="K2312">
        <v>157.33799999999999</v>
      </c>
      <c r="L2312">
        <v>31.778700000000001</v>
      </c>
      <c r="M2312">
        <v>14305.894</v>
      </c>
      <c r="N2312" t="s">
        <v>15</v>
      </c>
    </row>
    <row r="2313" spans="1:15" x14ac:dyDescent="0.2">
      <c r="A2313" t="s">
        <v>125</v>
      </c>
      <c r="B2313" t="s">
        <v>134</v>
      </c>
      <c r="C2313" t="s">
        <v>130</v>
      </c>
      <c r="D2313" t="s">
        <v>127</v>
      </c>
      <c r="E2313" t="s">
        <v>53</v>
      </c>
      <c r="F2313" t="s">
        <v>114</v>
      </c>
      <c r="G2313">
        <v>112323</v>
      </c>
      <c r="H2313" s="75">
        <v>44038</v>
      </c>
      <c r="I2313" t="s">
        <v>115</v>
      </c>
      <c r="J2313">
        <v>5000</v>
      </c>
      <c r="K2313">
        <v>155.91399999999999</v>
      </c>
      <c r="L2313">
        <v>32.069000000000003</v>
      </c>
      <c r="M2313">
        <v>14461.808000000001</v>
      </c>
      <c r="N2313" t="s">
        <v>15</v>
      </c>
    </row>
    <row r="2314" spans="1:15" x14ac:dyDescent="0.2">
      <c r="A2314" t="s">
        <v>125</v>
      </c>
      <c r="B2314" t="s">
        <v>134</v>
      </c>
      <c r="C2314" t="s">
        <v>130</v>
      </c>
      <c r="D2314" t="s">
        <v>127</v>
      </c>
      <c r="E2314" t="s">
        <v>53</v>
      </c>
      <c r="F2314" t="s">
        <v>114</v>
      </c>
      <c r="G2314">
        <v>112323</v>
      </c>
      <c r="H2314" s="75">
        <v>44038</v>
      </c>
      <c r="I2314" t="s">
        <v>117</v>
      </c>
      <c r="J2314">
        <v>2.5</v>
      </c>
      <c r="K2314">
        <v>0</v>
      </c>
      <c r="M2314">
        <v>14461.808000000001</v>
      </c>
      <c r="N2314" t="s">
        <v>46</v>
      </c>
    </row>
    <row r="2315" spans="1:15" x14ac:dyDescent="0.2">
      <c r="A2315" t="s">
        <v>125</v>
      </c>
      <c r="B2315" t="s">
        <v>134</v>
      </c>
      <c r="C2315" t="s">
        <v>130</v>
      </c>
      <c r="D2315" t="s">
        <v>127</v>
      </c>
      <c r="E2315" t="s">
        <v>53</v>
      </c>
      <c r="F2315" t="s">
        <v>114</v>
      </c>
      <c r="G2315">
        <v>112323</v>
      </c>
      <c r="H2315" s="75">
        <v>44068</v>
      </c>
      <c r="I2315" t="s">
        <v>115</v>
      </c>
      <c r="J2315">
        <v>5000</v>
      </c>
      <c r="K2315">
        <v>152.74799999999999</v>
      </c>
      <c r="L2315">
        <v>32.733600000000003</v>
      </c>
      <c r="M2315">
        <v>14614.556</v>
      </c>
      <c r="N2315" t="s">
        <v>15</v>
      </c>
    </row>
    <row r="2316" spans="1:15" x14ac:dyDescent="0.2">
      <c r="A2316" t="s">
        <v>125</v>
      </c>
      <c r="B2316" t="s">
        <v>134</v>
      </c>
      <c r="C2316" t="s">
        <v>130</v>
      </c>
      <c r="D2316" t="s">
        <v>127</v>
      </c>
      <c r="E2316" t="s">
        <v>53</v>
      </c>
      <c r="F2316" t="s">
        <v>114</v>
      </c>
      <c r="G2316">
        <v>112323</v>
      </c>
      <c r="H2316" s="75">
        <v>44068</v>
      </c>
      <c r="I2316" t="s">
        <v>117</v>
      </c>
      <c r="J2316">
        <v>2.5</v>
      </c>
      <c r="K2316">
        <v>0</v>
      </c>
      <c r="M2316">
        <v>14614.556</v>
      </c>
      <c r="N2316" t="s">
        <v>46</v>
      </c>
    </row>
    <row r="2317" spans="1:15" x14ac:dyDescent="0.2">
      <c r="A2317" t="s">
        <v>125</v>
      </c>
      <c r="B2317" t="s">
        <v>134</v>
      </c>
      <c r="C2317" t="s">
        <v>130</v>
      </c>
      <c r="D2317" t="s">
        <v>127</v>
      </c>
      <c r="E2317" t="s">
        <v>53</v>
      </c>
      <c r="F2317" t="s">
        <v>114</v>
      </c>
      <c r="G2317">
        <v>112323</v>
      </c>
      <c r="H2317" s="75">
        <v>44098</v>
      </c>
      <c r="I2317" t="s">
        <v>115</v>
      </c>
      <c r="J2317">
        <v>5000</v>
      </c>
      <c r="K2317">
        <v>152.50800000000001</v>
      </c>
      <c r="L2317">
        <v>32.7851</v>
      </c>
      <c r="M2317">
        <v>14767.064</v>
      </c>
      <c r="N2317" t="s">
        <v>15</v>
      </c>
    </row>
    <row r="2318" spans="1:15" x14ac:dyDescent="0.2">
      <c r="A2318" t="s">
        <v>125</v>
      </c>
      <c r="B2318" t="s">
        <v>134</v>
      </c>
      <c r="C2318" t="s">
        <v>130</v>
      </c>
      <c r="D2318" t="s">
        <v>127</v>
      </c>
      <c r="E2318" t="s">
        <v>53</v>
      </c>
      <c r="F2318" t="s">
        <v>114</v>
      </c>
      <c r="G2318">
        <v>112323</v>
      </c>
      <c r="H2318" s="75">
        <v>44098</v>
      </c>
      <c r="I2318" t="s">
        <v>117</v>
      </c>
      <c r="J2318">
        <v>2.5</v>
      </c>
      <c r="K2318">
        <v>0</v>
      </c>
      <c r="M2318">
        <v>14767.064</v>
      </c>
      <c r="N2318" t="s">
        <v>46</v>
      </c>
    </row>
    <row r="2319" spans="1:15" x14ac:dyDescent="0.2">
      <c r="A2319" t="s">
        <v>125</v>
      </c>
      <c r="B2319" t="s">
        <v>134</v>
      </c>
      <c r="C2319" t="s">
        <v>130</v>
      </c>
      <c r="D2319" t="s">
        <v>127</v>
      </c>
      <c r="E2319" t="s">
        <v>53</v>
      </c>
      <c r="F2319" t="s">
        <v>114</v>
      </c>
      <c r="G2319">
        <v>112323</v>
      </c>
      <c r="H2319" s="75">
        <v>44128</v>
      </c>
      <c r="I2319" t="s">
        <v>115</v>
      </c>
      <c r="J2319">
        <v>5000</v>
      </c>
      <c r="K2319">
        <v>153.22499999999999</v>
      </c>
      <c r="L2319">
        <v>32.631799999999998</v>
      </c>
      <c r="M2319">
        <v>14920.289000000001</v>
      </c>
      <c r="N2319" t="s">
        <v>15</v>
      </c>
    </row>
    <row r="2320" spans="1:15" x14ac:dyDescent="0.2">
      <c r="A2320" t="s">
        <v>125</v>
      </c>
      <c r="B2320" t="s">
        <v>134</v>
      </c>
      <c r="C2320" t="s">
        <v>130</v>
      </c>
      <c r="D2320" t="s">
        <v>127</v>
      </c>
      <c r="E2320" t="s">
        <v>53</v>
      </c>
      <c r="F2320" t="s">
        <v>114</v>
      </c>
      <c r="G2320">
        <v>112323</v>
      </c>
      <c r="H2320" s="75">
        <v>44158</v>
      </c>
      <c r="I2320" t="s">
        <v>115</v>
      </c>
      <c r="J2320">
        <v>5000</v>
      </c>
      <c r="K2320">
        <v>155.69800000000001</v>
      </c>
      <c r="L2320">
        <v>32.113500000000002</v>
      </c>
      <c r="M2320">
        <v>15075.986999999999</v>
      </c>
      <c r="N2320" t="s">
        <v>15</v>
      </c>
    </row>
    <row r="2321" spans="1:15" x14ac:dyDescent="0.2">
      <c r="A2321" t="s">
        <v>125</v>
      </c>
      <c r="B2321" t="s">
        <v>134</v>
      </c>
      <c r="C2321" t="s">
        <v>130</v>
      </c>
      <c r="D2321" t="s">
        <v>127</v>
      </c>
      <c r="E2321" t="s">
        <v>53</v>
      </c>
      <c r="F2321" t="s">
        <v>114</v>
      </c>
      <c r="G2321">
        <v>112323</v>
      </c>
      <c r="H2321" s="75">
        <v>44188</v>
      </c>
      <c r="I2321" t="s">
        <v>115</v>
      </c>
      <c r="J2321">
        <v>5000</v>
      </c>
      <c r="K2321">
        <v>154.893</v>
      </c>
      <c r="L2321">
        <v>32.280299999999997</v>
      </c>
      <c r="M2321">
        <v>15230.88</v>
      </c>
      <c r="N2321" t="s">
        <v>15</v>
      </c>
    </row>
    <row r="2322" spans="1:15" x14ac:dyDescent="0.2">
      <c r="A2322" t="s">
        <v>125</v>
      </c>
      <c r="B2322" t="s">
        <v>134</v>
      </c>
      <c r="C2322" t="s">
        <v>130</v>
      </c>
      <c r="D2322" t="s">
        <v>127</v>
      </c>
      <c r="E2322" t="s">
        <v>53</v>
      </c>
      <c r="F2322" t="s">
        <v>114</v>
      </c>
      <c r="G2322">
        <v>112323</v>
      </c>
      <c r="H2322" s="75">
        <v>44218</v>
      </c>
      <c r="I2322" t="s">
        <v>115</v>
      </c>
      <c r="J2322">
        <v>5000</v>
      </c>
      <c r="K2322">
        <v>151.78</v>
      </c>
      <c r="L2322">
        <v>32.942399999999999</v>
      </c>
      <c r="M2322">
        <v>15382.66</v>
      </c>
      <c r="N2322" t="s">
        <v>15</v>
      </c>
    </row>
    <row r="2323" spans="1:15" x14ac:dyDescent="0.2">
      <c r="A2323" t="s">
        <v>125</v>
      </c>
      <c r="B2323" t="s">
        <v>134</v>
      </c>
      <c r="C2323" t="s">
        <v>130</v>
      </c>
      <c r="D2323" t="s">
        <v>127</v>
      </c>
      <c r="E2323" t="s">
        <v>53</v>
      </c>
      <c r="F2323" t="s">
        <v>114</v>
      </c>
      <c r="G2323">
        <v>112323</v>
      </c>
      <c r="H2323" s="75">
        <v>44248</v>
      </c>
      <c r="I2323" t="s">
        <v>115</v>
      </c>
      <c r="J2323">
        <v>5000</v>
      </c>
      <c r="K2323">
        <v>149.434</v>
      </c>
      <c r="L2323">
        <v>33.459499999999998</v>
      </c>
      <c r="M2323">
        <v>15532.093999999999</v>
      </c>
      <c r="N2323" t="s">
        <v>15</v>
      </c>
    </row>
    <row r="2324" spans="1:15" x14ac:dyDescent="0.2">
      <c r="A2324" t="s">
        <v>125</v>
      </c>
      <c r="B2324" t="s">
        <v>134</v>
      </c>
      <c r="C2324" t="s">
        <v>130</v>
      </c>
      <c r="D2324" t="s">
        <v>127</v>
      </c>
      <c r="E2324" t="s">
        <v>53</v>
      </c>
      <c r="F2324" t="s">
        <v>114</v>
      </c>
      <c r="G2324">
        <v>112323</v>
      </c>
      <c r="H2324" s="75">
        <v>44278</v>
      </c>
      <c r="I2324" t="s">
        <v>115</v>
      </c>
      <c r="J2324">
        <v>5000</v>
      </c>
      <c r="K2324">
        <v>147.16900000000001</v>
      </c>
      <c r="L2324">
        <v>33.974499999999999</v>
      </c>
      <c r="M2324">
        <v>15679.263000000001</v>
      </c>
      <c r="N2324" t="s">
        <v>15</v>
      </c>
    </row>
    <row r="2325" spans="1:15" x14ac:dyDescent="0.2">
      <c r="A2325" t="s">
        <v>125</v>
      </c>
      <c r="B2325" t="s">
        <v>134</v>
      </c>
      <c r="C2325" t="s">
        <v>130</v>
      </c>
      <c r="D2325" t="s">
        <v>127</v>
      </c>
      <c r="E2325" t="s">
        <v>53</v>
      </c>
      <c r="F2325" t="s">
        <v>114</v>
      </c>
      <c r="G2325">
        <v>112323</v>
      </c>
      <c r="H2325" s="75">
        <v>44278</v>
      </c>
      <c r="I2325" t="s">
        <v>118</v>
      </c>
      <c r="J2325">
        <v>7839.63</v>
      </c>
      <c r="K2325">
        <v>0</v>
      </c>
      <c r="M2325">
        <v>15679.263000000001</v>
      </c>
      <c r="N2325" t="s">
        <v>19</v>
      </c>
      <c r="O2325">
        <v>7839.63</v>
      </c>
    </row>
    <row r="2326" spans="1:15" x14ac:dyDescent="0.2">
      <c r="A2326" t="s">
        <v>125</v>
      </c>
      <c r="B2326" t="s">
        <v>134</v>
      </c>
      <c r="C2326" t="s">
        <v>130</v>
      </c>
      <c r="D2326" t="s">
        <v>127</v>
      </c>
      <c r="E2326" t="s">
        <v>53</v>
      </c>
      <c r="F2326" t="s">
        <v>114</v>
      </c>
      <c r="G2326">
        <v>112323</v>
      </c>
      <c r="H2326" s="75">
        <v>44308</v>
      </c>
      <c r="I2326" t="s">
        <v>115</v>
      </c>
      <c r="J2326">
        <v>5000</v>
      </c>
      <c r="K2326">
        <v>143.58099999999999</v>
      </c>
      <c r="L2326">
        <v>34.823599999999999</v>
      </c>
      <c r="M2326">
        <v>15822.843999999999</v>
      </c>
      <c r="N2326" t="s">
        <v>15</v>
      </c>
    </row>
    <row r="2327" spans="1:15" x14ac:dyDescent="0.2">
      <c r="A2327" t="s">
        <v>125</v>
      </c>
      <c r="B2327" t="s">
        <v>134</v>
      </c>
      <c r="C2327" t="s">
        <v>130</v>
      </c>
      <c r="D2327" t="s">
        <v>127</v>
      </c>
      <c r="E2327" t="s">
        <v>53</v>
      </c>
      <c r="F2327" t="s">
        <v>114</v>
      </c>
      <c r="G2327">
        <v>112323</v>
      </c>
      <c r="H2327" s="75">
        <v>44308</v>
      </c>
      <c r="I2327" t="s">
        <v>116</v>
      </c>
      <c r="J2327">
        <v>2.5</v>
      </c>
      <c r="K2327">
        <v>0</v>
      </c>
      <c r="M2327">
        <v>15822.843999999999</v>
      </c>
      <c r="N2327" t="s">
        <v>17</v>
      </c>
    </row>
    <row r="2328" spans="1:15" x14ac:dyDescent="0.2">
      <c r="A2328" t="s">
        <v>125</v>
      </c>
      <c r="B2328" t="s">
        <v>134</v>
      </c>
      <c r="C2328" t="s">
        <v>130</v>
      </c>
      <c r="D2328" t="s">
        <v>127</v>
      </c>
      <c r="E2328" t="s">
        <v>53</v>
      </c>
      <c r="F2328" t="s">
        <v>114</v>
      </c>
      <c r="G2328">
        <v>112323</v>
      </c>
      <c r="H2328" s="75">
        <v>44338</v>
      </c>
      <c r="I2328" t="s">
        <v>115</v>
      </c>
      <c r="J2328">
        <v>5000</v>
      </c>
      <c r="K2328">
        <v>142.41999999999999</v>
      </c>
      <c r="L2328">
        <v>35.107399999999998</v>
      </c>
      <c r="M2328">
        <v>15965.264999999999</v>
      </c>
      <c r="N2328" t="s">
        <v>15</v>
      </c>
    </row>
    <row r="2329" spans="1:15" x14ac:dyDescent="0.2">
      <c r="A2329" t="s">
        <v>125</v>
      </c>
      <c r="B2329" t="s">
        <v>134</v>
      </c>
      <c r="C2329" t="s">
        <v>130</v>
      </c>
      <c r="D2329" t="s">
        <v>127</v>
      </c>
      <c r="E2329" t="s">
        <v>53</v>
      </c>
      <c r="F2329" t="s">
        <v>114</v>
      </c>
      <c r="G2329">
        <v>112323</v>
      </c>
      <c r="H2329" s="75">
        <v>44368</v>
      </c>
      <c r="I2329" t="s">
        <v>115</v>
      </c>
      <c r="J2329">
        <v>5000</v>
      </c>
      <c r="K2329">
        <v>139.76900000000001</v>
      </c>
      <c r="L2329">
        <v>35.773299999999999</v>
      </c>
      <c r="M2329">
        <v>16105.034</v>
      </c>
      <c r="N2329" t="s">
        <v>15</v>
      </c>
    </row>
    <row r="2330" spans="1:15" x14ac:dyDescent="0.2">
      <c r="A2330" t="s">
        <v>125</v>
      </c>
      <c r="B2330" t="s">
        <v>134</v>
      </c>
      <c r="C2330" t="s">
        <v>130</v>
      </c>
      <c r="D2330" t="s">
        <v>127</v>
      </c>
      <c r="E2330" t="s">
        <v>53</v>
      </c>
      <c r="F2330" t="s">
        <v>114</v>
      </c>
      <c r="G2330">
        <v>112323</v>
      </c>
      <c r="H2330" s="75">
        <v>44368</v>
      </c>
      <c r="I2330" t="s">
        <v>117</v>
      </c>
      <c r="J2330">
        <v>2.5</v>
      </c>
      <c r="K2330">
        <v>0</v>
      </c>
      <c r="M2330">
        <v>16105.034</v>
      </c>
      <c r="N2330" t="s">
        <v>46</v>
      </c>
    </row>
    <row r="2331" spans="1:15" x14ac:dyDescent="0.2">
      <c r="A2331" t="s">
        <v>125</v>
      </c>
      <c r="B2331" t="s">
        <v>134</v>
      </c>
      <c r="C2331" t="s">
        <v>130</v>
      </c>
      <c r="D2331" t="s">
        <v>127</v>
      </c>
      <c r="E2331" t="s">
        <v>53</v>
      </c>
      <c r="F2331" t="s">
        <v>114</v>
      </c>
      <c r="G2331">
        <v>112323</v>
      </c>
      <c r="H2331" s="75">
        <v>44398</v>
      </c>
      <c r="I2331" t="s">
        <v>115</v>
      </c>
      <c r="J2331">
        <v>5000</v>
      </c>
      <c r="K2331">
        <v>142.06299999999999</v>
      </c>
      <c r="L2331">
        <v>35.195700000000002</v>
      </c>
      <c r="M2331">
        <v>16247.097</v>
      </c>
      <c r="N2331" t="s">
        <v>15</v>
      </c>
    </row>
    <row r="2332" spans="1:15" x14ac:dyDescent="0.2">
      <c r="A2332" t="s">
        <v>125</v>
      </c>
      <c r="B2332" t="s">
        <v>134</v>
      </c>
      <c r="C2332" t="s">
        <v>130</v>
      </c>
      <c r="D2332" t="s">
        <v>127</v>
      </c>
      <c r="E2332" t="s">
        <v>53</v>
      </c>
      <c r="F2332" t="s">
        <v>114</v>
      </c>
      <c r="G2332">
        <v>112323</v>
      </c>
      <c r="H2332" s="75">
        <v>44428</v>
      </c>
      <c r="I2332" t="s">
        <v>115</v>
      </c>
      <c r="J2332">
        <v>5000</v>
      </c>
      <c r="K2332">
        <v>138.596</v>
      </c>
      <c r="L2332">
        <v>36.0762</v>
      </c>
      <c r="M2332">
        <v>16385.691999999999</v>
      </c>
      <c r="N2332" t="s">
        <v>15</v>
      </c>
    </row>
    <row r="2333" spans="1:15" x14ac:dyDescent="0.2">
      <c r="A2333" t="s">
        <v>125</v>
      </c>
      <c r="B2333" t="s">
        <v>134</v>
      </c>
      <c r="C2333" t="s">
        <v>130</v>
      </c>
      <c r="D2333" t="s">
        <v>127</v>
      </c>
      <c r="E2333" t="s">
        <v>53</v>
      </c>
      <c r="F2333" t="s">
        <v>114</v>
      </c>
      <c r="G2333">
        <v>112323</v>
      </c>
      <c r="H2333" s="75">
        <v>44428</v>
      </c>
      <c r="I2333" t="s">
        <v>118</v>
      </c>
      <c r="J2333">
        <v>8192.85</v>
      </c>
      <c r="K2333">
        <v>0</v>
      </c>
      <c r="M2333">
        <v>16385.691999999999</v>
      </c>
      <c r="N2333" t="s">
        <v>19</v>
      </c>
      <c r="O2333">
        <v>8192.85</v>
      </c>
    </row>
    <row r="2334" spans="1:15" x14ac:dyDescent="0.2">
      <c r="A2334" t="s">
        <v>125</v>
      </c>
      <c r="B2334" t="s">
        <v>134</v>
      </c>
      <c r="C2334" t="s">
        <v>130</v>
      </c>
      <c r="D2334" t="s">
        <v>127</v>
      </c>
      <c r="E2334" t="s">
        <v>53</v>
      </c>
      <c r="F2334" t="s">
        <v>114</v>
      </c>
      <c r="G2334">
        <v>112323</v>
      </c>
      <c r="H2334" s="75">
        <v>44458</v>
      </c>
      <c r="I2334" t="s">
        <v>115</v>
      </c>
      <c r="J2334">
        <v>5000</v>
      </c>
      <c r="K2334">
        <v>138.40700000000001</v>
      </c>
      <c r="L2334">
        <v>36.125300000000003</v>
      </c>
      <c r="M2334">
        <v>16524.098999999998</v>
      </c>
      <c r="N2334" t="s">
        <v>15</v>
      </c>
    </row>
    <row r="2335" spans="1:15" x14ac:dyDescent="0.2">
      <c r="A2335" t="s">
        <v>125</v>
      </c>
      <c r="B2335" t="s">
        <v>134</v>
      </c>
      <c r="C2335" t="s">
        <v>130</v>
      </c>
      <c r="D2335" t="s">
        <v>127</v>
      </c>
      <c r="E2335" t="s">
        <v>53</v>
      </c>
      <c r="F2335" t="s">
        <v>114</v>
      </c>
      <c r="G2335">
        <v>112323</v>
      </c>
      <c r="H2335" s="75">
        <v>44488</v>
      </c>
      <c r="I2335" t="s">
        <v>115</v>
      </c>
      <c r="J2335">
        <v>5000</v>
      </c>
      <c r="K2335">
        <v>140.23599999999999</v>
      </c>
      <c r="L2335">
        <v>35.654200000000003</v>
      </c>
      <c r="M2335">
        <v>16664.334999999999</v>
      </c>
      <c r="N2335" t="s">
        <v>15</v>
      </c>
    </row>
    <row r="2336" spans="1:15" x14ac:dyDescent="0.2">
      <c r="A2336" t="s">
        <v>125</v>
      </c>
      <c r="B2336" t="s">
        <v>134</v>
      </c>
      <c r="C2336" t="s">
        <v>130</v>
      </c>
      <c r="D2336" t="s">
        <v>127</v>
      </c>
      <c r="E2336" t="s">
        <v>53</v>
      </c>
      <c r="F2336" t="s">
        <v>114</v>
      </c>
      <c r="G2336">
        <v>112323</v>
      </c>
      <c r="H2336" s="75">
        <v>44518</v>
      </c>
      <c r="I2336" t="s">
        <v>115</v>
      </c>
      <c r="J2336">
        <v>5000</v>
      </c>
      <c r="K2336">
        <v>138.244</v>
      </c>
      <c r="L2336">
        <v>36.167900000000003</v>
      </c>
      <c r="M2336">
        <v>16802.579000000002</v>
      </c>
      <c r="N2336" t="s">
        <v>15</v>
      </c>
    </row>
    <row r="2337" spans="1:14" x14ac:dyDescent="0.2">
      <c r="A2337" t="s">
        <v>125</v>
      </c>
      <c r="B2337" t="s">
        <v>134</v>
      </c>
      <c r="C2337" t="s">
        <v>130</v>
      </c>
      <c r="D2337" t="s">
        <v>127</v>
      </c>
      <c r="E2337" t="s">
        <v>53</v>
      </c>
      <c r="F2337" t="s">
        <v>114</v>
      </c>
      <c r="G2337">
        <v>112323</v>
      </c>
      <c r="H2337" s="75">
        <v>44548</v>
      </c>
      <c r="I2337" t="s">
        <v>115</v>
      </c>
      <c r="J2337">
        <v>5000</v>
      </c>
      <c r="K2337">
        <v>138.89500000000001</v>
      </c>
      <c r="L2337">
        <v>35.9985</v>
      </c>
      <c r="M2337">
        <v>16941.473999999998</v>
      </c>
      <c r="N2337" t="s">
        <v>15</v>
      </c>
    </row>
    <row r="2338" spans="1:14" x14ac:dyDescent="0.2">
      <c r="A2338" t="s">
        <v>125</v>
      </c>
      <c r="B2338" t="s">
        <v>134</v>
      </c>
      <c r="C2338" t="s">
        <v>130</v>
      </c>
      <c r="D2338" t="s">
        <v>127</v>
      </c>
      <c r="E2338" t="s">
        <v>53</v>
      </c>
      <c r="F2338" t="s">
        <v>114</v>
      </c>
      <c r="G2338">
        <v>112323</v>
      </c>
      <c r="H2338" s="75">
        <v>44578</v>
      </c>
      <c r="I2338" t="s">
        <v>128</v>
      </c>
      <c r="J2338">
        <v>-609867.41</v>
      </c>
      <c r="K2338">
        <v>-16941.473999999998</v>
      </c>
      <c r="L2338">
        <v>35.9985</v>
      </c>
      <c r="M2338">
        <v>0</v>
      </c>
      <c r="N2338" t="s">
        <v>16</v>
      </c>
    </row>
    <row r="2339" spans="1:14" x14ac:dyDescent="0.2">
      <c r="A2339" t="s">
        <v>18</v>
      </c>
      <c r="B2339" t="s">
        <v>135</v>
      </c>
      <c r="C2339" t="s">
        <v>136</v>
      </c>
      <c r="D2339" t="s">
        <v>113</v>
      </c>
      <c r="E2339" t="s">
        <v>53</v>
      </c>
      <c r="F2339" t="s">
        <v>114</v>
      </c>
      <c r="G2339">
        <v>119062</v>
      </c>
      <c r="H2339" s="75">
        <v>40455</v>
      </c>
      <c r="I2339" t="s">
        <v>115</v>
      </c>
      <c r="J2339">
        <v>5000</v>
      </c>
      <c r="K2339">
        <v>243.96600000000001</v>
      </c>
      <c r="L2339">
        <v>20.494599999999998</v>
      </c>
      <c r="M2339">
        <v>243.96600000000001</v>
      </c>
      <c r="N2339" t="s">
        <v>15</v>
      </c>
    </row>
    <row r="2340" spans="1:14" x14ac:dyDescent="0.2">
      <c r="A2340" t="s">
        <v>18</v>
      </c>
      <c r="B2340" t="s">
        <v>135</v>
      </c>
      <c r="C2340" t="s">
        <v>136</v>
      </c>
      <c r="D2340" t="s">
        <v>113</v>
      </c>
      <c r="E2340" t="s">
        <v>53</v>
      </c>
      <c r="F2340" t="s">
        <v>114</v>
      </c>
      <c r="G2340">
        <v>119062</v>
      </c>
      <c r="H2340" s="75">
        <v>40485</v>
      </c>
      <c r="I2340" t="s">
        <v>115</v>
      </c>
      <c r="J2340">
        <v>5000</v>
      </c>
      <c r="K2340">
        <v>240.72300000000001</v>
      </c>
      <c r="L2340">
        <v>20.770800000000001</v>
      </c>
      <c r="M2340">
        <v>484.68900000000002</v>
      </c>
      <c r="N2340" t="s">
        <v>15</v>
      </c>
    </row>
    <row r="2341" spans="1:14" x14ac:dyDescent="0.2">
      <c r="A2341" t="s">
        <v>18</v>
      </c>
      <c r="B2341" t="s">
        <v>135</v>
      </c>
      <c r="C2341" t="s">
        <v>136</v>
      </c>
      <c r="D2341" t="s">
        <v>113</v>
      </c>
      <c r="E2341" t="s">
        <v>53</v>
      </c>
      <c r="F2341" t="s">
        <v>114</v>
      </c>
      <c r="G2341">
        <v>119062</v>
      </c>
      <c r="H2341" s="75">
        <v>40515</v>
      </c>
      <c r="I2341" t="s">
        <v>115</v>
      </c>
      <c r="J2341">
        <v>5000</v>
      </c>
      <c r="K2341">
        <v>235.887</v>
      </c>
      <c r="L2341">
        <v>21.1966</v>
      </c>
      <c r="M2341">
        <v>720.57600000000002</v>
      </c>
      <c r="N2341" t="s">
        <v>15</v>
      </c>
    </row>
    <row r="2342" spans="1:14" x14ac:dyDescent="0.2">
      <c r="A2342" t="s">
        <v>18</v>
      </c>
      <c r="B2342" t="s">
        <v>135</v>
      </c>
      <c r="C2342" t="s">
        <v>136</v>
      </c>
      <c r="D2342" t="s">
        <v>113</v>
      </c>
      <c r="E2342" t="s">
        <v>53</v>
      </c>
      <c r="F2342" t="s">
        <v>114</v>
      </c>
      <c r="G2342">
        <v>119062</v>
      </c>
      <c r="H2342" s="75">
        <v>40545</v>
      </c>
      <c r="I2342" t="s">
        <v>115</v>
      </c>
      <c r="J2342">
        <v>5000</v>
      </c>
      <c r="K2342">
        <v>240.23</v>
      </c>
      <c r="L2342">
        <v>20.813400000000001</v>
      </c>
      <c r="M2342">
        <v>960.80600000000004</v>
      </c>
      <c r="N2342" t="s">
        <v>15</v>
      </c>
    </row>
    <row r="2343" spans="1:14" x14ac:dyDescent="0.2">
      <c r="A2343" t="s">
        <v>18</v>
      </c>
      <c r="B2343" t="s">
        <v>135</v>
      </c>
      <c r="C2343" t="s">
        <v>136</v>
      </c>
      <c r="D2343" t="s">
        <v>113</v>
      </c>
      <c r="E2343" t="s">
        <v>53</v>
      </c>
      <c r="F2343" t="s">
        <v>114</v>
      </c>
      <c r="G2343">
        <v>119062</v>
      </c>
      <c r="H2343" s="75">
        <v>40575</v>
      </c>
      <c r="I2343" t="s">
        <v>115</v>
      </c>
      <c r="J2343">
        <v>5000</v>
      </c>
      <c r="K2343">
        <v>240.21299999999999</v>
      </c>
      <c r="L2343">
        <v>20.814900000000002</v>
      </c>
      <c r="M2343">
        <v>1201.019</v>
      </c>
      <c r="N2343" t="s">
        <v>15</v>
      </c>
    </row>
    <row r="2344" spans="1:14" x14ac:dyDescent="0.2">
      <c r="A2344" t="s">
        <v>18</v>
      </c>
      <c r="B2344" t="s">
        <v>135</v>
      </c>
      <c r="C2344" t="s">
        <v>136</v>
      </c>
      <c r="D2344" t="s">
        <v>113</v>
      </c>
      <c r="E2344" t="s">
        <v>53</v>
      </c>
      <c r="F2344" t="s">
        <v>114</v>
      </c>
      <c r="G2344">
        <v>119062</v>
      </c>
      <c r="H2344" s="75">
        <v>40605</v>
      </c>
      <c r="I2344" t="s">
        <v>115</v>
      </c>
      <c r="J2344">
        <v>5000</v>
      </c>
      <c r="K2344">
        <v>234.316</v>
      </c>
      <c r="L2344">
        <v>21.338699999999999</v>
      </c>
      <c r="M2344">
        <v>1435.335</v>
      </c>
      <c r="N2344" t="s">
        <v>15</v>
      </c>
    </row>
    <row r="2345" spans="1:14" x14ac:dyDescent="0.2">
      <c r="A2345" t="s">
        <v>18</v>
      </c>
      <c r="B2345" t="s">
        <v>135</v>
      </c>
      <c r="C2345" t="s">
        <v>136</v>
      </c>
      <c r="D2345" t="s">
        <v>113</v>
      </c>
      <c r="E2345" t="s">
        <v>53</v>
      </c>
      <c r="F2345" t="s">
        <v>114</v>
      </c>
      <c r="G2345">
        <v>119062</v>
      </c>
      <c r="H2345" s="75">
        <v>40635</v>
      </c>
      <c r="I2345" t="s">
        <v>115</v>
      </c>
      <c r="J2345">
        <v>5000</v>
      </c>
      <c r="K2345">
        <v>233.148</v>
      </c>
      <c r="L2345">
        <v>21.445599999999999</v>
      </c>
      <c r="M2345">
        <v>1668.4829999999999</v>
      </c>
      <c r="N2345" t="s">
        <v>15</v>
      </c>
    </row>
    <row r="2346" spans="1:14" x14ac:dyDescent="0.2">
      <c r="A2346" t="s">
        <v>18</v>
      </c>
      <c r="B2346" t="s">
        <v>135</v>
      </c>
      <c r="C2346" t="s">
        <v>136</v>
      </c>
      <c r="D2346" t="s">
        <v>113</v>
      </c>
      <c r="E2346" t="s">
        <v>53</v>
      </c>
      <c r="F2346" t="s">
        <v>114</v>
      </c>
      <c r="G2346">
        <v>119062</v>
      </c>
      <c r="H2346" s="75">
        <v>40665</v>
      </c>
      <c r="I2346" t="s">
        <v>115</v>
      </c>
      <c r="J2346">
        <v>5000</v>
      </c>
      <c r="K2346">
        <v>236.30699999999999</v>
      </c>
      <c r="L2346">
        <v>21.158899999999999</v>
      </c>
      <c r="M2346">
        <v>1904.79</v>
      </c>
      <c r="N2346" t="s">
        <v>15</v>
      </c>
    </row>
    <row r="2347" spans="1:14" x14ac:dyDescent="0.2">
      <c r="A2347" t="s">
        <v>18</v>
      </c>
      <c r="B2347" t="s">
        <v>135</v>
      </c>
      <c r="C2347" t="s">
        <v>136</v>
      </c>
      <c r="D2347" t="s">
        <v>113</v>
      </c>
      <c r="E2347" t="s">
        <v>53</v>
      </c>
      <c r="F2347" t="s">
        <v>114</v>
      </c>
      <c r="G2347">
        <v>119062</v>
      </c>
      <c r="H2347" s="75">
        <v>40665</v>
      </c>
      <c r="I2347" t="s">
        <v>116</v>
      </c>
      <c r="J2347">
        <v>2.5</v>
      </c>
      <c r="K2347">
        <v>0</v>
      </c>
      <c r="M2347">
        <v>1904.79</v>
      </c>
      <c r="N2347" t="s">
        <v>17</v>
      </c>
    </row>
    <row r="2348" spans="1:14" x14ac:dyDescent="0.2">
      <c r="A2348" t="s">
        <v>18</v>
      </c>
      <c r="B2348" t="s">
        <v>135</v>
      </c>
      <c r="C2348" t="s">
        <v>136</v>
      </c>
      <c r="D2348" t="s">
        <v>113</v>
      </c>
      <c r="E2348" t="s">
        <v>53</v>
      </c>
      <c r="F2348" t="s">
        <v>114</v>
      </c>
      <c r="G2348">
        <v>119062</v>
      </c>
      <c r="H2348" s="75">
        <v>40695</v>
      </c>
      <c r="I2348" t="s">
        <v>115</v>
      </c>
      <c r="J2348">
        <v>5000</v>
      </c>
      <c r="K2348">
        <v>231.64099999999999</v>
      </c>
      <c r="L2348">
        <v>21.585100000000001</v>
      </c>
      <c r="M2348">
        <v>2136.431</v>
      </c>
      <c r="N2348" t="s">
        <v>15</v>
      </c>
    </row>
    <row r="2349" spans="1:14" x14ac:dyDescent="0.2">
      <c r="A2349" t="s">
        <v>18</v>
      </c>
      <c r="B2349" t="s">
        <v>135</v>
      </c>
      <c r="C2349" t="s">
        <v>136</v>
      </c>
      <c r="D2349" t="s">
        <v>113</v>
      </c>
      <c r="E2349" t="s">
        <v>53</v>
      </c>
      <c r="F2349" t="s">
        <v>114</v>
      </c>
      <c r="G2349">
        <v>119062</v>
      </c>
      <c r="H2349" s="75">
        <v>40725</v>
      </c>
      <c r="I2349" t="s">
        <v>115</v>
      </c>
      <c r="J2349">
        <v>5000</v>
      </c>
      <c r="K2349">
        <v>226.85900000000001</v>
      </c>
      <c r="L2349">
        <v>22.040099999999999</v>
      </c>
      <c r="M2349">
        <v>2363.29</v>
      </c>
      <c r="N2349" t="s">
        <v>15</v>
      </c>
    </row>
    <row r="2350" spans="1:14" x14ac:dyDescent="0.2">
      <c r="A2350" t="s">
        <v>18</v>
      </c>
      <c r="B2350" t="s">
        <v>135</v>
      </c>
      <c r="C2350" t="s">
        <v>136</v>
      </c>
      <c r="D2350" t="s">
        <v>113</v>
      </c>
      <c r="E2350" t="s">
        <v>53</v>
      </c>
      <c r="F2350" t="s">
        <v>114</v>
      </c>
      <c r="G2350">
        <v>119062</v>
      </c>
      <c r="H2350" s="75">
        <v>40755</v>
      </c>
      <c r="I2350" t="s">
        <v>115</v>
      </c>
      <c r="J2350">
        <v>5000</v>
      </c>
      <c r="K2350">
        <v>222.15899999999999</v>
      </c>
      <c r="L2350">
        <v>22.506499999999999</v>
      </c>
      <c r="M2350">
        <v>2585.4479999999999</v>
      </c>
      <c r="N2350" t="s">
        <v>15</v>
      </c>
    </row>
    <row r="2351" spans="1:14" x14ac:dyDescent="0.2">
      <c r="A2351" t="s">
        <v>18</v>
      </c>
      <c r="B2351" t="s">
        <v>135</v>
      </c>
      <c r="C2351" t="s">
        <v>136</v>
      </c>
      <c r="D2351" t="s">
        <v>113</v>
      </c>
      <c r="E2351" t="s">
        <v>53</v>
      </c>
      <c r="F2351" t="s">
        <v>114</v>
      </c>
      <c r="G2351">
        <v>119062</v>
      </c>
      <c r="H2351" s="75">
        <v>40785</v>
      </c>
      <c r="I2351" t="s">
        <v>115</v>
      </c>
      <c r="J2351">
        <v>5000</v>
      </c>
      <c r="K2351">
        <v>219.97800000000001</v>
      </c>
      <c r="L2351">
        <v>22.729500000000002</v>
      </c>
      <c r="M2351">
        <v>2805.4270000000001</v>
      </c>
      <c r="N2351" t="s">
        <v>15</v>
      </c>
    </row>
    <row r="2352" spans="1:14" x14ac:dyDescent="0.2">
      <c r="A2352" t="s">
        <v>18</v>
      </c>
      <c r="B2352" t="s">
        <v>135</v>
      </c>
      <c r="C2352" t="s">
        <v>136</v>
      </c>
      <c r="D2352" t="s">
        <v>113</v>
      </c>
      <c r="E2352" t="s">
        <v>53</v>
      </c>
      <c r="F2352" t="s">
        <v>114</v>
      </c>
      <c r="G2352">
        <v>119062</v>
      </c>
      <c r="H2352" s="75">
        <v>40815</v>
      </c>
      <c r="I2352" t="s">
        <v>115</v>
      </c>
      <c r="J2352">
        <v>5000</v>
      </c>
      <c r="K2352">
        <v>222.58600000000001</v>
      </c>
      <c r="L2352">
        <v>22.4633</v>
      </c>
      <c r="M2352">
        <v>3028.0120000000002</v>
      </c>
      <c r="N2352" t="s">
        <v>15</v>
      </c>
    </row>
    <row r="2353" spans="1:14" x14ac:dyDescent="0.2">
      <c r="A2353" t="s">
        <v>18</v>
      </c>
      <c r="B2353" t="s">
        <v>135</v>
      </c>
      <c r="C2353" t="s">
        <v>136</v>
      </c>
      <c r="D2353" t="s">
        <v>113</v>
      </c>
      <c r="E2353" t="s">
        <v>53</v>
      </c>
      <c r="F2353" t="s">
        <v>114</v>
      </c>
      <c r="G2353">
        <v>119062</v>
      </c>
      <c r="H2353" s="75">
        <v>40845</v>
      </c>
      <c r="I2353" t="s">
        <v>115</v>
      </c>
      <c r="J2353">
        <v>5000</v>
      </c>
      <c r="K2353">
        <v>224.45500000000001</v>
      </c>
      <c r="L2353">
        <v>22.2761</v>
      </c>
      <c r="M2353">
        <v>3252.4679999999998</v>
      </c>
      <c r="N2353" t="s">
        <v>15</v>
      </c>
    </row>
    <row r="2354" spans="1:14" x14ac:dyDescent="0.2">
      <c r="A2354" t="s">
        <v>18</v>
      </c>
      <c r="B2354" t="s">
        <v>135</v>
      </c>
      <c r="C2354" t="s">
        <v>136</v>
      </c>
      <c r="D2354" t="s">
        <v>113</v>
      </c>
      <c r="E2354" t="s">
        <v>53</v>
      </c>
      <c r="F2354" t="s">
        <v>114</v>
      </c>
      <c r="G2354">
        <v>119062</v>
      </c>
      <c r="H2354" s="75">
        <v>40875</v>
      </c>
      <c r="I2354" t="s">
        <v>115</v>
      </c>
      <c r="J2354">
        <v>5000</v>
      </c>
      <c r="K2354">
        <v>227.714</v>
      </c>
      <c r="L2354">
        <v>21.9574</v>
      </c>
      <c r="M2354">
        <v>3480.181</v>
      </c>
      <c r="N2354" t="s">
        <v>15</v>
      </c>
    </row>
    <row r="2355" spans="1:14" x14ac:dyDescent="0.2">
      <c r="A2355" t="s">
        <v>18</v>
      </c>
      <c r="B2355" t="s">
        <v>135</v>
      </c>
      <c r="C2355" t="s">
        <v>136</v>
      </c>
      <c r="D2355" t="s">
        <v>113</v>
      </c>
      <c r="E2355" t="s">
        <v>53</v>
      </c>
      <c r="F2355" t="s">
        <v>114</v>
      </c>
      <c r="G2355">
        <v>119062</v>
      </c>
      <c r="H2355" s="75">
        <v>40905</v>
      </c>
      <c r="I2355" t="s">
        <v>115</v>
      </c>
      <c r="J2355">
        <v>5000</v>
      </c>
      <c r="K2355">
        <v>228.71100000000001</v>
      </c>
      <c r="L2355">
        <v>21.861599999999999</v>
      </c>
      <c r="M2355">
        <v>3708.8919999999998</v>
      </c>
      <c r="N2355" t="s">
        <v>15</v>
      </c>
    </row>
    <row r="2356" spans="1:14" x14ac:dyDescent="0.2">
      <c r="A2356" t="s">
        <v>18</v>
      </c>
      <c r="B2356" t="s">
        <v>135</v>
      </c>
      <c r="C2356" t="s">
        <v>136</v>
      </c>
      <c r="D2356" t="s">
        <v>113</v>
      </c>
      <c r="E2356" t="s">
        <v>53</v>
      </c>
      <c r="F2356" t="s">
        <v>114</v>
      </c>
      <c r="G2356">
        <v>119062</v>
      </c>
      <c r="H2356" s="75">
        <v>40935</v>
      </c>
      <c r="I2356" t="s">
        <v>115</v>
      </c>
      <c r="J2356">
        <v>5000</v>
      </c>
      <c r="K2356">
        <v>232.61199999999999</v>
      </c>
      <c r="L2356">
        <v>21.495100000000001</v>
      </c>
      <c r="M2356">
        <v>3941.5039999999999</v>
      </c>
      <c r="N2356" t="s">
        <v>15</v>
      </c>
    </row>
    <row r="2357" spans="1:14" x14ac:dyDescent="0.2">
      <c r="A2357" t="s">
        <v>18</v>
      </c>
      <c r="B2357" t="s">
        <v>135</v>
      </c>
      <c r="C2357" t="s">
        <v>136</v>
      </c>
      <c r="D2357" t="s">
        <v>113</v>
      </c>
      <c r="E2357" t="s">
        <v>53</v>
      </c>
      <c r="F2357" t="s">
        <v>114</v>
      </c>
      <c r="G2357">
        <v>119062</v>
      </c>
      <c r="H2357" s="75">
        <v>40965</v>
      </c>
      <c r="I2357" t="s">
        <v>115</v>
      </c>
      <c r="J2357">
        <v>5000</v>
      </c>
      <c r="K2357">
        <v>234.84800000000001</v>
      </c>
      <c r="L2357">
        <v>21.290400000000002</v>
      </c>
      <c r="M2357">
        <v>4176.3519999999999</v>
      </c>
      <c r="N2357" t="s">
        <v>15</v>
      </c>
    </row>
    <row r="2358" spans="1:14" x14ac:dyDescent="0.2">
      <c r="A2358" t="s">
        <v>18</v>
      </c>
      <c r="B2358" t="s">
        <v>135</v>
      </c>
      <c r="C2358" t="s">
        <v>136</v>
      </c>
      <c r="D2358" t="s">
        <v>113</v>
      </c>
      <c r="E2358" t="s">
        <v>53</v>
      </c>
      <c r="F2358" t="s">
        <v>114</v>
      </c>
      <c r="G2358">
        <v>119062</v>
      </c>
      <c r="H2358" s="75">
        <v>40995</v>
      </c>
      <c r="I2358" t="s">
        <v>115</v>
      </c>
      <c r="J2358">
        <v>5000</v>
      </c>
      <c r="K2358">
        <v>235.786</v>
      </c>
      <c r="L2358">
        <v>21.2056</v>
      </c>
      <c r="M2358">
        <v>4412.1379999999999</v>
      </c>
      <c r="N2358" t="s">
        <v>15</v>
      </c>
    </row>
    <row r="2359" spans="1:14" x14ac:dyDescent="0.2">
      <c r="A2359" t="s">
        <v>18</v>
      </c>
      <c r="B2359" t="s">
        <v>135</v>
      </c>
      <c r="C2359" t="s">
        <v>136</v>
      </c>
      <c r="D2359" t="s">
        <v>113</v>
      </c>
      <c r="E2359" t="s">
        <v>53</v>
      </c>
      <c r="F2359" t="s">
        <v>114</v>
      </c>
      <c r="G2359">
        <v>119062</v>
      </c>
      <c r="H2359" s="75">
        <v>41025</v>
      </c>
      <c r="I2359" t="s">
        <v>115</v>
      </c>
      <c r="J2359">
        <v>5000</v>
      </c>
      <c r="K2359">
        <v>230.94300000000001</v>
      </c>
      <c r="L2359">
        <v>21.650300000000001</v>
      </c>
      <c r="M2359">
        <v>4643.0820000000003</v>
      </c>
      <c r="N2359" t="s">
        <v>15</v>
      </c>
    </row>
    <row r="2360" spans="1:14" x14ac:dyDescent="0.2">
      <c r="A2360" t="s">
        <v>18</v>
      </c>
      <c r="B2360" t="s">
        <v>135</v>
      </c>
      <c r="C2360" t="s">
        <v>136</v>
      </c>
      <c r="D2360" t="s">
        <v>113</v>
      </c>
      <c r="E2360" t="s">
        <v>53</v>
      </c>
      <c r="F2360" t="s">
        <v>114</v>
      </c>
      <c r="G2360">
        <v>119062</v>
      </c>
      <c r="H2360" s="75">
        <v>41055</v>
      </c>
      <c r="I2360" t="s">
        <v>115</v>
      </c>
      <c r="J2360">
        <v>5000</v>
      </c>
      <c r="K2360">
        <v>234.3</v>
      </c>
      <c r="L2360">
        <v>21.3401</v>
      </c>
      <c r="M2360">
        <v>4877.3819999999996</v>
      </c>
      <c r="N2360" t="s">
        <v>15</v>
      </c>
    </row>
    <row r="2361" spans="1:14" x14ac:dyDescent="0.2">
      <c r="A2361" t="s">
        <v>18</v>
      </c>
      <c r="B2361" t="s">
        <v>135</v>
      </c>
      <c r="C2361" t="s">
        <v>136</v>
      </c>
      <c r="D2361" t="s">
        <v>113</v>
      </c>
      <c r="E2361" t="s">
        <v>53</v>
      </c>
      <c r="F2361" t="s">
        <v>114</v>
      </c>
      <c r="G2361">
        <v>119062</v>
      </c>
      <c r="H2361" s="75">
        <v>41085</v>
      </c>
      <c r="I2361" t="s">
        <v>115</v>
      </c>
      <c r="J2361">
        <v>5000</v>
      </c>
      <c r="K2361">
        <v>231.149</v>
      </c>
      <c r="L2361">
        <v>21.6311</v>
      </c>
      <c r="M2361">
        <v>5108.5309999999999</v>
      </c>
      <c r="N2361" t="s">
        <v>15</v>
      </c>
    </row>
    <row r="2362" spans="1:14" x14ac:dyDescent="0.2">
      <c r="A2362" t="s">
        <v>18</v>
      </c>
      <c r="B2362" t="s">
        <v>135</v>
      </c>
      <c r="C2362" t="s">
        <v>136</v>
      </c>
      <c r="D2362" t="s">
        <v>113</v>
      </c>
      <c r="E2362" t="s">
        <v>53</v>
      </c>
      <c r="F2362" t="s">
        <v>114</v>
      </c>
      <c r="G2362">
        <v>119062</v>
      </c>
      <c r="H2362" s="75">
        <v>41115</v>
      </c>
      <c r="I2362" t="s">
        <v>115</v>
      </c>
      <c r="J2362">
        <v>5000</v>
      </c>
      <c r="K2362">
        <v>234.7</v>
      </c>
      <c r="L2362">
        <v>21.303799999999999</v>
      </c>
      <c r="M2362">
        <v>5343.2309999999998</v>
      </c>
      <c r="N2362" t="s">
        <v>15</v>
      </c>
    </row>
    <row r="2363" spans="1:14" x14ac:dyDescent="0.2">
      <c r="A2363" t="s">
        <v>18</v>
      </c>
      <c r="B2363" t="s">
        <v>135</v>
      </c>
      <c r="C2363" t="s">
        <v>136</v>
      </c>
      <c r="D2363" t="s">
        <v>113</v>
      </c>
      <c r="E2363" t="s">
        <v>53</v>
      </c>
      <c r="F2363" t="s">
        <v>114</v>
      </c>
      <c r="G2363">
        <v>119062</v>
      </c>
      <c r="H2363" s="75">
        <v>41145</v>
      </c>
      <c r="I2363" t="s">
        <v>115</v>
      </c>
      <c r="J2363">
        <v>5000</v>
      </c>
      <c r="K2363">
        <v>227.94300000000001</v>
      </c>
      <c r="L2363">
        <v>21.935300000000002</v>
      </c>
      <c r="M2363">
        <v>5571.174</v>
      </c>
      <c r="N2363" t="s">
        <v>15</v>
      </c>
    </row>
    <row r="2364" spans="1:14" x14ac:dyDescent="0.2">
      <c r="A2364" t="s">
        <v>18</v>
      </c>
      <c r="B2364" t="s">
        <v>135</v>
      </c>
      <c r="C2364" t="s">
        <v>136</v>
      </c>
      <c r="D2364" t="s">
        <v>113</v>
      </c>
      <c r="E2364" t="s">
        <v>53</v>
      </c>
      <c r="F2364" t="s">
        <v>114</v>
      </c>
      <c r="G2364">
        <v>119062</v>
      </c>
      <c r="H2364" s="75">
        <v>41175</v>
      </c>
      <c r="I2364" t="s">
        <v>115</v>
      </c>
      <c r="J2364">
        <v>5000</v>
      </c>
      <c r="K2364">
        <v>230.227</v>
      </c>
      <c r="L2364">
        <v>21.717700000000001</v>
      </c>
      <c r="M2364">
        <v>5801.4009999999998</v>
      </c>
      <c r="N2364" t="s">
        <v>15</v>
      </c>
    </row>
    <row r="2365" spans="1:14" x14ac:dyDescent="0.2">
      <c r="A2365" t="s">
        <v>18</v>
      </c>
      <c r="B2365" t="s">
        <v>135</v>
      </c>
      <c r="C2365" t="s">
        <v>136</v>
      </c>
      <c r="D2365" t="s">
        <v>113</v>
      </c>
      <c r="E2365" t="s">
        <v>53</v>
      </c>
      <c r="F2365" t="s">
        <v>114</v>
      </c>
      <c r="G2365">
        <v>119062</v>
      </c>
      <c r="H2365" s="75">
        <v>41175</v>
      </c>
      <c r="I2365" t="s">
        <v>116</v>
      </c>
      <c r="J2365">
        <v>2.5</v>
      </c>
      <c r="K2365">
        <v>0</v>
      </c>
      <c r="M2365">
        <v>5801.4009999999998</v>
      </c>
      <c r="N2365" t="s">
        <v>17</v>
      </c>
    </row>
    <row r="2366" spans="1:14" x14ac:dyDescent="0.2">
      <c r="A2366" t="s">
        <v>18</v>
      </c>
      <c r="B2366" t="s">
        <v>135</v>
      </c>
      <c r="C2366" t="s">
        <v>136</v>
      </c>
      <c r="D2366" t="s">
        <v>113</v>
      </c>
      <c r="E2366" t="s">
        <v>53</v>
      </c>
      <c r="F2366" t="s">
        <v>114</v>
      </c>
      <c r="G2366">
        <v>119062</v>
      </c>
      <c r="H2366" s="75">
        <v>41205</v>
      </c>
      <c r="I2366" t="s">
        <v>115</v>
      </c>
      <c r="J2366">
        <v>5000</v>
      </c>
      <c r="K2366">
        <v>224.19200000000001</v>
      </c>
      <c r="L2366">
        <v>22.302299999999999</v>
      </c>
      <c r="M2366">
        <v>6025.5929999999998</v>
      </c>
      <c r="N2366" t="s">
        <v>15</v>
      </c>
    </row>
    <row r="2367" spans="1:14" x14ac:dyDescent="0.2">
      <c r="A2367" t="s">
        <v>18</v>
      </c>
      <c r="B2367" t="s">
        <v>135</v>
      </c>
      <c r="C2367" t="s">
        <v>136</v>
      </c>
      <c r="D2367" t="s">
        <v>113</v>
      </c>
      <c r="E2367" t="s">
        <v>53</v>
      </c>
      <c r="F2367" t="s">
        <v>114</v>
      </c>
      <c r="G2367">
        <v>119062</v>
      </c>
      <c r="H2367" s="75">
        <v>41205</v>
      </c>
      <c r="I2367" t="s">
        <v>117</v>
      </c>
      <c r="J2367">
        <v>2.5</v>
      </c>
      <c r="K2367">
        <v>0</v>
      </c>
      <c r="M2367">
        <v>6025.5929999999998</v>
      </c>
      <c r="N2367" t="s">
        <v>46</v>
      </c>
    </row>
    <row r="2368" spans="1:14" x14ac:dyDescent="0.2">
      <c r="A2368" t="s">
        <v>18</v>
      </c>
      <c r="B2368" t="s">
        <v>135</v>
      </c>
      <c r="C2368" t="s">
        <v>136</v>
      </c>
      <c r="D2368" t="s">
        <v>113</v>
      </c>
      <c r="E2368" t="s">
        <v>53</v>
      </c>
      <c r="F2368" t="s">
        <v>114</v>
      </c>
      <c r="G2368">
        <v>119062</v>
      </c>
      <c r="H2368" s="75">
        <v>41235</v>
      </c>
      <c r="I2368" t="s">
        <v>115</v>
      </c>
      <c r="J2368">
        <v>5000</v>
      </c>
      <c r="K2368">
        <v>218.41</v>
      </c>
      <c r="L2368">
        <v>22.892700000000001</v>
      </c>
      <c r="M2368">
        <v>6244.0029999999997</v>
      </c>
      <c r="N2368" t="s">
        <v>15</v>
      </c>
    </row>
    <row r="2369" spans="1:14" x14ac:dyDescent="0.2">
      <c r="A2369" t="s">
        <v>18</v>
      </c>
      <c r="B2369" t="s">
        <v>135</v>
      </c>
      <c r="C2369" t="s">
        <v>136</v>
      </c>
      <c r="D2369" t="s">
        <v>113</v>
      </c>
      <c r="E2369" t="s">
        <v>53</v>
      </c>
      <c r="F2369" t="s">
        <v>114</v>
      </c>
      <c r="G2369">
        <v>119062</v>
      </c>
      <c r="H2369" s="75">
        <v>41235</v>
      </c>
      <c r="I2369" t="s">
        <v>117</v>
      </c>
      <c r="J2369">
        <v>2.5</v>
      </c>
      <c r="K2369">
        <v>0</v>
      </c>
      <c r="M2369">
        <v>6244.0029999999997</v>
      </c>
      <c r="N2369" t="s">
        <v>46</v>
      </c>
    </row>
    <row r="2370" spans="1:14" x14ac:dyDescent="0.2">
      <c r="A2370" t="s">
        <v>18</v>
      </c>
      <c r="B2370" t="s">
        <v>135</v>
      </c>
      <c r="C2370" t="s">
        <v>136</v>
      </c>
      <c r="D2370" t="s">
        <v>113</v>
      </c>
      <c r="E2370" t="s">
        <v>53</v>
      </c>
      <c r="F2370" t="s">
        <v>114</v>
      </c>
      <c r="G2370">
        <v>119062</v>
      </c>
      <c r="H2370" s="75">
        <v>41265</v>
      </c>
      <c r="I2370" t="s">
        <v>115</v>
      </c>
      <c r="J2370">
        <v>5000</v>
      </c>
      <c r="K2370">
        <v>220.35400000000001</v>
      </c>
      <c r="L2370">
        <v>22.690799999999999</v>
      </c>
      <c r="M2370">
        <v>6464.357</v>
      </c>
      <c r="N2370" t="s">
        <v>15</v>
      </c>
    </row>
    <row r="2371" spans="1:14" x14ac:dyDescent="0.2">
      <c r="A2371" t="s">
        <v>18</v>
      </c>
      <c r="B2371" t="s">
        <v>135</v>
      </c>
      <c r="C2371" t="s">
        <v>136</v>
      </c>
      <c r="D2371" t="s">
        <v>113</v>
      </c>
      <c r="E2371" t="s">
        <v>53</v>
      </c>
      <c r="F2371" t="s">
        <v>114</v>
      </c>
      <c r="G2371">
        <v>119062</v>
      </c>
      <c r="H2371" s="75">
        <v>41295</v>
      </c>
      <c r="I2371" t="s">
        <v>115</v>
      </c>
      <c r="J2371">
        <v>5000</v>
      </c>
      <c r="K2371">
        <v>224.61799999999999</v>
      </c>
      <c r="L2371">
        <v>22.260100000000001</v>
      </c>
      <c r="M2371">
        <v>6688.9740000000002</v>
      </c>
      <c r="N2371" t="s">
        <v>15</v>
      </c>
    </row>
    <row r="2372" spans="1:14" x14ac:dyDescent="0.2">
      <c r="A2372" t="s">
        <v>18</v>
      </c>
      <c r="B2372" t="s">
        <v>135</v>
      </c>
      <c r="C2372" t="s">
        <v>136</v>
      </c>
      <c r="D2372" t="s">
        <v>113</v>
      </c>
      <c r="E2372" t="s">
        <v>53</v>
      </c>
      <c r="F2372" t="s">
        <v>114</v>
      </c>
      <c r="G2372">
        <v>119062</v>
      </c>
      <c r="H2372" s="75">
        <v>41325</v>
      </c>
      <c r="I2372" t="s">
        <v>115</v>
      </c>
      <c r="J2372">
        <v>5000</v>
      </c>
      <c r="K2372">
        <v>224.50700000000001</v>
      </c>
      <c r="L2372">
        <v>22.271100000000001</v>
      </c>
      <c r="M2372">
        <v>6913.4809999999998</v>
      </c>
      <c r="N2372" t="s">
        <v>15</v>
      </c>
    </row>
    <row r="2373" spans="1:14" x14ac:dyDescent="0.2">
      <c r="A2373" t="s">
        <v>18</v>
      </c>
      <c r="B2373" t="s">
        <v>135</v>
      </c>
      <c r="C2373" t="s">
        <v>136</v>
      </c>
      <c r="D2373" t="s">
        <v>113</v>
      </c>
      <c r="E2373" t="s">
        <v>53</v>
      </c>
      <c r="F2373" t="s">
        <v>114</v>
      </c>
      <c r="G2373">
        <v>119062</v>
      </c>
      <c r="H2373" s="75">
        <v>41325</v>
      </c>
      <c r="I2373" t="s">
        <v>116</v>
      </c>
      <c r="J2373">
        <v>2.5</v>
      </c>
      <c r="K2373">
        <v>0</v>
      </c>
      <c r="M2373">
        <v>6913.4809999999998</v>
      </c>
      <c r="N2373" t="s">
        <v>17</v>
      </c>
    </row>
    <row r="2374" spans="1:14" x14ac:dyDescent="0.2">
      <c r="A2374" t="s">
        <v>18</v>
      </c>
      <c r="B2374" t="s">
        <v>135</v>
      </c>
      <c r="C2374" t="s">
        <v>136</v>
      </c>
      <c r="D2374" t="s">
        <v>113</v>
      </c>
      <c r="E2374" t="s">
        <v>53</v>
      </c>
      <c r="F2374" t="s">
        <v>114</v>
      </c>
      <c r="G2374">
        <v>119062</v>
      </c>
      <c r="H2374" s="75">
        <v>41325</v>
      </c>
      <c r="I2374" t="s">
        <v>25</v>
      </c>
      <c r="J2374">
        <v>-30794.11</v>
      </c>
      <c r="K2374">
        <v>-1382.6959999999999</v>
      </c>
      <c r="L2374">
        <v>22.271100000000001</v>
      </c>
      <c r="M2374">
        <v>5530.7849999999999</v>
      </c>
      <c r="N2374" t="s">
        <v>16</v>
      </c>
    </row>
    <row r="2375" spans="1:14" x14ac:dyDescent="0.2">
      <c r="A2375" t="s">
        <v>18</v>
      </c>
      <c r="B2375" t="s">
        <v>135</v>
      </c>
      <c r="C2375" t="s">
        <v>136</v>
      </c>
      <c r="D2375" t="s">
        <v>113</v>
      </c>
      <c r="E2375" t="s">
        <v>53</v>
      </c>
      <c r="F2375" t="s">
        <v>114</v>
      </c>
      <c r="G2375">
        <v>119062</v>
      </c>
      <c r="H2375" s="75">
        <v>41355</v>
      </c>
      <c r="I2375" t="s">
        <v>115</v>
      </c>
      <c r="J2375">
        <v>5000</v>
      </c>
      <c r="K2375">
        <v>223.04300000000001</v>
      </c>
      <c r="L2375">
        <v>22.417200000000001</v>
      </c>
      <c r="M2375">
        <v>5753.8280000000004</v>
      </c>
      <c r="N2375" t="s">
        <v>15</v>
      </c>
    </row>
    <row r="2376" spans="1:14" x14ac:dyDescent="0.2">
      <c r="A2376" t="s">
        <v>18</v>
      </c>
      <c r="B2376" t="s">
        <v>135</v>
      </c>
      <c r="C2376" t="s">
        <v>136</v>
      </c>
      <c r="D2376" t="s">
        <v>113</v>
      </c>
      <c r="E2376" t="s">
        <v>53</v>
      </c>
      <c r="F2376" t="s">
        <v>114</v>
      </c>
      <c r="G2376">
        <v>119062</v>
      </c>
      <c r="H2376" s="75">
        <v>41355</v>
      </c>
      <c r="I2376" t="s">
        <v>25</v>
      </c>
      <c r="J2376">
        <v>-25796.93</v>
      </c>
      <c r="K2376">
        <v>-1150.7660000000001</v>
      </c>
      <c r="L2376">
        <v>22.417200000000001</v>
      </c>
      <c r="M2376">
        <v>4603.0619999999999</v>
      </c>
      <c r="N2376" t="s">
        <v>16</v>
      </c>
    </row>
    <row r="2377" spans="1:14" x14ac:dyDescent="0.2">
      <c r="A2377" t="s">
        <v>18</v>
      </c>
      <c r="B2377" t="s">
        <v>135</v>
      </c>
      <c r="C2377" t="s">
        <v>136</v>
      </c>
      <c r="D2377" t="s">
        <v>113</v>
      </c>
      <c r="E2377" t="s">
        <v>53</v>
      </c>
      <c r="F2377" t="s">
        <v>114</v>
      </c>
      <c r="G2377">
        <v>119062</v>
      </c>
      <c r="H2377" s="75">
        <v>41385</v>
      </c>
      <c r="I2377" t="s">
        <v>115</v>
      </c>
      <c r="J2377">
        <v>5000</v>
      </c>
      <c r="K2377">
        <v>226.93600000000001</v>
      </c>
      <c r="L2377">
        <v>22.032599999999999</v>
      </c>
      <c r="M2377">
        <v>4829.9979999999996</v>
      </c>
      <c r="N2377" t="s">
        <v>15</v>
      </c>
    </row>
    <row r="2378" spans="1:14" x14ac:dyDescent="0.2">
      <c r="A2378" t="s">
        <v>18</v>
      </c>
      <c r="B2378" t="s">
        <v>135</v>
      </c>
      <c r="C2378" t="s">
        <v>136</v>
      </c>
      <c r="D2378" t="s">
        <v>113</v>
      </c>
      <c r="E2378" t="s">
        <v>53</v>
      </c>
      <c r="F2378" t="s">
        <v>114</v>
      </c>
      <c r="G2378">
        <v>119062</v>
      </c>
      <c r="H2378" s="75">
        <v>41415</v>
      </c>
      <c r="I2378" t="s">
        <v>115</v>
      </c>
      <c r="J2378">
        <v>5000</v>
      </c>
      <c r="K2378">
        <v>229.255</v>
      </c>
      <c r="L2378">
        <v>21.809799999999999</v>
      </c>
      <c r="M2378">
        <v>5059.2529999999997</v>
      </c>
      <c r="N2378" t="s">
        <v>15</v>
      </c>
    </row>
    <row r="2379" spans="1:14" x14ac:dyDescent="0.2">
      <c r="A2379" t="s">
        <v>18</v>
      </c>
      <c r="B2379" t="s">
        <v>135</v>
      </c>
      <c r="C2379" t="s">
        <v>136</v>
      </c>
      <c r="D2379" t="s">
        <v>113</v>
      </c>
      <c r="E2379" t="s">
        <v>53</v>
      </c>
      <c r="F2379" t="s">
        <v>114</v>
      </c>
      <c r="G2379">
        <v>119062</v>
      </c>
      <c r="H2379" s="75">
        <v>41445</v>
      </c>
      <c r="I2379" t="s">
        <v>115</v>
      </c>
      <c r="J2379">
        <v>5000</v>
      </c>
      <c r="K2379">
        <v>223.72900000000001</v>
      </c>
      <c r="L2379">
        <v>22.348500000000001</v>
      </c>
      <c r="M2379">
        <v>5282.9830000000002</v>
      </c>
      <c r="N2379" t="s">
        <v>15</v>
      </c>
    </row>
    <row r="2380" spans="1:14" x14ac:dyDescent="0.2">
      <c r="A2380" t="s">
        <v>18</v>
      </c>
      <c r="B2380" t="s">
        <v>135</v>
      </c>
      <c r="C2380" t="s">
        <v>136</v>
      </c>
      <c r="D2380" t="s">
        <v>113</v>
      </c>
      <c r="E2380" t="s">
        <v>53</v>
      </c>
      <c r="F2380" t="s">
        <v>114</v>
      </c>
      <c r="G2380">
        <v>119062</v>
      </c>
      <c r="H2380" s="75">
        <v>41475</v>
      </c>
      <c r="I2380" t="s">
        <v>115</v>
      </c>
      <c r="J2380">
        <v>5000</v>
      </c>
      <c r="K2380">
        <v>218.80500000000001</v>
      </c>
      <c r="L2380">
        <v>22.851400000000002</v>
      </c>
      <c r="M2380">
        <v>5501.7879999999996</v>
      </c>
      <c r="N2380" t="s">
        <v>15</v>
      </c>
    </row>
    <row r="2381" spans="1:14" x14ac:dyDescent="0.2">
      <c r="A2381" t="s">
        <v>18</v>
      </c>
      <c r="B2381" t="s">
        <v>135</v>
      </c>
      <c r="C2381" t="s">
        <v>136</v>
      </c>
      <c r="D2381" t="s">
        <v>113</v>
      </c>
      <c r="E2381" t="s">
        <v>53</v>
      </c>
      <c r="F2381" t="s">
        <v>114</v>
      </c>
      <c r="G2381">
        <v>119062</v>
      </c>
      <c r="H2381" s="75">
        <v>41505</v>
      </c>
      <c r="I2381" t="s">
        <v>115</v>
      </c>
      <c r="J2381">
        <v>5000</v>
      </c>
      <c r="K2381">
        <v>217.297</v>
      </c>
      <c r="L2381">
        <v>23.01</v>
      </c>
      <c r="M2381">
        <v>5719.0839999999998</v>
      </c>
      <c r="N2381" t="s">
        <v>15</v>
      </c>
    </row>
    <row r="2382" spans="1:14" x14ac:dyDescent="0.2">
      <c r="A2382" t="s">
        <v>18</v>
      </c>
      <c r="B2382" t="s">
        <v>135</v>
      </c>
      <c r="C2382" t="s">
        <v>136</v>
      </c>
      <c r="D2382" t="s">
        <v>113</v>
      </c>
      <c r="E2382" t="s">
        <v>53</v>
      </c>
      <c r="F2382" t="s">
        <v>114</v>
      </c>
      <c r="G2382">
        <v>119062</v>
      </c>
      <c r="H2382" s="75">
        <v>41535</v>
      </c>
      <c r="I2382" t="s">
        <v>115</v>
      </c>
      <c r="J2382">
        <v>5000</v>
      </c>
      <c r="K2382">
        <v>213.18600000000001</v>
      </c>
      <c r="L2382">
        <v>23.453700000000001</v>
      </c>
      <c r="M2382">
        <v>5932.27</v>
      </c>
      <c r="N2382" t="s">
        <v>15</v>
      </c>
    </row>
    <row r="2383" spans="1:14" x14ac:dyDescent="0.2">
      <c r="A2383" t="s">
        <v>18</v>
      </c>
      <c r="B2383" t="s">
        <v>135</v>
      </c>
      <c r="C2383" t="s">
        <v>136</v>
      </c>
      <c r="D2383" t="s">
        <v>113</v>
      </c>
      <c r="E2383" t="s">
        <v>53</v>
      </c>
      <c r="F2383" t="s">
        <v>114</v>
      </c>
      <c r="G2383">
        <v>119062</v>
      </c>
      <c r="H2383" s="75">
        <v>41565</v>
      </c>
      <c r="I2383" t="s">
        <v>115</v>
      </c>
      <c r="J2383">
        <v>5000</v>
      </c>
      <c r="K2383">
        <v>213.57</v>
      </c>
      <c r="L2383">
        <v>23.4115</v>
      </c>
      <c r="M2383">
        <v>6145.8410000000003</v>
      </c>
      <c r="N2383" t="s">
        <v>15</v>
      </c>
    </row>
    <row r="2384" spans="1:14" x14ac:dyDescent="0.2">
      <c r="A2384" t="s">
        <v>18</v>
      </c>
      <c r="B2384" t="s">
        <v>135</v>
      </c>
      <c r="C2384" t="s">
        <v>136</v>
      </c>
      <c r="D2384" t="s">
        <v>113</v>
      </c>
      <c r="E2384" t="s">
        <v>53</v>
      </c>
      <c r="F2384" t="s">
        <v>114</v>
      </c>
      <c r="G2384">
        <v>119062</v>
      </c>
      <c r="H2384" s="75">
        <v>41595</v>
      </c>
      <c r="I2384" t="s">
        <v>115</v>
      </c>
      <c r="J2384">
        <v>5000</v>
      </c>
      <c r="K2384">
        <v>209.93299999999999</v>
      </c>
      <c r="L2384">
        <v>23.8171</v>
      </c>
      <c r="M2384">
        <v>6355.7740000000003</v>
      </c>
      <c r="N2384" t="s">
        <v>15</v>
      </c>
    </row>
    <row r="2385" spans="1:15" x14ac:dyDescent="0.2">
      <c r="A2385" t="s">
        <v>18</v>
      </c>
      <c r="B2385" t="s">
        <v>135</v>
      </c>
      <c r="C2385" t="s">
        <v>136</v>
      </c>
      <c r="D2385" t="s">
        <v>113</v>
      </c>
      <c r="E2385" t="s">
        <v>53</v>
      </c>
      <c r="F2385" t="s">
        <v>114</v>
      </c>
      <c r="G2385">
        <v>119062</v>
      </c>
      <c r="H2385" s="75">
        <v>41625</v>
      </c>
      <c r="I2385" t="s">
        <v>115</v>
      </c>
      <c r="J2385">
        <v>5000</v>
      </c>
      <c r="K2385">
        <v>206.29</v>
      </c>
      <c r="L2385">
        <v>24.2377</v>
      </c>
      <c r="M2385">
        <v>6562.0640000000003</v>
      </c>
      <c r="N2385" t="s">
        <v>15</v>
      </c>
    </row>
    <row r="2386" spans="1:15" x14ac:dyDescent="0.2">
      <c r="A2386" t="s">
        <v>18</v>
      </c>
      <c r="B2386" t="s">
        <v>135</v>
      </c>
      <c r="C2386" t="s">
        <v>136</v>
      </c>
      <c r="D2386" t="s">
        <v>113</v>
      </c>
      <c r="E2386" t="s">
        <v>53</v>
      </c>
      <c r="F2386" t="s">
        <v>114</v>
      </c>
      <c r="G2386">
        <v>119062</v>
      </c>
      <c r="H2386" s="75">
        <v>41655</v>
      </c>
      <c r="I2386" t="s">
        <v>115</v>
      </c>
      <c r="J2386">
        <v>5000</v>
      </c>
      <c r="K2386">
        <v>207.94499999999999</v>
      </c>
      <c r="L2386">
        <v>24.044799999999999</v>
      </c>
      <c r="M2386">
        <v>6770.009</v>
      </c>
      <c r="N2386" t="s">
        <v>15</v>
      </c>
    </row>
    <row r="2387" spans="1:15" x14ac:dyDescent="0.2">
      <c r="A2387" t="s">
        <v>18</v>
      </c>
      <c r="B2387" t="s">
        <v>135</v>
      </c>
      <c r="C2387" t="s">
        <v>136</v>
      </c>
      <c r="D2387" t="s">
        <v>113</v>
      </c>
      <c r="E2387" t="s">
        <v>53</v>
      </c>
      <c r="F2387" t="s">
        <v>114</v>
      </c>
      <c r="G2387">
        <v>119062</v>
      </c>
      <c r="H2387" s="75">
        <v>41655</v>
      </c>
      <c r="I2387" t="s">
        <v>116</v>
      </c>
      <c r="J2387">
        <v>2.5</v>
      </c>
      <c r="K2387">
        <v>0</v>
      </c>
      <c r="M2387">
        <v>6770.009</v>
      </c>
      <c r="N2387" t="s">
        <v>17</v>
      </c>
    </row>
    <row r="2388" spans="1:15" x14ac:dyDescent="0.2">
      <c r="A2388" t="s">
        <v>18</v>
      </c>
      <c r="B2388" t="s">
        <v>135</v>
      </c>
      <c r="C2388" t="s">
        <v>136</v>
      </c>
      <c r="D2388" t="s">
        <v>113</v>
      </c>
      <c r="E2388" t="s">
        <v>53</v>
      </c>
      <c r="F2388" t="s">
        <v>114</v>
      </c>
      <c r="G2388">
        <v>119062</v>
      </c>
      <c r="H2388" s="75">
        <v>41685</v>
      </c>
      <c r="I2388" t="s">
        <v>115</v>
      </c>
      <c r="J2388">
        <v>5000</v>
      </c>
      <c r="K2388">
        <v>205.685</v>
      </c>
      <c r="L2388">
        <v>24.309100000000001</v>
      </c>
      <c r="M2388">
        <v>6975.6940000000004</v>
      </c>
      <c r="N2388" t="s">
        <v>15</v>
      </c>
    </row>
    <row r="2389" spans="1:15" x14ac:dyDescent="0.2">
      <c r="A2389" t="s">
        <v>18</v>
      </c>
      <c r="B2389" t="s">
        <v>135</v>
      </c>
      <c r="C2389" t="s">
        <v>136</v>
      </c>
      <c r="D2389" t="s">
        <v>113</v>
      </c>
      <c r="E2389" t="s">
        <v>53</v>
      </c>
      <c r="F2389" t="s">
        <v>114</v>
      </c>
      <c r="G2389">
        <v>119062</v>
      </c>
      <c r="H2389" s="75">
        <v>41715</v>
      </c>
      <c r="I2389" t="s">
        <v>115</v>
      </c>
      <c r="J2389">
        <v>5000</v>
      </c>
      <c r="K2389">
        <v>203.922</v>
      </c>
      <c r="L2389">
        <v>24.519200000000001</v>
      </c>
      <c r="M2389">
        <v>7179.616</v>
      </c>
      <c r="N2389" t="s">
        <v>15</v>
      </c>
    </row>
    <row r="2390" spans="1:15" x14ac:dyDescent="0.2">
      <c r="A2390" t="s">
        <v>18</v>
      </c>
      <c r="B2390" t="s">
        <v>135</v>
      </c>
      <c r="C2390" t="s">
        <v>136</v>
      </c>
      <c r="D2390" t="s">
        <v>113</v>
      </c>
      <c r="E2390" t="s">
        <v>53</v>
      </c>
      <c r="F2390" t="s">
        <v>114</v>
      </c>
      <c r="G2390">
        <v>119062</v>
      </c>
      <c r="H2390" s="75">
        <v>41715</v>
      </c>
      <c r="I2390" t="s">
        <v>117</v>
      </c>
      <c r="J2390">
        <v>2.5</v>
      </c>
      <c r="K2390">
        <v>0</v>
      </c>
      <c r="M2390">
        <v>7179.616</v>
      </c>
      <c r="N2390" t="s">
        <v>46</v>
      </c>
    </row>
    <row r="2391" spans="1:15" x14ac:dyDescent="0.2">
      <c r="A2391" t="s">
        <v>18</v>
      </c>
      <c r="B2391" t="s">
        <v>135</v>
      </c>
      <c r="C2391" t="s">
        <v>136</v>
      </c>
      <c r="D2391" t="s">
        <v>113</v>
      </c>
      <c r="E2391" t="s">
        <v>53</v>
      </c>
      <c r="F2391" t="s">
        <v>114</v>
      </c>
      <c r="G2391">
        <v>119062</v>
      </c>
      <c r="H2391" s="75">
        <v>41745</v>
      </c>
      <c r="I2391" t="s">
        <v>115</v>
      </c>
      <c r="J2391">
        <v>5000</v>
      </c>
      <c r="K2391">
        <v>206.69399999999999</v>
      </c>
      <c r="L2391">
        <v>24.1904</v>
      </c>
      <c r="M2391">
        <v>7386.31</v>
      </c>
      <c r="N2391" t="s">
        <v>15</v>
      </c>
    </row>
    <row r="2392" spans="1:15" x14ac:dyDescent="0.2">
      <c r="A2392" t="s">
        <v>18</v>
      </c>
      <c r="B2392" t="s">
        <v>135</v>
      </c>
      <c r="C2392" t="s">
        <v>136</v>
      </c>
      <c r="D2392" t="s">
        <v>113</v>
      </c>
      <c r="E2392" t="s">
        <v>53</v>
      </c>
      <c r="F2392" t="s">
        <v>114</v>
      </c>
      <c r="G2392">
        <v>119062</v>
      </c>
      <c r="H2392" s="75">
        <v>41775</v>
      </c>
      <c r="I2392" t="s">
        <v>115</v>
      </c>
      <c r="J2392">
        <v>5000</v>
      </c>
      <c r="K2392">
        <v>205.21700000000001</v>
      </c>
      <c r="L2392">
        <v>24.3645</v>
      </c>
      <c r="M2392">
        <v>7591.527</v>
      </c>
      <c r="N2392" t="s">
        <v>15</v>
      </c>
    </row>
    <row r="2393" spans="1:15" x14ac:dyDescent="0.2">
      <c r="A2393" t="s">
        <v>18</v>
      </c>
      <c r="B2393" t="s">
        <v>135</v>
      </c>
      <c r="C2393" t="s">
        <v>136</v>
      </c>
      <c r="D2393" t="s">
        <v>113</v>
      </c>
      <c r="E2393" t="s">
        <v>53</v>
      </c>
      <c r="F2393" t="s">
        <v>114</v>
      </c>
      <c r="G2393">
        <v>119062</v>
      </c>
      <c r="H2393" s="75">
        <v>41805</v>
      </c>
      <c r="I2393" t="s">
        <v>115</v>
      </c>
      <c r="J2393">
        <v>5000</v>
      </c>
      <c r="K2393">
        <v>202.37799999999999</v>
      </c>
      <c r="L2393">
        <v>24.706199999999999</v>
      </c>
      <c r="M2393">
        <v>7793.9049999999997</v>
      </c>
      <c r="N2393" t="s">
        <v>15</v>
      </c>
    </row>
    <row r="2394" spans="1:15" x14ac:dyDescent="0.2">
      <c r="A2394" t="s">
        <v>18</v>
      </c>
      <c r="B2394" t="s">
        <v>135</v>
      </c>
      <c r="C2394" t="s">
        <v>136</v>
      </c>
      <c r="D2394" t="s">
        <v>113</v>
      </c>
      <c r="E2394" t="s">
        <v>53</v>
      </c>
      <c r="F2394" t="s">
        <v>114</v>
      </c>
      <c r="G2394">
        <v>119062</v>
      </c>
      <c r="H2394" s="75">
        <v>41835</v>
      </c>
      <c r="I2394" t="s">
        <v>115</v>
      </c>
      <c r="J2394">
        <v>5000</v>
      </c>
      <c r="K2394">
        <v>197.83799999999999</v>
      </c>
      <c r="L2394">
        <v>25.273199999999999</v>
      </c>
      <c r="M2394">
        <v>7991.7430000000004</v>
      </c>
      <c r="N2394" t="s">
        <v>15</v>
      </c>
    </row>
    <row r="2395" spans="1:15" x14ac:dyDescent="0.2">
      <c r="A2395" t="s">
        <v>18</v>
      </c>
      <c r="B2395" t="s">
        <v>135</v>
      </c>
      <c r="C2395" t="s">
        <v>136</v>
      </c>
      <c r="D2395" t="s">
        <v>113</v>
      </c>
      <c r="E2395" t="s">
        <v>53</v>
      </c>
      <c r="F2395" t="s">
        <v>114</v>
      </c>
      <c r="G2395">
        <v>119062</v>
      </c>
      <c r="H2395" s="75">
        <v>41835</v>
      </c>
      <c r="I2395" t="s">
        <v>118</v>
      </c>
      <c r="J2395">
        <v>3995.87</v>
      </c>
      <c r="K2395">
        <v>0</v>
      </c>
      <c r="M2395">
        <v>7991.7430000000004</v>
      </c>
      <c r="N2395" t="s">
        <v>19</v>
      </c>
      <c r="O2395">
        <v>3995.87</v>
      </c>
    </row>
    <row r="2396" spans="1:15" x14ac:dyDescent="0.2">
      <c r="A2396" t="s">
        <v>18</v>
      </c>
      <c r="B2396" t="s">
        <v>135</v>
      </c>
      <c r="C2396" t="s">
        <v>136</v>
      </c>
      <c r="D2396" t="s">
        <v>113</v>
      </c>
      <c r="E2396" t="s">
        <v>53</v>
      </c>
      <c r="F2396" t="s">
        <v>114</v>
      </c>
      <c r="G2396">
        <v>119062</v>
      </c>
      <c r="H2396" s="75">
        <v>41865</v>
      </c>
      <c r="I2396" t="s">
        <v>115</v>
      </c>
      <c r="J2396">
        <v>5000</v>
      </c>
      <c r="K2396">
        <v>199.71899999999999</v>
      </c>
      <c r="L2396">
        <v>25.0352</v>
      </c>
      <c r="M2396">
        <v>8191.4610000000002</v>
      </c>
      <c r="N2396" t="s">
        <v>15</v>
      </c>
    </row>
    <row r="2397" spans="1:15" x14ac:dyDescent="0.2">
      <c r="A2397" t="s">
        <v>18</v>
      </c>
      <c r="B2397" t="s">
        <v>135</v>
      </c>
      <c r="C2397" t="s">
        <v>136</v>
      </c>
      <c r="D2397" t="s">
        <v>113</v>
      </c>
      <c r="E2397" t="s">
        <v>53</v>
      </c>
      <c r="F2397" t="s">
        <v>114</v>
      </c>
      <c r="G2397">
        <v>119062</v>
      </c>
      <c r="H2397" s="75">
        <v>41895</v>
      </c>
      <c r="I2397" t="s">
        <v>115</v>
      </c>
      <c r="J2397">
        <v>5000</v>
      </c>
      <c r="K2397">
        <v>198.762</v>
      </c>
      <c r="L2397">
        <v>25.1557</v>
      </c>
      <c r="M2397">
        <v>8390.2240000000002</v>
      </c>
      <c r="N2397" t="s">
        <v>15</v>
      </c>
    </row>
    <row r="2398" spans="1:15" x14ac:dyDescent="0.2">
      <c r="A2398" t="s">
        <v>18</v>
      </c>
      <c r="B2398" t="s">
        <v>135</v>
      </c>
      <c r="C2398" t="s">
        <v>136</v>
      </c>
      <c r="D2398" t="s">
        <v>113</v>
      </c>
      <c r="E2398" t="s">
        <v>53</v>
      </c>
      <c r="F2398" t="s">
        <v>114</v>
      </c>
      <c r="G2398">
        <v>119062</v>
      </c>
      <c r="H2398" s="75">
        <v>41925</v>
      </c>
      <c r="I2398" t="s">
        <v>115</v>
      </c>
      <c r="J2398">
        <v>5000</v>
      </c>
      <c r="K2398">
        <v>193.05199999999999</v>
      </c>
      <c r="L2398">
        <v>25.899799999999999</v>
      </c>
      <c r="M2398">
        <v>8583.2759999999998</v>
      </c>
      <c r="N2398" t="s">
        <v>15</v>
      </c>
    </row>
    <row r="2399" spans="1:15" x14ac:dyDescent="0.2">
      <c r="A2399" t="s">
        <v>18</v>
      </c>
      <c r="B2399" t="s">
        <v>135</v>
      </c>
      <c r="C2399" t="s">
        <v>136</v>
      </c>
      <c r="D2399" t="s">
        <v>113</v>
      </c>
      <c r="E2399" t="s">
        <v>53</v>
      </c>
      <c r="F2399" t="s">
        <v>114</v>
      </c>
      <c r="G2399">
        <v>119062</v>
      </c>
      <c r="H2399" s="75">
        <v>41955</v>
      </c>
      <c r="I2399" t="s">
        <v>115</v>
      </c>
      <c r="J2399">
        <v>5000</v>
      </c>
      <c r="K2399">
        <v>195.322</v>
      </c>
      <c r="L2399">
        <v>25.598800000000001</v>
      </c>
      <c r="M2399">
        <v>8778.5969999999998</v>
      </c>
      <c r="N2399" t="s">
        <v>15</v>
      </c>
    </row>
    <row r="2400" spans="1:15" x14ac:dyDescent="0.2">
      <c r="A2400" t="s">
        <v>18</v>
      </c>
      <c r="B2400" t="s">
        <v>135</v>
      </c>
      <c r="C2400" t="s">
        <v>136</v>
      </c>
      <c r="D2400" t="s">
        <v>113</v>
      </c>
      <c r="E2400" t="s">
        <v>53</v>
      </c>
      <c r="F2400" t="s">
        <v>114</v>
      </c>
      <c r="G2400">
        <v>119062</v>
      </c>
      <c r="H2400" s="75">
        <v>41985</v>
      </c>
      <c r="I2400" t="s">
        <v>115</v>
      </c>
      <c r="J2400">
        <v>5000</v>
      </c>
      <c r="K2400">
        <v>196.94200000000001</v>
      </c>
      <c r="L2400">
        <v>25.388200000000001</v>
      </c>
      <c r="M2400">
        <v>8975.5390000000007</v>
      </c>
      <c r="N2400" t="s">
        <v>15</v>
      </c>
    </row>
    <row r="2401" spans="1:14" x14ac:dyDescent="0.2">
      <c r="A2401" t="s">
        <v>18</v>
      </c>
      <c r="B2401" t="s">
        <v>135</v>
      </c>
      <c r="C2401" t="s">
        <v>136</v>
      </c>
      <c r="D2401" t="s">
        <v>113</v>
      </c>
      <c r="E2401" t="s">
        <v>53</v>
      </c>
      <c r="F2401" t="s">
        <v>114</v>
      </c>
      <c r="G2401">
        <v>119062</v>
      </c>
      <c r="H2401" s="75">
        <v>42015</v>
      </c>
      <c r="I2401" t="s">
        <v>115</v>
      </c>
      <c r="J2401">
        <v>5000</v>
      </c>
      <c r="K2401">
        <v>191.86199999999999</v>
      </c>
      <c r="L2401">
        <v>26.060300000000002</v>
      </c>
      <c r="M2401">
        <v>9167.402</v>
      </c>
      <c r="N2401" t="s">
        <v>15</v>
      </c>
    </row>
    <row r="2402" spans="1:14" x14ac:dyDescent="0.2">
      <c r="A2402" t="s">
        <v>18</v>
      </c>
      <c r="B2402" t="s">
        <v>135</v>
      </c>
      <c r="C2402" t="s">
        <v>136</v>
      </c>
      <c r="D2402" t="s">
        <v>113</v>
      </c>
      <c r="E2402" t="s">
        <v>53</v>
      </c>
      <c r="F2402" t="s">
        <v>114</v>
      </c>
      <c r="G2402">
        <v>119062</v>
      </c>
      <c r="H2402" s="75">
        <v>42045</v>
      </c>
      <c r="I2402" t="s">
        <v>115</v>
      </c>
      <c r="J2402">
        <v>5000</v>
      </c>
      <c r="K2402">
        <v>191.98</v>
      </c>
      <c r="L2402">
        <v>26.0444</v>
      </c>
      <c r="M2402">
        <v>9359.3819999999996</v>
      </c>
      <c r="N2402" t="s">
        <v>15</v>
      </c>
    </row>
    <row r="2403" spans="1:14" x14ac:dyDescent="0.2">
      <c r="A2403" t="s">
        <v>18</v>
      </c>
      <c r="B2403" t="s">
        <v>135</v>
      </c>
      <c r="C2403" t="s">
        <v>136</v>
      </c>
      <c r="D2403" t="s">
        <v>113</v>
      </c>
      <c r="E2403" t="s">
        <v>53</v>
      </c>
      <c r="F2403" t="s">
        <v>114</v>
      </c>
      <c r="G2403">
        <v>119062</v>
      </c>
      <c r="H2403" s="75">
        <v>42075</v>
      </c>
      <c r="I2403" t="s">
        <v>115</v>
      </c>
      <c r="J2403">
        <v>5000</v>
      </c>
      <c r="K2403">
        <v>187.01400000000001</v>
      </c>
      <c r="L2403">
        <v>26.736000000000001</v>
      </c>
      <c r="M2403">
        <v>9546.3950000000004</v>
      </c>
      <c r="N2403" t="s">
        <v>15</v>
      </c>
    </row>
    <row r="2404" spans="1:14" x14ac:dyDescent="0.2">
      <c r="A2404" t="s">
        <v>18</v>
      </c>
      <c r="B2404" t="s">
        <v>135</v>
      </c>
      <c r="C2404" t="s">
        <v>136</v>
      </c>
      <c r="D2404" t="s">
        <v>113</v>
      </c>
      <c r="E2404" t="s">
        <v>53</v>
      </c>
      <c r="F2404" t="s">
        <v>114</v>
      </c>
      <c r="G2404">
        <v>119062</v>
      </c>
      <c r="H2404" s="75">
        <v>42105</v>
      </c>
      <c r="I2404" t="s">
        <v>115</v>
      </c>
      <c r="J2404">
        <v>5000</v>
      </c>
      <c r="K2404">
        <v>189.30099999999999</v>
      </c>
      <c r="L2404">
        <v>26.4129</v>
      </c>
      <c r="M2404">
        <v>9735.6959999999999</v>
      </c>
      <c r="N2404" t="s">
        <v>15</v>
      </c>
    </row>
    <row r="2405" spans="1:14" x14ac:dyDescent="0.2">
      <c r="A2405" t="s">
        <v>18</v>
      </c>
      <c r="B2405" t="s">
        <v>135</v>
      </c>
      <c r="C2405" t="s">
        <v>136</v>
      </c>
      <c r="D2405" t="s">
        <v>113</v>
      </c>
      <c r="E2405" t="s">
        <v>53</v>
      </c>
      <c r="F2405" t="s">
        <v>114</v>
      </c>
      <c r="G2405">
        <v>119062</v>
      </c>
      <c r="H2405" s="75">
        <v>42135</v>
      </c>
      <c r="I2405" t="s">
        <v>115</v>
      </c>
      <c r="J2405">
        <v>5000</v>
      </c>
      <c r="K2405">
        <v>187.10400000000001</v>
      </c>
      <c r="L2405">
        <v>26.723199999999999</v>
      </c>
      <c r="M2405">
        <v>9922.7999999999993</v>
      </c>
      <c r="N2405" t="s">
        <v>15</v>
      </c>
    </row>
    <row r="2406" spans="1:14" x14ac:dyDescent="0.2">
      <c r="A2406" t="s">
        <v>18</v>
      </c>
      <c r="B2406" t="s">
        <v>135</v>
      </c>
      <c r="C2406" t="s">
        <v>136</v>
      </c>
      <c r="D2406" t="s">
        <v>113</v>
      </c>
      <c r="E2406" t="s">
        <v>53</v>
      </c>
      <c r="F2406" t="s">
        <v>114</v>
      </c>
      <c r="G2406">
        <v>119062</v>
      </c>
      <c r="H2406" s="75">
        <v>42135</v>
      </c>
      <c r="I2406" t="s">
        <v>117</v>
      </c>
      <c r="J2406">
        <v>2.5</v>
      </c>
      <c r="K2406">
        <v>0</v>
      </c>
      <c r="M2406">
        <v>9922.7999999999993</v>
      </c>
      <c r="N2406" t="s">
        <v>46</v>
      </c>
    </row>
    <row r="2407" spans="1:14" x14ac:dyDescent="0.2">
      <c r="A2407" t="s">
        <v>18</v>
      </c>
      <c r="B2407" t="s">
        <v>135</v>
      </c>
      <c r="C2407" t="s">
        <v>136</v>
      </c>
      <c r="D2407" t="s">
        <v>113</v>
      </c>
      <c r="E2407" t="s">
        <v>53</v>
      </c>
      <c r="F2407" t="s">
        <v>114</v>
      </c>
      <c r="G2407">
        <v>119062</v>
      </c>
      <c r="H2407" s="75">
        <v>42165</v>
      </c>
      <c r="I2407" t="s">
        <v>115</v>
      </c>
      <c r="J2407">
        <v>5000</v>
      </c>
      <c r="K2407">
        <v>186.49100000000001</v>
      </c>
      <c r="L2407">
        <v>26.8109</v>
      </c>
      <c r="M2407">
        <v>10109.290999999999</v>
      </c>
      <c r="N2407" t="s">
        <v>15</v>
      </c>
    </row>
    <row r="2408" spans="1:14" x14ac:dyDescent="0.2">
      <c r="A2408" t="s">
        <v>18</v>
      </c>
      <c r="B2408" t="s">
        <v>135</v>
      </c>
      <c r="C2408" t="s">
        <v>136</v>
      </c>
      <c r="D2408" t="s">
        <v>113</v>
      </c>
      <c r="E2408" t="s">
        <v>53</v>
      </c>
      <c r="F2408" t="s">
        <v>114</v>
      </c>
      <c r="G2408">
        <v>119062</v>
      </c>
      <c r="H2408" s="75">
        <v>42195</v>
      </c>
      <c r="I2408" t="s">
        <v>115</v>
      </c>
      <c r="J2408">
        <v>5000</v>
      </c>
      <c r="K2408">
        <v>185.29400000000001</v>
      </c>
      <c r="L2408">
        <v>26.984100000000002</v>
      </c>
      <c r="M2408">
        <v>10294.585999999999</v>
      </c>
      <c r="N2408" t="s">
        <v>15</v>
      </c>
    </row>
    <row r="2409" spans="1:14" x14ac:dyDescent="0.2">
      <c r="A2409" t="s">
        <v>18</v>
      </c>
      <c r="B2409" t="s">
        <v>135</v>
      </c>
      <c r="C2409" t="s">
        <v>136</v>
      </c>
      <c r="D2409" t="s">
        <v>113</v>
      </c>
      <c r="E2409" t="s">
        <v>53</v>
      </c>
      <c r="F2409" t="s">
        <v>114</v>
      </c>
      <c r="G2409">
        <v>119062</v>
      </c>
      <c r="H2409" s="75">
        <v>42225</v>
      </c>
      <c r="I2409" t="s">
        <v>115</v>
      </c>
      <c r="J2409">
        <v>5000</v>
      </c>
      <c r="K2409">
        <v>182.828</v>
      </c>
      <c r="L2409">
        <v>27.348199999999999</v>
      </c>
      <c r="M2409">
        <v>10477.413</v>
      </c>
      <c r="N2409" t="s">
        <v>15</v>
      </c>
    </row>
    <row r="2410" spans="1:14" x14ac:dyDescent="0.2">
      <c r="A2410" t="s">
        <v>18</v>
      </c>
      <c r="B2410" t="s">
        <v>135</v>
      </c>
      <c r="C2410" t="s">
        <v>136</v>
      </c>
      <c r="D2410" t="s">
        <v>113</v>
      </c>
      <c r="E2410" t="s">
        <v>53</v>
      </c>
      <c r="F2410" t="s">
        <v>114</v>
      </c>
      <c r="G2410">
        <v>119062</v>
      </c>
      <c r="H2410" s="75">
        <v>42255</v>
      </c>
      <c r="I2410" t="s">
        <v>115</v>
      </c>
      <c r="J2410">
        <v>5000</v>
      </c>
      <c r="K2410">
        <v>181.61199999999999</v>
      </c>
      <c r="L2410">
        <v>27.531099999999999</v>
      </c>
      <c r="M2410">
        <v>10659.026</v>
      </c>
      <c r="N2410" t="s">
        <v>15</v>
      </c>
    </row>
    <row r="2411" spans="1:14" x14ac:dyDescent="0.2">
      <c r="A2411" t="s">
        <v>18</v>
      </c>
      <c r="B2411" t="s">
        <v>135</v>
      </c>
      <c r="C2411" t="s">
        <v>136</v>
      </c>
      <c r="D2411" t="s">
        <v>113</v>
      </c>
      <c r="E2411" t="s">
        <v>53</v>
      </c>
      <c r="F2411" t="s">
        <v>114</v>
      </c>
      <c r="G2411">
        <v>119062</v>
      </c>
      <c r="H2411" s="75">
        <v>42255</v>
      </c>
      <c r="I2411" t="s">
        <v>117</v>
      </c>
      <c r="J2411">
        <v>2.5</v>
      </c>
      <c r="K2411">
        <v>0</v>
      </c>
      <c r="M2411">
        <v>10659.026</v>
      </c>
      <c r="N2411" t="s">
        <v>46</v>
      </c>
    </row>
    <row r="2412" spans="1:14" x14ac:dyDescent="0.2">
      <c r="A2412" t="s">
        <v>18</v>
      </c>
      <c r="B2412" t="s">
        <v>135</v>
      </c>
      <c r="C2412" t="s">
        <v>136</v>
      </c>
      <c r="D2412" t="s">
        <v>113</v>
      </c>
      <c r="E2412" t="s">
        <v>53</v>
      </c>
      <c r="F2412" t="s">
        <v>114</v>
      </c>
      <c r="G2412">
        <v>119062</v>
      </c>
      <c r="H2412" s="75">
        <v>42285</v>
      </c>
      <c r="I2412" t="s">
        <v>115</v>
      </c>
      <c r="J2412">
        <v>5000</v>
      </c>
      <c r="K2412">
        <v>178.15299999999999</v>
      </c>
      <c r="L2412">
        <v>28.065799999999999</v>
      </c>
      <c r="M2412">
        <v>10837.178</v>
      </c>
      <c r="N2412" t="s">
        <v>15</v>
      </c>
    </row>
    <row r="2413" spans="1:14" x14ac:dyDescent="0.2">
      <c r="A2413" t="s">
        <v>18</v>
      </c>
      <c r="B2413" t="s">
        <v>135</v>
      </c>
      <c r="C2413" t="s">
        <v>136</v>
      </c>
      <c r="D2413" t="s">
        <v>113</v>
      </c>
      <c r="E2413" t="s">
        <v>53</v>
      </c>
      <c r="F2413" t="s">
        <v>114</v>
      </c>
      <c r="G2413">
        <v>119062</v>
      </c>
      <c r="H2413" s="75">
        <v>42315</v>
      </c>
      <c r="I2413" t="s">
        <v>115</v>
      </c>
      <c r="J2413">
        <v>5000</v>
      </c>
      <c r="K2413">
        <v>181.137</v>
      </c>
      <c r="L2413">
        <v>27.6035</v>
      </c>
      <c r="M2413">
        <v>11018.315000000001</v>
      </c>
      <c r="N2413" t="s">
        <v>15</v>
      </c>
    </row>
    <row r="2414" spans="1:14" x14ac:dyDescent="0.2">
      <c r="A2414" t="s">
        <v>18</v>
      </c>
      <c r="B2414" t="s">
        <v>135</v>
      </c>
      <c r="C2414" t="s">
        <v>136</v>
      </c>
      <c r="D2414" t="s">
        <v>113</v>
      </c>
      <c r="E2414" t="s">
        <v>53</v>
      </c>
      <c r="F2414" t="s">
        <v>114</v>
      </c>
      <c r="G2414">
        <v>119062</v>
      </c>
      <c r="H2414" s="75">
        <v>42345</v>
      </c>
      <c r="I2414" t="s">
        <v>115</v>
      </c>
      <c r="J2414">
        <v>5000</v>
      </c>
      <c r="K2414">
        <v>177.541</v>
      </c>
      <c r="L2414">
        <v>28.162400000000002</v>
      </c>
      <c r="M2414">
        <v>11195.857</v>
      </c>
      <c r="N2414" t="s">
        <v>15</v>
      </c>
    </row>
    <row r="2415" spans="1:14" x14ac:dyDescent="0.2">
      <c r="A2415" t="s">
        <v>18</v>
      </c>
      <c r="B2415" t="s">
        <v>135</v>
      </c>
      <c r="C2415" t="s">
        <v>136</v>
      </c>
      <c r="D2415" t="s">
        <v>113</v>
      </c>
      <c r="E2415" t="s">
        <v>53</v>
      </c>
      <c r="F2415" t="s">
        <v>114</v>
      </c>
      <c r="G2415">
        <v>119062</v>
      </c>
      <c r="H2415" s="75">
        <v>42375</v>
      </c>
      <c r="I2415" t="s">
        <v>115</v>
      </c>
      <c r="J2415">
        <v>5000</v>
      </c>
      <c r="K2415">
        <v>176.06800000000001</v>
      </c>
      <c r="L2415">
        <v>28.398099999999999</v>
      </c>
      <c r="M2415">
        <v>11371.924999999999</v>
      </c>
      <c r="N2415" t="s">
        <v>15</v>
      </c>
    </row>
    <row r="2416" spans="1:14" x14ac:dyDescent="0.2">
      <c r="A2416" t="s">
        <v>18</v>
      </c>
      <c r="B2416" t="s">
        <v>135</v>
      </c>
      <c r="C2416" t="s">
        <v>136</v>
      </c>
      <c r="D2416" t="s">
        <v>113</v>
      </c>
      <c r="E2416" t="s">
        <v>53</v>
      </c>
      <c r="F2416" t="s">
        <v>114</v>
      </c>
      <c r="G2416">
        <v>119062</v>
      </c>
      <c r="H2416" s="75">
        <v>42405</v>
      </c>
      <c r="I2416" t="s">
        <v>115</v>
      </c>
      <c r="J2416">
        <v>5000</v>
      </c>
      <c r="K2416">
        <v>179.54599999999999</v>
      </c>
      <c r="L2416">
        <v>27.847999999999999</v>
      </c>
      <c r="M2416">
        <v>11551.471</v>
      </c>
      <c r="N2416" t="s">
        <v>15</v>
      </c>
    </row>
    <row r="2417" spans="1:15" x14ac:dyDescent="0.2">
      <c r="A2417" t="s">
        <v>18</v>
      </c>
      <c r="B2417" t="s">
        <v>135</v>
      </c>
      <c r="C2417" t="s">
        <v>136</v>
      </c>
      <c r="D2417" t="s">
        <v>113</v>
      </c>
      <c r="E2417" t="s">
        <v>53</v>
      </c>
      <c r="F2417" t="s">
        <v>114</v>
      </c>
      <c r="G2417">
        <v>119062</v>
      </c>
      <c r="H2417" s="75">
        <v>42435</v>
      </c>
      <c r="I2417" t="s">
        <v>115</v>
      </c>
      <c r="J2417">
        <v>5000</v>
      </c>
      <c r="K2417">
        <v>177.232</v>
      </c>
      <c r="L2417">
        <v>28.211600000000001</v>
      </c>
      <c r="M2417">
        <v>11728.703</v>
      </c>
      <c r="N2417" t="s">
        <v>15</v>
      </c>
    </row>
    <row r="2418" spans="1:15" x14ac:dyDescent="0.2">
      <c r="A2418" t="s">
        <v>18</v>
      </c>
      <c r="B2418" t="s">
        <v>135</v>
      </c>
      <c r="C2418" t="s">
        <v>136</v>
      </c>
      <c r="D2418" t="s">
        <v>113</v>
      </c>
      <c r="E2418" t="s">
        <v>53</v>
      </c>
      <c r="F2418" t="s">
        <v>114</v>
      </c>
      <c r="G2418">
        <v>119062</v>
      </c>
      <c r="H2418" s="75">
        <v>42465</v>
      </c>
      <c r="I2418" t="s">
        <v>115</v>
      </c>
      <c r="J2418">
        <v>5000</v>
      </c>
      <c r="K2418">
        <v>177.87799999999999</v>
      </c>
      <c r="L2418">
        <v>28.109200000000001</v>
      </c>
      <c r="M2418">
        <v>11906.581</v>
      </c>
      <c r="N2418" t="s">
        <v>15</v>
      </c>
    </row>
    <row r="2419" spans="1:15" x14ac:dyDescent="0.2">
      <c r="A2419" t="s">
        <v>18</v>
      </c>
      <c r="B2419" t="s">
        <v>135</v>
      </c>
      <c r="C2419" t="s">
        <v>136</v>
      </c>
      <c r="D2419" t="s">
        <v>113</v>
      </c>
      <c r="E2419" t="s">
        <v>53</v>
      </c>
      <c r="F2419" t="s">
        <v>114</v>
      </c>
      <c r="G2419">
        <v>119062</v>
      </c>
      <c r="H2419" s="75">
        <v>42465</v>
      </c>
      <c r="I2419" t="s">
        <v>116</v>
      </c>
      <c r="J2419">
        <v>2.5</v>
      </c>
      <c r="K2419">
        <v>0</v>
      </c>
      <c r="M2419">
        <v>11906.581</v>
      </c>
      <c r="N2419" t="s">
        <v>17</v>
      </c>
    </row>
    <row r="2420" spans="1:15" x14ac:dyDescent="0.2">
      <c r="A2420" t="s">
        <v>18</v>
      </c>
      <c r="B2420" t="s">
        <v>135</v>
      </c>
      <c r="C2420" t="s">
        <v>136</v>
      </c>
      <c r="D2420" t="s">
        <v>113</v>
      </c>
      <c r="E2420" t="s">
        <v>53</v>
      </c>
      <c r="F2420" t="s">
        <v>114</v>
      </c>
      <c r="G2420">
        <v>119062</v>
      </c>
      <c r="H2420" s="75">
        <v>42495</v>
      </c>
      <c r="I2420" t="s">
        <v>115</v>
      </c>
      <c r="J2420">
        <v>5000</v>
      </c>
      <c r="K2420">
        <v>178.75200000000001</v>
      </c>
      <c r="L2420">
        <v>27.971599999999999</v>
      </c>
      <c r="M2420">
        <v>12085.334000000001</v>
      </c>
      <c r="N2420" t="s">
        <v>15</v>
      </c>
    </row>
    <row r="2421" spans="1:15" x14ac:dyDescent="0.2">
      <c r="A2421" t="s">
        <v>18</v>
      </c>
      <c r="B2421" t="s">
        <v>135</v>
      </c>
      <c r="C2421" t="s">
        <v>136</v>
      </c>
      <c r="D2421" t="s">
        <v>113</v>
      </c>
      <c r="E2421" t="s">
        <v>53</v>
      </c>
      <c r="F2421" t="s">
        <v>114</v>
      </c>
      <c r="G2421">
        <v>119062</v>
      </c>
      <c r="H2421" s="75">
        <v>42525</v>
      </c>
      <c r="I2421" t="s">
        <v>115</v>
      </c>
      <c r="J2421">
        <v>5000</v>
      </c>
      <c r="K2421">
        <v>179.80500000000001</v>
      </c>
      <c r="L2421">
        <v>27.8079</v>
      </c>
      <c r="M2421">
        <v>12265.138000000001</v>
      </c>
      <c r="N2421" t="s">
        <v>15</v>
      </c>
    </row>
    <row r="2422" spans="1:15" x14ac:dyDescent="0.2">
      <c r="A2422" t="s">
        <v>18</v>
      </c>
      <c r="B2422" t="s">
        <v>135</v>
      </c>
      <c r="C2422" t="s">
        <v>136</v>
      </c>
      <c r="D2422" t="s">
        <v>113</v>
      </c>
      <c r="E2422" t="s">
        <v>53</v>
      </c>
      <c r="F2422" t="s">
        <v>114</v>
      </c>
      <c r="G2422">
        <v>119062</v>
      </c>
      <c r="H2422" s="75">
        <v>42525</v>
      </c>
      <c r="I2422" t="s">
        <v>118</v>
      </c>
      <c r="J2422">
        <v>6132.57</v>
      </c>
      <c r="K2422">
        <v>0</v>
      </c>
      <c r="M2422">
        <v>12265.138000000001</v>
      </c>
      <c r="N2422" t="s">
        <v>19</v>
      </c>
      <c r="O2422">
        <v>6132.57</v>
      </c>
    </row>
    <row r="2423" spans="1:15" x14ac:dyDescent="0.2">
      <c r="A2423" t="s">
        <v>18</v>
      </c>
      <c r="B2423" t="s">
        <v>135</v>
      </c>
      <c r="C2423" t="s">
        <v>136</v>
      </c>
      <c r="D2423" t="s">
        <v>113</v>
      </c>
      <c r="E2423" t="s">
        <v>53</v>
      </c>
      <c r="F2423" t="s">
        <v>114</v>
      </c>
      <c r="G2423">
        <v>119062</v>
      </c>
      <c r="H2423" s="75">
        <v>42555</v>
      </c>
      <c r="I2423" t="s">
        <v>115</v>
      </c>
      <c r="J2423">
        <v>5000</v>
      </c>
      <c r="K2423">
        <v>183.37799999999999</v>
      </c>
      <c r="L2423">
        <v>27.266100000000002</v>
      </c>
      <c r="M2423">
        <v>12448.516</v>
      </c>
      <c r="N2423" t="s">
        <v>15</v>
      </c>
    </row>
    <row r="2424" spans="1:15" x14ac:dyDescent="0.2">
      <c r="A2424" t="s">
        <v>18</v>
      </c>
      <c r="B2424" t="s">
        <v>135</v>
      </c>
      <c r="C2424" t="s">
        <v>136</v>
      </c>
      <c r="D2424" t="s">
        <v>113</v>
      </c>
      <c r="E2424" t="s">
        <v>53</v>
      </c>
      <c r="F2424" t="s">
        <v>114</v>
      </c>
      <c r="G2424">
        <v>119062</v>
      </c>
      <c r="H2424" s="75">
        <v>42555</v>
      </c>
      <c r="I2424" t="s">
        <v>25</v>
      </c>
      <c r="J2424">
        <v>-67884.570000000007</v>
      </c>
      <c r="K2424">
        <v>-2489.703</v>
      </c>
      <c r="L2424">
        <v>27.266100000000002</v>
      </c>
      <c r="M2424">
        <v>9958.8130000000001</v>
      </c>
      <c r="N2424" t="s">
        <v>16</v>
      </c>
    </row>
    <row r="2425" spans="1:15" x14ac:dyDescent="0.2">
      <c r="A2425" t="s">
        <v>18</v>
      </c>
      <c r="B2425" t="s">
        <v>135</v>
      </c>
      <c r="C2425" t="s">
        <v>136</v>
      </c>
      <c r="D2425" t="s">
        <v>113</v>
      </c>
      <c r="E2425" t="s">
        <v>53</v>
      </c>
      <c r="F2425" t="s">
        <v>114</v>
      </c>
      <c r="G2425">
        <v>119062</v>
      </c>
      <c r="H2425" s="75">
        <v>42585</v>
      </c>
      <c r="I2425" t="s">
        <v>115</v>
      </c>
      <c r="J2425">
        <v>5000</v>
      </c>
      <c r="K2425">
        <v>187.047</v>
      </c>
      <c r="L2425">
        <v>26.731200000000001</v>
      </c>
      <c r="M2425">
        <v>10145.86</v>
      </c>
      <c r="N2425" t="s">
        <v>15</v>
      </c>
    </row>
    <row r="2426" spans="1:15" x14ac:dyDescent="0.2">
      <c r="A2426" t="s">
        <v>18</v>
      </c>
      <c r="B2426" t="s">
        <v>135</v>
      </c>
      <c r="C2426" t="s">
        <v>136</v>
      </c>
      <c r="D2426" t="s">
        <v>113</v>
      </c>
      <c r="E2426" t="s">
        <v>53</v>
      </c>
      <c r="F2426" t="s">
        <v>114</v>
      </c>
      <c r="G2426">
        <v>119062</v>
      </c>
      <c r="H2426" s="75">
        <v>42585</v>
      </c>
      <c r="I2426" t="s">
        <v>116</v>
      </c>
      <c r="J2426">
        <v>2.5</v>
      </c>
      <c r="K2426">
        <v>0</v>
      </c>
      <c r="M2426">
        <v>10145.86</v>
      </c>
      <c r="N2426" t="s">
        <v>17</v>
      </c>
    </row>
    <row r="2427" spans="1:15" x14ac:dyDescent="0.2">
      <c r="A2427" t="s">
        <v>18</v>
      </c>
      <c r="B2427" t="s">
        <v>135</v>
      </c>
      <c r="C2427" t="s">
        <v>136</v>
      </c>
      <c r="D2427" t="s">
        <v>113</v>
      </c>
      <c r="E2427" t="s">
        <v>53</v>
      </c>
      <c r="F2427" t="s">
        <v>114</v>
      </c>
      <c r="G2427">
        <v>119062</v>
      </c>
      <c r="H2427" s="75">
        <v>42615</v>
      </c>
      <c r="I2427" t="s">
        <v>115</v>
      </c>
      <c r="J2427">
        <v>5000</v>
      </c>
      <c r="K2427">
        <v>186.75700000000001</v>
      </c>
      <c r="L2427">
        <v>26.7728</v>
      </c>
      <c r="M2427">
        <v>10332.617</v>
      </c>
      <c r="N2427" t="s">
        <v>15</v>
      </c>
    </row>
    <row r="2428" spans="1:15" x14ac:dyDescent="0.2">
      <c r="A2428" t="s">
        <v>18</v>
      </c>
      <c r="B2428" t="s">
        <v>135</v>
      </c>
      <c r="C2428" t="s">
        <v>136</v>
      </c>
      <c r="D2428" t="s">
        <v>113</v>
      </c>
      <c r="E2428" t="s">
        <v>53</v>
      </c>
      <c r="F2428" t="s">
        <v>114</v>
      </c>
      <c r="G2428">
        <v>119062</v>
      </c>
      <c r="H2428" s="75">
        <v>42615</v>
      </c>
      <c r="I2428" t="s">
        <v>25</v>
      </c>
      <c r="J2428">
        <v>-55326.57</v>
      </c>
      <c r="K2428">
        <v>-2066.5230000000001</v>
      </c>
      <c r="L2428">
        <v>26.7728</v>
      </c>
      <c r="M2428">
        <v>8266.0939999999991</v>
      </c>
      <c r="N2428" t="s">
        <v>16</v>
      </c>
    </row>
    <row r="2429" spans="1:15" x14ac:dyDescent="0.2">
      <c r="A2429" t="s">
        <v>18</v>
      </c>
      <c r="B2429" t="s">
        <v>135</v>
      </c>
      <c r="C2429" t="s">
        <v>136</v>
      </c>
      <c r="D2429" t="s">
        <v>113</v>
      </c>
      <c r="E2429" t="s">
        <v>53</v>
      </c>
      <c r="F2429" t="s">
        <v>114</v>
      </c>
      <c r="G2429">
        <v>119062</v>
      </c>
      <c r="H2429" s="75">
        <v>42645</v>
      </c>
      <c r="I2429" t="s">
        <v>115</v>
      </c>
      <c r="J2429">
        <v>5000</v>
      </c>
      <c r="K2429">
        <v>188.25800000000001</v>
      </c>
      <c r="L2429">
        <v>26.559200000000001</v>
      </c>
      <c r="M2429">
        <v>8454.3520000000008</v>
      </c>
      <c r="N2429" t="s">
        <v>15</v>
      </c>
    </row>
    <row r="2430" spans="1:15" x14ac:dyDescent="0.2">
      <c r="A2430" t="s">
        <v>18</v>
      </c>
      <c r="B2430" t="s">
        <v>135</v>
      </c>
      <c r="C2430" t="s">
        <v>136</v>
      </c>
      <c r="D2430" t="s">
        <v>113</v>
      </c>
      <c r="E2430" t="s">
        <v>53</v>
      </c>
      <c r="F2430" t="s">
        <v>114</v>
      </c>
      <c r="G2430">
        <v>119062</v>
      </c>
      <c r="H2430" s="75">
        <v>42675</v>
      </c>
      <c r="I2430" t="s">
        <v>115</v>
      </c>
      <c r="J2430">
        <v>5000</v>
      </c>
      <c r="K2430">
        <v>187.79499999999999</v>
      </c>
      <c r="L2430">
        <v>26.624700000000001</v>
      </c>
      <c r="M2430">
        <v>8642.1470000000008</v>
      </c>
      <c r="N2430" t="s">
        <v>15</v>
      </c>
    </row>
    <row r="2431" spans="1:15" x14ac:dyDescent="0.2">
      <c r="A2431" t="s">
        <v>18</v>
      </c>
      <c r="B2431" t="s">
        <v>135</v>
      </c>
      <c r="C2431" t="s">
        <v>136</v>
      </c>
      <c r="D2431" t="s">
        <v>113</v>
      </c>
      <c r="E2431" t="s">
        <v>53</v>
      </c>
      <c r="F2431" t="s">
        <v>114</v>
      </c>
      <c r="G2431">
        <v>119062</v>
      </c>
      <c r="H2431" s="75">
        <v>42675</v>
      </c>
      <c r="I2431" t="s">
        <v>118</v>
      </c>
      <c r="J2431">
        <v>4321.07</v>
      </c>
      <c r="K2431">
        <v>0</v>
      </c>
      <c r="M2431">
        <v>8642.1470000000008</v>
      </c>
      <c r="N2431" t="s">
        <v>19</v>
      </c>
      <c r="O2431">
        <v>4321.07</v>
      </c>
    </row>
    <row r="2432" spans="1:15" x14ac:dyDescent="0.2">
      <c r="A2432" t="s">
        <v>18</v>
      </c>
      <c r="B2432" t="s">
        <v>135</v>
      </c>
      <c r="C2432" t="s">
        <v>136</v>
      </c>
      <c r="D2432" t="s">
        <v>113</v>
      </c>
      <c r="E2432" t="s">
        <v>53</v>
      </c>
      <c r="F2432" t="s">
        <v>114</v>
      </c>
      <c r="G2432">
        <v>119062</v>
      </c>
      <c r="H2432" s="75">
        <v>42705</v>
      </c>
      <c r="I2432" t="s">
        <v>115</v>
      </c>
      <c r="J2432">
        <v>5000</v>
      </c>
      <c r="K2432">
        <v>186.86799999999999</v>
      </c>
      <c r="L2432">
        <v>26.756799999999998</v>
      </c>
      <c r="M2432">
        <v>8829.0159999999996</v>
      </c>
      <c r="N2432" t="s">
        <v>15</v>
      </c>
    </row>
    <row r="2433" spans="1:14" x14ac:dyDescent="0.2">
      <c r="A2433" t="s">
        <v>18</v>
      </c>
      <c r="B2433" t="s">
        <v>135</v>
      </c>
      <c r="C2433" t="s">
        <v>136</v>
      </c>
      <c r="D2433" t="s">
        <v>113</v>
      </c>
      <c r="E2433" t="s">
        <v>53</v>
      </c>
      <c r="F2433" t="s">
        <v>114</v>
      </c>
      <c r="G2433">
        <v>119062</v>
      </c>
      <c r="H2433" s="75">
        <v>42735</v>
      </c>
      <c r="I2433" t="s">
        <v>115</v>
      </c>
      <c r="J2433">
        <v>5000</v>
      </c>
      <c r="K2433">
        <v>185.34299999999999</v>
      </c>
      <c r="L2433">
        <v>26.977</v>
      </c>
      <c r="M2433">
        <v>9014.3590000000004</v>
      </c>
      <c r="N2433" t="s">
        <v>15</v>
      </c>
    </row>
    <row r="2434" spans="1:14" x14ac:dyDescent="0.2">
      <c r="A2434" t="s">
        <v>18</v>
      </c>
      <c r="B2434" t="s">
        <v>135</v>
      </c>
      <c r="C2434" t="s">
        <v>136</v>
      </c>
      <c r="D2434" t="s">
        <v>113</v>
      </c>
      <c r="E2434" t="s">
        <v>53</v>
      </c>
      <c r="F2434" t="s">
        <v>114</v>
      </c>
      <c r="G2434">
        <v>119062</v>
      </c>
      <c r="H2434" s="75">
        <v>42765</v>
      </c>
      <c r="I2434" t="s">
        <v>115</v>
      </c>
      <c r="J2434">
        <v>5000</v>
      </c>
      <c r="K2434">
        <v>181.5</v>
      </c>
      <c r="L2434">
        <v>27.548200000000001</v>
      </c>
      <c r="M2434">
        <v>9195.8590000000004</v>
      </c>
      <c r="N2434" t="s">
        <v>15</v>
      </c>
    </row>
    <row r="2435" spans="1:14" x14ac:dyDescent="0.2">
      <c r="A2435" t="s">
        <v>18</v>
      </c>
      <c r="B2435" t="s">
        <v>135</v>
      </c>
      <c r="C2435" t="s">
        <v>136</v>
      </c>
      <c r="D2435" t="s">
        <v>113</v>
      </c>
      <c r="E2435" t="s">
        <v>53</v>
      </c>
      <c r="F2435" t="s">
        <v>114</v>
      </c>
      <c r="G2435">
        <v>119062</v>
      </c>
      <c r="H2435" s="75">
        <v>42795</v>
      </c>
      <c r="I2435" t="s">
        <v>115</v>
      </c>
      <c r="J2435">
        <v>5000</v>
      </c>
      <c r="K2435">
        <v>179.1</v>
      </c>
      <c r="L2435">
        <v>27.917300000000001</v>
      </c>
      <c r="M2435">
        <v>9374.9590000000007</v>
      </c>
      <c r="N2435" t="s">
        <v>15</v>
      </c>
    </row>
    <row r="2436" spans="1:14" x14ac:dyDescent="0.2">
      <c r="A2436" t="s">
        <v>18</v>
      </c>
      <c r="B2436" t="s">
        <v>135</v>
      </c>
      <c r="C2436" t="s">
        <v>136</v>
      </c>
      <c r="D2436" t="s">
        <v>113</v>
      </c>
      <c r="E2436" t="s">
        <v>53</v>
      </c>
      <c r="F2436" t="s">
        <v>114</v>
      </c>
      <c r="G2436">
        <v>119062</v>
      </c>
      <c r="H2436" s="75">
        <v>42825</v>
      </c>
      <c r="I2436" t="s">
        <v>115</v>
      </c>
      <c r="J2436">
        <v>5000</v>
      </c>
      <c r="K2436">
        <v>175.99199999999999</v>
      </c>
      <c r="L2436">
        <v>28.410299999999999</v>
      </c>
      <c r="M2436">
        <v>9550.9509999999991</v>
      </c>
      <c r="N2436" t="s">
        <v>15</v>
      </c>
    </row>
    <row r="2437" spans="1:14" x14ac:dyDescent="0.2">
      <c r="A2437" t="s">
        <v>18</v>
      </c>
      <c r="B2437" t="s">
        <v>135</v>
      </c>
      <c r="C2437" t="s">
        <v>136</v>
      </c>
      <c r="D2437" t="s">
        <v>113</v>
      </c>
      <c r="E2437" t="s">
        <v>53</v>
      </c>
      <c r="F2437" t="s">
        <v>114</v>
      </c>
      <c r="G2437">
        <v>119062</v>
      </c>
      <c r="H2437" s="75">
        <v>42855</v>
      </c>
      <c r="I2437" t="s">
        <v>115</v>
      </c>
      <c r="J2437">
        <v>5000</v>
      </c>
      <c r="K2437">
        <v>172.85599999999999</v>
      </c>
      <c r="L2437">
        <v>28.925799999999999</v>
      </c>
      <c r="M2437">
        <v>9723.8080000000009</v>
      </c>
      <c r="N2437" t="s">
        <v>15</v>
      </c>
    </row>
    <row r="2438" spans="1:14" x14ac:dyDescent="0.2">
      <c r="A2438" t="s">
        <v>18</v>
      </c>
      <c r="B2438" t="s">
        <v>135</v>
      </c>
      <c r="C2438" t="s">
        <v>136</v>
      </c>
      <c r="D2438" t="s">
        <v>113</v>
      </c>
      <c r="E2438" t="s">
        <v>53</v>
      </c>
      <c r="F2438" t="s">
        <v>114</v>
      </c>
      <c r="G2438">
        <v>119062</v>
      </c>
      <c r="H2438" s="75">
        <v>42885</v>
      </c>
      <c r="I2438" t="s">
        <v>115</v>
      </c>
      <c r="J2438">
        <v>5000</v>
      </c>
      <c r="K2438">
        <v>171.93899999999999</v>
      </c>
      <c r="L2438">
        <v>29.080100000000002</v>
      </c>
      <c r="M2438">
        <v>9895.7469999999994</v>
      </c>
      <c r="N2438" t="s">
        <v>15</v>
      </c>
    </row>
    <row r="2439" spans="1:14" x14ac:dyDescent="0.2">
      <c r="A2439" t="s">
        <v>18</v>
      </c>
      <c r="B2439" t="s">
        <v>135</v>
      </c>
      <c r="C2439" t="s">
        <v>136</v>
      </c>
      <c r="D2439" t="s">
        <v>113</v>
      </c>
      <c r="E2439" t="s">
        <v>53</v>
      </c>
      <c r="F2439" t="s">
        <v>114</v>
      </c>
      <c r="G2439">
        <v>119062</v>
      </c>
      <c r="H2439" s="75">
        <v>42915</v>
      </c>
      <c r="I2439" t="s">
        <v>115</v>
      </c>
      <c r="J2439">
        <v>5000</v>
      </c>
      <c r="K2439">
        <v>169.584</v>
      </c>
      <c r="L2439">
        <v>29.483899999999998</v>
      </c>
      <c r="M2439">
        <v>10065.331</v>
      </c>
      <c r="N2439" t="s">
        <v>15</v>
      </c>
    </row>
    <row r="2440" spans="1:14" x14ac:dyDescent="0.2">
      <c r="A2440" t="s">
        <v>18</v>
      </c>
      <c r="B2440" t="s">
        <v>135</v>
      </c>
      <c r="C2440" t="s">
        <v>136</v>
      </c>
      <c r="D2440" t="s">
        <v>113</v>
      </c>
      <c r="E2440" t="s">
        <v>53</v>
      </c>
      <c r="F2440" t="s">
        <v>114</v>
      </c>
      <c r="G2440">
        <v>119062</v>
      </c>
      <c r="H2440" s="75">
        <v>42945</v>
      </c>
      <c r="I2440" t="s">
        <v>115</v>
      </c>
      <c r="J2440">
        <v>5000</v>
      </c>
      <c r="K2440">
        <v>167.49799999999999</v>
      </c>
      <c r="L2440">
        <v>29.851099999999999</v>
      </c>
      <c r="M2440">
        <v>10232.828</v>
      </c>
      <c r="N2440" t="s">
        <v>15</v>
      </c>
    </row>
    <row r="2441" spans="1:14" x14ac:dyDescent="0.2">
      <c r="A2441" t="s">
        <v>18</v>
      </c>
      <c r="B2441" t="s">
        <v>135</v>
      </c>
      <c r="C2441" t="s">
        <v>136</v>
      </c>
      <c r="D2441" t="s">
        <v>113</v>
      </c>
      <c r="E2441" t="s">
        <v>53</v>
      </c>
      <c r="F2441" t="s">
        <v>114</v>
      </c>
      <c r="G2441">
        <v>119062</v>
      </c>
      <c r="H2441" s="75">
        <v>42975</v>
      </c>
      <c r="I2441" t="s">
        <v>115</v>
      </c>
      <c r="J2441">
        <v>5000</v>
      </c>
      <c r="K2441">
        <v>167.178</v>
      </c>
      <c r="L2441">
        <v>29.908300000000001</v>
      </c>
      <c r="M2441">
        <v>10400.005999999999</v>
      </c>
      <c r="N2441" t="s">
        <v>15</v>
      </c>
    </row>
    <row r="2442" spans="1:14" x14ac:dyDescent="0.2">
      <c r="A2442" t="s">
        <v>18</v>
      </c>
      <c r="B2442" t="s">
        <v>135</v>
      </c>
      <c r="C2442" t="s">
        <v>136</v>
      </c>
      <c r="D2442" t="s">
        <v>113</v>
      </c>
      <c r="E2442" t="s">
        <v>53</v>
      </c>
      <c r="F2442" t="s">
        <v>114</v>
      </c>
      <c r="G2442">
        <v>119062</v>
      </c>
      <c r="H2442" s="75">
        <v>42975</v>
      </c>
      <c r="I2442" t="s">
        <v>116</v>
      </c>
      <c r="J2442">
        <v>2.5</v>
      </c>
      <c r="K2442">
        <v>0</v>
      </c>
      <c r="M2442">
        <v>10400.005999999999</v>
      </c>
      <c r="N2442" t="s">
        <v>17</v>
      </c>
    </row>
    <row r="2443" spans="1:14" x14ac:dyDescent="0.2">
      <c r="A2443" t="s">
        <v>18</v>
      </c>
      <c r="B2443" t="s">
        <v>135</v>
      </c>
      <c r="C2443" t="s">
        <v>136</v>
      </c>
      <c r="D2443" t="s">
        <v>113</v>
      </c>
      <c r="E2443" t="s">
        <v>53</v>
      </c>
      <c r="F2443" t="s">
        <v>114</v>
      </c>
      <c r="G2443">
        <v>119062</v>
      </c>
      <c r="H2443" s="75">
        <v>43005</v>
      </c>
      <c r="I2443" t="s">
        <v>115</v>
      </c>
      <c r="J2443">
        <v>5000</v>
      </c>
      <c r="K2443">
        <v>168.97300000000001</v>
      </c>
      <c r="L2443">
        <v>29.590599999999998</v>
      </c>
      <c r="M2443">
        <v>10568.978999999999</v>
      </c>
      <c r="N2443" t="s">
        <v>15</v>
      </c>
    </row>
    <row r="2444" spans="1:14" x14ac:dyDescent="0.2">
      <c r="A2444" t="s">
        <v>18</v>
      </c>
      <c r="B2444" t="s">
        <v>135</v>
      </c>
      <c r="C2444" t="s">
        <v>136</v>
      </c>
      <c r="D2444" t="s">
        <v>113</v>
      </c>
      <c r="E2444" t="s">
        <v>53</v>
      </c>
      <c r="F2444" t="s">
        <v>114</v>
      </c>
      <c r="G2444">
        <v>119062</v>
      </c>
      <c r="H2444" s="75">
        <v>43035</v>
      </c>
      <c r="I2444" t="s">
        <v>115</v>
      </c>
      <c r="J2444">
        <v>5000</v>
      </c>
      <c r="K2444">
        <v>166.97900000000001</v>
      </c>
      <c r="L2444">
        <v>29.943899999999999</v>
      </c>
      <c r="M2444">
        <v>10735.957</v>
      </c>
      <c r="N2444" t="s">
        <v>15</v>
      </c>
    </row>
    <row r="2445" spans="1:14" x14ac:dyDescent="0.2">
      <c r="A2445" t="s">
        <v>18</v>
      </c>
      <c r="B2445" t="s">
        <v>135</v>
      </c>
      <c r="C2445" t="s">
        <v>136</v>
      </c>
      <c r="D2445" t="s">
        <v>113</v>
      </c>
      <c r="E2445" t="s">
        <v>53</v>
      </c>
      <c r="F2445" t="s">
        <v>114</v>
      </c>
      <c r="G2445">
        <v>119062</v>
      </c>
      <c r="H2445" s="75">
        <v>43065</v>
      </c>
      <c r="I2445" t="s">
        <v>115</v>
      </c>
      <c r="J2445">
        <v>5000</v>
      </c>
      <c r="K2445">
        <v>163.34100000000001</v>
      </c>
      <c r="L2445">
        <v>30.610800000000001</v>
      </c>
      <c r="M2445">
        <v>10899.299000000001</v>
      </c>
      <c r="N2445" t="s">
        <v>15</v>
      </c>
    </row>
    <row r="2446" spans="1:14" x14ac:dyDescent="0.2">
      <c r="A2446" t="s">
        <v>18</v>
      </c>
      <c r="B2446" t="s">
        <v>135</v>
      </c>
      <c r="C2446" t="s">
        <v>136</v>
      </c>
      <c r="D2446" t="s">
        <v>113</v>
      </c>
      <c r="E2446" t="s">
        <v>53</v>
      </c>
      <c r="F2446" t="s">
        <v>114</v>
      </c>
      <c r="G2446">
        <v>119062</v>
      </c>
      <c r="H2446" s="75">
        <v>43095</v>
      </c>
      <c r="I2446" t="s">
        <v>115</v>
      </c>
      <c r="J2446">
        <v>5000</v>
      </c>
      <c r="K2446">
        <v>164.17500000000001</v>
      </c>
      <c r="L2446">
        <v>30.455400000000001</v>
      </c>
      <c r="M2446">
        <v>11063.473</v>
      </c>
      <c r="N2446" t="s">
        <v>15</v>
      </c>
    </row>
    <row r="2447" spans="1:14" x14ac:dyDescent="0.2">
      <c r="A2447" t="s">
        <v>18</v>
      </c>
      <c r="B2447" t="s">
        <v>135</v>
      </c>
      <c r="C2447" t="s">
        <v>136</v>
      </c>
      <c r="D2447" t="s">
        <v>113</v>
      </c>
      <c r="E2447" t="s">
        <v>53</v>
      </c>
      <c r="F2447" t="s">
        <v>114</v>
      </c>
      <c r="G2447">
        <v>119062</v>
      </c>
      <c r="H2447" s="75">
        <v>43125</v>
      </c>
      <c r="I2447" t="s">
        <v>115</v>
      </c>
      <c r="J2447">
        <v>5000</v>
      </c>
      <c r="K2447">
        <v>159.828</v>
      </c>
      <c r="L2447">
        <v>31.2837</v>
      </c>
      <c r="M2447">
        <v>11223.300999999999</v>
      </c>
      <c r="N2447" t="s">
        <v>15</v>
      </c>
    </row>
    <row r="2448" spans="1:14" x14ac:dyDescent="0.2">
      <c r="A2448" t="s">
        <v>18</v>
      </c>
      <c r="B2448" t="s">
        <v>135</v>
      </c>
      <c r="C2448" t="s">
        <v>136</v>
      </c>
      <c r="D2448" t="s">
        <v>113</v>
      </c>
      <c r="E2448" t="s">
        <v>53</v>
      </c>
      <c r="F2448" t="s">
        <v>114</v>
      </c>
      <c r="G2448">
        <v>119062</v>
      </c>
      <c r="H2448" s="75">
        <v>43155</v>
      </c>
      <c r="I2448" t="s">
        <v>115</v>
      </c>
      <c r="J2448">
        <v>5000</v>
      </c>
      <c r="K2448">
        <v>156.26300000000001</v>
      </c>
      <c r="L2448">
        <v>31.997299999999999</v>
      </c>
      <c r="M2448">
        <v>11379.564</v>
      </c>
      <c r="N2448" t="s">
        <v>15</v>
      </c>
    </row>
    <row r="2449" spans="1:15" x14ac:dyDescent="0.2">
      <c r="A2449" t="s">
        <v>18</v>
      </c>
      <c r="B2449" t="s">
        <v>135</v>
      </c>
      <c r="C2449" t="s">
        <v>136</v>
      </c>
      <c r="D2449" t="s">
        <v>113</v>
      </c>
      <c r="E2449" t="s">
        <v>53</v>
      </c>
      <c r="F2449" t="s">
        <v>114</v>
      </c>
      <c r="G2449">
        <v>119062</v>
      </c>
      <c r="H2449" s="75">
        <v>43185</v>
      </c>
      <c r="I2449" t="s">
        <v>115</v>
      </c>
      <c r="J2449">
        <v>5000</v>
      </c>
      <c r="K2449">
        <v>157.054</v>
      </c>
      <c r="L2449">
        <v>31.836300000000001</v>
      </c>
      <c r="M2449">
        <v>11536.618</v>
      </c>
      <c r="N2449" t="s">
        <v>15</v>
      </c>
    </row>
    <row r="2450" spans="1:15" x14ac:dyDescent="0.2">
      <c r="A2450" t="s">
        <v>18</v>
      </c>
      <c r="B2450" t="s">
        <v>135</v>
      </c>
      <c r="C2450" t="s">
        <v>136</v>
      </c>
      <c r="D2450" t="s">
        <v>113</v>
      </c>
      <c r="E2450" t="s">
        <v>53</v>
      </c>
      <c r="F2450" t="s">
        <v>114</v>
      </c>
      <c r="G2450">
        <v>119062</v>
      </c>
      <c r="H2450" s="75">
        <v>43215</v>
      </c>
      <c r="I2450" t="s">
        <v>115</v>
      </c>
      <c r="J2450">
        <v>5000</v>
      </c>
      <c r="K2450">
        <v>153.84700000000001</v>
      </c>
      <c r="L2450">
        <v>32.4998</v>
      </c>
      <c r="M2450">
        <v>11690.465</v>
      </c>
      <c r="N2450" t="s">
        <v>15</v>
      </c>
    </row>
    <row r="2451" spans="1:15" x14ac:dyDescent="0.2">
      <c r="A2451" t="s">
        <v>18</v>
      </c>
      <c r="B2451" t="s">
        <v>135</v>
      </c>
      <c r="C2451" t="s">
        <v>136</v>
      </c>
      <c r="D2451" t="s">
        <v>113</v>
      </c>
      <c r="E2451" t="s">
        <v>53</v>
      </c>
      <c r="F2451" t="s">
        <v>114</v>
      </c>
      <c r="G2451">
        <v>119062</v>
      </c>
      <c r="H2451" s="75">
        <v>43245</v>
      </c>
      <c r="I2451" t="s">
        <v>115</v>
      </c>
      <c r="J2451">
        <v>5000</v>
      </c>
      <c r="K2451">
        <v>151.10499999999999</v>
      </c>
      <c r="L2451">
        <v>33.089599999999997</v>
      </c>
      <c r="M2451">
        <v>11841.57</v>
      </c>
      <c r="N2451" t="s">
        <v>15</v>
      </c>
    </row>
    <row r="2452" spans="1:15" x14ac:dyDescent="0.2">
      <c r="A2452" t="s">
        <v>18</v>
      </c>
      <c r="B2452" t="s">
        <v>135</v>
      </c>
      <c r="C2452" t="s">
        <v>136</v>
      </c>
      <c r="D2452" t="s">
        <v>113</v>
      </c>
      <c r="E2452" t="s">
        <v>53</v>
      </c>
      <c r="F2452" t="s">
        <v>114</v>
      </c>
      <c r="G2452">
        <v>119062</v>
      </c>
      <c r="H2452" s="75">
        <v>43245</v>
      </c>
      <c r="I2452" t="s">
        <v>117</v>
      </c>
      <c r="J2452">
        <v>2.5</v>
      </c>
      <c r="K2452">
        <v>0</v>
      </c>
      <c r="M2452">
        <v>11841.57</v>
      </c>
      <c r="N2452" t="s">
        <v>46</v>
      </c>
    </row>
    <row r="2453" spans="1:15" x14ac:dyDescent="0.2">
      <c r="A2453" t="s">
        <v>18</v>
      </c>
      <c r="B2453" t="s">
        <v>135</v>
      </c>
      <c r="C2453" t="s">
        <v>136</v>
      </c>
      <c r="D2453" t="s">
        <v>113</v>
      </c>
      <c r="E2453" t="s">
        <v>53</v>
      </c>
      <c r="F2453" t="s">
        <v>114</v>
      </c>
      <c r="G2453">
        <v>119062</v>
      </c>
      <c r="H2453" s="75">
        <v>43275</v>
      </c>
      <c r="I2453" t="s">
        <v>115</v>
      </c>
      <c r="J2453">
        <v>5000</v>
      </c>
      <c r="K2453">
        <v>149.79400000000001</v>
      </c>
      <c r="L2453">
        <v>33.379199999999997</v>
      </c>
      <c r="M2453">
        <v>11991.364</v>
      </c>
      <c r="N2453" t="s">
        <v>15</v>
      </c>
    </row>
    <row r="2454" spans="1:15" x14ac:dyDescent="0.2">
      <c r="A2454" t="s">
        <v>18</v>
      </c>
      <c r="B2454" t="s">
        <v>135</v>
      </c>
      <c r="C2454" t="s">
        <v>136</v>
      </c>
      <c r="D2454" t="s">
        <v>113</v>
      </c>
      <c r="E2454" t="s">
        <v>53</v>
      </c>
      <c r="F2454" t="s">
        <v>114</v>
      </c>
      <c r="G2454">
        <v>119062</v>
      </c>
      <c r="H2454" s="75">
        <v>43305</v>
      </c>
      <c r="I2454" t="s">
        <v>115</v>
      </c>
      <c r="J2454">
        <v>5000</v>
      </c>
      <c r="K2454">
        <v>151.13399999999999</v>
      </c>
      <c r="L2454">
        <v>33.083199999999998</v>
      </c>
      <c r="M2454">
        <v>12142.498</v>
      </c>
      <c r="N2454" t="s">
        <v>15</v>
      </c>
    </row>
    <row r="2455" spans="1:15" x14ac:dyDescent="0.2">
      <c r="A2455" t="s">
        <v>18</v>
      </c>
      <c r="B2455" t="s">
        <v>135</v>
      </c>
      <c r="C2455" t="s">
        <v>136</v>
      </c>
      <c r="D2455" t="s">
        <v>113</v>
      </c>
      <c r="E2455" t="s">
        <v>53</v>
      </c>
      <c r="F2455" t="s">
        <v>114</v>
      </c>
      <c r="G2455">
        <v>119062</v>
      </c>
      <c r="H2455" s="75">
        <v>43335</v>
      </c>
      <c r="I2455" t="s">
        <v>115</v>
      </c>
      <c r="J2455">
        <v>5000</v>
      </c>
      <c r="K2455">
        <v>151.935</v>
      </c>
      <c r="L2455">
        <v>32.908799999999999</v>
      </c>
      <c r="M2455">
        <v>12294.433000000001</v>
      </c>
      <c r="N2455" t="s">
        <v>15</v>
      </c>
    </row>
    <row r="2456" spans="1:15" x14ac:dyDescent="0.2">
      <c r="A2456" t="s">
        <v>18</v>
      </c>
      <c r="B2456" t="s">
        <v>135</v>
      </c>
      <c r="C2456" t="s">
        <v>136</v>
      </c>
      <c r="D2456" t="s">
        <v>113</v>
      </c>
      <c r="E2456" t="s">
        <v>53</v>
      </c>
      <c r="F2456" t="s">
        <v>114</v>
      </c>
      <c r="G2456">
        <v>119062</v>
      </c>
      <c r="H2456" s="75">
        <v>43365</v>
      </c>
      <c r="I2456" t="s">
        <v>115</v>
      </c>
      <c r="J2456">
        <v>5000</v>
      </c>
      <c r="K2456">
        <v>149.77199999999999</v>
      </c>
      <c r="L2456">
        <v>33.384099999999997</v>
      </c>
      <c r="M2456">
        <v>12444.205</v>
      </c>
      <c r="N2456" t="s">
        <v>15</v>
      </c>
    </row>
    <row r="2457" spans="1:15" x14ac:dyDescent="0.2">
      <c r="A2457" t="s">
        <v>18</v>
      </c>
      <c r="B2457" t="s">
        <v>135</v>
      </c>
      <c r="C2457" t="s">
        <v>136</v>
      </c>
      <c r="D2457" t="s">
        <v>113</v>
      </c>
      <c r="E2457" t="s">
        <v>53</v>
      </c>
      <c r="F2457" t="s">
        <v>114</v>
      </c>
      <c r="G2457">
        <v>119062</v>
      </c>
      <c r="H2457" s="75">
        <v>43395</v>
      </c>
      <c r="I2457" t="s">
        <v>115</v>
      </c>
      <c r="J2457">
        <v>5000</v>
      </c>
      <c r="K2457">
        <v>149.26300000000001</v>
      </c>
      <c r="L2457">
        <v>33.497799999999998</v>
      </c>
      <c r="M2457">
        <v>12593.468000000001</v>
      </c>
      <c r="N2457" t="s">
        <v>15</v>
      </c>
    </row>
    <row r="2458" spans="1:15" x14ac:dyDescent="0.2">
      <c r="A2458" t="s">
        <v>18</v>
      </c>
      <c r="B2458" t="s">
        <v>135</v>
      </c>
      <c r="C2458" t="s">
        <v>136</v>
      </c>
      <c r="D2458" t="s">
        <v>113</v>
      </c>
      <c r="E2458" t="s">
        <v>53</v>
      </c>
      <c r="F2458" t="s">
        <v>114</v>
      </c>
      <c r="G2458">
        <v>119062</v>
      </c>
      <c r="H2458" s="75">
        <v>43395</v>
      </c>
      <c r="I2458" t="s">
        <v>116</v>
      </c>
      <c r="J2458">
        <v>2.5</v>
      </c>
      <c r="K2458">
        <v>0</v>
      </c>
      <c r="M2458">
        <v>12593.468000000001</v>
      </c>
      <c r="N2458" t="s">
        <v>17</v>
      </c>
    </row>
    <row r="2459" spans="1:15" x14ac:dyDescent="0.2">
      <c r="A2459" t="s">
        <v>18</v>
      </c>
      <c r="B2459" t="s">
        <v>135</v>
      </c>
      <c r="C2459" t="s">
        <v>136</v>
      </c>
      <c r="D2459" t="s">
        <v>113</v>
      </c>
      <c r="E2459" t="s">
        <v>53</v>
      </c>
      <c r="F2459" t="s">
        <v>114</v>
      </c>
      <c r="G2459">
        <v>119062</v>
      </c>
      <c r="H2459" s="75">
        <v>43425</v>
      </c>
      <c r="I2459" t="s">
        <v>115</v>
      </c>
      <c r="J2459">
        <v>5000</v>
      </c>
      <c r="K2459">
        <v>145.44300000000001</v>
      </c>
      <c r="L2459">
        <v>34.377600000000001</v>
      </c>
      <c r="M2459">
        <v>12738.911</v>
      </c>
      <c r="N2459" t="s">
        <v>15</v>
      </c>
    </row>
    <row r="2460" spans="1:15" x14ac:dyDescent="0.2">
      <c r="A2460" t="s">
        <v>18</v>
      </c>
      <c r="B2460" t="s">
        <v>135</v>
      </c>
      <c r="C2460" t="s">
        <v>136</v>
      </c>
      <c r="D2460" t="s">
        <v>113</v>
      </c>
      <c r="E2460" t="s">
        <v>53</v>
      </c>
      <c r="F2460" t="s">
        <v>114</v>
      </c>
      <c r="G2460">
        <v>119062</v>
      </c>
      <c r="H2460" s="75">
        <v>43425</v>
      </c>
      <c r="I2460" t="s">
        <v>118</v>
      </c>
      <c r="J2460">
        <v>6369.46</v>
      </c>
      <c r="K2460">
        <v>0</v>
      </c>
      <c r="M2460">
        <v>12738.911</v>
      </c>
      <c r="N2460" t="s">
        <v>19</v>
      </c>
      <c r="O2460">
        <v>6369.46</v>
      </c>
    </row>
    <row r="2461" spans="1:15" x14ac:dyDescent="0.2">
      <c r="A2461" t="s">
        <v>18</v>
      </c>
      <c r="B2461" t="s">
        <v>135</v>
      </c>
      <c r="C2461" t="s">
        <v>136</v>
      </c>
      <c r="D2461" t="s">
        <v>113</v>
      </c>
      <c r="E2461" t="s">
        <v>53</v>
      </c>
      <c r="F2461" t="s">
        <v>114</v>
      </c>
      <c r="G2461">
        <v>119062</v>
      </c>
      <c r="H2461" s="75">
        <v>43455</v>
      </c>
      <c r="I2461" t="s">
        <v>115</v>
      </c>
      <c r="J2461">
        <v>5000</v>
      </c>
      <c r="K2461">
        <v>143.05500000000001</v>
      </c>
      <c r="L2461">
        <v>34.951599999999999</v>
      </c>
      <c r="M2461">
        <v>12881.966</v>
      </c>
      <c r="N2461" t="s">
        <v>15</v>
      </c>
    </row>
    <row r="2462" spans="1:15" x14ac:dyDescent="0.2">
      <c r="A2462" t="s">
        <v>18</v>
      </c>
      <c r="B2462" t="s">
        <v>135</v>
      </c>
      <c r="C2462" t="s">
        <v>136</v>
      </c>
      <c r="D2462" t="s">
        <v>113</v>
      </c>
      <c r="E2462" t="s">
        <v>53</v>
      </c>
      <c r="F2462" t="s">
        <v>114</v>
      </c>
      <c r="G2462">
        <v>119062</v>
      </c>
      <c r="H2462" s="75">
        <v>43455</v>
      </c>
      <c r="I2462" t="s">
        <v>118</v>
      </c>
      <c r="J2462">
        <v>6440.98</v>
      </c>
      <c r="K2462">
        <v>0</v>
      </c>
      <c r="M2462">
        <v>12881.966</v>
      </c>
      <c r="N2462" t="s">
        <v>19</v>
      </c>
      <c r="O2462">
        <v>6440.98</v>
      </c>
    </row>
    <row r="2463" spans="1:15" x14ac:dyDescent="0.2">
      <c r="A2463" t="s">
        <v>18</v>
      </c>
      <c r="B2463" t="s">
        <v>135</v>
      </c>
      <c r="C2463" t="s">
        <v>136</v>
      </c>
      <c r="D2463" t="s">
        <v>113</v>
      </c>
      <c r="E2463" t="s">
        <v>53</v>
      </c>
      <c r="F2463" t="s">
        <v>114</v>
      </c>
      <c r="G2463">
        <v>119062</v>
      </c>
      <c r="H2463" s="75">
        <v>43485</v>
      </c>
      <c r="I2463" t="s">
        <v>115</v>
      </c>
      <c r="J2463">
        <v>5000</v>
      </c>
      <c r="K2463">
        <v>139.786</v>
      </c>
      <c r="L2463">
        <v>35.768900000000002</v>
      </c>
      <c r="M2463">
        <v>13021.752</v>
      </c>
      <c r="N2463" t="s">
        <v>15</v>
      </c>
    </row>
    <row r="2464" spans="1:15" x14ac:dyDescent="0.2">
      <c r="A2464" t="s">
        <v>18</v>
      </c>
      <c r="B2464" t="s">
        <v>135</v>
      </c>
      <c r="C2464" t="s">
        <v>136</v>
      </c>
      <c r="D2464" t="s">
        <v>113</v>
      </c>
      <c r="E2464" t="s">
        <v>53</v>
      </c>
      <c r="F2464" t="s">
        <v>114</v>
      </c>
      <c r="G2464">
        <v>119062</v>
      </c>
      <c r="H2464" s="75">
        <v>43485</v>
      </c>
      <c r="I2464" t="s">
        <v>118</v>
      </c>
      <c r="J2464">
        <v>6510.88</v>
      </c>
      <c r="K2464">
        <v>0</v>
      </c>
      <c r="M2464">
        <v>13021.752</v>
      </c>
      <c r="N2464" t="s">
        <v>19</v>
      </c>
      <c r="O2464">
        <v>6510.88</v>
      </c>
    </row>
    <row r="2465" spans="1:15" x14ac:dyDescent="0.2">
      <c r="A2465" t="s">
        <v>18</v>
      </c>
      <c r="B2465" t="s">
        <v>135</v>
      </c>
      <c r="C2465" t="s">
        <v>136</v>
      </c>
      <c r="D2465" t="s">
        <v>113</v>
      </c>
      <c r="E2465" t="s">
        <v>53</v>
      </c>
      <c r="F2465" t="s">
        <v>114</v>
      </c>
      <c r="G2465">
        <v>119062</v>
      </c>
      <c r="H2465" s="75">
        <v>43485</v>
      </c>
      <c r="I2465" t="s">
        <v>25</v>
      </c>
      <c r="J2465">
        <v>-93154.85</v>
      </c>
      <c r="K2465">
        <v>-2604.35</v>
      </c>
      <c r="L2465">
        <v>35.768900000000002</v>
      </c>
      <c r="M2465">
        <v>10417.402</v>
      </c>
      <c r="N2465" t="s">
        <v>16</v>
      </c>
    </row>
    <row r="2466" spans="1:15" x14ac:dyDescent="0.2">
      <c r="A2466" t="s">
        <v>18</v>
      </c>
      <c r="B2466" t="s">
        <v>135</v>
      </c>
      <c r="C2466" t="s">
        <v>136</v>
      </c>
      <c r="D2466" t="s">
        <v>113</v>
      </c>
      <c r="E2466" t="s">
        <v>53</v>
      </c>
      <c r="F2466" t="s">
        <v>114</v>
      </c>
      <c r="G2466">
        <v>119062</v>
      </c>
      <c r="H2466" s="75">
        <v>43515</v>
      </c>
      <c r="I2466" t="s">
        <v>115</v>
      </c>
      <c r="J2466">
        <v>5000</v>
      </c>
      <c r="K2466">
        <v>141.96</v>
      </c>
      <c r="L2466">
        <v>35.221200000000003</v>
      </c>
      <c r="M2466">
        <v>10559.361999999999</v>
      </c>
      <c r="N2466" t="s">
        <v>15</v>
      </c>
    </row>
    <row r="2467" spans="1:15" x14ac:dyDescent="0.2">
      <c r="A2467" t="s">
        <v>18</v>
      </c>
      <c r="B2467" t="s">
        <v>135</v>
      </c>
      <c r="C2467" t="s">
        <v>136</v>
      </c>
      <c r="D2467" t="s">
        <v>113</v>
      </c>
      <c r="E2467" t="s">
        <v>53</v>
      </c>
      <c r="F2467" t="s">
        <v>114</v>
      </c>
      <c r="G2467">
        <v>119062</v>
      </c>
      <c r="H2467" s="75">
        <v>43545</v>
      </c>
      <c r="I2467" t="s">
        <v>115</v>
      </c>
      <c r="J2467">
        <v>5000</v>
      </c>
      <c r="K2467">
        <v>144.27799999999999</v>
      </c>
      <c r="L2467">
        <v>34.655200000000001</v>
      </c>
      <c r="M2467">
        <v>10703.641</v>
      </c>
      <c r="N2467" t="s">
        <v>15</v>
      </c>
    </row>
    <row r="2468" spans="1:15" x14ac:dyDescent="0.2">
      <c r="A2468" t="s">
        <v>18</v>
      </c>
      <c r="B2468" t="s">
        <v>135</v>
      </c>
      <c r="C2468" t="s">
        <v>136</v>
      </c>
      <c r="D2468" t="s">
        <v>113</v>
      </c>
      <c r="E2468" t="s">
        <v>53</v>
      </c>
      <c r="F2468" t="s">
        <v>114</v>
      </c>
      <c r="G2468">
        <v>119062</v>
      </c>
      <c r="H2468" s="75">
        <v>43575</v>
      </c>
      <c r="I2468" t="s">
        <v>115</v>
      </c>
      <c r="J2468">
        <v>5000</v>
      </c>
      <c r="K2468">
        <v>146.69999999999999</v>
      </c>
      <c r="L2468">
        <v>34.083199999999998</v>
      </c>
      <c r="M2468">
        <v>10850.34</v>
      </c>
      <c r="N2468" t="s">
        <v>15</v>
      </c>
    </row>
    <row r="2469" spans="1:15" x14ac:dyDescent="0.2">
      <c r="A2469" t="s">
        <v>18</v>
      </c>
      <c r="B2469" t="s">
        <v>135</v>
      </c>
      <c r="C2469" t="s">
        <v>136</v>
      </c>
      <c r="D2469" t="s">
        <v>113</v>
      </c>
      <c r="E2469" t="s">
        <v>53</v>
      </c>
      <c r="F2469" t="s">
        <v>114</v>
      </c>
      <c r="G2469">
        <v>119062</v>
      </c>
      <c r="H2469" s="75">
        <v>43605</v>
      </c>
      <c r="I2469" t="s">
        <v>115</v>
      </c>
      <c r="J2469">
        <v>5000</v>
      </c>
      <c r="K2469">
        <v>147.036</v>
      </c>
      <c r="L2469">
        <v>34.005299999999998</v>
      </c>
      <c r="M2469">
        <v>10997.376</v>
      </c>
      <c r="N2469" t="s">
        <v>15</v>
      </c>
    </row>
    <row r="2470" spans="1:15" x14ac:dyDescent="0.2">
      <c r="A2470" t="s">
        <v>18</v>
      </c>
      <c r="B2470" t="s">
        <v>135</v>
      </c>
      <c r="C2470" t="s">
        <v>136</v>
      </c>
      <c r="D2470" t="s">
        <v>113</v>
      </c>
      <c r="E2470" t="s">
        <v>53</v>
      </c>
      <c r="F2470" t="s">
        <v>114</v>
      </c>
      <c r="G2470">
        <v>119062</v>
      </c>
      <c r="H2470" s="75">
        <v>43635</v>
      </c>
      <c r="I2470" t="s">
        <v>115</v>
      </c>
      <c r="J2470">
        <v>5000</v>
      </c>
      <c r="K2470">
        <v>148.41999999999999</v>
      </c>
      <c r="L2470">
        <v>33.688099999999999</v>
      </c>
      <c r="M2470">
        <v>11145.797</v>
      </c>
      <c r="N2470" t="s">
        <v>15</v>
      </c>
    </row>
    <row r="2471" spans="1:15" x14ac:dyDescent="0.2">
      <c r="A2471" t="s">
        <v>18</v>
      </c>
      <c r="B2471" t="s">
        <v>135</v>
      </c>
      <c r="C2471" t="s">
        <v>136</v>
      </c>
      <c r="D2471" t="s">
        <v>113</v>
      </c>
      <c r="E2471" t="s">
        <v>53</v>
      </c>
      <c r="F2471" t="s">
        <v>114</v>
      </c>
      <c r="G2471">
        <v>119062</v>
      </c>
      <c r="H2471" s="75">
        <v>43635</v>
      </c>
      <c r="I2471" t="s">
        <v>116</v>
      </c>
      <c r="J2471">
        <v>2.5</v>
      </c>
      <c r="K2471">
        <v>0</v>
      </c>
      <c r="M2471">
        <v>11145.797</v>
      </c>
      <c r="N2471" t="s">
        <v>17</v>
      </c>
    </row>
    <row r="2472" spans="1:15" x14ac:dyDescent="0.2">
      <c r="A2472" t="s">
        <v>18</v>
      </c>
      <c r="B2472" t="s">
        <v>135</v>
      </c>
      <c r="C2472" t="s">
        <v>136</v>
      </c>
      <c r="D2472" t="s">
        <v>113</v>
      </c>
      <c r="E2472" t="s">
        <v>53</v>
      </c>
      <c r="F2472" t="s">
        <v>114</v>
      </c>
      <c r="G2472">
        <v>119062</v>
      </c>
      <c r="H2472" s="75">
        <v>43665</v>
      </c>
      <c r="I2472" t="s">
        <v>115</v>
      </c>
      <c r="J2472">
        <v>5000</v>
      </c>
      <c r="K2472">
        <v>150.72</v>
      </c>
      <c r="L2472">
        <v>33.174100000000003</v>
      </c>
      <c r="M2472">
        <v>11296.517</v>
      </c>
      <c r="N2472" t="s">
        <v>15</v>
      </c>
    </row>
    <row r="2473" spans="1:15" x14ac:dyDescent="0.2">
      <c r="A2473" t="s">
        <v>18</v>
      </c>
      <c r="B2473" t="s">
        <v>135</v>
      </c>
      <c r="C2473" t="s">
        <v>136</v>
      </c>
      <c r="D2473" t="s">
        <v>113</v>
      </c>
      <c r="E2473" t="s">
        <v>53</v>
      </c>
      <c r="F2473" t="s">
        <v>114</v>
      </c>
      <c r="G2473">
        <v>119062</v>
      </c>
      <c r="H2473" s="75">
        <v>43695</v>
      </c>
      <c r="I2473" t="s">
        <v>115</v>
      </c>
      <c r="J2473">
        <v>5000</v>
      </c>
      <c r="K2473">
        <v>150.32900000000001</v>
      </c>
      <c r="L2473">
        <v>33.260399999999997</v>
      </c>
      <c r="M2473">
        <v>11446.846</v>
      </c>
      <c r="N2473" t="s">
        <v>15</v>
      </c>
    </row>
    <row r="2474" spans="1:15" x14ac:dyDescent="0.2">
      <c r="A2474" t="s">
        <v>18</v>
      </c>
      <c r="B2474" t="s">
        <v>135</v>
      </c>
      <c r="C2474" t="s">
        <v>136</v>
      </c>
      <c r="D2474" t="s">
        <v>113</v>
      </c>
      <c r="E2474" t="s">
        <v>53</v>
      </c>
      <c r="F2474" t="s">
        <v>114</v>
      </c>
      <c r="G2474">
        <v>119062</v>
      </c>
      <c r="H2474" s="75">
        <v>43695</v>
      </c>
      <c r="I2474" t="s">
        <v>116</v>
      </c>
      <c r="J2474">
        <v>2.5</v>
      </c>
      <c r="K2474">
        <v>0</v>
      </c>
      <c r="M2474">
        <v>11446.846</v>
      </c>
      <c r="N2474" t="s">
        <v>17</v>
      </c>
    </row>
    <row r="2475" spans="1:15" x14ac:dyDescent="0.2">
      <c r="A2475" t="s">
        <v>18</v>
      </c>
      <c r="B2475" t="s">
        <v>135</v>
      </c>
      <c r="C2475" t="s">
        <v>136</v>
      </c>
      <c r="D2475" t="s">
        <v>113</v>
      </c>
      <c r="E2475" t="s">
        <v>53</v>
      </c>
      <c r="F2475" t="s">
        <v>114</v>
      </c>
      <c r="G2475">
        <v>119062</v>
      </c>
      <c r="H2475" s="75">
        <v>43725</v>
      </c>
      <c r="I2475" t="s">
        <v>115</v>
      </c>
      <c r="J2475">
        <v>5000</v>
      </c>
      <c r="K2475">
        <v>147.20500000000001</v>
      </c>
      <c r="L2475">
        <v>33.966099999999997</v>
      </c>
      <c r="M2475">
        <v>11594.050999999999</v>
      </c>
      <c r="N2475" t="s">
        <v>15</v>
      </c>
    </row>
    <row r="2476" spans="1:15" x14ac:dyDescent="0.2">
      <c r="A2476" t="s">
        <v>18</v>
      </c>
      <c r="B2476" t="s">
        <v>135</v>
      </c>
      <c r="C2476" t="s">
        <v>136</v>
      </c>
      <c r="D2476" t="s">
        <v>113</v>
      </c>
      <c r="E2476" t="s">
        <v>53</v>
      </c>
      <c r="F2476" t="s">
        <v>114</v>
      </c>
      <c r="G2476">
        <v>119062</v>
      </c>
      <c r="H2476" s="75">
        <v>43755</v>
      </c>
      <c r="I2476" t="s">
        <v>115</v>
      </c>
      <c r="J2476">
        <v>5000</v>
      </c>
      <c r="K2476">
        <v>150.10400000000001</v>
      </c>
      <c r="L2476">
        <v>33.310200000000002</v>
      </c>
      <c r="M2476">
        <v>11744.156000000001</v>
      </c>
      <c r="N2476" t="s">
        <v>15</v>
      </c>
    </row>
    <row r="2477" spans="1:15" x14ac:dyDescent="0.2">
      <c r="A2477" t="s">
        <v>18</v>
      </c>
      <c r="B2477" t="s">
        <v>135</v>
      </c>
      <c r="C2477" t="s">
        <v>136</v>
      </c>
      <c r="D2477" t="s">
        <v>113</v>
      </c>
      <c r="E2477" t="s">
        <v>53</v>
      </c>
      <c r="F2477" t="s">
        <v>114</v>
      </c>
      <c r="G2477">
        <v>119062</v>
      </c>
      <c r="H2477" s="75">
        <v>43785</v>
      </c>
      <c r="I2477" t="s">
        <v>115</v>
      </c>
      <c r="J2477">
        <v>5000</v>
      </c>
      <c r="K2477">
        <v>151.34399999999999</v>
      </c>
      <c r="L2477">
        <v>33.037199999999999</v>
      </c>
      <c r="M2477">
        <v>11895.5</v>
      </c>
      <c r="N2477" t="s">
        <v>15</v>
      </c>
    </row>
    <row r="2478" spans="1:15" x14ac:dyDescent="0.2">
      <c r="A2478" t="s">
        <v>18</v>
      </c>
      <c r="B2478" t="s">
        <v>135</v>
      </c>
      <c r="C2478" t="s">
        <v>136</v>
      </c>
      <c r="D2478" t="s">
        <v>113</v>
      </c>
      <c r="E2478" t="s">
        <v>53</v>
      </c>
      <c r="F2478" t="s">
        <v>114</v>
      </c>
      <c r="G2478">
        <v>119062</v>
      </c>
      <c r="H2478" s="75">
        <v>43815</v>
      </c>
      <c r="I2478" t="s">
        <v>115</v>
      </c>
      <c r="J2478">
        <v>5000</v>
      </c>
      <c r="K2478">
        <v>149.19999999999999</v>
      </c>
      <c r="L2478">
        <v>33.512</v>
      </c>
      <c r="M2478">
        <v>12044.7</v>
      </c>
      <c r="N2478" t="s">
        <v>15</v>
      </c>
    </row>
    <row r="2479" spans="1:15" x14ac:dyDescent="0.2">
      <c r="A2479" t="s">
        <v>18</v>
      </c>
      <c r="B2479" t="s">
        <v>135</v>
      </c>
      <c r="C2479" t="s">
        <v>136</v>
      </c>
      <c r="D2479" t="s">
        <v>113</v>
      </c>
      <c r="E2479" t="s">
        <v>53</v>
      </c>
      <c r="F2479" t="s">
        <v>114</v>
      </c>
      <c r="G2479">
        <v>119062</v>
      </c>
      <c r="H2479" s="75">
        <v>43845</v>
      </c>
      <c r="I2479" t="s">
        <v>115</v>
      </c>
      <c r="J2479">
        <v>5000</v>
      </c>
      <c r="K2479">
        <v>151.67099999999999</v>
      </c>
      <c r="L2479">
        <v>32.966099999999997</v>
      </c>
      <c r="M2479">
        <v>12196.370999999999</v>
      </c>
      <c r="N2479" t="s">
        <v>15</v>
      </c>
    </row>
    <row r="2480" spans="1:15" x14ac:dyDescent="0.2">
      <c r="A2480" t="s">
        <v>18</v>
      </c>
      <c r="B2480" t="s">
        <v>135</v>
      </c>
      <c r="C2480" t="s">
        <v>136</v>
      </c>
      <c r="D2480" t="s">
        <v>113</v>
      </c>
      <c r="E2480" t="s">
        <v>53</v>
      </c>
      <c r="F2480" t="s">
        <v>114</v>
      </c>
      <c r="G2480">
        <v>119062</v>
      </c>
      <c r="H2480" s="75">
        <v>43845</v>
      </c>
      <c r="I2480" t="s">
        <v>118</v>
      </c>
      <c r="J2480">
        <v>6098.19</v>
      </c>
      <c r="K2480">
        <v>0</v>
      </c>
      <c r="M2480">
        <v>12196.370999999999</v>
      </c>
      <c r="N2480" t="s">
        <v>19</v>
      </c>
      <c r="O2480">
        <v>6098.19</v>
      </c>
    </row>
    <row r="2481" spans="1:14" x14ac:dyDescent="0.2">
      <c r="A2481" t="s">
        <v>18</v>
      </c>
      <c r="B2481" t="s">
        <v>135</v>
      </c>
      <c r="C2481" t="s">
        <v>136</v>
      </c>
      <c r="D2481" t="s">
        <v>113</v>
      </c>
      <c r="E2481" t="s">
        <v>53</v>
      </c>
      <c r="F2481" t="s">
        <v>114</v>
      </c>
      <c r="G2481">
        <v>119062</v>
      </c>
      <c r="H2481" s="75">
        <v>43875</v>
      </c>
      <c r="I2481" t="s">
        <v>115</v>
      </c>
      <c r="J2481">
        <v>5000</v>
      </c>
      <c r="K2481">
        <v>148.65700000000001</v>
      </c>
      <c r="L2481">
        <v>33.634399999999999</v>
      </c>
      <c r="M2481">
        <v>12345.029</v>
      </c>
      <c r="N2481" t="s">
        <v>15</v>
      </c>
    </row>
    <row r="2482" spans="1:14" x14ac:dyDescent="0.2">
      <c r="A2482" t="s">
        <v>18</v>
      </c>
      <c r="B2482" t="s">
        <v>135</v>
      </c>
      <c r="C2482" t="s">
        <v>136</v>
      </c>
      <c r="D2482" t="s">
        <v>113</v>
      </c>
      <c r="E2482" t="s">
        <v>53</v>
      </c>
      <c r="F2482" t="s">
        <v>114</v>
      </c>
      <c r="G2482">
        <v>119062</v>
      </c>
      <c r="H2482" s="75">
        <v>43875</v>
      </c>
      <c r="I2482" t="s">
        <v>116</v>
      </c>
      <c r="J2482">
        <v>2.5</v>
      </c>
      <c r="K2482">
        <v>0</v>
      </c>
      <c r="M2482">
        <v>12345.029</v>
      </c>
      <c r="N2482" t="s">
        <v>17</v>
      </c>
    </row>
    <row r="2483" spans="1:14" x14ac:dyDescent="0.2">
      <c r="A2483" t="s">
        <v>18</v>
      </c>
      <c r="B2483" t="s">
        <v>135</v>
      </c>
      <c r="C2483" t="s">
        <v>136</v>
      </c>
      <c r="D2483" t="s">
        <v>113</v>
      </c>
      <c r="E2483" t="s">
        <v>53</v>
      </c>
      <c r="F2483" t="s">
        <v>114</v>
      </c>
      <c r="G2483">
        <v>119062</v>
      </c>
      <c r="H2483" s="75">
        <v>43905</v>
      </c>
      <c r="I2483" t="s">
        <v>115</v>
      </c>
      <c r="J2483">
        <v>5000</v>
      </c>
      <c r="K2483">
        <v>150.80500000000001</v>
      </c>
      <c r="L2483">
        <v>33.1554</v>
      </c>
      <c r="M2483">
        <v>12495.834000000001</v>
      </c>
      <c r="N2483" t="s">
        <v>15</v>
      </c>
    </row>
    <row r="2484" spans="1:14" x14ac:dyDescent="0.2">
      <c r="A2484" t="s">
        <v>18</v>
      </c>
      <c r="B2484" t="s">
        <v>135</v>
      </c>
      <c r="C2484" t="s">
        <v>136</v>
      </c>
      <c r="D2484" t="s">
        <v>113</v>
      </c>
      <c r="E2484" t="s">
        <v>53</v>
      </c>
      <c r="F2484" t="s">
        <v>114</v>
      </c>
      <c r="G2484">
        <v>119062</v>
      </c>
      <c r="H2484" s="75">
        <v>43905</v>
      </c>
      <c r="I2484" t="s">
        <v>25</v>
      </c>
      <c r="J2484">
        <v>-82860.83</v>
      </c>
      <c r="K2484">
        <v>-2499.1669999999999</v>
      </c>
      <c r="L2484">
        <v>33.1554</v>
      </c>
      <c r="M2484">
        <v>9996.6669999999995</v>
      </c>
      <c r="N2484" t="s">
        <v>16</v>
      </c>
    </row>
    <row r="2485" spans="1:14" x14ac:dyDescent="0.2">
      <c r="A2485" t="s">
        <v>18</v>
      </c>
      <c r="B2485" t="s">
        <v>135</v>
      </c>
      <c r="C2485" t="s">
        <v>136</v>
      </c>
      <c r="D2485" t="s">
        <v>113</v>
      </c>
      <c r="E2485" t="s">
        <v>53</v>
      </c>
      <c r="F2485" t="s">
        <v>114</v>
      </c>
      <c r="G2485">
        <v>119062</v>
      </c>
      <c r="H2485" s="75">
        <v>43935</v>
      </c>
      <c r="I2485" t="s">
        <v>115</v>
      </c>
      <c r="J2485">
        <v>5000</v>
      </c>
      <c r="K2485">
        <v>152.184</v>
      </c>
      <c r="L2485">
        <v>32.854900000000001</v>
      </c>
      <c r="M2485">
        <v>10148.852000000001</v>
      </c>
      <c r="N2485" t="s">
        <v>15</v>
      </c>
    </row>
    <row r="2486" spans="1:14" x14ac:dyDescent="0.2">
      <c r="A2486" t="s">
        <v>18</v>
      </c>
      <c r="B2486" t="s">
        <v>135</v>
      </c>
      <c r="C2486" t="s">
        <v>136</v>
      </c>
      <c r="D2486" t="s">
        <v>113</v>
      </c>
      <c r="E2486" t="s">
        <v>53</v>
      </c>
      <c r="F2486" t="s">
        <v>114</v>
      </c>
      <c r="G2486">
        <v>119062</v>
      </c>
      <c r="H2486" s="75">
        <v>43965</v>
      </c>
      <c r="I2486" t="s">
        <v>115</v>
      </c>
      <c r="J2486">
        <v>5000</v>
      </c>
      <c r="K2486">
        <v>151.66999999999999</v>
      </c>
      <c r="L2486">
        <v>32.966299999999997</v>
      </c>
      <c r="M2486">
        <v>10300.522000000001</v>
      </c>
      <c r="N2486" t="s">
        <v>15</v>
      </c>
    </row>
    <row r="2487" spans="1:14" x14ac:dyDescent="0.2">
      <c r="A2487" t="s">
        <v>18</v>
      </c>
      <c r="B2487" t="s">
        <v>135</v>
      </c>
      <c r="C2487" t="s">
        <v>136</v>
      </c>
      <c r="D2487" t="s">
        <v>113</v>
      </c>
      <c r="E2487" t="s">
        <v>53</v>
      </c>
      <c r="F2487" t="s">
        <v>114</v>
      </c>
      <c r="G2487">
        <v>119062</v>
      </c>
      <c r="H2487" s="75">
        <v>43995</v>
      </c>
      <c r="I2487" t="s">
        <v>115</v>
      </c>
      <c r="J2487">
        <v>5000</v>
      </c>
      <c r="K2487">
        <v>149.88</v>
      </c>
      <c r="L2487">
        <v>33.360100000000003</v>
      </c>
      <c r="M2487">
        <v>10450.401</v>
      </c>
      <c r="N2487" t="s">
        <v>15</v>
      </c>
    </row>
    <row r="2488" spans="1:14" x14ac:dyDescent="0.2">
      <c r="A2488" t="s">
        <v>18</v>
      </c>
      <c r="B2488" t="s">
        <v>135</v>
      </c>
      <c r="C2488" t="s">
        <v>136</v>
      </c>
      <c r="D2488" t="s">
        <v>113</v>
      </c>
      <c r="E2488" t="s">
        <v>53</v>
      </c>
      <c r="F2488" t="s">
        <v>114</v>
      </c>
      <c r="G2488">
        <v>119062</v>
      </c>
      <c r="H2488" s="75">
        <v>44025</v>
      </c>
      <c r="I2488" t="s">
        <v>115</v>
      </c>
      <c r="J2488">
        <v>5000</v>
      </c>
      <c r="K2488">
        <v>147.21299999999999</v>
      </c>
      <c r="L2488">
        <v>33.964399999999998</v>
      </c>
      <c r="M2488">
        <v>10597.614</v>
      </c>
      <c r="N2488" t="s">
        <v>15</v>
      </c>
    </row>
    <row r="2489" spans="1:14" x14ac:dyDescent="0.2">
      <c r="A2489" t="s">
        <v>18</v>
      </c>
      <c r="B2489" t="s">
        <v>135</v>
      </c>
      <c r="C2489" t="s">
        <v>136</v>
      </c>
      <c r="D2489" t="s">
        <v>113</v>
      </c>
      <c r="E2489" t="s">
        <v>53</v>
      </c>
      <c r="F2489" t="s">
        <v>114</v>
      </c>
      <c r="G2489">
        <v>119062</v>
      </c>
      <c r="H2489" s="75">
        <v>44055</v>
      </c>
      <c r="I2489" t="s">
        <v>115</v>
      </c>
      <c r="J2489">
        <v>5000</v>
      </c>
      <c r="K2489">
        <v>145.41399999999999</v>
      </c>
      <c r="L2489">
        <v>34.384599999999999</v>
      </c>
      <c r="M2489">
        <v>10743.028</v>
      </c>
      <c r="N2489" t="s">
        <v>15</v>
      </c>
    </row>
    <row r="2490" spans="1:14" x14ac:dyDescent="0.2">
      <c r="A2490" t="s">
        <v>18</v>
      </c>
      <c r="B2490" t="s">
        <v>135</v>
      </c>
      <c r="C2490" t="s">
        <v>136</v>
      </c>
      <c r="D2490" t="s">
        <v>113</v>
      </c>
      <c r="E2490" t="s">
        <v>53</v>
      </c>
      <c r="F2490" t="s">
        <v>114</v>
      </c>
      <c r="G2490">
        <v>119062</v>
      </c>
      <c r="H2490" s="75">
        <v>44085</v>
      </c>
      <c r="I2490" t="s">
        <v>115</v>
      </c>
      <c r="J2490">
        <v>5000</v>
      </c>
      <c r="K2490">
        <v>143.72499999999999</v>
      </c>
      <c r="L2490">
        <v>34.788699999999999</v>
      </c>
      <c r="M2490">
        <v>10886.753000000001</v>
      </c>
      <c r="N2490" t="s">
        <v>15</v>
      </c>
    </row>
    <row r="2491" spans="1:14" x14ac:dyDescent="0.2">
      <c r="A2491" t="s">
        <v>18</v>
      </c>
      <c r="B2491" t="s">
        <v>135</v>
      </c>
      <c r="C2491" t="s">
        <v>136</v>
      </c>
      <c r="D2491" t="s">
        <v>113</v>
      </c>
      <c r="E2491" t="s">
        <v>53</v>
      </c>
      <c r="F2491" t="s">
        <v>114</v>
      </c>
      <c r="G2491">
        <v>119062</v>
      </c>
      <c r="H2491" s="75">
        <v>44115</v>
      </c>
      <c r="I2491" t="s">
        <v>115</v>
      </c>
      <c r="J2491">
        <v>5000</v>
      </c>
      <c r="K2491">
        <v>143.09800000000001</v>
      </c>
      <c r="L2491">
        <v>34.941200000000002</v>
      </c>
      <c r="M2491">
        <v>11029.851000000001</v>
      </c>
      <c r="N2491" t="s">
        <v>15</v>
      </c>
    </row>
    <row r="2492" spans="1:14" x14ac:dyDescent="0.2">
      <c r="A2492" t="s">
        <v>18</v>
      </c>
      <c r="B2492" t="s">
        <v>135</v>
      </c>
      <c r="C2492" t="s">
        <v>136</v>
      </c>
      <c r="D2492" t="s">
        <v>113</v>
      </c>
      <c r="E2492" t="s">
        <v>53</v>
      </c>
      <c r="F2492" t="s">
        <v>114</v>
      </c>
      <c r="G2492">
        <v>119062</v>
      </c>
      <c r="H2492" s="75">
        <v>44115</v>
      </c>
      <c r="I2492" t="s">
        <v>117</v>
      </c>
      <c r="J2492">
        <v>2.5</v>
      </c>
      <c r="K2492">
        <v>0</v>
      </c>
      <c r="M2492">
        <v>11029.851000000001</v>
      </c>
      <c r="N2492" t="s">
        <v>46</v>
      </c>
    </row>
    <row r="2493" spans="1:14" x14ac:dyDescent="0.2">
      <c r="A2493" t="s">
        <v>18</v>
      </c>
      <c r="B2493" t="s">
        <v>135</v>
      </c>
      <c r="C2493" t="s">
        <v>136</v>
      </c>
      <c r="D2493" t="s">
        <v>113</v>
      </c>
      <c r="E2493" t="s">
        <v>53</v>
      </c>
      <c r="F2493" t="s">
        <v>114</v>
      </c>
      <c r="G2493">
        <v>119062</v>
      </c>
      <c r="H2493" s="75">
        <v>44145</v>
      </c>
      <c r="I2493" t="s">
        <v>115</v>
      </c>
      <c r="J2493">
        <v>5000</v>
      </c>
      <c r="K2493">
        <v>139.32499999999999</v>
      </c>
      <c r="L2493">
        <v>35.8874</v>
      </c>
      <c r="M2493">
        <v>11169.174999999999</v>
      </c>
      <c r="N2493" t="s">
        <v>15</v>
      </c>
    </row>
    <row r="2494" spans="1:14" x14ac:dyDescent="0.2">
      <c r="A2494" t="s">
        <v>18</v>
      </c>
      <c r="B2494" t="s">
        <v>135</v>
      </c>
      <c r="C2494" t="s">
        <v>136</v>
      </c>
      <c r="D2494" t="s">
        <v>113</v>
      </c>
      <c r="E2494" t="s">
        <v>53</v>
      </c>
      <c r="F2494" t="s">
        <v>114</v>
      </c>
      <c r="G2494">
        <v>119062</v>
      </c>
      <c r="H2494" s="75">
        <v>44175</v>
      </c>
      <c r="I2494" t="s">
        <v>115</v>
      </c>
      <c r="J2494">
        <v>5000</v>
      </c>
      <c r="K2494">
        <v>137.76599999999999</v>
      </c>
      <c r="L2494">
        <v>36.293399999999998</v>
      </c>
      <c r="M2494">
        <v>11306.941000000001</v>
      </c>
      <c r="N2494" t="s">
        <v>15</v>
      </c>
    </row>
    <row r="2495" spans="1:14" x14ac:dyDescent="0.2">
      <c r="A2495" t="s">
        <v>18</v>
      </c>
      <c r="B2495" t="s">
        <v>135</v>
      </c>
      <c r="C2495" t="s">
        <v>136</v>
      </c>
      <c r="D2495" t="s">
        <v>113</v>
      </c>
      <c r="E2495" t="s">
        <v>53</v>
      </c>
      <c r="F2495" t="s">
        <v>114</v>
      </c>
      <c r="G2495">
        <v>119062</v>
      </c>
      <c r="H2495" s="75">
        <v>44175</v>
      </c>
      <c r="I2495" t="s">
        <v>117</v>
      </c>
      <c r="J2495">
        <v>2.5</v>
      </c>
      <c r="K2495">
        <v>0</v>
      </c>
      <c r="M2495">
        <v>11306.941000000001</v>
      </c>
      <c r="N2495" t="s">
        <v>46</v>
      </c>
    </row>
    <row r="2496" spans="1:14" x14ac:dyDescent="0.2">
      <c r="A2496" t="s">
        <v>18</v>
      </c>
      <c r="B2496" t="s">
        <v>135</v>
      </c>
      <c r="C2496" t="s">
        <v>136</v>
      </c>
      <c r="D2496" t="s">
        <v>113</v>
      </c>
      <c r="E2496" t="s">
        <v>53</v>
      </c>
      <c r="F2496" t="s">
        <v>114</v>
      </c>
      <c r="G2496">
        <v>119062</v>
      </c>
      <c r="H2496" s="75">
        <v>44205</v>
      </c>
      <c r="I2496" t="s">
        <v>115</v>
      </c>
      <c r="J2496">
        <v>5000</v>
      </c>
      <c r="K2496">
        <v>136.25800000000001</v>
      </c>
      <c r="L2496">
        <v>36.6952</v>
      </c>
      <c r="M2496">
        <v>11443.199000000001</v>
      </c>
      <c r="N2496" t="s">
        <v>15</v>
      </c>
    </row>
    <row r="2497" spans="1:14" x14ac:dyDescent="0.2">
      <c r="A2497" t="s">
        <v>18</v>
      </c>
      <c r="B2497" t="s">
        <v>135</v>
      </c>
      <c r="C2497" t="s">
        <v>136</v>
      </c>
      <c r="D2497" t="s">
        <v>113</v>
      </c>
      <c r="E2497" t="s">
        <v>53</v>
      </c>
      <c r="F2497" t="s">
        <v>114</v>
      </c>
      <c r="G2497">
        <v>119062</v>
      </c>
      <c r="H2497" s="75">
        <v>44235</v>
      </c>
      <c r="I2497" t="s">
        <v>115</v>
      </c>
      <c r="J2497">
        <v>5000</v>
      </c>
      <c r="K2497">
        <v>133.68700000000001</v>
      </c>
      <c r="L2497">
        <v>37.4009</v>
      </c>
      <c r="M2497">
        <v>11576.885</v>
      </c>
      <c r="N2497" t="s">
        <v>15</v>
      </c>
    </row>
    <row r="2498" spans="1:14" x14ac:dyDescent="0.2">
      <c r="A2498" t="s">
        <v>18</v>
      </c>
      <c r="B2498" t="s">
        <v>135</v>
      </c>
      <c r="C2498" t="s">
        <v>136</v>
      </c>
      <c r="D2498" t="s">
        <v>113</v>
      </c>
      <c r="E2498" t="s">
        <v>53</v>
      </c>
      <c r="F2498" t="s">
        <v>114</v>
      </c>
      <c r="G2498">
        <v>119062</v>
      </c>
      <c r="H2498" s="75">
        <v>44265</v>
      </c>
      <c r="I2498" t="s">
        <v>115</v>
      </c>
      <c r="J2498">
        <v>5000</v>
      </c>
      <c r="K2498">
        <v>132.172</v>
      </c>
      <c r="L2498">
        <v>37.829500000000003</v>
      </c>
      <c r="M2498">
        <v>11709.057000000001</v>
      </c>
      <c r="N2498" t="s">
        <v>15</v>
      </c>
    </row>
    <row r="2499" spans="1:14" x14ac:dyDescent="0.2">
      <c r="A2499" t="s">
        <v>18</v>
      </c>
      <c r="B2499" t="s">
        <v>135</v>
      </c>
      <c r="C2499" t="s">
        <v>136</v>
      </c>
      <c r="D2499" t="s">
        <v>113</v>
      </c>
      <c r="E2499" t="s">
        <v>53</v>
      </c>
      <c r="F2499" t="s">
        <v>114</v>
      </c>
      <c r="G2499">
        <v>119062</v>
      </c>
      <c r="H2499" s="75">
        <v>44295</v>
      </c>
      <c r="I2499" t="s">
        <v>115</v>
      </c>
      <c r="J2499">
        <v>5000</v>
      </c>
      <c r="K2499">
        <v>131.12299999999999</v>
      </c>
      <c r="L2499">
        <v>38.132199999999997</v>
      </c>
      <c r="M2499">
        <v>11840.18</v>
      </c>
      <c r="N2499" t="s">
        <v>15</v>
      </c>
    </row>
    <row r="2500" spans="1:14" x14ac:dyDescent="0.2">
      <c r="A2500" t="s">
        <v>18</v>
      </c>
      <c r="B2500" t="s">
        <v>135</v>
      </c>
      <c r="C2500" t="s">
        <v>136</v>
      </c>
      <c r="D2500" t="s">
        <v>113</v>
      </c>
      <c r="E2500" t="s">
        <v>53</v>
      </c>
      <c r="F2500" t="s">
        <v>114</v>
      </c>
      <c r="G2500">
        <v>119062</v>
      </c>
      <c r="H2500" s="75">
        <v>44325</v>
      </c>
      <c r="I2500" t="s">
        <v>115</v>
      </c>
      <c r="J2500">
        <v>5000</v>
      </c>
      <c r="K2500">
        <v>129.51900000000001</v>
      </c>
      <c r="L2500">
        <v>38.604300000000002</v>
      </c>
      <c r="M2500">
        <v>11969.699000000001</v>
      </c>
      <c r="N2500" t="s">
        <v>15</v>
      </c>
    </row>
    <row r="2501" spans="1:14" x14ac:dyDescent="0.2">
      <c r="A2501" t="s">
        <v>18</v>
      </c>
      <c r="B2501" t="s">
        <v>135</v>
      </c>
      <c r="C2501" t="s">
        <v>136</v>
      </c>
      <c r="D2501" t="s">
        <v>113</v>
      </c>
      <c r="E2501" t="s">
        <v>53</v>
      </c>
      <c r="F2501" t="s">
        <v>114</v>
      </c>
      <c r="G2501">
        <v>119062</v>
      </c>
      <c r="H2501" s="75">
        <v>44355</v>
      </c>
      <c r="I2501" t="s">
        <v>115</v>
      </c>
      <c r="J2501">
        <v>5000</v>
      </c>
      <c r="K2501">
        <v>131.488</v>
      </c>
      <c r="L2501">
        <v>38.026400000000002</v>
      </c>
      <c r="M2501">
        <v>12101.187</v>
      </c>
      <c r="N2501" t="s">
        <v>15</v>
      </c>
    </row>
    <row r="2502" spans="1:14" x14ac:dyDescent="0.2">
      <c r="A2502" t="s">
        <v>18</v>
      </c>
      <c r="B2502" t="s">
        <v>135</v>
      </c>
      <c r="C2502" t="s">
        <v>136</v>
      </c>
      <c r="D2502" t="s">
        <v>113</v>
      </c>
      <c r="E2502" t="s">
        <v>53</v>
      </c>
      <c r="F2502" t="s">
        <v>114</v>
      </c>
      <c r="G2502">
        <v>119062</v>
      </c>
      <c r="H2502" s="75">
        <v>44385</v>
      </c>
      <c r="I2502" t="s">
        <v>115</v>
      </c>
      <c r="J2502">
        <v>5000</v>
      </c>
      <c r="K2502">
        <v>133.04300000000001</v>
      </c>
      <c r="L2502">
        <v>37.581800000000001</v>
      </c>
      <c r="M2502">
        <v>12234.23</v>
      </c>
      <c r="N2502" t="s">
        <v>15</v>
      </c>
    </row>
    <row r="2503" spans="1:14" x14ac:dyDescent="0.2">
      <c r="A2503" t="s">
        <v>18</v>
      </c>
      <c r="B2503" t="s">
        <v>135</v>
      </c>
      <c r="C2503" t="s">
        <v>136</v>
      </c>
      <c r="D2503" t="s">
        <v>113</v>
      </c>
      <c r="E2503" t="s">
        <v>53</v>
      </c>
      <c r="F2503" t="s">
        <v>114</v>
      </c>
      <c r="G2503">
        <v>119062</v>
      </c>
      <c r="H2503" s="75">
        <v>44385</v>
      </c>
      <c r="I2503" t="s">
        <v>117</v>
      </c>
      <c r="J2503">
        <v>2.5</v>
      </c>
      <c r="K2503">
        <v>0</v>
      </c>
      <c r="M2503">
        <v>12234.23</v>
      </c>
      <c r="N2503" t="s">
        <v>46</v>
      </c>
    </row>
    <row r="2504" spans="1:14" x14ac:dyDescent="0.2">
      <c r="A2504" t="s">
        <v>18</v>
      </c>
      <c r="B2504" t="s">
        <v>135</v>
      </c>
      <c r="C2504" t="s">
        <v>136</v>
      </c>
      <c r="D2504" t="s">
        <v>113</v>
      </c>
      <c r="E2504" t="s">
        <v>53</v>
      </c>
      <c r="F2504" t="s">
        <v>114</v>
      </c>
      <c r="G2504">
        <v>119062</v>
      </c>
      <c r="H2504" s="75">
        <v>44415</v>
      </c>
      <c r="I2504" t="s">
        <v>115</v>
      </c>
      <c r="J2504">
        <v>5000</v>
      </c>
      <c r="K2504">
        <v>132.995</v>
      </c>
      <c r="L2504">
        <v>37.595500000000001</v>
      </c>
      <c r="M2504">
        <v>12367.225</v>
      </c>
      <c r="N2504" t="s">
        <v>15</v>
      </c>
    </row>
    <row r="2505" spans="1:14" x14ac:dyDescent="0.2">
      <c r="A2505" t="s">
        <v>18</v>
      </c>
      <c r="B2505" t="s">
        <v>135</v>
      </c>
      <c r="C2505" t="s">
        <v>136</v>
      </c>
      <c r="D2505" t="s">
        <v>113</v>
      </c>
      <c r="E2505" t="s">
        <v>53</v>
      </c>
      <c r="F2505" t="s">
        <v>114</v>
      </c>
      <c r="G2505">
        <v>119062</v>
      </c>
      <c r="H2505" s="75">
        <v>44445</v>
      </c>
      <c r="I2505" t="s">
        <v>115</v>
      </c>
      <c r="J2505">
        <v>5000</v>
      </c>
      <c r="K2505">
        <v>135.423</v>
      </c>
      <c r="L2505">
        <v>36.921300000000002</v>
      </c>
      <c r="M2505">
        <v>12502.647999999999</v>
      </c>
      <c r="N2505" t="s">
        <v>15</v>
      </c>
    </row>
    <row r="2506" spans="1:14" x14ac:dyDescent="0.2">
      <c r="A2506" t="s">
        <v>18</v>
      </c>
      <c r="B2506" t="s">
        <v>135</v>
      </c>
      <c r="C2506" t="s">
        <v>136</v>
      </c>
      <c r="D2506" t="s">
        <v>113</v>
      </c>
      <c r="E2506" t="s">
        <v>53</v>
      </c>
      <c r="F2506" t="s">
        <v>114</v>
      </c>
      <c r="G2506">
        <v>119062</v>
      </c>
      <c r="H2506" s="75">
        <v>44475</v>
      </c>
      <c r="I2506" t="s">
        <v>115</v>
      </c>
      <c r="J2506">
        <v>5000</v>
      </c>
      <c r="K2506">
        <v>136.76599999999999</v>
      </c>
      <c r="L2506">
        <v>36.558799999999998</v>
      </c>
      <c r="M2506">
        <v>12639.414000000001</v>
      </c>
      <c r="N2506" t="s">
        <v>15</v>
      </c>
    </row>
    <row r="2507" spans="1:14" x14ac:dyDescent="0.2">
      <c r="A2507" t="s">
        <v>18</v>
      </c>
      <c r="B2507" t="s">
        <v>135</v>
      </c>
      <c r="C2507" t="s">
        <v>136</v>
      </c>
      <c r="D2507" t="s">
        <v>113</v>
      </c>
      <c r="E2507" t="s">
        <v>53</v>
      </c>
      <c r="F2507" t="s">
        <v>114</v>
      </c>
      <c r="G2507">
        <v>119062</v>
      </c>
      <c r="H2507" s="75">
        <v>44505</v>
      </c>
      <c r="I2507" t="s">
        <v>115</v>
      </c>
      <c r="J2507">
        <v>5000</v>
      </c>
      <c r="K2507">
        <v>136.256</v>
      </c>
      <c r="L2507">
        <v>36.695700000000002</v>
      </c>
      <c r="M2507">
        <v>12775.67</v>
      </c>
      <c r="N2507" t="s">
        <v>15</v>
      </c>
    </row>
    <row r="2508" spans="1:14" x14ac:dyDescent="0.2">
      <c r="A2508" t="s">
        <v>18</v>
      </c>
      <c r="B2508" t="s">
        <v>135</v>
      </c>
      <c r="C2508" t="s">
        <v>136</v>
      </c>
      <c r="D2508" t="s">
        <v>113</v>
      </c>
      <c r="E2508" t="s">
        <v>53</v>
      </c>
      <c r="F2508" t="s">
        <v>114</v>
      </c>
      <c r="G2508">
        <v>119062</v>
      </c>
      <c r="H2508" s="75">
        <v>44535</v>
      </c>
      <c r="I2508" t="s">
        <v>115</v>
      </c>
      <c r="J2508">
        <v>5000</v>
      </c>
      <c r="K2508">
        <v>138.76300000000001</v>
      </c>
      <c r="L2508">
        <v>36.032800000000002</v>
      </c>
      <c r="M2508">
        <v>12914.432000000001</v>
      </c>
      <c r="N2508" t="s">
        <v>15</v>
      </c>
    </row>
    <row r="2509" spans="1:14" x14ac:dyDescent="0.2">
      <c r="A2509" t="s">
        <v>18</v>
      </c>
      <c r="B2509" t="s">
        <v>135</v>
      </c>
      <c r="C2509" t="s">
        <v>136</v>
      </c>
      <c r="D2509" t="s">
        <v>113</v>
      </c>
      <c r="E2509" t="s">
        <v>53</v>
      </c>
      <c r="F2509" t="s">
        <v>114</v>
      </c>
      <c r="G2509">
        <v>119062</v>
      </c>
      <c r="H2509" s="75">
        <v>44565</v>
      </c>
      <c r="I2509" t="s">
        <v>115</v>
      </c>
      <c r="J2509">
        <v>5000</v>
      </c>
      <c r="K2509">
        <v>135.00299999999999</v>
      </c>
      <c r="L2509">
        <v>37.036099999999998</v>
      </c>
      <c r="M2509">
        <v>13049.436</v>
      </c>
      <c r="N2509" t="s">
        <v>15</v>
      </c>
    </row>
    <row r="2510" spans="1:14" x14ac:dyDescent="0.2">
      <c r="A2510" t="s">
        <v>18</v>
      </c>
      <c r="B2510" t="s">
        <v>135</v>
      </c>
      <c r="C2510" t="s">
        <v>136</v>
      </c>
      <c r="D2510" t="s">
        <v>113</v>
      </c>
      <c r="E2510" t="s">
        <v>53</v>
      </c>
      <c r="F2510" t="s">
        <v>114</v>
      </c>
      <c r="G2510">
        <v>119062</v>
      </c>
      <c r="H2510" s="75">
        <v>44595</v>
      </c>
      <c r="I2510" t="s">
        <v>115</v>
      </c>
      <c r="J2510">
        <v>5000</v>
      </c>
      <c r="K2510">
        <v>135.13</v>
      </c>
      <c r="L2510">
        <v>37.0015</v>
      </c>
      <c r="M2510">
        <v>13184.565000000001</v>
      </c>
      <c r="N2510" t="s">
        <v>15</v>
      </c>
    </row>
    <row r="2511" spans="1:14" x14ac:dyDescent="0.2">
      <c r="A2511" t="s">
        <v>18</v>
      </c>
      <c r="B2511" t="s">
        <v>135</v>
      </c>
      <c r="C2511" t="s">
        <v>136</v>
      </c>
      <c r="D2511" t="s">
        <v>113</v>
      </c>
      <c r="E2511" t="s">
        <v>53</v>
      </c>
      <c r="F2511" t="s">
        <v>114</v>
      </c>
      <c r="G2511">
        <v>119062</v>
      </c>
      <c r="H2511" s="75">
        <v>44625</v>
      </c>
      <c r="I2511" t="s">
        <v>115</v>
      </c>
      <c r="J2511">
        <v>5000</v>
      </c>
      <c r="K2511">
        <v>132.35599999999999</v>
      </c>
      <c r="L2511">
        <v>37.776800000000001</v>
      </c>
      <c r="M2511">
        <v>13316.922</v>
      </c>
      <c r="N2511" t="s">
        <v>15</v>
      </c>
    </row>
    <row r="2512" spans="1:14" x14ac:dyDescent="0.2">
      <c r="A2512" t="s">
        <v>18</v>
      </c>
      <c r="B2512" t="s">
        <v>135</v>
      </c>
      <c r="C2512" t="s">
        <v>136</v>
      </c>
      <c r="D2512" t="s">
        <v>113</v>
      </c>
      <c r="E2512" t="s">
        <v>53</v>
      </c>
      <c r="F2512" t="s">
        <v>114</v>
      </c>
      <c r="G2512">
        <v>119062</v>
      </c>
      <c r="H2512" s="75">
        <v>44655</v>
      </c>
      <c r="I2512" t="s">
        <v>115</v>
      </c>
      <c r="J2512">
        <v>5000</v>
      </c>
      <c r="K2512">
        <v>128.77500000000001</v>
      </c>
      <c r="L2512">
        <v>38.827500000000001</v>
      </c>
      <c r="M2512">
        <v>13445.696</v>
      </c>
      <c r="N2512" t="s">
        <v>15</v>
      </c>
    </row>
    <row r="2513" spans="1:15" x14ac:dyDescent="0.2">
      <c r="A2513" t="s">
        <v>18</v>
      </c>
      <c r="B2513" t="s">
        <v>135</v>
      </c>
      <c r="C2513" t="s">
        <v>136</v>
      </c>
      <c r="D2513" t="s">
        <v>113</v>
      </c>
      <c r="E2513" t="s">
        <v>53</v>
      </c>
      <c r="F2513" t="s">
        <v>114</v>
      </c>
      <c r="G2513">
        <v>119062</v>
      </c>
      <c r="H2513" s="75">
        <v>44655</v>
      </c>
      <c r="I2513" t="s">
        <v>116</v>
      </c>
      <c r="J2513">
        <v>2.5</v>
      </c>
      <c r="K2513">
        <v>0</v>
      </c>
      <c r="M2513">
        <v>13445.696</v>
      </c>
      <c r="N2513" t="s">
        <v>17</v>
      </c>
    </row>
    <row r="2514" spans="1:15" x14ac:dyDescent="0.2">
      <c r="A2514" t="s">
        <v>18</v>
      </c>
      <c r="B2514" t="s">
        <v>135</v>
      </c>
      <c r="C2514" t="s">
        <v>136</v>
      </c>
      <c r="D2514" t="s">
        <v>113</v>
      </c>
      <c r="E2514" t="s">
        <v>53</v>
      </c>
      <c r="F2514" t="s">
        <v>114</v>
      </c>
      <c r="G2514">
        <v>119062</v>
      </c>
      <c r="H2514" s="75">
        <v>44655</v>
      </c>
      <c r="I2514" t="s">
        <v>118</v>
      </c>
      <c r="J2514">
        <v>6722.85</v>
      </c>
      <c r="K2514">
        <v>0</v>
      </c>
      <c r="M2514">
        <v>13445.696</v>
      </c>
      <c r="N2514" t="s">
        <v>19</v>
      </c>
      <c r="O2514">
        <v>6722.85</v>
      </c>
    </row>
    <row r="2515" spans="1:15" x14ac:dyDescent="0.2">
      <c r="A2515" t="s">
        <v>18</v>
      </c>
      <c r="B2515" t="s">
        <v>135</v>
      </c>
      <c r="C2515" t="s">
        <v>136</v>
      </c>
      <c r="D2515" t="s">
        <v>113</v>
      </c>
      <c r="E2515" t="s">
        <v>53</v>
      </c>
      <c r="F2515" t="s">
        <v>114</v>
      </c>
      <c r="G2515">
        <v>119062</v>
      </c>
      <c r="H2515" s="75">
        <v>44685</v>
      </c>
      <c r="I2515" t="s">
        <v>115</v>
      </c>
      <c r="J2515">
        <v>5000</v>
      </c>
      <c r="K2515">
        <v>127.746</v>
      </c>
      <c r="L2515">
        <v>39.140099999999997</v>
      </c>
      <c r="M2515">
        <v>13573.442999999999</v>
      </c>
      <c r="N2515" t="s">
        <v>15</v>
      </c>
    </row>
    <row r="2516" spans="1:15" x14ac:dyDescent="0.2">
      <c r="A2516" t="s">
        <v>18</v>
      </c>
      <c r="B2516" t="s">
        <v>135</v>
      </c>
      <c r="C2516" t="s">
        <v>136</v>
      </c>
      <c r="D2516" t="s">
        <v>113</v>
      </c>
      <c r="E2516" t="s">
        <v>53</v>
      </c>
      <c r="F2516" t="s">
        <v>114</v>
      </c>
      <c r="G2516">
        <v>119062</v>
      </c>
      <c r="H2516" s="75">
        <v>44715</v>
      </c>
      <c r="I2516" t="s">
        <v>115</v>
      </c>
      <c r="J2516">
        <v>5000</v>
      </c>
      <c r="K2516">
        <v>125.21</v>
      </c>
      <c r="L2516">
        <v>39.9328</v>
      </c>
      <c r="M2516">
        <v>13698.653</v>
      </c>
      <c r="N2516" t="s">
        <v>15</v>
      </c>
    </row>
    <row r="2517" spans="1:15" x14ac:dyDescent="0.2">
      <c r="A2517" t="s">
        <v>18</v>
      </c>
      <c r="B2517" t="s">
        <v>135</v>
      </c>
      <c r="C2517" t="s">
        <v>136</v>
      </c>
      <c r="D2517" t="s">
        <v>113</v>
      </c>
      <c r="E2517" t="s">
        <v>53</v>
      </c>
      <c r="F2517" t="s">
        <v>114</v>
      </c>
      <c r="G2517">
        <v>119062</v>
      </c>
      <c r="H2517" s="75">
        <v>44715</v>
      </c>
      <c r="I2517" t="s">
        <v>117</v>
      </c>
      <c r="J2517">
        <v>2.5</v>
      </c>
      <c r="K2517">
        <v>0</v>
      </c>
      <c r="M2517">
        <v>13698.653</v>
      </c>
      <c r="N2517" t="s">
        <v>46</v>
      </c>
    </row>
    <row r="2518" spans="1:15" x14ac:dyDescent="0.2">
      <c r="A2518" t="s">
        <v>18</v>
      </c>
      <c r="B2518" t="s">
        <v>135</v>
      </c>
      <c r="C2518" t="s">
        <v>136</v>
      </c>
      <c r="D2518" t="s">
        <v>113</v>
      </c>
      <c r="E2518" t="s">
        <v>53</v>
      </c>
      <c r="F2518" t="s">
        <v>114</v>
      </c>
      <c r="G2518">
        <v>119062</v>
      </c>
      <c r="H2518" s="75">
        <v>44745</v>
      </c>
      <c r="I2518" t="s">
        <v>115</v>
      </c>
      <c r="J2518">
        <v>5000</v>
      </c>
      <c r="K2518">
        <v>122.93899999999999</v>
      </c>
      <c r="L2518">
        <v>40.670400000000001</v>
      </c>
      <c r="M2518">
        <v>13821.592000000001</v>
      </c>
      <c r="N2518" t="s">
        <v>15</v>
      </c>
    </row>
    <row r="2519" spans="1:15" x14ac:dyDescent="0.2">
      <c r="A2519" t="s">
        <v>18</v>
      </c>
      <c r="B2519" t="s">
        <v>135</v>
      </c>
      <c r="C2519" t="s">
        <v>136</v>
      </c>
      <c r="D2519" t="s">
        <v>113</v>
      </c>
      <c r="E2519" t="s">
        <v>53</v>
      </c>
      <c r="F2519" t="s">
        <v>114</v>
      </c>
      <c r="G2519">
        <v>119062</v>
      </c>
      <c r="H2519" s="75">
        <v>44775</v>
      </c>
      <c r="I2519" t="s">
        <v>115</v>
      </c>
      <c r="J2519">
        <v>5000</v>
      </c>
      <c r="K2519">
        <v>120.726</v>
      </c>
      <c r="L2519">
        <v>41.416200000000003</v>
      </c>
      <c r="M2519">
        <v>13942.317999999999</v>
      </c>
      <c r="N2519" t="s">
        <v>15</v>
      </c>
    </row>
    <row r="2520" spans="1:15" x14ac:dyDescent="0.2">
      <c r="A2520" t="s">
        <v>18</v>
      </c>
      <c r="B2520" t="s">
        <v>135</v>
      </c>
      <c r="C2520" t="s">
        <v>136</v>
      </c>
      <c r="D2520" t="s">
        <v>113</v>
      </c>
      <c r="E2520" t="s">
        <v>53</v>
      </c>
      <c r="F2520" t="s">
        <v>114</v>
      </c>
      <c r="G2520">
        <v>119062</v>
      </c>
      <c r="H2520" s="75">
        <v>44805</v>
      </c>
      <c r="I2520" t="s">
        <v>115</v>
      </c>
      <c r="J2520">
        <v>5000</v>
      </c>
      <c r="K2520">
        <v>122.062</v>
      </c>
      <c r="L2520">
        <v>40.962699999999998</v>
      </c>
      <c r="M2520">
        <v>14064.38</v>
      </c>
      <c r="N2520" t="s">
        <v>15</v>
      </c>
    </row>
    <row r="2521" spans="1:15" x14ac:dyDescent="0.2">
      <c r="A2521" t="s">
        <v>18</v>
      </c>
      <c r="B2521" t="s">
        <v>135</v>
      </c>
      <c r="C2521" t="s">
        <v>136</v>
      </c>
      <c r="D2521" t="s">
        <v>113</v>
      </c>
      <c r="E2521" t="s">
        <v>53</v>
      </c>
      <c r="F2521" t="s">
        <v>114</v>
      </c>
      <c r="G2521">
        <v>119062</v>
      </c>
      <c r="H2521" s="75">
        <v>44835</v>
      </c>
      <c r="I2521" t="s">
        <v>115</v>
      </c>
      <c r="J2521">
        <v>5000</v>
      </c>
      <c r="K2521">
        <v>120.78</v>
      </c>
      <c r="L2521">
        <v>41.3977</v>
      </c>
      <c r="M2521">
        <v>14185.16</v>
      </c>
      <c r="N2521" t="s">
        <v>15</v>
      </c>
    </row>
    <row r="2522" spans="1:15" x14ac:dyDescent="0.2">
      <c r="A2522" t="s">
        <v>18</v>
      </c>
      <c r="B2522" t="s">
        <v>135</v>
      </c>
      <c r="C2522" t="s">
        <v>136</v>
      </c>
      <c r="D2522" t="s">
        <v>113</v>
      </c>
      <c r="E2522" t="s">
        <v>53</v>
      </c>
      <c r="F2522" t="s">
        <v>114</v>
      </c>
      <c r="G2522">
        <v>119062</v>
      </c>
      <c r="H2522" s="75">
        <v>44865</v>
      </c>
      <c r="I2522" t="s">
        <v>115</v>
      </c>
      <c r="J2522">
        <v>5000</v>
      </c>
      <c r="K2522">
        <v>117.599</v>
      </c>
      <c r="L2522">
        <v>42.517499999999998</v>
      </c>
      <c r="M2522">
        <v>14302.758</v>
      </c>
      <c r="N2522" t="s">
        <v>15</v>
      </c>
    </row>
    <row r="2523" spans="1:15" x14ac:dyDescent="0.2">
      <c r="A2523" t="s">
        <v>18</v>
      </c>
      <c r="B2523" t="s">
        <v>135</v>
      </c>
      <c r="C2523" t="s">
        <v>136</v>
      </c>
      <c r="D2523" t="s">
        <v>113</v>
      </c>
      <c r="E2523" t="s">
        <v>53</v>
      </c>
      <c r="F2523" t="s">
        <v>114</v>
      </c>
      <c r="G2523">
        <v>119062</v>
      </c>
      <c r="H2523" s="75">
        <v>44865</v>
      </c>
      <c r="I2523" t="s">
        <v>118</v>
      </c>
      <c r="J2523">
        <v>7151.38</v>
      </c>
      <c r="K2523">
        <v>0</v>
      </c>
      <c r="M2523">
        <v>14302.758</v>
      </c>
      <c r="N2523" t="s">
        <v>19</v>
      </c>
      <c r="O2523">
        <v>7151.38</v>
      </c>
    </row>
    <row r="2524" spans="1:15" x14ac:dyDescent="0.2">
      <c r="A2524" t="s">
        <v>18</v>
      </c>
      <c r="B2524" t="s">
        <v>135</v>
      </c>
      <c r="C2524" t="s">
        <v>136</v>
      </c>
      <c r="D2524" t="s">
        <v>113</v>
      </c>
      <c r="E2524" t="s">
        <v>53</v>
      </c>
      <c r="F2524" t="s">
        <v>114</v>
      </c>
      <c r="G2524">
        <v>119062</v>
      </c>
      <c r="H2524" s="75">
        <v>44895</v>
      </c>
      <c r="I2524" t="s">
        <v>115</v>
      </c>
      <c r="J2524">
        <v>5000</v>
      </c>
      <c r="K2524">
        <v>115.84099999999999</v>
      </c>
      <c r="L2524">
        <v>43.162399999999998</v>
      </c>
      <c r="M2524">
        <v>14418.6</v>
      </c>
      <c r="N2524" t="s">
        <v>15</v>
      </c>
    </row>
    <row r="2525" spans="1:15" x14ac:dyDescent="0.2">
      <c r="A2525" t="s">
        <v>18</v>
      </c>
      <c r="B2525" t="s">
        <v>135</v>
      </c>
      <c r="C2525" t="s">
        <v>136</v>
      </c>
      <c r="D2525" t="s">
        <v>113</v>
      </c>
      <c r="E2525" t="s">
        <v>53</v>
      </c>
      <c r="F2525" t="s">
        <v>114</v>
      </c>
      <c r="G2525">
        <v>119062</v>
      </c>
      <c r="H2525" s="75">
        <v>44925</v>
      </c>
      <c r="I2525" t="s">
        <v>115</v>
      </c>
      <c r="J2525">
        <v>5000</v>
      </c>
      <c r="K2525">
        <v>113.871</v>
      </c>
      <c r="L2525">
        <v>43.909199999999998</v>
      </c>
      <c r="M2525">
        <v>14532.471</v>
      </c>
      <c r="N2525" t="s">
        <v>15</v>
      </c>
    </row>
    <row r="2526" spans="1:15" x14ac:dyDescent="0.2">
      <c r="A2526" t="s">
        <v>18</v>
      </c>
      <c r="B2526" t="s">
        <v>135</v>
      </c>
      <c r="C2526" t="s">
        <v>136</v>
      </c>
      <c r="D2526" t="s">
        <v>113</v>
      </c>
      <c r="E2526" t="s">
        <v>53</v>
      </c>
      <c r="F2526" t="s">
        <v>114</v>
      </c>
      <c r="G2526">
        <v>119062</v>
      </c>
      <c r="H2526" s="75">
        <v>44955</v>
      </c>
      <c r="I2526" t="s">
        <v>115</v>
      </c>
      <c r="J2526">
        <v>5000</v>
      </c>
      <c r="K2526">
        <v>111.20699999999999</v>
      </c>
      <c r="L2526">
        <v>44.960999999999999</v>
      </c>
      <c r="M2526">
        <v>14643.679</v>
      </c>
      <c r="N2526" t="s">
        <v>15</v>
      </c>
    </row>
    <row r="2527" spans="1:15" x14ac:dyDescent="0.2">
      <c r="A2527" t="s">
        <v>18</v>
      </c>
      <c r="B2527" t="s">
        <v>135</v>
      </c>
      <c r="C2527" t="s">
        <v>136</v>
      </c>
      <c r="D2527" t="s">
        <v>113</v>
      </c>
      <c r="E2527" t="s">
        <v>53</v>
      </c>
      <c r="F2527" t="s">
        <v>114</v>
      </c>
      <c r="G2527">
        <v>119062</v>
      </c>
      <c r="H2527" s="75">
        <v>44985</v>
      </c>
      <c r="I2527" t="s">
        <v>115</v>
      </c>
      <c r="J2527">
        <v>5000</v>
      </c>
      <c r="K2527">
        <v>109.33199999999999</v>
      </c>
      <c r="L2527">
        <v>45.732500000000002</v>
      </c>
      <c r="M2527">
        <v>14753.01</v>
      </c>
      <c r="N2527" t="s">
        <v>15</v>
      </c>
    </row>
    <row r="2528" spans="1:15" x14ac:dyDescent="0.2">
      <c r="A2528" t="s">
        <v>18</v>
      </c>
      <c r="B2528" t="s">
        <v>135</v>
      </c>
      <c r="C2528" t="s">
        <v>136</v>
      </c>
      <c r="D2528" t="s">
        <v>113</v>
      </c>
      <c r="E2528" t="s">
        <v>53</v>
      </c>
      <c r="F2528" t="s">
        <v>114</v>
      </c>
      <c r="G2528">
        <v>119062</v>
      </c>
      <c r="H2528" s="75">
        <v>44985</v>
      </c>
      <c r="I2528" t="s">
        <v>116</v>
      </c>
      <c r="J2528">
        <v>2.5</v>
      </c>
      <c r="K2528">
        <v>0</v>
      </c>
      <c r="M2528">
        <v>14753.01</v>
      </c>
      <c r="N2528" t="s">
        <v>17</v>
      </c>
    </row>
    <row r="2529" spans="1:15" x14ac:dyDescent="0.2">
      <c r="A2529" t="s">
        <v>18</v>
      </c>
      <c r="B2529" t="s">
        <v>135</v>
      </c>
      <c r="C2529" t="s">
        <v>136</v>
      </c>
      <c r="D2529" t="s">
        <v>113</v>
      </c>
      <c r="E2529" t="s">
        <v>53</v>
      </c>
      <c r="F2529" t="s">
        <v>114</v>
      </c>
      <c r="G2529">
        <v>119062</v>
      </c>
      <c r="H2529" s="75">
        <v>45015</v>
      </c>
      <c r="I2529" t="s">
        <v>115</v>
      </c>
      <c r="J2529">
        <v>5000</v>
      </c>
      <c r="K2529">
        <v>109.306</v>
      </c>
      <c r="L2529">
        <v>45.743000000000002</v>
      </c>
      <c r="M2529">
        <v>14862.316999999999</v>
      </c>
      <c r="N2529" t="s">
        <v>15</v>
      </c>
    </row>
    <row r="2530" spans="1:15" x14ac:dyDescent="0.2">
      <c r="A2530" t="s">
        <v>18</v>
      </c>
      <c r="B2530" t="s">
        <v>135</v>
      </c>
      <c r="C2530" t="s">
        <v>136</v>
      </c>
      <c r="D2530" t="s">
        <v>113</v>
      </c>
      <c r="E2530" t="s">
        <v>53</v>
      </c>
      <c r="F2530" t="s">
        <v>114</v>
      </c>
      <c r="G2530">
        <v>119062</v>
      </c>
      <c r="H2530" s="75">
        <v>45045</v>
      </c>
      <c r="I2530" t="s">
        <v>115</v>
      </c>
      <c r="J2530">
        <v>5000</v>
      </c>
      <c r="K2530">
        <v>106.533</v>
      </c>
      <c r="L2530">
        <v>46.933799999999998</v>
      </c>
      <c r="M2530">
        <v>14968.85</v>
      </c>
      <c r="N2530" t="s">
        <v>15</v>
      </c>
    </row>
    <row r="2531" spans="1:15" x14ac:dyDescent="0.2">
      <c r="A2531" t="s">
        <v>18</v>
      </c>
      <c r="B2531" t="s">
        <v>135</v>
      </c>
      <c r="C2531" t="s">
        <v>136</v>
      </c>
      <c r="D2531" t="s">
        <v>113</v>
      </c>
      <c r="E2531" t="s">
        <v>53</v>
      </c>
      <c r="F2531" t="s">
        <v>114</v>
      </c>
      <c r="G2531">
        <v>119062</v>
      </c>
      <c r="H2531" s="75">
        <v>45045</v>
      </c>
      <c r="I2531" t="s">
        <v>118</v>
      </c>
      <c r="J2531">
        <v>7484.42</v>
      </c>
      <c r="K2531">
        <v>0</v>
      </c>
      <c r="M2531">
        <v>14968.85</v>
      </c>
      <c r="N2531" t="s">
        <v>19</v>
      </c>
      <c r="O2531">
        <v>7484.42</v>
      </c>
    </row>
    <row r="2532" spans="1:15" x14ac:dyDescent="0.2">
      <c r="A2532" t="s">
        <v>18</v>
      </c>
      <c r="B2532" t="s">
        <v>135</v>
      </c>
      <c r="C2532" t="s">
        <v>136</v>
      </c>
      <c r="D2532" t="s">
        <v>113</v>
      </c>
      <c r="E2532" t="s">
        <v>53</v>
      </c>
      <c r="F2532" t="s">
        <v>114</v>
      </c>
      <c r="G2532">
        <v>119062</v>
      </c>
      <c r="H2532" s="75">
        <v>45075</v>
      </c>
      <c r="I2532" t="s">
        <v>115</v>
      </c>
      <c r="J2532">
        <v>5000</v>
      </c>
      <c r="K2532">
        <v>108.172</v>
      </c>
      <c r="L2532">
        <v>46.2226</v>
      </c>
      <c r="M2532">
        <v>15077.022000000001</v>
      </c>
      <c r="N2532" t="s">
        <v>15</v>
      </c>
    </row>
    <row r="2533" spans="1:15" x14ac:dyDescent="0.2">
      <c r="A2533" t="s">
        <v>18</v>
      </c>
      <c r="B2533" t="s">
        <v>135</v>
      </c>
      <c r="C2533" t="s">
        <v>136</v>
      </c>
      <c r="D2533" t="s">
        <v>113</v>
      </c>
      <c r="E2533" t="s">
        <v>53</v>
      </c>
      <c r="F2533" t="s">
        <v>114</v>
      </c>
      <c r="G2533">
        <v>119062</v>
      </c>
      <c r="H2533" s="75">
        <v>45105</v>
      </c>
      <c r="I2533" t="s">
        <v>115</v>
      </c>
      <c r="J2533">
        <v>5000</v>
      </c>
      <c r="K2533">
        <v>106.45099999999999</v>
      </c>
      <c r="L2533">
        <v>46.969799999999999</v>
      </c>
      <c r="M2533">
        <v>15183.473</v>
      </c>
      <c r="N2533" t="s">
        <v>15</v>
      </c>
    </row>
    <row r="2534" spans="1:15" x14ac:dyDescent="0.2">
      <c r="A2534" t="s">
        <v>18</v>
      </c>
      <c r="B2534" t="s">
        <v>135</v>
      </c>
      <c r="C2534" t="s">
        <v>136</v>
      </c>
      <c r="D2534" t="s">
        <v>113</v>
      </c>
      <c r="E2534" t="s">
        <v>53</v>
      </c>
      <c r="F2534" t="s">
        <v>114</v>
      </c>
      <c r="G2534">
        <v>119062</v>
      </c>
      <c r="H2534" s="75">
        <v>45135</v>
      </c>
      <c r="I2534" t="s">
        <v>115</v>
      </c>
      <c r="J2534">
        <v>5000</v>
      </c>
      <c r="K2534">
        <v>104.84099999999999</v>
      </c>
      <c r="L2534">
        <v>47.691000000000003</v>
      </c>
      <c r="M2534">
        <v>15288.315000000001</v>
      </c>
      <c r="N2534" t="s">
        <v>15</v>
      </c>
    </row>
    <row r="2535" spans="1:15" x14ac:dyDescent="0.2">
      <c r="A2535" t="s">
        <v>18</v>
      </c>
      <c r="B2535" t="s">
        <v>135</v>
      </c>
      <c r="C2535" t="s">
        <v>136</v>
      </c>
      <c r="D2535" t="s">
        <v>113</v>
      </c>
      <c r="E2535" t="s">
        <v>53</v>
      </c>
      <c r="F2535" t="s">
        <v>114</v>
      </c>
      <c r="G2535">
        <v>119062</v>
      </c>
      <c r="H2535" s="75">
        <v>45165</v>
      </c>
      <c r="I2535" t="s">
        <v>115</v>
      </c>
      <c r="J2535">
        <v>5000</v>
      </c>
      <c r="K2535">
        <v>103.688</v>
      </c>
      <c r="L2535">
        <v>48.221400000000003</v>
      </c>
      <c r="M2535">
        <v>15392.003000000001</v>
      </c>
      <c r="N2535" t="s">
        <v>15</v>
      </c>
    </row>
    <row r="2536" spans="1:15" x14ac:dyDescent="0.2">
      <c r="A2536" t="s">
        <v>18</v>
      </c>
      <c r="B2536" t="s">
        <v>135</v>
      </c>
      <c r="C2536" t="s">
        <v>136</v>
      </c>
      <c r="D2536" t="s">
        <v>113</v>
      </c>
      <c r="E2536" t="s">
        <v>53</v>
      </c>
      <c r="F2536" t="s">
        <v>114</v>
      </c>
      <c r="G2536">
        <v>119062</v>
      </c>
      <c r="H2536" s="75">
        <v>45195</v>
      </c>
      <c r="I2536" t="s">
        <v>115</v>
      </c>
      <c r="J2536">
        <v>5000</v>
      </c>
      <c r="K2536">
        <v>105.313</v>
      </c>
      <c r="L2536">
        <v>47.477600000000002</v>
      </c>
      <c r="M2536">
        <v>15497.316000000001</v>
      </c>
      <c r="N2536" t="s">
        <v>15</v>
      </c>
    </row>
    <row r="2537" spans="1:15" x14ac:dyDescent="0.2">
      <c r="A2537" t="s">
        <v>18</v>
      </c>
      <c r="B2537" t="s">
        <v>135</v>
      </c>
      <c r="C2537" t="s">
        <v>136</v>
      </c>
      <c r="D2537" t="s">
        <v>113</v>
      </c>
      <c r="E2537" t="s">
        <v>53</v>
      </c>
      <c r="F2537" t="s">
        <v>114</v>
      </c>
      <c r="G2537">
        <v>119062</v>
      </c>
      <c r="H2537" s="75">
        <v>45225</v>
      </c>
      <c r="I2537" t="s">
        <v>115</v>
      </c>
      <c r="J2537">
        <v>5000</v>
      </c>
      <c r="K2537">
        <v>107.074</v>
      </c>
      <c r="L2537">
        <v>46.696800000000003</v>
      </c>
      <c r="M2537">
        <v>15604.39</v>
      </c>
      <c r="N2537" t="s">
        <v>15</v>
      </c>
    </row>
    <row r="2538" spans="1:15" x14ac:dyDescent="0.2">
      <c r="A2538" t="s">
        <v>18</v>
      </c>
      <c r="B2538" t="s">
        <v>135</v>
      </c>
      <c r="C2538" t="s">
        <v>136</v>
      </c>
      <c r="D2538" t="s">
        <v>113</v>
      </c>
      <c r="E2538" t="s">
        <v>53</v>
      </c>
      <c r="F2538" t="s">
        <v>114</v>
      </c>
      <c r="G2538">
        <v>119062</v>
      </c>
      <c r="H2538" s="75">
        <v>45255</v>
      </c>
      <c r="I2538" t="s">
        <v>115</v>
      </c>
      <c r="J2538">
        <v>5000</v>
      </c>
      <c r="K2538">
        <v>103.967</v>
      </c>
      <c r="L2538">
        <v>48.091999999999999</v>
      </c>
      <c r="M2538">
        <v>15708.357</v>
      </c>
      <c r="N2538" t="s">
        <v>15</v>
      </c>
    </row>
    <row r="2539" spans="1:15" x14ac:dyDescent="0.2">
      <c r="A2539" t="s">
        <v>18</v>
      </c>
      <c r="B2539" t="s">
        <v>135</v>
      </c>
      <c r="C2539" t="s">
        <v>136</v>
      </c>
      <c r="D2539" t="s">
        <v>113</v>
      </c>
      <c r="E2539" t="s">
        <v>53</v>
      </c>
      <c r="F2539" t="s">
        <v>114</v>
      </c>
      <c r="G2539">
        <v>119062</v>
      </c>
      <c r="H2539" s="75">
        <v>45285</v>
      </c>
      <c r="I2539" t="s">
        <v>115</v>
      </c>
      <c r="J2539">
        <v>5000</v>
      </c>
      <c r="K2539">
        <v>101.375</v>
      </c>
      <c r="L2539">
        <v>49.321800000000003</v>
      </c>
      <c r="M2539">
        <v>15809.732</v>
      </c>
      <c r="N2539" t="s">
        <v>15</v>
      </c>
    </row>
    <row r="2540" spans="1:15" x14ac:dyDescent="0.2">
      <c r="A2540" t="s">
        <v>18</v>
      </c>
      <c r="B2540" t="s">
        <v>135</v>
      </c>
      <c r="C2540" t="s">
        <v>136</v>
      </c>
      <c r="D2540" t="s">
        <v>113</v>
      </c>
      <c r="E2540" t="s">
        <v>53</v>
      </c>
      <c r="F2540" t="s">
        <v>114</v>
      </c>
      <c r="G2540">
        <v>119062</v>
      </c>
      <c r="H2540" s="75">
        <v>45285</v>
      </c>
      <c r="I2540" t="s">
        <v>116</v>
      </c>
      <c r="J2540">
        <v>2.5</v>
      </c>
      <c r="K2540">
        <v>0</v>
      </c>
      <c r="M2540">
        <v>15809.732</v>
      </c>
      <c r="N2540" t="s">
        <v>17</v>
      </c>
    </row>
    <row r="2541" spans="1:15" x14ac:dyDescent="0.2">
      <c r="A2541" t="s">
        <v>18</v>
      </c>
      <c r="B2541" t="s">
        <v>135</v>
      </c>
      <c r="C2541" t="s">
        <v>136</v>
      </c>
      <c r="D2541" t="s">
        <v>113</v>
      </c>
      <c r="E2541" t="s">
        <v>53</v>
      </c>
      <c r="F2541" t="s">
        <v>114</v>
      </c>
      <c r="G2541">
        <v>119062</v>
      </c>
      <c r="H2541" s="75">
        <v>45315</v>
      </c>
      <c r="I2541" t="s">
        <v>115</v>
      </c>
      <c r="J2541">
        <v>5000</v>
      </c>
      <c r="K2541">
        <v>98.900999999999996</v>
      </c>
      <c r="L2541">
        <v>50.555700000000002</v>
      </c>
      <c r="M2541">
        <v>15908.633</v>
      </c>
      <c r="N2541" t="s">
        <v>15</v>
      </c>
    </row>
    <row r="2542" spans="1:15" x14ac:dyDescent="0.2">
      <c r="A2542" t="s">
        <v>18</v>
      </c>
      <c r="B2542" t="s">
        <v>135</v>
      </c>
      <c r="C2542" t="s">
        <v>136</v>
      </c>
      <c r="D2542" t="s">
        <v>113</v>
      </c>
      <c r="E2542" t="s">
        <v>53</v>
      </c>
      <c r="F2542" t="s">
        <v>114</v>
      </c>
      <c r="G2542">
        <v>119062</v>
      </c>
      <c r="H2542" s="75">
        <v>45345</v>
      </c>
      <c r="I2542" t="s">
        <v>115</v>
      </c>
      <c r="J2542">
        <v>5000</v>
      </c>
      <c r="K2542">
        <v>99.622</v>
      </c>
      <c r="L2542">
        <v>50.189599999999999</v>
      </c>
      <c r="M2542">
        <v>16008.254999999999</v>
      </c>
      <c r="N2542" t="s">
        <v>15</v>
      </c>
    </row>
    <row r="2543" spans="1:15" x14ac:dyDescent="0.2">
      <c r="A2543" t="s">
        <v>18</v>
      </c>
      <c r="B2543" t="s">
        <v>135</v>
      </c>
      <c r="C2543" t="s">
        <v>136</v>
      </c>
      <c r="D2543" t="s">
        <v>113</v>
      </c>
      <c r="E2543" t="s">
        <v>53</v>
      </c>
      <c r="F2543" t="s">
        <v>114</v>
      </c>
      <c r="G2543">
        <v>119062</v>
      </c>
      <c r="H2543" s="75">
        <v>45375</v>
      </c>
      <c r="I2543" t="s">
        <v>115</v>
      </c>
      <c r="J2543">
        <v>5000</v>
      </c>
      <c r="K2543">
        <v>99.563999999999993</v>
      </c>
      <c r="L2543">
        <v>50.219099999999997</v>
      </c>
      <c r="M2543">
        <v>16107.819</v>
      </c>
      <c r="N2543" t="s">
        <v>15</v>
      </c>
    </row>
    <row r="2544" spans="1:15" x14ac:dyDescent="0.2">
      <c r="A2544" t="s">
        <v>18</v>
      </c>
      <c r="B2544" t="s">
        <v>135</v>
      </c>
      <c r="C2544" t="s">
        <v>136</v>
      </c>
      <c r="D2544" t="s">
        <v>113</v>
      </c>
      <c r="E2544" t="s">
        <v>53</v>
      </c>
      <c r="F2544" t="s">
        <v>114</v>
      </c>
      <c r="G2544">
        <v>119062</v>
      </c>
      <c r="H2544" s="75">
        <v>45405</v>
      </c>
      <c r="I2544" t="s">
        <v>115</v>
      </c>
      <c r="J2544">
        <v>5000</v>
      </c>
      <c r="K2544">
        <v>100.496</v>
      </c>
      <c r="L2544">
        <v>49.753300000000003</v>
      </c>
      <c r="M2544">
        <v>16208.315000000001</v>
      </c>
      <c r="N2544" t="s">
        <v>15</v>
      </c>
    </row>
    <row r="2545" spans="1:15" x14ac:dyDescent="0.2">
      <c r="A2545" t="s">
        <v>18</v>
      </c>
      <c r="B2545" t="s">
        <v>135</v>
      </c>
      <c r="C2545" t="s">
        <v>136</v>
      </c>
      <c r="D2545" t="s">
        <v>113</v>
      </c>
      <c r="E2545" t="s">
        <v>53</v>
      </c>
      <c r="F2545" t="s">
        <v>114</v>
      </c>
      <c r="G2545">
        <v>119062</v>
      </c>
      <c r="H2545" s="75">
        <v>45435</v>
      </c>
      <c r="I2545" t="s">
        <v>115</v>
      </c>
      <c r="J2545">
        <v>5000</v>
      </c>
      <c r="K2545">
        <v>100.879</v>
      </c>
      <c r="L2545">
        <v>49.5642</v>
      </c>
      <c r="M2545">
        <v>16309.194</v>
      </c>
      <c r="N2545" t="s">
        <v>15</v>
      </c>
    </row>
    <row r="2546" spans="1:15" x14ac:dyDescent="0.2">
      <c r="A2546" t="s">
        <v>18</v>
      </c>
      <c r="B2546" t="s">
        <v>135</v>
      </c>
      <c r="C2546" t="s">
        <v>136</v>
      </c>
      <c r="D2546" t="s">
        <v>113</v>
      </c>
      <c r="E2546" t="s">
        <v>53</v>
      </c>
      <c r="F2546" t="s">
        <v>114</v>
      </c>
      <c r="G2546">
        <v>119062</v>
      </c>
      <c r="H2546" s="75">
        <v>45435</v>
      </c>
      <c r="I2546" t="s">
        <v>117</v>
      </c>
      <c r="J2546">
        <v>2.5</v>
      </c>
      <c r="K2546">
        <v>0</v>
      </c>
      <c r="M2546">
        <v>16309.194</v>
      </c>
      <c r="N2546" t="s">
        <v>46</v>
      </c>
    </row>
    <row r="2547" spans="1:15" x14ac:dyDescent="0.2">
      <c r="A2547" t="s">
        <v>18</v>
      </c>
      <c r="B2547" t="s">
        <v>135</v>
      </c>
      <c r="C2547" t="s">
        <v>136</v>
      </c>
      <c r="D2547" t="s">
        <v>113</v>
      </c>
      <c r="E2547" t="s">
        <v>53</v>
      </c>
      <c r="F2547" t="s">
        <v>114</v>
      </c>
      <c r="G2547">
        <v>119062</v>
      </c>
      <c r="H2547" s="75">
        <v>45465</v>
      </c>
      <c r="I2547" t="s">
        <v>115</v>
      </c>
      <c r="J2547">
        <v>5000</v>
      </c>
      <c r="K2547">
        <v>100.345</v>
      </c>
      <c r="L2547">
        <v>49.828000000000003</v>
      </c>
      <c r="M2547">
        <v>16409.539000000001</v>
      </c>
      <c r="N2547" t="s">
        <v>15</v>
      </c>
    </row>
    <row r="2548" spans="1:15" x14ac:dyDescent="0.2">
      <c r="A2548" t="s">
        <v>18</v>
      </c>
      <c r="B2548" t="s">
        <v>135</v>
      </c>
      <c r="C2548" t="s">
        <v>136</v>
      </c>
      <c r="D2548" t="s">
        <v>113</v>
      </c>
      <c r="E2548" t="s">
        <v>53</v>
      </c>
      <c r="F2548" t="s">
        <v>114</v>
      </c>
      <c r="G2548">
        <v>119062</v>
      </c>
      <c r="H2548" s="75">
        <v>45495</v>
      </c>
      <c r="I2548" t="s">
        <v>115</v>
      </c>
      <c r="J2548">
        <v>5000</v>
      </c>
      <c r="K2548">
        <v>98.411000000000001</v>
      </c>
      <c r="L2548">
        <v>50.807299999999998</v>
      </c>
      <c r="M2548">
        <v>16507.95</v>
      </c>
      <c r="N2548" t="s">
        <v>15</v>
      </c>
    </row>
    <row r="2549" spans="1:15" x14ac:dyDescent="0.2">
      <c r="A2549" t="s">
        <v>18</v>
      </c>
      <c r="B2549" t="s">
        <v>135</v>
      </c>
      <c r="C2549" t="s">
        <v>136</v>
      </c>
      <c r="D2549" t="s">
        <v>113</v>
      </c>
      <c r="E2549" t="s">
        <v>53</v>
      </c>
      <c r="F2549" t="s">
        <v>114</v>
      </c>
      <c r="G2549">
        <v>119062</v>
      </c>
      <c r="H2549" s="75">
        <v>45525</v>
      </c>
      <c r="I2549" t="s">
        <v>115</v>
      </c>
      <c r="J2549">
        <v>5000</v>
      </c>
      <c r="K2549">
        <v>100.306</v>
      </c>
      <c r="L2549">
        <v>49.847499999999997</v>
      </c>
      <c r="M2549">
        <v>16608.256000000001</v>
      </c>
      <c r="N2549" t="s">
        <v>15</v>
      </c>
    </row>
    <row r="2550" spans="1:15" x14ac:dyDescent="0.2">
      <c r="A2550" t="s">
        <v>18</v>
      </c>
      <c r="B2550" t="s">
        <v>135</v>
      </c>
      <c r="C2550" t="s">
        <v>136</v>
      </c>
      <c r="D2550" t="s">
        <v>113</v>
      </c>
      <c r="E2550" t="s">
        <v>53</v>
      </c>
      <c r="F2550" t="s">
        <v>114</v>
      </c>
      <c r="G2550">
        <v>119062</v>
      </c>
      <c r="H2550" s="75">
        <v>45525</v>
      </c>
      <c r="I2550" t="s">
        <v>116</v>
      </c>
      <c r="J2550">
        <v>2.5</v>
      </c>
      <c r="K2550">
        <v>0</v>
      </c>
      <c r="M2550">
        <v>16608.256000000001</v>
      </c>
      <c r="N2550" t="s">
        <v>17</v>
      </c>
    </row>
    <row r="2551" spans="1:15" x14ac:dyDescent="0.2">
      <c r="A2551" t="s">
        <v>18</v>
      </c>
      <c r="B2551" t="s">
        <v>135</v>
      </c>
      <c r="C2551" t="s">
        <v>136</v>
      </c>
      <c r="D2551" t="s">
        <v>113</v>
      </c>
      <c r="E2551" t="s">
        <v>53</v>
      </c>
      <c r="F2551" t="s">
        <v>114</v>
      </c>
      <c r="G2551">
        <v>119062</v>
      </c>
      <c r="H2551" s="75">
        <v>45555</v>
      </c>
      <c r="I2551" t="s">
        <v>115</v>
      </c>
      <c r="J2551">
        <v>5000</v>
      </c>
      <c r="K2551">
        <v>97.584999999999994</v>
      </c>
      <c r="L2551">
        <v>51.237200000000001</v>
      </c>
      <c r="M2551">
        <v>16705.842000000001</v>
      </c>
      <c r="N2551" t="s">
        <v>15</v>
      </c>
    </row>
    <row r="2552" spans="1:15" x14ac:dyDescent="0.2">
      <c r="A2552" t="s">
        <v>18</v>
      </c>
      <c r="B2552" t="s">
        <v>135</v>
      </c>
      <c r="C2552" t="s">
        <v>136</v>
      </c>
      <c r="D2552" t="s">
        <v>113</v>
      </c>
      <c r="E2552" t="s">
        <v>53</v>
      </c>
      <c r="F2552" t="s">
        <v>114</v>
      </c>
      <c r="G2552">
        <v>119062</v>
      </c>
      <c r="H2552" s="75">
        <v>45585</v>
      </c>
      <c r="I2552" t="s">
        <v>115</v>
      </c>
      <c r="J2552">
        <v>5000</v>
      </c>
      <c r="K2552">
        <v>97.757999999999996</v>
      </c>
      <c r="L2552">
        <v>51.146900000000002</v>
      </c>
      <c r="M2552">
        <v>16803.598999999998</v>
      </c>
      <c r="N2552" t="s">
        <v>15</v>
      </c>
    </row>
    <row r="2553" spans="1:15" x14ac:dyDescent="0.2">
      <c r="A2553" t="s">
        <v>18</v>
      </c>
      <c r="B2553" t="s">
        <v>135</v>
      </c>
      <c r="C2553" t="s">
        <v>136</v>
      </c>
      <c r="D2553" t="s">
        <v>113</v>
      </c>
      <c r="E2553" t="s">
        <v>53</v>
      </c>
      <c r="F2553" t="s">
        <v>114</v>
      </c>
      <c r="G2553">
        <v>119062</v>
      </c>
      <c r="H2553" s="75">
        <v>45615</v>
      </c>
      <c r="I2553" t="s">
        <v>115</v>
      </c>
      <c r="J2553">
        <v>5000</v>
      </c>
      <c r="K2553">
        <v>96.733000000000004</v>
      </c>
      <c r="L2553">
        <v>51.688899999999997</v>
      </c>
      <c r="M2553">
        <v>16900.331999999999</v>
      </c>
      <c r="N2553" t="s">
        <v>15</v>
      </c>
    </row>
    <row r="2554" spans="1:15" x14ac:dyDescent="0.2">
      <c r="A2554" t="s">
        <v>18</v>
      </c>
      <c r="B2554" t="s">
        <v>135</v>
      </c>
      <c r="C2554" t="s">
        <v>136</v>
      </c>
      <c r="D2554" t="s">
        <v>113</v>
      </c>
      <c r="E2554" t="s">
        <v>53</v>
      </c>
      <c r="F2554" t="s">
        <v>114</v>
      </c>
      <c r="G2554">
        <v>119062</v>
      </c>
      <c r="H2554" s="75">
        <v>45645</v>
      </c>
      <c r="I2554" t="s">
        <v>115</v>
      </c>
      <c r="J2554">
        <v>5000</v>
      </c>
      <c r="K2554">
        <v>94.878</v>
      </c>
      <c r="L2554">
        <v>52.699100000000001</v>
      </c>
      <c r="M2554">
        <v>16995.21</v>
      </c>
      <c r="N2554" t="s">
        <v>15</v>
      </c>
    </row>
    <row r="2555" spans="1:15" x14ac:dyDescent="0.2">
      <c r="A2555" t="s">
        <v>18</v>
      </c>
      <c r="B2555" t="s">
        <v>135</v>
      </c>
      <c r="C2555" t="s">
        <v>136</v>
      </c>
      <c r="D2555" t="s">
        <v>113</v>
      </c>
      <c r="E2555" t="s">
        <v>53</v>
      </c>
      <c r="F2555" t="s">
        <v>114</v>
      </c>
      <c r="G2555">
        <v>119062</v>
      </c>
      <c r="H2555" s="75">
        <v>45645</v>
      </c>
      <c r="I2555" t="s">
        <v>116</v>
      </c>
      <c r="J2555">
        <v>2.5</v>
      </c>
      <c r="K2555">
        <v>0</v>
      </c>
      <c r="M2555">
        <v>16995.21</v>
      </c>
      <c r="N2555" t="s">
        <v>17</v>
      </c>
    </row>
    <row r="2556" spans="1:15" x14ac:dyDescent="0.2">
      <c r="A2556" t="s">
        <v>18</v>
      </c>
      <c r="B2556" t="s">
        <v>135</v>
      </c>
      <c r="C2556" t="s">
        <v>136</v>
      </c>
      <c r="D2556" t="s">
        <v>113</v>
      </c>
      <c r="E2556" t="s">
        <v>53</v>
      </c>
      <c r="F2556" t="s">
        <v>114</v>
      </c>
      <c r="G2556">
        <v>119062</v>
      </c>
      <c r="H2556" s="75">
        <v>45675</v>
      </c>
      <c r="I2556" t="s">
        <v>115</v>
      </c>
      <c r="J2556">
        <v>5000</v>
      </c>
      <c r="K2556">
        <v>96.694999999999993</v>
      </c>
      <c r="L2556">
        <v>51.708799999999997</v>
      </c>
      <c r="M2556">
        <v>17091.905999999999</v>
      </c>
      <c r="N2556" t="s">
        <v>15</v>
      </c>
    </row>
    <row r="2557" spans="1:15" x14ac:dyDescent="0.2">
      <c r="A2557" t="s">
        <v>18</v>
      </c>
      <c r="B2557" t="s">
        <v>135</v>
      </c>
      <c r="C2557" t="s">
        <v>136</v>
      </c>
      <c r="D2557" t="s">
        <v>113</v>
      </c>
      <c r="E2557" t="s">
        <v>53</v>
      </c>
      <c r="F2557" t="s">
        <v>114</v>
      </c>
      <c r="G2557">
        <v>119062</v>
      </c>
      <c r="H2557" s="75">
        <v>45705</v>
      </c>
      <c r="I2557" t="s">
        <v>115</v>
      </c>
      <c r="J2557">
        <v>5000</v>
      </c>
      <c r="K2557">
        <v>98.043999999999997</v>
      </c>
      <c r="L2557">
        <v>50.997500000000002</v>
      </c>
      <c r="M2557">
        <v>17189.949000000001</v>
      </c>
      <c r="N2557" t="s">
        <v>15</v>
      </c>
    </row>
    <row r="2558" spans="1:15" x14ac:dyDescent="0.2">
      <c r="A2558" t="s">
        <v>18</v>
      </c>
      <c r="B2558" t="s">
        <v>135</v>
      </c>
      <c r="C2558" t="s">
        <v>136</v>
      </c>
      <c r="D2558" t="s">
        <v>113</v>
      </c>
      <c r="E2558" t="s">
        <v>53</v>
      </c>
      <c r="F2558" t="s">
        <v>114</v>
      </c>
      <c r="G2558">
        <v>119062</v>
      </c>
      <c r="H2558" s="75">
        <v>45705</v>
      </c>
      <c r="I2558" t="s">
        <v>118</v>
      </c>
      <c r="J2558">
        <v>8594.9699999999993</v>
      </c>
      <c r="K2558">
        <v>0</v>
      </c>
      <c r="M2558">
        <v>17189.949000000001</v>
      </c>
      <c r="N2558" t="s">
        <v>19</v>
      </c>
      <c r="O2558">
        <v>8594.9699999999993</v>
      </c>
    </row>
    <row r="2559" spans="1:15" x14ac:dyDescent="0.2">
      <c r="A2559" t="s">
        <v>18</v>
      </c>
      <c r="B2559" t="s">
        <v>135</v>
      </c>
      <c r="C2559" t="s">
        <v>136</v>
      </c>
      <c r="D2559" t="s">
        <v>113</v>
      </c>
      <c r="E2559" t="s">
        <v>53</v>
      </c>
      <c r="F2559" t="s">
        <v>114</v>
      </c>
      <c r="G2559">
        <v>119062</v>
      </c>
      <c r="H2559" s="75">
        <v>45735</v>
      </c>
      <c r="I2559" t="s">
        <v>115</v>
      </c>
      <c r="J2559">
        <v>5000</v>
      </c>
      <c r="K2559">
        <v>98.978999999999999</v>
      </c>
      <c r="L2559">
        <v>50.515799999999999</v>
      </c>
      <c r="M2559">
        <v>17288.928</v>
      </c>
      <c r="N2559" t="s">
        <v>15</v>
      </c>
    </row>
    <row r="2560" spans="1:15" x14ac:dyDescent="0.2">
      <c r="A2560" t="s">
        <v>18</v>
      </c>
      <c r="B2560" t="s">
        <v>135</v>
      </c>
      <c r="C2560" t="s">
        <v>136</v>
      </c>
      <c r="D2560" t="s">
        <v>113</v>
      </c>
      <c r="E2560" t="s">
        <v>53</v>
      </c>
      <c r="F2560" t="s">
        <v>114</v>
      </c>
      <c r="G2560">
        <v>119062</v>
      </c>
      <c r="H2560" s="75">
        <v>45735</v>
      </c>
      <c r="I2560" t="s">
        <v>116</v>
      </c>
      <c r="J2560">
        <v>2.5</v>
      </c>
      <c r="K2560">
        <v>0</v>
      </c>
      <c r="M2560">
        <v>17288.928</v>
      </c>
      <c r="N2560" t="s">
        <v>17</v>
      </c>
    </row>
    <row r="2561" spans="1:15" x14ac:dyDescent="0.2">
      <c r="A2561" t="s">
        <v>18</v>
      </c>
      <c r="B2561" t="s">
        <v>135</v>
      </c>
      <c r="C2561" t="s">
        <v>136</v>
      </c>
      <c r="D2561" t="s">
        <v>113</v>
      </c>
      <c r="E2561" t="s">
        <v>53</v>
      </c>
      <c r="F2561" t="s">
        <v>114</v>
      </c>
      <c r="G2561">
        <v>119062</v>
      </c>
      <c r="H2561" s="75">
        <v>45765</v>
      </c>
      <c r="I2561" t="s">
        <v>115</v>
      </c>
      <c r="J2561">
        <v>5000</v>
      </c>
      <c r="K2561">
        <v>98.266000000000005</v>
      </c>
      <c r="L2561">
        <v>50.882199999999997</v>
      </c>
      <c r="M2561">
        <v>17387.195</v>
      </c>
      <c r="N2561" t="s">
        <v>15</v>
      </c>
    </row>
    <row r="2562" spans="1:15" x14ac:dyDescent="0.2">
      <c r="A2562" t="s">
        <v>18</v>
      </c>
      <c r="B2562" t="s">
        <v>135</v>
      </c>
      <c r="C2562" t="s">
        <v>136</v>
      </c>
      <c r="D2562" t="s">
        <v>113</v>
      </c>
      <c r="E2562" t="s">
        <v>53</v>
      </c>
      <c r="F2562" t="s">
        <v>114</v>
      </c>
      <c r="G2562">
        <v>119062</v>
      </c>
      <c r="H2562" s="75">
        <v>45795</v>
      </c>
      <c r="I2562" t="s">
        <v>115</v>
      </c>
      <c r="J2562">
        <v>5000</v>
      </c>
      <c r="K2562">
        <v>99.233999999999995</v>
      </c>
      <c r="L2562">
        <v>50.386099999999999</v>
      </c>
      <c r="M2562">
        <v>17486.428</v>
      </c>
      <c r="N2562" t="s">
        <v>15</v>
      </c>
    </row>
    <row r="2563" spans="1:15" x14ac:dyDescent="0.2">
      <c r="A2563" t="s">
        <v>18</v>
      </c>
      <c r="B2563" t="s">
        <v>135</v>
      </c>
      <c r="C2563" t="s">
        <v>136</v>
      </c>
      <c r="D2563" t="s">
        <v>113</v>
      </c>
      <c r="E2563" t="s">
        <v>53</v>
      </c>
      <c r="F2563" t="s">
        <v>114</v>
      </c>
      <c r="G2563">
        <v>119062</v>
      </c>
      <c r="H2563" s="75">
        <v>45825</v>
      </c>
      <c r="I2563" t="s">
        <v>115</v>
      </c>
      <c r="J2563">
        <v>5000</v>
      </c>
      <c r="K2563">
        <v>97.578000000000003</v>
      </c>
      <c r="L2563">
        <v>51.241</v>
      </c>
      <c r="M2563">
        <v>17584.007000000001</v>
      </c>
      <c r="N2563" t="s">
        <v>15</v>
      </c>
    </row>
    <row r="2564" spans="1:15" x14ac:dyDescent="0.2">
      <c r="A2564" t="s">
        <v>18</v>
      </c>
      <c r="B2564" t="s">
        <v>135</v>
      </c>
      <c r="C2564" t="s">
        <v>136</v>
      </c>
      <c r="D2564" t="s">
        <v>113</v>
      </c>
      <c r="E2564" t="s">
        <v>53</v>
      </c>
      <c r="F2564" t="s">
        <v>114</v>
      </c>
      <c r="G2564">
        <v>119062</v>
      </c>
      <c r="H2564" s="75">
        <v>45855</v>
      </c>
      <c r="I2564" t="s">
        <v>115</v>
      </c>
      <c r="J2564">
        <v>5000</v>
      </c>
      <c r="K2564">
        <v>97.007999999999996</v>
      </c>
      <c r="L2564">
        <v>51.542099999999998</v>
      </c>
      <c r="M2564">
        <v>17681.014999999999</v>
      </c>
      <c r="N2564" t="s">
        <v>15</v>
      </c>
    </row>
    <row r="2565" spans="1:15" x14ac:dyDescent="0.2">
      <c r="A2565" t="s">
        <v>18</v>
      </c>
      <c r="B2565" t="s">
        <v>135</v>
      </c>
      <c r="C2565" t="s">
        <v>136</v>
      </c>
      <c r="D2565" t="s">
        <v>113</v>
      </c>
      <c r="E2565" t="s">
        <v>53</v>
      </c>
      <c r="F2565" t="s">
        <v>114</v>
      </c>
      <c r="G2565">
        <v>119062</v>
      </c>
      <c r="H2565" s="75">
        <v>45885</v>
      </c>
      <c r="I2565" t="s">
        <v>115</v>
      </c>
      <c r="J2565">
        <v>5000</v>
      </c>
      <c r="K2565">
        <v>97.451999999999998</v>
      </c>
      <c r="L2565">
        <v>51.307400000000001</v>
      </c>
      <c r="M2565">
        <v>17778.467000000001</v>
      </c>
      <c r="N2565" t="s">
        <v>15</v>
      </c>
    </row>
    <row r="2566" spans="1:15" x14ac:dyDescent="0.2">
      <c r="A2566" t="s">
        <v>18</v>
      </c>
      <c r="B2566" t="s">
        <v>135</v>
      </c>
      <c r="C2566" t="s">
        <v>136</v>
      </c>
      <c r="D2566" t="s">
        <v>113</v>
      </c>
      <c r="E2566" t="s">
        <v>53</v>
      </c>
      <c r="F2566" t="s">
        <v>114</v>
      </c>
      <c r="G2566">
        <v>119062</v>
      </c>
      <c r="H2566" s="75">
        <v>45885</v>
      </c>
      <c r="I2566" t="s">
        <v>118</v>
      </c>
      <c r="J2566">
        <v>8889.23</v>
      </c>
      <c r="K2566">
        <v>0</v>
      </c>
      <c r="M2566">
        <v>17778.467000000001</v>
      </c>
      <c r="N2566" t="s">
        <v>19</v>
      </c>
      <c r="O2566">
        <v>8889.23</v>
      </c>
    </row>
    <row r="2567" spans="1:15" x14ac:dyDescent="0.2">
      <c r="A2567" t="s">
        <v>18</v>
      </c>
      <c r="B2567" t="s">
        <v>135</v>
      </c>
      <c r="C2567" t="s">
        <v>136</v>
      </c>
      <c r="D2567" t="s">
        <v>113</v>
      </c>
      <c r="E2567" t="s">
        <v>53</v>
      </c>
      <c r="F2567" t="s">
        <v>114</v>
      </c>
      <c r="G2567">
        <v>119062</v>
      </c>
      <c r="H2567" s="75">
        <v>45915</v>
      </c>
      <c r="I2567" t="s">
        <v>115</v>
      </c>
      <c r="J2567">
        <v>5000</v>
      </c>
      <c r="K2567">
        <v>99.144000000000005</v>
      </c>
      <c r="L2567">
        <v>50.431600000000003</v>
      </c>
      <c r="M2567">
        <v>17877.611000000001</v>
      </c>
      <c r="N2567" t="s">
        <v>15</v>
      </c>
    </row>
    <row r="2568" spans="1:15" x14ac:dyDescent="0.2">
      <c r="A2568" t="s">
        <v>18</v>
      </c>
      <c r="B2568" t="s">
        <v>135</v>
      </c>
      <c r="C2568" t="s">
        <v>136</v>
      </c>
      <c r="D2568" t="s">
        <v>113</v>
      </c>
      <c r="E2568" t="s">
        <v>53</v>
      </c>
      <c r="F2568" t="s">
        <v>114</v>
      </c>
      <c r="G2568">
        <v>119062</v>
      </c>
      <c r="H2568" s="75">
        <v>45945</v>
      </c>
      <c r="I2568" t="s">
        <v>115</v>
      </c>
      <c r="J2568">
        <v>5000</v>
      </c>
      <c r="K2568">
        <v>99.117999999999995</v>
      </c>
      <c r="L2568">
        <v>50.445099999999996</v>
      </c>
      <c r="M2568">
        <v>17976.727999999999</v>
      </c>
      <c r="N2568" t="s">
        <v>15</v>
      </c>
    </row>
    <row r="2569" spans="1:15" x14ac:dyDescent="0.2">
      <c r="A2569" t="s">
        <v>18</v>
      </c>
      <c r="B2569" t="s">
        <v>135</v>
      </c>
      <c r="C2569" t="s">
        <v>136</v>
      </c>
      <c r="D2569" t="s">
        <v>113</v>
      </c>
      <c r="E2569" t="s">
        <v>53</v>
      </c>
      <c r="F2569" t="s">
        <v>114</v>
      </c>
      <c r="G2569">
        <v>119062</v>
      </c>
      <c r="H2569" s="75">
        <v>45945</v>
      </c>
      <c r="I2569" t="s">
        <v>116</v>
      </c>
      <c r="J2569">
        <v>2.5</v>
      </c>
      <c r="K2569">
        <v>0</v>
      </c>
      <c r="M2569">
        <v>17976.727999999999</v>
      </c>
      <c r="N2569" t="s">
        <v>17</v>
      </c>
    </row>
    <row r="2570" spans="1:15" x14ac:dyDescent="0.2">
      <c r="A2570" t="s">
        <v>18</v>
      </c>
      <c r="B2570" t="s">
        <v>135</v>
      </c>
      <c r="C2570" t="s">
        <v>136</v>
      </c>
      <c r="D2570" t="s">
        <v>113</v>
      </c>
      <c r="E2570" t="s">
        <v>53</v>
      </c>
      <c r="F2570" t="s">
        <v>114</v>
      </c>
      <c r="G2570">
        <v>119062</v>
      </c>
      <c r="H2570" s="75">
        <v>45975</v>
      </c>
      <c r="I2570" t="s">
        <v>115</v>
      </c>
      <c r="J2570">
        <v>5000</v>
      </c>
      <c r="K2570">
        <v>96.998000000000005</v>
      </c>
      <c r="L2570">
        <v>51.547600000000003</v>
      </c>
      <c r="M2570">
        <v>18073.725999999999</v>
      </c>
      <c r="N2570" t="s">
        <v>15</v>
      </c>
    </row>
    <row r="2571" spans="1:15" x14ac:dyDescent="0.2">
      <c r="A2571" t="s">
        <v>18</v>
      </c>
      <c r="B2571" t="s">
        <v>135</v>
      </c>
      <c r="C2571" t="s">
        <v>136</v>
      </c>
      <c r="D2571" t="s">
        <v>113</v>
      </c>
      <c r="E2571" t="s">
        <v>53</v>
      </c>
      <c r="F2571" t="s">
        <v>114</v>
      </c>
      <c r="G2571">
        <v>119062</v>
      </c>
      <c r="H2571" s="75">
        <v>46005</v>
      </c>
      <c r="I2571" t="s">
        <v>115</v>
      </c>
      <c r="J2571">
        <v>5000</v>
      </c>
      <c r="K2571">
        <v>97.55</v>
      </c>
      <c r="L2571">
        <v>51.256</v>
      </c>
      <c r="M2571">
        <v>18171.276000000002</v>
      </c>
      <c r="N2571" t="s">
        <v>15</v>
      </c>
    </row>
    <row r="2572" spans="1:15" x14ac:dyDescent="0.2">
      <c r="A2572" t="s">
        <v>18</v>
      </c>
      <c r="B2572" t="s">
        <v>135</v>
      </c>
      <c r="C2572" t="s">
        <v>136</v>
      </c>
      <c r="D2572" t="s">
        <v>113</v>
      </c>
      <c r="E2572" t="s">
        <v>53</v>
      </c>
      <c r="F2572" t="s">
        <v>114</v>
      </c>
      <c r="G2572">
        <v>119062</v>
      </c>
      <c r="H2572" s="75">
        <v>46035</v>
      </c>
      <c r="I2572" t="s">
        <v>115</v>
      </c>
      <c r="J2572">
        <v>5000</v>
      </c>
      <c r="K2572">
        <v>97.584000000000003</v>
      </c>
      <c r="L2572">
        <v>51.237699999999997</v>
      </c>
      <c r="M2572">
        <v>18268.86</v>
      </c>
      <c r="N2572" t="s">
        <v>15</v>
      </c>
    </row>
    <row r="2573" spans="1:15" x14ac:dyDescent="0.2">
      <c r="A2573" t="s">
        <v>18</v>
      </c>
      <c r="B2573" t="s">
        <v>135</v>
      </c>
      <c r="C2573" t="s">
        <v>136</v>
      </c>
      <c r="D2573" t="s">
        <v>113</v>
      </c>
      <c r="E2573" t="s">
        <v>53</v>
      </c>
      <c r="F2573" t="s">
        <v>114</v>
      </c>
      <c r="G2573">
        <v>119062</v>
      </c>
      <c r="H2573" s="75">
        <v>46065</v>
      </c>
      <c r="I2573" t="s">
        <v>115</v>
      </c>
      <c r="J2573">
        <v>5000</v>
      </c>
      <c r="K2573">
        <v>95.337999999999994</v>
      </c>
      <c r="L2573">
        <v>52.444699999999997</v>
      </c>
      <c r="M2573">
        <v>18364.198</v>
      </c>
      <c r="N2573" t="s">
        <v>15</v>
      </c>
    </row>
    <row r="2574" spans="1:15" x14ac:dyDescent="0.2">
      <c r="A2574" t="s">
        <v>18</v>
      </c>
      <c r="B2574" t="s">
        <v>135</v>
      </c>
      <c r="C2574" t="s">
        <v>136</v>
      </c>
      <c r="D2574" t="s">
        <v>113</v>
      </c>
      <c r="E2574" t="s">
        <v>53</v>
      </c>
      <c r="F2574" t="s">
        <v>114</v>
      </c>
      <c r="G2574">
        <v>119062</v>
      </c>
      <c r="H2574" s="75">
        <v>46095</v>
      </c>
      <c r="I2574" t="s">
        <v>115</v>
      </c>
      <c r="J2574">
        <v>5000</v>
      </c>
      <c r="K2574">
        <v>95.674000000000007</v>
      </c>
      <c r="L2574">
        <v>52.260800000000003</v>
      </c>
      <c r="M2574">
        <v>18459.871999999999</v>
      </c>
      <c r="N2574" t="s">
        <v>15</v>
      </c>
    </row>
    <row r="2575" spans="1:15" x14ac:dyDescent="0.2">
      <c r="A2575" t="s">
        <v>18</v>
      </c>
      <c r="B2575" t="s">
        <v>135</v>
      </c>
      <c r="C2575" t="s">
        <v>136</v>
      </c>
      <c r="D2575" t="s">
        <v>113</v>
      </c>
      <c r="E2575" t="s">
        <v>53</v>
      </c>
      <c r="F2575" t="s">
        <v>114</v>
      </c>
      <c r="G2575">
        <v>119062</v>
      </c>
      <c r="H2575" s="75">
        <v>46125</v>
      </c>
      <c r="I2575" t="s">
        <v>115</v>
      </c>
      <c r="J2575">
        <v>5000</v>
      </c>
      <c r="K2575">
        <v>96.66</v>
      </c>
      <c r="L2575">
        <v>51.727499999999999</v>
      </c>
      <c r="M2575">
        <v>18556.532999999999</v>
      </c>
      <c r="N2575" t="s">
        <v>15</v>
      </c>
    </row>
    <row r="2576" spans="1:15" x14ac:dyDescent="0.2">
      <c r="A2576" t="s">
        <v>18</v>
      </c>
      <c r="B2576" t="s">
        <v>135</v>
      </c>
      <c r="C2576" t="s">
        <v>136</v>
      </c>
      <c r="D2576" t="s">
        <v>113</v>
      </c>
      <c r="E2576" t="s">
        <v>53</v>
      </c>
      <c r="F2576" t="s">
        <v>114</v>
      </c>
      <c r="G2576">
        <v>119062</v>
      </c>
      <c r="H2576" s="75">
        <v>46155</v>
      </c>
      <c r="I2576" t="s">
        <v>115</v>
      </c>
      <c r="J2576">
        <v>5000</v>
      </c>
      <c r="K2576">
        <v>95.274000000000001</v>
      </c>
      <c r="L2576">
        <v>52.4801</v>
      </c>
      <c r="M2576">
        <v>18651.807000000001</v>
      </c>
      <c r="N2576" t="s">
        <v>15</v>
      </c>
    </row>
    <row r="2577" spans="1:15" x14ac:dyDescent="0.2">
      <c r="A2577" t="s">
        <v>18</v>
      </c>
      <c r="B2577" t="s">
        <v>135</v>
      </c>
      <c r="C2577" t="s">
        <v>136</v>
      </c>
      <c r="D2577" t="s">
        <v>113</v>
      </c>
      <c r="E2577" t="s">
        <v>53</v>
      </c>
      <c r="F2577" t="s">
        <v>114</v>
      </c>
      <c r="G2577">
        <v>119062</v>
      </c>
      <c r="H2577" s="75">
        <v>46185</v>
      </c>
      <c r="I2577" t="s">
        <v>115</v>
      </c>
      <c r="J2577">
        <v>5000</v>
      </c>
      <c r="K2577">
        <v>92.795000000000002</v>
      </c>
      <c r="L2577">
        <v>53.882100000000001</v>
      </c>
      <c r="M2577">
        <v>18744.601999999999</v>
      </c>
      <c r="N2577" t="s">
        <v>15</v>
      </c>
    </row>
    <row r="2578" spans="1:15" x14ac:dyDescent="0.2">
      <c r="A2578" t="s">
        <v>119</v>
      </c>
      <c r="B2578" t="s">
        <v>137</v>
      </c>
      <c r="C2578" t="s">
        <v>136</v>
      </c>
      <c r="D2578" t="s">
        <v>121</v>
      </c>
      <c r="E2578" t="s">
        <v>53</v>
      </c>
      <c r="F2578" t="s">
        <v>114</v>
      </c>
      <c r="G2578">
        <v>122639</v>
      </c>
      <c r="H2578" s="75">
        <v>40417</v>
      </c>
      <c r="I2578" t="s">
        <v>115</v>
      </c>
      <c r="J2578">
        <v>5000</v>
      </c>
      <c r="K2578">
        <v>248.363</v>
      </c>
      <c r="L2578">
        <v>20.131799999999998</v>
      </c>
      <c r="M2578">
        <v>248.363</v>
      </c>
      <c r="N2578" t="s">
        <v>15</v>
      </c>
    </row>
    <row r="2579" spans="1:15" x14ac:dyDescent="0.2">
      <c r="A2579" t="s">
        <v>119</v>
      </c>
      <c r="B2579" t="s">
        <v>137</v>
      </c>
      <c r="C2579" t="s">
        <v>136</v>
      </c>
      <c r="D2579" t="s">
        <v>121</v>
      </c>
      <c r="E2579" t="s">
        <v>53</v>
      </c>
      <c r="F2579" t="s">
        <v>114</v>
      </c>
      <c r="G2579">
        <v>122639</v>
      </c>
      <c r="H2579" s="75">
        <v>40447</v>
      </c>
      <c r="I2579" t="s">
        <v>115</v>
      </c>
      <c r="J2579">
        <v>5000</v>
      </c>
      <c r="K2579">
        <v>245.43799999999999</v>
      </c>
      <c r="L2579">
        <v>20.371700000000001</v>
      </c>
      <c r="M2579">
        <v>493.80099999999999</v>
      </c>
      <c r="N2579" t="s">
        <v>15</v>
      </c>
    </row>
    <row r="2580" spans="1:15" x14ac:dyDescent="0.2">
      <c r="A2580" t="s">
        <v>119</v>
      </c>
      <c r="B2580" t="s">
        <v>137</v>
      </c>
      <c r="C2580" t="s">
        <v>136</v>
      </c>
      <c r="D2580" t="s">
        <v>121</v>
      </c>
      <c r="E2580" t="s">
        <v>53</v>
      </c>
      <c r="F2580" t="s">
        <v>114</v>
      </c>
      <c r="G2580">
        <v>122639</v>
      </c>
      <c r="H2580" s="75">
        <v>40477</v>
      </c>
      <c r="I2580" t="s">
        <v>115</v>
      </c>
      <c r="J2580">
        <v>5000</v>
      </c>
      <c r="K2580">
        <v>246.31</v>
      </c>
      <c r="L2580">
        <v>20.299600000000002</v>
      </c>
      <c r="M2580">
        <v>740.11099999999999</v>
      </c>
      <c r="N2580" t="s">
        <v>15</v>
      </c>
    </row>
    <row r="2581" spans="1:15" x14ac:dyDescent="0.2">
      <c r="A2581" t="s">
        <v>119</v>
      </c>
      <c r="B2581" t="s">
        <v>137</v>
      </c>
      <c r="C2581" t="s">
        <v>136</v>
      </c>
      <c r="D2581" t="s">
        <v>121</v>
      </c>
      <c r="E2581" t="s">
        <v>53</v>
      </c>
      <c r="F2581" t="s">
        <v>114</v>
      </c>
      <c r="G2581">
        <v>122639</v>
      </c>
      <c r="H2581" s="75">
        <v>40477</v>
      </c>
      <c r="I2581" t="s">
        <v>118</v>
      </c>
      <c r="J2581">
        <v>370.06</v>
      </c>
      <c r="K2581">
        <v>0</v>
      </c>
      <c r="M2581">
        <v>740.11099999999999</v>
      </c>
      <c r="N2581" t="s">
        <v>19</v>
      </c>
      <c r="O2581">
        <v>370.06</v>
      </c>
    </row>
    <row r="2582" spans="1:15" x14ac:dyDescent="0.2">
      <c r="A2582" t="s">
        <v>119</v>
      </c>
      <c r="B2582" t="s">
        <v>137</v>
      </c>
      <c r="C2582" t="s">
        <v>136</v>
      </c>
      <c r="D2582" t="s">
        <v>121</v>
      </c>
      <c r="E2582" t="s">
        <v>53</v>
      </c>
      <c r="F2582" t="s">
        <v>114</v>
      </c>
      <c r="G2582">
        <v>122639</v>
      </c>
      <c r="H2582" s="75">
        <v>40507</v>
      </c>
      <c r="I2582" t="s">
        <v>115</v>
      </c>
      <c r="J2582">
        <v>5000</v>
      </c>
      <c r="K2582">
        <v>240.31299999999999</v>
      </c>
      <c r="L2582">
        <v>20.8062</v>
      </c>
      <c r="M2582">
        <v>980.42399999999998</v>
      </c>
      <c r="N2582" t="s">
        <v>15</v>
      </c>
    </row>
    <row r="2583" spans="1:15" x14ac:dyDescent="0.2">
      <c r="A2583" t="s">
        <v>119</v>
      </c>
      <c r="B2583" t="s">
        <v>137</v>
      </c>
      <c r="C2583" t="s">
        <v>136</v>
      </c>
      <c r="D2583" t="s">
        <v>121</v>
      </c>
      <c r="E2583" t="s">
        <v>53</v>
      </c>
      <c r="F2583" t="s">
        <v>114</v>
      </c>
      <c r="G2583">
        <v>122639</v>
      </c>
      <c r="H2583" s="75">
        <v>40537</v>
      </c>
      <c r="I2583" t="s">
        <v>115</v>
      </c>
      <c r="J2583">
        <v>5000</v>
      </c>
      <c r="K2583">
        <v>243.517</v>
      </c>
      <c r="L2583">
        <v>20.532399999999999</v>
      </c>
      <c r="M2583">
        <v>1223.941</v>
      </c>
      <c r="N2583" t="s">
        <v>15</v>
      </c>
    </row>
    <row r="2584" spans="1:15" x14ac:dyDescent="0.2">
      <c r="A2584" t="s">
        <v>119</v>
      </c>
      <c r="B2584" t="s">
        <v>137</v>
      </c>
      <c r="C2584" t="s">
        <v>136</v>
      </c>
      <c r="D2584" t="s">
        <v>121</v>
      </c>
      <c r="E2584" t="s">
        <v>53</v>
      </c>
      <c r="F2584" t="s">
        <v>114</v>
      </c>
      <c r="G2584">
        <v>122639</v>
      </c>
      <c r="H2584" s="75">
        <v>40567</v>
      </c>
      <c r="I2584" t="s">
        <v>115</v>
      </c>
      <c r="J2584">
        <v>5000</v>
      </c>
      <c r="K2584">
        <v>237.738</v>
      </c>
      <c r="L2584">
        <v>21.031600000000001</v>
      </c>
      <c r="M2584">
        <v>1461.6790000000001</v>
      </c>
      <c r="N2584" t="s">
        <v>15</v>
      </c>
    </row>
    <row r="2585" spans="1:15" x14ac:dyDescent="0.2">
      <c r="A2585" t="s">
        <v>119</v>
      </c>
      <c r="B2585" t="s">
        <v>137</v>
      </c>
      <c r="C2585" t="s">
        <v>136</v>
      </c>
      <c r="D2585" t="s">
        <v>121</v>
      </c>
      <c r="E2585" t="s">
        <v>53</v>
      </c>
      <c r="F2585" t="s">
        <v>114</v>
      </c>
      <c r="G2585">
        <v>122639</v>
      </c>
      <c r="H2585" s="75">
        <v>40597</v>
      </c>
      <c r="I2585" t="s">
        <v>115</v>
      </c>
      <c r="J2585">
        <v>5000</v>
      </c>
      <c r="K2585">
        <v>240.21600000000001</v>
      </c>
      <c r="L2585">
        <v>20.814599999999999</v>
      </c>
      <c r="M2585">
        <v>1701.895</v>
      </c>
      <c r="N2585" t="s">
        <v>15</v>
      </c>
    </row>
    <row r="2586" spans="1:15" x14ac:dyDescent="0.2">
      <c r="A2586" t="s">
        <v>119</v>
      </c>
      <c r="B2586" t="s">
        <v>137</v>
      </c>
      <c r="C2586" t="s">
        <v>136</v>
      </c>
      <c r="D2586" t="s">
        <v>121</v>
      </c>
      <c r="E2586" t="s">
        <v>53</v>
      </c>
      <c r="F2586" t="s">
        <v>114</v>
      </c>
      <c r="G2586">
        <v>122639</v>
      </c>
      <c r="H2586" s="75">
        <v>40627</v>
      </c>
      <c r="I2586" t="s">
        <v>115</v>
      </c>
      <c r="J2586">
        <v>5000</v>
      </c>
      <c r="K2586">
        <v>244.50899999999999</v>
      </c>
      <c r="L2586">
        <v>20.449100000000001</v>
      </c>
      <c r="M2586">
        <v>1946.404</v>
      </c>
      <c r="N2586" t="s">
        <v>15</v>
      </c>
    </row>
    <row r="2587" spans="1:15" x14ac:dyDescent="0.2">
      <c r="A2587" t="s">
        <v>119</v>
      </c>
      <c r="B2587" t="s">
        <v>137</v>
      </c>
      <c r="C2587" t="s">
        <v>136</v>
      </c>
      <c r="D2587" t="s">
        <v>121</v>
      </c>
      <c r="E2587" t="s">
        <v>53</v>
      </c>
      <c r="F2587" t="s">
        <v>114</v>
      </c>
      <c r="G2587">
        <v>122639</v>
      </c>
      <c r="H2587" s="75">
        <v>40657</v>
      </c>
      <c r="I2587" t="s">
        <v>115</v>
      </c>
      <c r="J2587">
        <v>5000</v>
      </c>
      <c r="K2587">
        <v>237.577</v>
      </c>
      <c r="L2587">
        <v>21.0458</v>
      </c>
      <c r="M2587">
        <v>2183.982</v>
      </c>
      <c r="N2587" t="s">
        <v>15</v>
      </c>
    </row>
    <row r="2588" spans="1:15" x14ac:dyDescent="0.2">
      <c r="A2588" t="s">
        <v>119</v>
      </c>
      <c r="B2588" t="s">
        <v>137</v>
      </c>
      <c r="C2588" t="s">
        <v>136</v>
      </c>
      <c r="D2588" t="s">
        <v>121</v>
      </c>
      <c r="E2588" t="s">
        <v>53</v>
      </c>
      <c r="F2588" t="s">
        <v>114</v>
      </c>
      <c r="G2588">
        <v>122639</v>
      </c>
      <c r="H2588" s="75">
        <v>40687</v>
      </c>
      <c r="I2588" t="s">
        <v>115</v>
      </c>
      <c r="J2588">
        <v>5000</v>
      </c>
      <c r="K2588">
        <v>234.33699999999999</v>
      </c>
      <c r="L2588">
        <v>21.3368</v>
      </c>
      <c r="M2588">
        <v>2418.319</v>
      </c>
      <c r="N2588" t="s">
        <v>15</v>
      </c>
    </row>
    <row r="2589" spans="1:15" x14ac:dyDescent="0.2">
      <c r="A2589" t="s">
        <v>119</v>
      </c>
      <c r="B2589" t="s">
        <v>137</v>
      </c>
      <c r="C2589" t="s">
        <v>136</v>
      </c>
      <c r="D2589" t="s">
        <v>121</v>
      </c>
      <c r="E2589" t="s">
        <v>53</v>
      </c>
      <c r="F2589" t="s">
        <v>114</v>
      </c>
      <c r="G2589">
        <v>122639</v>
      </c>
      <c r="H2589" s="75">
        <v>40717</v>
      </c>
      <c r="I2589" t="s">
        <v>115</v>
      </c>
      <c r="J2589">
        <v>5000</v>
      </c>
      <c r="K2589">
        <v>229.71799999999999</v>
      </c>
      <c r="L2589">
        <v>21.765799999999999</v>
      </c>
      <c r="M2589">
        <v>2648.0369999999998</v>
      </c>
      <c r="N2589" t="s">
        <v>15</v>
      </c>
    </row>
    <row r="2590" spans="1:15" x14ac:dyDescent="0.2">
      <c r="A2590" t="s">
        <v>119</v>
      </c>
      <c r="B2590" t="s">
        <v>137</v>
      </c>
      <c r="C2590" t="s">
        <v>136</v>
      </c>
      <c r="D2590" t="s">
        <v>121</v>
      </c>
      <c r="E2590" t="s">
        <v>53</v>
      </c>
      <c r="F2590" t="s">
        <v>114</v>
      </c>
      <c r="G2590">
        <v>122639</v>
      </c>
      <c r="H2590" s="75">
        <v>40747</v>
      </c>
      <c r="I2590" t="s">
        <v>115</v>
      </c>
      <c r="J2590">
        <v>5000</v>
      </c>
      <c r="K2590">
        <v>229.63800000000001</v>
      </c>
      <c r="L2590">
        <v>21.773399999999999</v>
      </c>
      <c r="M2590">
        <v>2877.6750000000002</v>
      </c>
      <c r="N2590" t="s">
        <v>15</v>
      </c>
    </row>
    <row r="2591" spans="1:15" x14ac:dyDescent="0.2">
      <c r="A2591" t="s">
        <v>119</v>
      </c>
      <c r="B2591" t="s">
        <v>137</v>
      </c>
      <c r="C2591" t="s">
        <v>136</v>
      </c>
      <c r="D2591" t="s">
        <v>121</v>
      </c>
      <c r="E2591" t="s">
        <v>53</v>
      </c>
      <c r="F2591" t="s">
        <v>114</v>
      </c>
      <c r="G2591">
        <v>122639</v>
      </c>
      <c r="H2591" s="75">
        <v>40777</v>
      </c>
      <c r="I2591" t="s">
        <v>115</v>
      </c>
      <c r="J2591">
        <v>5000</v>
      </c>
      <c r="K2591">
        <v>232.916</v>
      </c>
      <c r="L2591">
        <v>21.466899999999999</v>
      </c>
      <c r="M2591">
        <v>3110.5909999999999</v>
      </c>
      <c r="N2591" t="s">
        <v>15</v>
      </c>
    </row>
    <row r="2592" spans="1:15" x14ac:dyDescent="0.2">
      <c r="A2592" t="s">
        <v>119</v>
      </c>
      <c r="B2592" t="s">
        <v>137</v>
      </c>
      <c r="C2592" t="s">
        <v>136</v>
      </c>
      <c r="D2592" t="s">
        <v>121</v>
      </c>
      <c r="E2592" t="s">
        <v>53</v>
      </c>
      <c r="F2592" t="s">
        <v>114</v>
      </c>
      <c r="G2592">
        <v>122639</v>
      </c>
      <c r="H2592" s="75">
        <v>40807</v>
      </c>
      <c r="I2592" t="s">
        <v>115</v>
      </c>
      <c r="J2592">
        <v>5000</v>
      </c>
      <c r="K2592">
        <v>231.749</v>
      </c>
      <c r="L2592">
        <v>21.575099999999999</v>
      </c>
      <c r="M2592">
        <v>3342.34</v>
      </c>
      <c r="N2592" t="s">
        <v>15</v>
      </c>
    </row>
    <row r="2593" spans="1:14" x14ac:dyDescent="0.2">
      <c r="A2593" t="s">
        <v>119</v>
      </c>
      <c r="B2593" t="s">
        <v>137</v>
      </c>
      <c r="C2593" t="s">
        <v>136</v>
      </c>
      <c r="D2593" t="s">
        <v>121</v>
      </c>
      <c r="E2593" t="s">
        <v>53</v>
      </c>
      <c r="F2593" t="s">
        <v>114</v>
      </c>
      <c r="G2593">
        <v>122639</v>
      </c>
      <c r="H2593" s="75">
        <v>40837</v>
      </c>
      <c r="I2593" t="s">
        <v>115</v>
      </c>
      <c r="J2593">
        <v>5000</v>
      </c>
      <c r="K2593">
        <v>230.553</v>
      </c>
      <c r="L2593">
        <v>21.686900000000001</v>
      </c>
      <c r="M2593">
        <v>3572.8939999999998</v>
      </c>
      <c r="N2593" t="s">
        <v>15</v>
      </c>
    </row>
    <row r="2594" spans="1:14" x14ac:dyDescent="0.2">
      <c r="A2594" t="s">
        <v>119</v>
      </c>
      <c r="B2594" t="s">
        <v>137</v>
      </c>
      <c r="C2594" t="s">
        <v>136</v>
      </c>
      <c r="D2594" t="s">
        <v>121</v>
      </c>
      <c r="E2594" t="s">
        <v>53</v>
      </c>
      <c r="F2594" t="s">
        <v>114</v>
      </c>
      <c r="G2594">
        <v>122639</v>
      </c>
      <c r="H2594" s="75">
        <v>40867</v>
      </c>
      <c r="I2594" t="s">
        <v>115</v>
      </c>
      <c r="J2594">
        <v>5000</v>
      </c>
      <c r="K2594">
        <v>230.25800000000001</v>
      </c>
      <c r="L2594">
        <v>21.7148</v>
      </c>
      <c r="M2594">
        <v>3803.1509999999998</v>
      </c>
      <c r="N2594" t="s">
        <v>15</v>
      </c>
    </row>
    <row r="2595" spans="1:14" x14ac:dyDescent="0.2">
      <c r="A2595" t="s">
        <v>119</v>
      </c>
      <c r="B2595" t="s">
        <v>137</v>
      </c>
      <c r="C2595" t="s">
        <v>136</v>
      </c>
      <c r="D2595" t="s">
        <v>121</v>
      </c>
      <c r="E2595" t="s">
        <v>53</v>
      </c>
      <c r="F2595" t="s">
        <v>114</v>
      </c>
      <c r="G2595">
        <v>122639</v>
      </c>
      <c r="H2595" s="75">
        <v>40867</v>
      </c>
      <c r="I2595" t="s">
        <v>117</v>
      </c>
      <c r="J2595">
        <v>2.5</v>
      </c>
      <c r="K2595">
        <v>0</v>
      </c>
      <c r="M2595">
        <v>3803.1509999999998</v>
      </c>
      <c r="N2595" t="s">
        <v>46</v>
      </c>
    </row>
    <row r="2596" spans="1:14" x14ac:dyDescent="0.2">
      <c r="A2596" t="s">
        <v>119</v>
      </c>
      <c r="B2596" t="s">
        <v>137</v>
      </c>
      <c r="C2596" t="s">
        <v>136</v>
      </c>
      <c r="D2596" t="s">
        <v>121</v>
      </c>
      <c r="E2596" t="s">
        <v>53</v>
      </c>
      <c r="F2596" t="s">
        <v>114</v>
      </c>
      <c r="G2596">
        <v>122639</v>
      </c>
      <c r="H2596" s="75">
        <v>40867</v>
      </c>
      <c r="I2596" t="s">
        <v>25</v>
      </c>
      <c r="J2596">
        <v>-16516.939999999999</v>
      </c>
      <c r="K2596">
        <v>-760.63</v>
      </c>
      <c r="L2596">
        <v>21.7148</v>
      </c>
      <c r="M2596">
        <v>3042.5210000000002</v>
      </c>
      <c r="N2596" t="s">
        <v>16</v>
      </c>
    </row>
    <row r="2597" spans="1:14" x14ac:dyDescent="0.2">
      <c r="A2597" t="s">
        <v>119</v>
      </c>
      <c r="B2597" t="s">
        <v>137</v>
      </c>
      <c r="C2597" t="s">
        <v>136</v>
      </c>
      <c r="D2597" t="s">
        <v>121</v>
      </c>
      <c r="E2597" t="s">
        <v>53</v>
      </c>
      <c r="F2597" t="s">
        <v>114</v>
      </c>
      <c r="G2597">
        <v>122639</v>
      </c>
      <c r="H2597" s="75">
        <v>40897</v>
      </c>
      <c r="I2597" t="s">
        <v>115</v>
      </c>
      <c r="J2597">
        <v>5000</v>
      </c>
      <c r="K2597">
        <v>229.16200000000001</v>
      </c>
      <c r="L2597">
        <v>21.8186</v>
      </c>
      <c r="M2597">
        <v>3271.683</v>
      </c>
      <c r="N2597" t="s">
        <v>15</v>
      </c>
    </row>
    <row r="2598" spans="1:14" x14ac:dyDescent="0.2">
      <c r="A2598" t="s">
        <v>119</v>
      </c>
      <c r="B2598" t="s">
        <v>137</v>
      </c>
      <c r="C2598" t="s">
        <v>136</v>
      </c>
      <c r="D2598" t="s">
        <v>121</v>
      </c>
      <c r="E2598" t="s">
        <v>53</v>
      </c>
      <c r="F2598" t="s">
        <v>114</v>
      </c>
      <c r="G2598">
        <v>122639</v>
      </c>
      <c r="H2598" s="75">
        <v>40927</v>
      </c>
      <c r="I2598" t="s">
        <v>115</v>
      </c>
      <c r="J2598">
        <v>5000</v>
      </c>
      <c r="K2598">
        <v>233.37100000000001</v>
      </c>
      <c r="L2598">
        <v>21.4251</v>
      </c>
      <c r="M2598">
        <v>3505.0549999999998</v>
      </c>
      <c r="N2598" t="s">
        <v>15</v>
      </c>
    </row>
    <row r="2599" spans="1:14" x14ac:dyDescent="0.2">
      <c r="A2599" t="s">
        <v>119</v>
      </c>
      <c r="B2599" t="s">
        <v>137</v>
      </c>
      <c r="C2599" t="s">
        <v>136</v>
      </c>
      <c r="D2599" t="s">
        <v>121</v>
      </c>
      <c r="E2599" t="s">
        <v>53</v>
      </c>
      <c r="F2599" t="s">
        <v>114</v>
      </c>
      <c r="G2599">
        <v>122639</v>
      </c>
      <c r="H2599" s="75">
        <v>40927</v>
      </c>
      <c r="I2599" t="s">
        <v>25</v>
      </c>
      <c r="J2599">
        <v>-15019.23</v>
      </c>
      <c r="K2599">
        <v>-701.01099999999997</v>
      </c>
      <c r="L2599">
        <v>21.4251</v>
      </c>
      <c r="M2599">
        <v>2804.0439999999999</v>
      </c>
      <c r="N2599" t="s">
        <v>16</v>
      </c>
    </row>
    <row r="2600" spans="1:14" x14ac:dyDescent="0.2">
      <c r="A2600" t="s">
        <v>119</v>
      </c>
      <c r="B2600" t="s">
        <v>137</v>
      </c>
      <c r="C2600" t="s">
        <v>136</v>
      </c>
      <c r="D2600" t="s">
        <v>121</v>
      </c>
      <c r="E2600" t="s">
        <v>53</v>
      </c>
      <c r="F2600" t="s">
        <v>114</v>
      </c>
      <c r="G2600">
        <v>122639</v>
      </c>
      <c r="H2600" s="75">
        <v>40957</v>
      </c>
      <c r="I2600" t="s">
        <v>115</v>
      </c>
      <c r="J2600">
        <v>5000</v>
      </c>
      <c r="K2600">
        <v>228.584</v>
      </c>
      <c r="L2600">
        <v>21.873799999999999</v>
      </c>
      <c r="M2600">
        <v>3032.627</v>
      </c>
      <c r="N2600" t="s">
        <v>15</v>
      </c>
    </row>
    <row r="2601" spans="1:14" x14ac:dyDescent="0.2">
      <c r="A2601" t="s">
        <v>119</v>
      </c>
      <c r="B2601" t="s">
        <v>137</v>
      </c>
      <c r="C2601" t="s">
        <v>136</v>
      </c>
      <c r="D2601" t="s">
        <v>121</v>
      </c>
      <c r="E2601" t="s">
        <v>53</v>
      </c>
      <c r="F2601" t="s">
        <v>114</v>
      </c>
      <c r="G2601">
        <v>122639</v>
      </c>
      <c r="H2601" s="75">
        <v>40987</v>
      </c>
      <c r="I2601" t="s">
        <v>115</v>
      </c>
      <c r="J2601">
        <v>5000</v>
      </c>
      <c r="K2601">
        <v>225.78100000000001</v>
      </c>
      <c r="L2601">
        <v>22.145399999999999</v>
      </c>
      <c r="M2601">
        <v>3258.4079999999999</v>
      </c>
      <c r="N2601" t="s">
        <v>15</v>
      </c>
    </row>
    <row r="2602" spans="1:14" x14ac:dyDescent="0.2">
      <c r="A2602" t="s">
        <v>119</v>
      </c>
      <c r="B2602" t="s">
        <v>137</v>
      </c>
      <c r="C2602" t="s">
        <v>136</v>
      </c>
      <c r="D2602" t="s">
        <v>121</v>
      </c>
      <c r="E2602" t="s">
        <v>53</v>
      </c>
      <c r="F2602" t="s">
        <v>114</v>
      </c>
      <c r="G2602">
        <v>122639</v>
      </c>
      <c r="H2602" s="75">
        <v>41017</v>
      </c>
      <c r="I2602" t="s">
        <v>115</v>
      </c>
      <c r="J2602">
        <v>5000</v>
      </c>
      <c r="K2602">
        <v>220.12200000000001</v>
      </c>
      <c r="L2602">
        <v>22.714700000000001</v>
      </c>
      <c r="M2602">
        <v>3478.53</v>
      </c>
      <c r="N2602" t="s">
        <v>15</v>
      </c>
    </row>
    <row r="2603" spans="1:14" x14ac:dyDescent="0.2">
      <c r="A2603" t="s">
        <v>119</v>
      </c>
      <c r="B2603" t="s">
        <v>137</v>
      </c>
      <c r="C2603" t="s">
        <v>136</v>
      </c>
      <c r="D2603" t="s">
        <v>121</v>
      </c>
      <c r="E2603" t="s">
        <v>53</v>
      </c>
      <c r="F2603" t="s">
        <v>114</v>
      </c>
      <c r="G2603">
        <v>122639</v>
      </c>
      <c r="H2603" s="75">
        <v>41017</v>
      </c>
      <c r="I2603" t="s">
        <v>116</v>
      </c>
      <c r="J2603">
        <v>2.5</v>
      </c>
      <c r="K2603">
        <v>0</v>
      </c>
      <c r="M2603">
        <v>3478.53</v>
      </c>
      <c r="N2603" t="s">
        <v>17</v>
      </c>
    </row>
    <row r="2604" spans="1:14" x14ac:dyDescent="0.2">
      <c r="A2604" t="s">
        <v>119</v>
      </c>
      <c r="B2604" t="s">
        <v>137</v>
      </c>
      <c r="C2604" t="s">
        <v>136</v>
      </c>
      <c r="D2604" t="s">
        <v>121</v>
      </c>
      <c r="E2604" t="s">
        <v>53</v>
      </c>
      <c r="F2604" t="s">
        <v>114</v>
      </c>
      <c r="G2604">
        <v>122639</v>
      </c>
      <c r="H2604" s="75">
        <v>41047</v>
      </c>
      <c r="I2604" t="s">
        <v>115</v>
      </c>
      <c r="J2604">
        <v>5000</v>
      </c>
      <c r="K2604">
        <v>222.119</v>
      </c>
      <c r="L2604">
        <v>22.5105</v>
      </c>
      <c r="M2604">
        <v>3700.6489999999999</v>
      </c>
      <c r="N2604" t="s">
        <v>15</v>
      </c>
    </row>
    <row r="2605" spans="1:14" x14ac:dyDescent="0.2">
      <c r="A2605" t="s">
        <v>119</v>
      </c>
      <c r="B2605" t="s">
        <v>137</v>
      </c>
      <c r="C2605" t="s">
        <v>136</v>
      </c>
      <c r="D2605" t="s">
        <v>121</v>
      </c>
      <c r="E2605" t="s">
        <v>53</v>
      </c>
      <c r="F2605" t="s">
        <v>114</v>
      </c>
      <c r="G2605">
        <v>122639</v>
      </c>
      <c r="H2605" s="75">
        <v>41047</v>
      </c>
      <c r="I2605" t="s">
        <v>25</v>
      </c>
      <c r="J2605">
        <v>-16660.68</v>
      </c>
      <c r="K2605">
        <v>-740.13</v>
      </c>
      <c r="L2605">
        <v>22.5105</v>
      </c>
      <c r="M2605">
        <v>2960.5189999999998</v>
      </c>
      <c r="N2605" t="s">
        <v>16</v>
      </c>
    </row>
    <row r="2606" spans="1:14" x14ac:dyDescent="0.2">
      <c r="A2606" t="s">
        <v>119</v>
      </c>
      <c r="B2606" t="s">
        <v>137</v>
      </c>
      <c r="C2606" t="s">
        <v>136</v>
      </c>
      <c r="D2606" t="s">
        <v>121</v>
      </c>
      <c r="E2606" t="s">
        <v>53</v>
      </c>
      <c r="F2606" t="s">
        <v>114</v>
      </c>
      <c r="G2606">
        <v>122639</v>
      </c>
      <c r="H2606" s="75">
        <v>41077</v>
      </c>
      <c r="I2606" t="s">
        <v>115</v>
      </c>
      <c r="J2606">
        <v>5000</v>
      </c>
      <c r="K2606">
        <v>219.99</v>
      </c>
      <c r="L2606">
        <v>22.728300000000001</v>
      </c>
      <c r="M2606">
        <v>3180.509</v>
      </c>
      <c r="N2606" t="s">
        <v>15</v>
      </c>
    </row>
    <row r="2607" spans="1:14" x14ac:dyDescent="0.2">
      <c r="A2607" t="s">
        <v>119</v>
      </c>
      <c r="B2607" t="s">
        <v>137</v>
      </c>
      <c r="C2607" t="s">
        <v>136</v>
      </c>
      <c r="D2607" t="s">
        <v>121</v>
      </c>
      <c r="E2607" t="s">
        <v>53</v>
      </c>
      <c r="F2607" t="s">
        <v>114</v>
      </c>
      <c r="G2607">
        <v>122639</v>
      </c>
      <c r="H2607" s="75">
        <v>41107</v>
      </c>
      <c r="I2607" t="s">
        <v>115</v>
      </c>
      <c r="J2607">
        <v>5000</v>
      </c>
      <c r="K2607">
        <v>223.446</v>
      </c>
      <c r="L2607">
        <v>22.376799999999999</v>
      </c>
      <c r="M2607">
        <v>3403.9549999999999</v>
      </c>
      <c r="N2607" t="s">
        <v>15</v>
      </c>
    </row>
    <row r="2608" spans="1:14" x14ac:dyDescent="0.2">
      <c r="A2608" t="s">
        <v>119</v>
      </c>
      <c r="B2608" t="s">
        <v>137</v>
      </c>
      <c r="C2608" t="s">
        <v>136</v>
      </c>
      <c r="D2608" t="s">
        <v>121</v>
      </c>
      <c r="E2608" t="s">
        <v>53</v>
      </c>
      <c r="F2608" t="s">
        <v>114</v>
      </c>
      <c r="G2608">
        <v>122639</v>
      </c>
      <c r="H2608" s="75">
        <v>41137</v>
      </c>
      <c r="I2608" t="s">
        <v>115</v>
      </c>
      <c r="J2608">
        <v>5000</v>
      </c>
      <c r="K2608">
        <v>218.815</v>
      </c>
      <c r="L2608">
        <v>22.8504</v>
      </c>
      <c r="M2608">
        <v>3622.77</v>
      </c>
      <c r="N2608" t="s">
        <v>15</v>
      </c>
    </row>
    <row r="2609" spans="1:15" x14ac:dyDescent="0.2">
      <c r="A2609" t="s">
        <v>119</v>
      </c>
      <c r="B2609" t="s">
        <v>137</v>
      </c>
      <c r="C2609" t="s">
        <v>136</v>
      </c>
      <c r="D2609" t="s">
        <v>121</v>
      </c>
      <c r="E2609" t="s">
        <v>53</v>
      </c>
      <c r="F2609" t="s">
        <v>114</v>
      </c>
      <c r="G2609">
        <v>122639</v>
      </c>
      <c r="H2609" s="75">
        <v>41167</v>
      </c>
      <c r="I2609" t="s">
        <v>115</v>
      </c>
      <c r="J2609">
        <v>5000</v>
      </c>
      <c r="K2609">
        <v>214.89500000000001</v>
      </c>
      <c r="L2609">
        <v>23.267199999999999</v>
      </c>
      <c r="M2609">
        <v>3837.6640000000002</v>
      </c>
      <c r="N2609" t="s">
        <v>15</v>
      </c>
    </row>
    <row r="2610" spans="1:15" x14ac:dyDescent="0.2">
      <c r="A2610" t="s">
        <v>119</v>
      </c>
      <c r="B2610" t="s">
        <v>137</v>
      </c>
      <c r="C2610" t="s">
        <v>136</v>
      </c>
      <c r="D2610" t="s">
        <v>121</v>
      </c>
      <c r="E2610" t="s">
        <v>53</v>
      </c>
      <c r="F2610" t="s">
        <v>114</v>
      </c>
      <c r="G2610">
        <v>122639</v>
      </c>
      <c r="H2610" s="75">
        <v>41197</v>
      </c>
      <c r="I2610" t="s">
        <v>115</v>
      </c>
      <c r="J2610">
        <v>5000</v>
      </c>
      <c r="K2610">
        <v>214.51499999999999</v>
      </c>
      <c r="L2610">
        <v>23.308399999999999</v>
      </c>
      <c r="M2610">
        <v>4052.1790000000001</v>
      </c>
      <c r="N2610" t="s">
        <v>15</v>
      </c>
    </row>
    <row r="2611" spans="1:15" x14ac:dyDescent="0.2">
      <c r="A2611" t="s">
        <v>119</v>
      </c>
      <c r="B2611" t="s">
        <v>137</v>
      </c>
      <c r="C2611" t="s">
        <v>136</v>
      </c>
      <c r="D2611" t="s">
        <v>121</v>
      </c>
      <c r="E2611" t="s">
        <v>53</v>
      </c>
      <c r="F2611" t="s">
        <v>114</v>
      </c>
      <c r="G2611">
        <v>122639</v>
      </c>
      <c r="H2611" s="75">
        <v>41197</v>
      </c>
      <c r="I2611" t="s">
        <v>118</v>
      </c>
      <c r="J2611">
        <v>2026.09</v>
      </c>
      <c r="K2611">
        <v>0</v>
      </c>
      <c r="M2611">
        <v>4052.1790000000001</v>
      </c>
      <c r="N2611" t="s">
        <v>19</v>
      </c>
      <c r="O2611">
        <v>2026.09</v>
      </c>
    </row>
    <row r="2612" spans="1:15" x14ac:dyDescent="0.2">
      <c r="A2612" t="s">
        <v>119</v>
      </c>
      <c r="B2612" t="s">
        <v>137</v>
      </c>
      <c r="C2612" t="s">
        <v>136</v>
      </c>
      <c r="D2612" t="s">
        <v>121</v>
      </c>
      <c r="E2612" t="s">
        <v>53</v>
      </c>
      <c r="F2612" t="s">
        <v>114</v>
      </c>
      <c r="G2612">
        <v>122639</v>
      </c>
      <c r="H2612" s="75">
        <v>41227</v>
      </c>
      <c r="I2612" t="s">
        <v>115</v>
      </c>
      <c r="J2612">
        <v>5000</v>
      </c>
      <c r="K2612">
        <v>211.36699999999999</v>
      </c>
      <c r="L2612">
        <v>23.6555</v>
      </c>
      <c r="M2612">
        <v>4263.5469999999996</v>
      </c>
      <c r="N2612" t="s">
        <v>15</v>
      </c>
    </row>
    <row r="2613" spans="1:15" x14ac:dyDescent="0.2">
      <c r="A2613" t="s">
        <v>119</v>
      </c>
      <c r="B2613" t="s">
        <v>137</v>
      </c>
      <c r="C2613" t="s">
        <v>136</v>
      </c>
      <c r="D2613" t="s">
        <v>121</v>
      </c>
      <c r="E2613" t="s">
        <v>53</v>
      </c>
      <c r="F2613" t="s">
        <v>114</v>
      </c>
      <c r="G2613">
        <v>122639</v>
      </c>
      <c r="H2613" s="75">
        <v>41227</v>
      </c>
      <c r="I2613" t="s">
        <v>116</v>
      </c>
      <c r="J2613">
        <v>2.5</v>
      </c>
      <c r="K2613">
        <v>0</v>
      </c>
      <c r="M2613">
        <v>4263.5469999999996</v>
      </c>
      <c r="N2613" t="s">
        <v>17</v>
      </c>
    </row>
    <row r="2614" spans="1:15" x14ac:dyDescent="0.2">
      <c r="A2614" t="s">
        <v>119</v>
      </c>
      <c r="B2614" t="s">
        <v>137</v>
      </c>
      <c r="C2614" t="s">
        <v>136</v>
      </c>
      <c r="D2614" t="s">
        <v>121</v>
      </c>
      <c r="E2614" t="s">
        <v>53</v>
      </c>
      <c r="F2614" t="s">
        <v>114</v>
      </c>
      <c r="G2614">
        <v>122639</v>
      </c>
      <c r="H2614" s="75">
        <v>41257</v>
      </c>
      <c r="I2614" t="s">
        <v>115</v>
      </c>
      <c r="J2614">
        <v>5000</v>
      </c>
      <c r="K2614">
        <v>205.29300000000001</v>
      </c>
      <c r="L2614">
        <v>24.355399999999999</v>
      </c>
      <c r="M2614">
        <v>4468.84</v>
      </c>
      <c r="N2614" t="s">
        <v>15</v>
      </c>
    </row>
    <row r="2615" spans="1:15" x14ac:dyDescent="0.2">
      <c r="A2615" t="s">
        <v>119</v>
      </c>
      <c r="B2615" t="s">
        <v>137</v>
      </c>
      <c r="C2615" t="s">
        <v>136</v>
      </c>
      <c r="D2615" t="s">
        <v>121</v>
      </c>
      <c r="E2615" t="s">
        <v>53</v>
      </c>
      <c r="F2615" t="s">
        <v>114</v>
      </c>
      <c r="G2615">
        <v>122639</v>
      </c>
      <c r="H2615" s="75">
        <v>41257</v>
      </c>
      <c r="I2615" t="s">
        <v>116</v>
      </c>
      <c r="J2615">
        <v>2.5</v>
      </c>
      <c r="K2615">
        <v>0</v>
      </c>
      <c r="M2615">
        <v>4468.84</v>
      </c>
      <c r="N2615" t="s">
        <v>17</v>
      </c>
    </row>
    <row r="2616" spans="1:15" x14ac:dyDescent="0.2">
      <c r="A2616" t="s">
        <v>119</v>
      </c>
      <c r="B2616" t="s">
        <v>137</v>
      </c>
      <c r="C2616" t="s">
        <v>136</v>
      </c>
      <c r="D2616" t="s">
        <v>121</v>
      </c>
      <c r="E2616" t="s">
        <v>53</v>
      </c>
      <c r="F2616" t="s">
        <v>114</v>
      </c>
      <c r="G2616">
        <v>122639</v>
      </c>
      <c r="H2616" s="75">
        <v>41287</v>
      </c>
      <c r="I2616" t="s">
        <v>115</v>
      </c>
      <c r="J2616">
        <v>5000</v>
      </c>
      <c r="K2616">
        <v>201.571</v>
      </c>
      <c r="L2616">
        <v>24.805099999999999</v>
      </c>
      <c r="M2616">
        <v>4670.4110000000001</v>
      </c>
      <c r="N2616" t="s">
        <v>15</v>
      </c>
    </row>
    <row r="2617" spans="1:15" x14ac:dyDescent="0.2">
      <c r="A2617" t="s">
        <v>119</v>
      </c>
      <c r="B2617" t="s">
        <v>137</v>
      </c>
      <c r="C2617" t="s">
        <v>136</v>
      </c>
      <c r="D2617" t="s">
        <v>121</v>
      </c>
      <c r="E2617" t="s">
        <v>53</v>
      </c>
      <c r="F2617" t="s">
        <v>114</v>
      </c>
      <c r="G2617">
        <v>122639</v>
      </c>
      <c r="H2617" s="75">
        <v>41317</v>
      </c>
      <c r="I2617" t="s">
        <v>115</v>
      </c>
      <c r="J2617">
        <v>5000</v>
      </c>
      <c r="K2617">
        <v>199.21799999999999</v>
      </c>
      <c r="L2617">
        <v>25.098199999999999</v>
      </c>
      <c r="M2617">
        <v>4869.6289999999999</v>
      </c>
      <c r="N2617" t="s">
        <v>15</v>
      </c>
    </row>
    <row r="2618" spans="1:15" x14ac:dyDescent="0.2">
      <c r="A2618" t="s">
        <v>119</v>
      </c>
      <c r="B2618" t="s">
        <v>137</v>
      </c>
      <c r="C2618" t="s">
        <v>136</v>
      </c>
      <c r="D2618" t="s">
        <v>121</v>
      </c>
      <c r="E2618" t="s">
        <v>53</v>
      </c>
      <c r="F2618" t="s">
        <v>114</v>
      </c>
      <c r="G2618">
        <v>122639</v>
      </c>
      <c r="H2618" s="75">
        <v>41317</v>
      </c>
      <c r="I2618" t="s">
        <v>117</v>
      </c>
      <c r="J2618">
        <v>2.5</v>
      </c>
      <c r="K2618">
        <v>0</v>
      </c>
      <c r="M2618">
        <v>4869.6289999999999</v>
      </c>
      <c r="N2618" t="s">
        <v>46</v>
      </c>
    </row>
    <row r="2619" spans="1:15" x14ac:dyDescent="0.2">
      <c r="A2619" t="s">
        <v>119</v>
      </c>
      <c r="B2619" t="s">
        <v>137</v>
      </c>
      <c r="C2619" t="s">
        <v>136</v>
      </c>
      <c r="D2619" t="s">
        <v>121</v>
      </c>
      <c r="E2619" t="s">
        <v>53</v>
      </c>
      <c r="F2619" t="s">
        <v>114</v>
      </c>
      <c r="G2619">
        <v>122639</v>
      </c>
      <c r="H2619" s="75">
        <v>41347</v>
      </c>
      <c r="I2619" t="s">
        <v>115</v>
      </c>
      <c r="J2619">
        <v>5000</v>
      </c>
      <c r="K2619">
        <v>201.95599999999999</v>
      </c>
      <c r="L2619">
        <v>24.757899999999999</v>
      </c>
      <c r="M2619">
        <v>5071.585</v>
      </c>
      <c r="N2619" t="s">
        <v>15</v>
      </c>
    </row>
    <row r="2620" spans="1:15" x14ac:dyDescent="0.2">
      <c r="A2620" t="s">
        <v>119</v>
      </c>
      <c r="B2620" t="s">
        <v>137</v>
      </c>
      <c r="C2620" t="s">
        <v>136</v>
      </c>
      <c r="D2620" t="s">
        <v>121</v>
      </c>
      <c r="E2620" t="s">
        <v>53</v>
      </c>
      <c r="F2620" t="s">
        <v>114</v>
      </c>
      <c r="G2620">
        <v>122639</v>
      </c>
      <c r="H2620" s="75">
        <v>41377</v>
      </c>
      <c r="I2620" t="s">
        <v>115</v>
      </c>
      <c r="J2620">
        <v>5000</v>
      </c>
      <c r="K2620">
        <v>202.17699999999999</v>
      </c>
      <c r="L2620">
        <v>24.730899999999998</v>
      </c>
      <c r="M2620">
        <v>5273.7610000000004</v>
      </c>
      <c r="N2620" t="s">
        <v>15</v>
      </c>
    </row>
    <row r="2621" spans="1:15" x14ac:dyDescent="0.2">
      <c r="A2621" t="s">
        <v>119</v>
      </c>
      <c r="B2621" t="s">
        <v>137</v>
      </c>
      <c r="C2621" t="s">
        <v>136</v>
      </c>
      <c r="D2621" t="s">
        <v>121</v>
      </c>
      <c r="E2621" t="s">
        <v>53</v>
      </c>
      <c r="F2621" t="s">
        <v>114</v>
      </c>
      <c r="G2621">
        <v>122639</v>
      </c>
      <c r="H2621" s="75">
        <v>41377</v>
      </c>
      <c r="I2621" t="s">
        <v>116</v>
      </c>
      <c r="J2621">
        <v>2.5</v>
      </c>
      <c r="K2621">
        <v>0</v>
      </c>
      <c r="M2621">
        <v>5273.7610000000004</v>
      </c>
      <c r="N2621" t="s">
        <v>17</v>
      </c>
    </row>
    <row r="2622" spans="1:15" x14ac:dyDescent="0.2">
      <c r="A2622" t="s">
        <v>119</v>
      </c>
      <c r="B2622" t="s">
        <v>137</v>
      </c>
      <c r="C2622" t="s">
        <v>136</v>
      </c>
      <c r="D2622" t="s">
        <v>121</v>
      </c>
      <c r="E2622" t="s">
        <v>53</v>
      </c>
      <c r="F2622" t="s">
        <v>114</v>
      </c>
      <c r="G2622">
        <v>122639</v>
      </c>
      <c r="H2622" s="75">
        <v>41407</v>
      </c>
      <c r="I2622" t="s">
        <v>115</v>
      </c>
      <c r="J2622">
        <v>5000</v>
      </c>
      <c r="K2622">
        <v>200.215</v>
      </c>
      <c r="L2622">
        <v>24.973199999999999</v>
      </c>
      <c r="M2622">
        <v>5473.9759999999997</v>
      </c>
      <c r="N2622" t="s">
        <v>15</v>
      </c>
    </row>
    <row r="2623" spans="1:15" x14ac:dyDescent="0.2">
      <c r="A2623" t="s">
        <v>119</v>
      </c>
      <c r="B2623" t="s">
        <v>137</v>
      </c>
      <c r="C2623" t="s">
        <v>136</v>
      </c>
      <c r="D2623" t="s">
        <v>121</v>
      </c>
      <c r="E2623" t="s">
        <v>53</v>
      </c>
      <c r="F2623" t="s">
        <v>114</v>
      </c>
      <c r="G2623">
        <v>122639</v>
      </c>
      <c r="H2623" s="75">
        <v>41437</v>
      </c>
      <c r="I2623" t="s">
        <v>115</v>
      </c>
      <c r="J2623">
        <v>5000</v>
      </c>
      <c r="K2623">
        <v>200.136</v>
      </c>
      <c r="L2623">
        <v>24.983000000000001</v>
      </c>
      <c r="M2623">
        <v>5674.1120000000001</v>
      </c>
      <c r="N2623" t="s">
        <v>15</v>
      </c>
    </row>
    <row r="2624" spans="1:15" x14ac:dyDescent="0.2">
      <c r="A2624" t="s">
        <v>119</v>
      </c>
      <c r="B2624" t="s">
        <v>137</v>
      </c>
      <c r="C2624" t="s">
        <v>136</v>
      </c>
      <c r="D2624" t="s">
        <v>121</v>
      </c>
      <c r="E2624" t="s">
        <v>53</v>
      </c>
      <c r="F2624" t="s">
        <v>114</v>
      </c>
      <c r="G2624">
        <v>122639</v>
      </c>
      <c r="H2624" s="75">
        <v>41467</v>
      </c>
      <c r="I2624" t="s">
        <v>115</v>
      </c>
      <c r="J2624">
        <v>5000</v>
      </c>
      <c r="K2624">
        <v>195.02600000000001</v>
      </c>
      <c r="L2624">
        <v>25.637599999999999</v>
      </c>
      <c r="M2624">
        <v>5869.1379999999999</v>
      </c>
      <c r="N2624" t="s">
        <v>15</v>
      </c>
    </row>
    <row r="2625" spans="1:14" x14ac:dyDescent="0.2">
      <c r="A2625" t="s">
        <v>119</v>
      </c>
      <c r="B2625" t="s">
        <v>137</v>
      </c>
      <c r="C2625" t="s">
        <v>136</v>
      </c>
      <c r="D2625" t="s">
        <v>121</v>
      </c>
      <c r="E2625" t="s">
        <v>53</v>
      </c>
      <c r="F2625" t="s">
        <v>114</v>
      </c>
      <c r="G2625">
        <v>122639</v>
      </c>
      <c r="H2625" s="75">
        <v>41467</v>
      </c>
      <c r="I2625" t="s">
        <v>117</v>
      </c>
      <c r="J2625">
        <v>2.5</v>
      </c>
      <c r="K2625">
        <v>0</v>
      </c>
      <c r="M2625">
        <v>5869.1379999999999</v>
      </c>
      <c r="N2625" t="s">
        <v>46</v>
      </c>
    </row>
    <row r="2626" spans="1:14" x14ac:dyDescent="0.2">
      <c r="A2626" t="s">
        <v>119</v>
      </c>
      <c r="B2626" t="s">
        <v>137</v>
      </c>
      <c r="C2626" t="s">
        <v>136</v>
      </c>
      <c r="D2626" t="s">
        <v>121</v>
      </c>
      <c r="E2626" t="s">
        <v>53</v>
      </c>
      <c r="F2626" t="s">
        <v>114</v>
      </c>
      <c r="G2626">
        <v>122639</v>
      </c>
      <c r="H2626" s="75">
        <v>41497</v>
      </c>
      <c r="I2626" t="s">
        <v>115</v>
      </c>
      <c r="J2626">
        <v>5000</v>
      </c>
      <c r="K2626">
        <v>194.05199999999999</v>
      </c>
      <c r="L2626">
        <v>25.766300000000001</v>
      </c>
      <c r="M2626">
        <v>6063.19</v>
      </c>
      <c r="N2626" t="s">
        <v>15</v>
      </c>
    </row>
    <row r="2627" spans="1:14" x14ac:dyDescent="0.2">
      <c r="A2627" t="s">
        <v>119</v>
      </c>
      <c r="B2627" t="s">
        <v>137</v>
      </c>
      <c r="C2627" t="s">
        <v>136</v>
      </c>
      <c r="D2627" t="s">
        <v>121</v>
      </c>
      <c r="E2627" t="s">
        <v>53</v>
      </c>
      <c r="F2627" t="s">
        <v>114</v>
      </c>
      <c r="G2627">
        <v>122639</v>
      </c>
      <c r="H2627" s="75">
        <v>41527</v>
      </c>
      <c r="I2627" t="s">
        <v>115</v>
      </c>
      <c r="J2627">
        <v>5000</v>
      </c>
      <c r="K2627">
        <v>190.298</v>
      </c>
      <c r="L2627">
        <v>26.2746</v>
      </c>
      <c r="M2627">
        <v>6253.4889999999996</v>
      </c>
      <c r="N2627" t="s">
        <v>15</v>
      </c>
    </row>
    <row r="2628" spans="1:14" x14ac:dyDescent="0.2">
      <c r="A2628" t="s">
        <v>119</v>
      </c>
      <c r="B2628" t="s">
        <v>137</v>
      </c>
      <c r="C2628" t="s">
        <v>136</v>
      </c>
      <c r="D2628" t="s">
        <v>121</v>
      </c>
      <c r="E2628" t="s">
        <v>53</v>
      </c>
      <c r="F2628" t="s">
        <v>114</v>
      </c>
      <c r="G2628">
        <v>122639</v>
      </c>
      <c r="H2628" s="75">
        <v>41557</v>
      </c>
      <c r="I2628" t="s">
        <v>115</v>
      </c>
      <c r="J2628">
        <v>5000</v>
      </c>
      <c r="K2628">
        <v>187.376</v>
      </c>
      <c r="L2628">
        <v>26.6843</v>
      </c>
      <c r="M2628">
        <v>6440.8649999999998</v>
      </c>
      <c r="N2628" t="s">
        <v>15</v>
      </c>
    </row>
    <row r="2629" spans="1:14" x14ac:dyDescent="0.2">
      <c r="A2629" t="s">
        <v>119</v>
      </c>
      <c r="B2629" t="s">
        <v>137</v>
      </c>
      <c r="C2629" t="s">
        <v>136</v>
      </c>
      <c r="D2629" t="s">
        <v>121</v>
      </c>
      <c r="E2629" t="s">
        <v>53</v>
      </c>
      <c r="F2629" t="s">
        <v>114</v>
      </c>
      <c r="G2629">
        <v>122639</v>
      </c>
      <c r="H2629" s="75">
        <v>41587</v>
      </c>
      <c r="I2629" t="s">
        <v>115</v>
      </c>
      <c r="J2629">
        <v>5000</v>
      </c>
      <c r="K2629">
        <v>187.958</v>
      </c>
      <c r="L2629">
        <v>26.601700000000001</v>
      </c>
      <c r="M2629">
        <v>6628.8230000000003</v>
      </c>
      <c r="N2629" t="s">
        <v>15</v>
      </c>
    </row>
    <row r="2630" spans="1:14" x14ac:dyDescent="0.2">
      <c r="A2630" t="s">
        <v>119</v>
      </c>
      <c r="B2630" t="s">
        <v>137</v>
      </c>
      <c r="C2630" t="s">
        <v>136</v>
      </c>
      <c r="D2630" t="s">
        <v>121</v>
      </c>
      <c r="E2630" t="s">
        <v>53</v>
      </c>
      <c r="F2630" t="s">
        <v>114</v>
      </c>
      <c r="G2630">
        <v>122639</v>
      </c>
      <c r="H2630" s="75">
        <v>41617</v>
      </c>
      <c r="I2630" t="s">
        <v>115</v>
      </c>
      <c r="J2630">
        <v>5000</v>
      </c>
      <c r="K2630">
        <v>184.18100000000001</v>
      </c>
      <c r="L2630">
        <v>27.147200000000002</v>
      </c>
      <c r="M2630">
        <v>6813.0029999999997</v>
      </c>
      <c r="N2630" t="s">
        <v>15</v>
      </c>
    </row>
    <row r="2631" spans="1:14" x14ac:dyDescent="0.2">
      <c r="A2631" t="s">
        <v>119</v>
      </c>
      <c r="B2631" t="s">
        <v>137</v>
      </c>
      <c r="C2631" t="s">
        <v>136</v>
      </c>
      <c r="D2631" t="s">
        <v>121</v>
      </c>
      <c r="E2631" t="s">
        <v>53</v>
      </c>
      <c r="F2631" t="s">
        <v>114</v>
      </c>
      <c r="G2631">
        <v>122639</v>
      </c>
      <c r="H2631" s="75">
        <v>41617</v>
      </c>
      <c r="I2631" t="s">
        <v>116</v>
      </c>
      <c r="J2631">
        <v>2.5</v>
      </c>
      <c r="K2631">
        <v>0</v>
      </c>
      <c r="M2631">
        <v>6813.0029999999997</v>
      </c>
      <c r="N2631" t="s">
        <v>17</v>
      </c>
    </row>
    <row r="2632" spans="1:14" x14ac:dyDescent="0.2">
      <c r="A2632" t="s">
        <v>119</v>
      </c>
      <c r="B2632" t="s">
        <v>137</v>
      </c>
      <c r="C2632" t="s">
        <v>136</v>
      </c>
      <c r="D2632" t="s">
        <v>121</v>
      </c>
      <c r="E2632" t="s">
        <v>53</v>
      </c>
      <c r="F2632" t="s">
        <v>114</v>
      </c>
      <c r="G2632">
        <v>122639</v>
      </c>
      <c r="H2632" s="75">
        <v>41647</v>
      </c>
      <c r="I2632" t="s">
        <v>115</v>
      </c>
      <c r="J2632">
        <v>5000</v>
      </c>
      <c r="K2632">
        <v>180.62100000000001</v>
      </c>
      <c r="L2632">
        <v>27.682300000000001</v>
      </c>
      <c r="M2632">
        <v>6993.6239999999998</v>
      </c>
      <c r="N2632" t="s">
        <v>15</v>
      </c>
    </row>
    <row r="2633" spans="1:14" x14ac:dyDescent="0.2">
      <c r="A2633" t="s">
        <v>119</v>
      </c>
      <c r="B2633" t="s">
        <v>137</v>
      </c>
      <c r="C2633" t="s">
        <v>136</v>
      </c>
      <c r="D2633" t="s">
        <v>121</v>
      </c>
      <c r="E2633" t="s">
        <v>53</v>
      </c>
      <c r="F2633" t="s">
        <v>114</v>
      </c>
      <c r="G2633">
        <v>122639</v>
      </c>
      <c r="H2633" s="75">
        <v>41647</v>
      </c>
      <c r="I2633" t="s">
        <v>116</v>
      </c>
      <c r="J2633">
        <v>2.5</v>
      </c>
      <c r="K2633">
        <v>0</v>
      </c>
      <c r="M2633">
        <v>6993.6239999999998</v>
      </c>
      <c r="N2633" t="s">
        <v>17</v>
      </c>
    </row>
    <row r="2634" spans="1:14" x14ac:dyDescent="0.2">
      <c r="A2634" t="s">
        <v>119</v>
      </c>
      <c r="B2634" t="s">
        <v>137</v>
      </c>
      <c r="C2634" t="s">
        <v>136</v>
      </c>
      <c r="D2634" t="s">
        <v>121</v>
      </c>
      <c r="E2634" t="s">
        <v>53</v>
      </c>
      <c r="F2634" t="s">
        <v>114</v>
      </c>
      <c r="G2634">
        <v>122639</v>
      </c>
      <c r="H2634" s="75">
        <v>41677</v>
      </c>
      <c r="I2634" t="s">
        <v>115</v>
      </c>
      <c r="J2634">
        <v>5000</v>
      </c>
      <c r="K2634">
        <v>176.404</v>
      </c>
      <c r="L2634">
        <v>28.344000000000001</v>
      </c>
      <c r="M2634">
        <v>7170.0280000000002</v>
      </c>
      <c r="N2634" t="s">
        <v>15</v>
      </c>
    </row>
    <row r="2635" spans="1:14" x14ac:dyDescent="0.2">
      <c r="A2635" t="s">
        <v>119</v>
      </c>
      <c r="B2635" t="s">
        <v>137</v>
      </c>
      <c r="C2635" t="s">
        <v>136</v>
      </c>
      <c r="D2635" t="s">
        <v>121</v>
      </c>
      <c r="E2635" t="s">
        <v>53</v>
      </c>
      <c r="F2635" t="s">
        <v>114</v>
      </c>
      <c r="G2635">
        <v>122639</v>
      </c>
      <c r="H2635" s="75">
        <v>41677</v>
      </c>
      <c r="I2635" t="s">
        <v>116</v>
      </c>
      <c r="J2635">
        <v>2.5</v>
      </c>
      <c r="K2635">
        <v>0</v>
      </c>
      <c r="M2635">
        <v>7170.0280000000002</v>
      </c>
      <c r="N2635" t="s">
        <v>17</v>
      </c>
    </row>
    <row r="2636" spans="1:14" x14ac:dyDescent="0.2">
      <c r="A2636" t="s">
        <v>119</v>
      </c>
      <c r="B2636" t="s">
        <v>137</v>
      </c>
      <c r="C2636" t="s">
        <v>136</v>
      </c>
      <c r="D2636" t="s">
        <v>121</v>
      </c>
      <c r="E2636" t="s">
        <v>53</v>
      </c>
      <c r="F2636" t="s">
        <v>114</v>
      </c>
      <c r="G2636">
        <v>122639</v>
      </c>
      <c r="H2636" s="75">
        <v>41707</v>
      </c>
      <c r="I2636" t="s">
        <v>115</v>
      </c>
      <c r="J2636">
        <v>5000</v>
      </c>
      <c r="K2636">
        <v>176.68299999999999</v>
      </c>
      <c r="L2636">
        <v>28.299299999999999</v>
      </c>
      <c r="M2636">
        <v>7346.7110000000002</v>
      </c>
      <c r="N2636" t="s">
        <v>15</v>
      </c>
    </row>
    <row r="2637" spans="1:14" x14ac:dyDescent="0.2">
      <c r="A2637" t="s">
        <v>119</v>
      </c>
      <c r="B2637" t="s">
        <v>137</v>
      </c>
      <c r="C2637" t="s">
        <v>136</v>
      </c>
      <c r="D2637" t="s">
        <v>121</v>
      </c>
      <c r="E2637" t="s">
        <v>53</v>
      </c>
      <c r="F2637" t="s">
        <v>114</v>
      </c>
      <c r="G2637">
        <v>122639</v>
      </c>
      <c r="H2637" s="75">
        <v>41737</v>
      </c>
      <c r="I2637" t="s">
        <v>115</v>
      </c>
      <c r="J2637">
        <v>5000</v>
      </c>
      <c r="K2637">
        <v>175.27099999999999</v>
      </c>
      <c r="L2637">
        <v>28.527200000000001</v>
      </c>
      <c r="M2637">
        <v>7521.9830000000002</v>
      </c>
      <c r="N2637" t="s">
        <v>15</v>
      </c>
    </row>
    <row r="2638" spans="1:14" x14ac:dyDescent="0.2">
      <c r="A2638" t="s">
        <v>119</v>
      </c>
      <c r="B2638" t="s">
        <v>137</v>
      </c>
      <c r="C2638" t="s">
        <v>136</v>
      </c>
      <c r="D2638" t="s">
        <v>121</v>
      </c>
      <c r="E2638" t="s">
        <v>53</v>
      </c>
      <c r="F2638" t="s">
        <v>114</v>
      </c>
      <c r="G2638">
        <v>122639</v>
      </c>
      <c r="H2638" s="75">
        <v>41767</v>
      </c>
      <c r="I2638" t="s">
        <v>115</v>
      </c>
      <c r="J2638">
        <v>5000</v>
      </c>
      <c r="K2638">
        <v>178.04499999999999</v>
      </c>
      <c r="L2638">
        <v>28.082799999999999</v>
      </c>
      <c r="M2638">
        <v>7700.0280000000002</v>
      </c>
      <c r="N2638" t="s">
        <v>15</v>
      </c>
    </row>
    <row r="2639" spans="1:14" x14ac:dyDescent="0.2">
      <c r="A2639" t="s">
        <v>119</v>
      </c>
      <c r="B2639" t="s">
        <v>137</v>
      </c>
      <c r="C2639" t="s">
        <v>136</v>
      </c>
      <c r="D2639" t="s">
        <v>121</v>
      </c>
      <c r="E2639" t="s">
        <v>53</v>
      </c>
      <c r="F2639" t="s">
        <v>114</v>
      </c>
      <c r="G2639">
        <v>122639</v>
      </c>
      <c r="H2639" s="75">
        <v>41797</v>
      </c>
      <c r="I2639" t="s">
        <v>115</v>
      </c>
      <c r="J2639">
        <v>5000</v>
      </c>
      <c r="K2639">
        <v>173.39</v>
      </c>
      <c r="L2639">
        <v>28.8367</v>
      </c>
      <c r="M2639">
        <v>7873.4179999999997</v>
      </c>
      <c r="N2639" t="s">
        <v>15</v>
      </c>
    </row>
    <row r="2640" spans="1:14" x14ac:dyDescent="0.2">
      <c r="A2640" t="s">
        <v>119</v>
      </c>
      <c r="B2640" t="s">
        <v>137</v>
      </c>
      <c r="C2640" t="s">
        <v>136</v>
      </c>
      <c r="D2640" t="s">
        <v>121</v>
      </c>
      <c r="E2640" t="s">
        <v>53</v>
      </c>
      <c r="F2640" t="s">
        <v>114</v>
      </c>
      <c r="G2640">
        <v>122639</v>
      </c>
      <c r="H2640" s="75">
        <v>41827</v>
      </c>
      <c r="I2640" t="s">
        <v>115</v>
      </c>
      <c r="J2640">
        <v>5000</v>
      </c>
      <c r="K2640">
        <v>173.184</v>
      </c>
      <c r="L2640">
        <v>28.870999999999999</v>
      </c>
      <c r="M2640">
        <v>8046.6019999999999</v>
      </c>
      <c r="N2640" t="s">
        <v>15</v>
      </c>
    </row>
    <row r="2641" spans="1:15" x14ac:dyDescent="0.2">
      <c r="A2641" t="s">
        <v>119</v>
      </c>
      <c r="B2641" t="s">
        <v>137</v>
      </c>
      <c r="C2641" t="s">
        <v>136</v>
      </c>
      <c r="D2641" t="s">
        <v>121</v>
      </c>
      <c r="E2641" t="s">
        <v>53</v>
      </c>
      <c r="F2641" t="s">
        <v>114</v>
      </c>
      <c r="G2641">
        <v>122639</v>
      </c>
      <c r="H2641" s="75">
        <v>41857</v>
      </c>
      <c r="I2641" t="s">
        <v>115</v>
      </c>
      <c r="J2641">
        <v>5000</v>
      </c>
      <c r="K2641">
        <v>169.322</v>
      </c>
      <c r="L2641">
        <v>29.529499999999999</v>
      </c>
      <c r="M2641">
        <v>8215.9249999999993</v>
      </c>
      <c r="N2641" t="s">
        <v>15</v>
      </c>
    </row>
    <row r="2642" spans="1:15" x14ac:dyDescent="0.2">
      <c r="A2642" t="s">
        <v>119</v>
      </c>
      <c r="B2642" t="s">
        <v>137</v>
      </c>
      <c r="C2642" t="s">
        <v>136</v>
      </c>
      <c r="D2642" t="s">
        <v>121</v>
      </c>
      <c r="E2642" t="s">
        <v>53</v>
      </c>
      <c r="F2642" t="s">
        <v>114</v>
      </c>
      <c r="G2642">
        <v>122639</v>
      </c>
      <c r="H2642" s="75">
        <v>41887</v>
      </c>
      <c r="I2642" t="s">
        <v>115</v>
      </c>
      <c r="J2642">
        <v>5000</v>
      </c>
      <c r="K2642">
        <v>171.423</v>
      </c>
      <c r="L2642">
        <v>29.1676</v>
      </c>
      <c r="M2642">
        <v>8387.348</v>
      </c>
      <c r="N2642" t="s">
        <v>15</v>
      </c>
    </row>
    <row r="2643" spans="1:15" x14ac:dyDescent="0.2">
      <c r="A2643" t="s">
        <v>119</v>
      </c>
      <c r="B2643" t="s">
        <v>137</v>
      </c>
      <c r="C2643" t="s">
        <v>136</v>
      </c>
      <c r="D2643" t="s">
        <v>121</v>
      </c>
      <c r="E2643" t="s">
        <v>53</v>
      </c>
      <c r="F2643" t="s">
        <v>114</v>
      </c>
      <c r="G2643">
        <v>122639</v>
      </c>
      <c r="H2643" s="75">
        <v>41917</v>
      </c>
      <c r="I2643" t="s">
        <v>115</v>
      </c>
      <c r="J2643">
        <v>5000</v>
      </c>
      <c r="K2643">
        <v>167.76400000000001</v>
      </c>
      <c r="L2643">
        <v>29.803799999999999</v>
      </c>
      <c r="M2643">
        <v>8555.1110000000008</v>
      </c>
      <c r="N2643" t="s">
        <v>15</v>
      </c>
    </row>
    <row r="2644" spans="1:15" x14ac:dyDescent="0.2">
      <c r="A2644" t="s">
        <v>119</v>
      </c>
      <c r="B2644" t="s">
        <v>137</v>
      </c>
      <c r="C2644" t="s">
        <v>136</v>
      </c>
      <c r="D2644" t="s">
        <v>121</v>
      </c>
      <c r="E2644" t="s">
        <v>53</v>
      </c>
      <c r="F2644" t="s">
        <v>114</v>
      </c>
      <c r="G2644">
        <v>122639</v>
      </c>
      <c r="H2644" s="75">
        <v>41947</v>
      </c>
      <c r="I2644" t="s">
        <v>115</v>
      </c>
      <c r="J2644">
        <v>5000</v>
      </c>
      <c r="K2644">
        <v>166.90799999999999</v>
      </c>
      <c r="L2644">
        <v>29.956700000000001</v>
      </c>
      <c r="M2644">
        <v>8722.0190000000002</v>
      </c>
      <c r="N2644" t="s">
        <v>15</v>
      </c>
    </row>
    <row r="2645" spans="1:15" x14ac:dyDescent="0.2">
      <c r="A2645" t="s">
        <v>119</v>
      </c>
      <c r="B2645" t="s">
        <v>137</v>
      </c>
      <c r="C2645" t="s">
        <v>136</v>
      </c>
      <c r="D2645" t="s">
        <v>121</v>
      </c>
      <c r="E2645" t="s">
        <v>53</v>
      </c>
      <c r="F2645" t="s">
        <v>114</v>
      </c>
      <c r="G2645">
        <v>122639</v>
      </c>
      <c r="H2645" s="75">
        <v>41947</v>
      </c>
      <c r="I2645" t="s">
        <v>118</v>
      </c>
      <c r="J2645">
        <v>4361.01</v>
      </c>
      <c r="K2645">
        <v>0</v>
      </c>
      <c r="M2645">
        <v>8722.0190000000002</v>
      </c>
      <c r="N2645" t="s">
        <v>19</v>
      </c>
      <c r="O2645">
        <v>4361.01</v>
      </c>
    </row>
    <row r="2646" spans="1:15" x14ac:dyDescent="0.2">
      <c r="A2646" t="s">
        <v>119</v>
      </c>
      <c r="B2646" t="s">
        <v>137</v>
      </c>
      <c r="C2646" t="s">
        <v>136</v>
      </c>
      <c r="D2646" t="s">
        <v>121</v>
      </c>
      <c r="E2646" t="s">
        <v>53</v>
      </c>
      <c r="F2646" t="s">
        <v>114</v>
      </c>
      <c r="G2646">
        <v>122639</v>
      </c>
      <c r="H2646" s="75">
        <v>41977</v>
      </c>
      <c r="I2646" t="s">
        <v>115</v>
      </c>
      <c r="J2646">
        <v>5000</v>
      </c>
      <c r="K2646">
        <v>169.71</v>
      </c>
      <c r="L2646">
        <v>29.462</v>
      </c>
      <c r="M2646">
        <v>8891.7289999999994</v>
      </c>
      <c r="N2646" t="s">
        <v>15</v>
      </c>
    </row>
    <row r="2647" spans="1:15" x14ac:dyDescent="0.2">
      <c r="A2647" t="s">
        <v>119</v>
      </c>
      <c r="B2647" t="s">
        <v>137</v>
      </c>
      <c r="C2647" t="s">
        <v>136</v>
      </c>
      <c r="D2647" t="s">
        <v>121</v>
      </c>
      <c r="E2647" t="s">
        <v>53</v>
      </c>
      <c r="F2647" t="s">
        <v>114</v>
      </c>
      <c r="G2647">
        <v>122639</v>
      </c>
      <c r="H2647" s="75">
        <v>41977</v>
      </c>
      <c r="I2647" t="s">
        <v>116</v>
      </c>
      <c r="J2647">
        <v>2.5</v>
      </c>
      <c r="K2647">
        <v>0</v>
      </c>
      <c r="M2647">
        <v>8891.7289999999994</v>
      </c>
      <c r="N2647" t="s">
        <v>17</v>
      </c>
    </row>
    <row r="2648" spans="1:15" x14ac:dyDescent="0.2">
      <c r="A2648" t="s">
        <v>119</v>
      </c>
      <c r="B2648" t="s">
        <v>137</v>
      </c>
      <c r="C2648" t="s">
        <v>136</v>
      </c>
      <c r="D2648" t="s">
        <v>121</v>
      </c>
      <c r="E2648" t="s">
        <v>53</v>
      </c>
      <c r="F2648" t="s">
        <v>114</v>
      </c>
      <c r="G2648">
        <v>122639</v>
      </c>
      <c r="H2648" s="75">
        <v>42007</v>
      </c>
      <c r="I2648" t="s">
        <v>115</v>
      </c>
      <c r="J2648">
        <v>5000</v>
      </c>
      <c r="K2648">
        <v>169.48</v>
      </c>
      <c r="L2648">
        <v>29.501899999999999</v>
      </c>
      <c r="M2648">
        <v>9061.2090000000007</v>
      </c>
      <c r="N2648" t="s">
        <v>15</v>
      </c>
    </row>
    <row r="2649" spans="1:15" x14ac:dyDescent="0.2">
      <c r="A2649" t="s">
        <v>119</v>
      </c>
      <c r="B2649" t="s">
        <v>137</v>
      </c>
      <c r="C2649" t="s">
        <v>136</v>
      </c>
      <c r="D2649" t="s">
        <v>121</v>
      </c>
      <c r="E2649" t="s">
        <v>53</v>
      </c>
      <c r="F2649" t="s">
        <v>114</v>
      </c>
      <c r="G2649">
        <v>122639</v>
      </c>
      <c r="H2649" s="75">
        <v>42007</v>
      </c>
      <c r="I2649" t="s">
        <v>117</v>
      </c>
      <c r="J2649">
        <v>2.5</v>
      </c>
      <c r="K2649">
        <v>0</v>
      </c>
      <c r="M2649">
        <v>9061.2090000000007</v>
      </c>
      <c r="N2649" t="s">
        <v>46</v>
      </c>
    </row>
    <row r="2650" spans="1:15" x14ac:dyDescent="0.2">
      <c r="A2650" t="s">
        <v>119</v>
      </c>
      <c r="B2650" t="s">
        <v>137</v>
      </c>
      <c r="C2650" t="s">
        <v>136</v>
      </c>
      <c r="D2650" t="s">
        <v>121</v>
      </c>
      <c r="E2650" t="s">
        <v>53</v>
      </c>
      <c r="F2650" t="s">
        <v>114</v>
      </c>
      <c r="G2650">
        <v>122639</v>
      </c>
      <c r="H2650" s="75">
        <v>42037</v>
      </c>
      <c r="I2650" t="s">
        <v>115</v>
      </c>
      <c r="J2650">
        <v>5000</v>
      </c>
      <c r="K2650">
        <v>172.90700000000001</v>
      </c>
      <c r="L2650">
        <v>28.917300000000001</v>
      </c>
      <c r="M2650">
        <v>9234.116</v>
      </c>
      <c r="N2650" t="s">
        <v>15</v>
      </c>
    </row>
    <row r="2651" spans="1:15" x14ac:dyDescent="0.2">
      <c r="A2651" t="s">
        <v>119</v>
      </c>
      <c r="B2651" t="s">
        <v>137</v>
      </c>
      <c r="C2651" t="s">
        <v>136</v>
      </c>
      <c r="D2651" t="s">
        <v>121</v>
      </c>
      <c r="E2651" t="s">
        <v>53</v>
      </c>
      <c r="F2651" t="s">
        <v>114</v>
      </c>
      <c r="G2651">
        <v>122639</v>
      </c>
      <c r="H2651" s="75">
        <v>42067</v>
      </c>
      <c r="I2651" t="s">
        <v>115</v>
      </c>
      <c r="J2651">
        <v>5000</v>
      </c>
      <c r="K2651">
        <v>169.08099999999999</v>
      </c>
      <c r="L2651">
        <v>29.5717</v>
      </c>
      <c r="M2651">
        <v>9403.1970000000001</v>
      </c>
      <c r="N2651" t="s">
        <v>15</v>
      </c>
    </row>
    <row r="2652" spans="1:15" x14ac:dyDescent="0.2">
      <c r="A2652" t="s">
        <v>119</v>
      </c>
      <c r="B2652" t="s">
        <v>137</v>
      </c>
      <c r="C2652" t="s">
        <v>136</v>
      </c>
      <c r="D2652" t="s">
        <v>121</v>
      </c>
      <c r="E2652" t="s">
        <v>53</v>
      </c>
      <c r="F2652" t="s">
        <v>114</v>
      </c>
      <c r="G2652">
        <v>122639</v>
      </c>
      <c r="H2652" s="75">
        <v>42097</v>
      </c>
      <c r="I2652" t="s">
        <v>115</v>
      </c>
      <c r="J2652">
        <v>5000</v>
      </c>
      <c r="K2652">
        <v>164.434</v>
      </c>
      <c r="L2652">
        <v>30.407299999999999</v>
      </c>
      <c r="M2652">
        <v>9567.6309999999994</v>
      </c>
      <c r="N2652" t="s">
        <v>15</v>
      </c>
    </row>
    <row r="2653" spans="1:15" x14ac:dyDescent="0.2">
      <c r="A2653" t="s">
        <v>119</v>
      </c>
      <c r="B2653" t="s">
        <v>137</v>
      </c>
      <c r="C2653" t="s">
        <v>136</v>
      </c>
      <c r="D2653" t="s">
        <v>121</v>
      </c>
      <c r="E2653" t="s">
        <v>53</v>
      </c>
      <c r="F2653" t="s">
        <v>114</v>
      </c>
      <c r="G2653">
        <v>122639</v>
      </c>
      <c r="H2653" s="75">
        <v>42127</v>
      </c>
      <c r="I2653" t="s">
        <v>115</v>
      </c>
      <c r="J2653">
        <v>5000</v>
      </c>
      <c r="K2653">
        <v>163.68100000000001</v>
      </c>
      <c r="L2653">
        <v>30.5473</v>
      </c>
      <c r="M2653">
        <v>9731.3119999999999</v>
      </c>
      <c r="N2653" t="s">
        <v>15</v>
      </c>
    </row>
    <row r="2654" spans="1:15" x14ac:dyDescent="0.2">
      <c r="A2654" t="s">
        <v>119</v>
      </c>
      <c r="B2654" t="s">
        <v>137</v>
      </c>
      <c r="C2654" t="s">
        <v>136</v>
      </c>
      <c r="D2654" t="s">
        <v>121</v>
      </c>
      <c r="E2654" t="s">
        <v>53</v>
      </c>
      <c r="F2654" t="s">
        <v>114</v>
      </c>
      <c r="G2654">
        <v>122639</v>
      </c>
      <c r="H2654" s="75">
        <v>42157</v>
      </c>
      <c r="I2654" t="s">
        <v>115</v>
      </c>
      <c r="J2654">
        <v>5000</v>
      </c>
      <c r="K2654">
        <v>165.91399999999999</v>
      </c>
      <c r="L2654">
        <v>30.135999999999999</v>
      </c>
      <c r="M2654">
        <v>9897.2260000000006</v>
      </c>
      <c r="N2654" t="s">
        <v>15</v>
      </c>
    </row>
    <row r="2655" spans="1:15" x14ac:dyDescent="0.2">
      <c r="A2655" t="s">
        <v>119</v>
      </c>
      <c r="B2655" t="s">
        <v>137</v>
      </c>
      <c r="C2655" t="s">
        <v>136</v>
      </c>
      <c r="D2655" t="s">
        <v>121</v>
      </c>
      <c r="E2655" t="s">
        <v>53</v>
      </c>
      <c r="F2655" t="s">
        <v>114</v>
      </c>
      <c r="G2655">
        <v>122639</v>
      </c>
      <c r="H2655" s="75">
        <v>42187</v>
      </c>
      <c r="I2655" t="s">
        <v>115</v>
      </c>
      <c r="J2655">
        <v>5000</v>
      </c>
      <c r="K2655">
        <v>165.10900000000001</v>
      </c>
      <c r="L2655">
        <v>30.283000000000001</v>
      </c>
      <c r="M2655">
        <v>10062.334999999999</v>
      </c>
      <c r="N2655" t="s">
        <v>15</v>
      </c>
    </row>
    <row r="2656" spans="1:15" x14ac:dyDescent="0.2">
      <c r="A2656" t="s">
        <v>119</v>
      </c>
      <c r="B2656" t="s">
        <v>137</v>
      </c>
      <c r="C2656" t="s">
        <v>136</v>
      </c>
      <c r="D2656" t="s">
        <v>121</v>
      </c>
      <c r="E2656" t="s">
        <v>53</v>
      </c>
      <c r="F2656" t="s">
        <v>114</v>
      </c>
      <c r="G2656">
        <v>122639</v>
      </c>
      <c r="H2656" s="75">
        <v>42217</v>
      </c>
      <c r="I2656" t="s">
        <v>115</v>
      </c>
      <c r="J2656">
        <v>5000</v>
      </c>
      <c r="K2656">
        <v>167.297</v>
      </c>
      <c r="L2656">
        <v>29.886900000000001</v>
      </c>
      <c r="M2656">
        <v>10229.633</v>
      </c>
      <c r="N2656" t="s">
        <v>15</v>
      </c>
    </row>
    <row r="2657" spans="1:14" x14ac:dyDescent="0.2">
      <c r="A2657" t="s">
        <v>119</v>
      </c>
      <c r="B2657" t="s">
        <v>137</v>
      </c>
      <c r="C2657" t="s">
        <v>136</v>
      </c>
      <c r="D2657" t="s">
        <v>121</v>
      </c>
      <c r="E2657" t="s">
        <v>53</v>
      </c>
      <c r="F2657" t="s">
        <v>114</v>
      </c>
      <c r="G2657">
        <v>122639</v>
      </c>
      <c r="H2657" s="75">
        <v>42217</v>
      </c>
      <c r="I2657" t="s">
        <v>116</v>
      </c>
      <c r="J2657">
        <v>2.5</v>
      </c>
      <c r="K2657">
        <v>0</v>
      </c>
      <c r="M2657">
        <v>10229.633</v>
      </c>
      <c r="N2657" t="s">
        <v>17</v>
      </c>
    </row>
    <row r="2658" spans="1:14" x14ac:dyDescent="0.2">
      <c r="A2658" t="s">
        <v>119</v>
      </c>
      <c r="B2658" t="s">
        <v>137</v>
      </c>
      <c r="C2658" t="s">
        <v>136</v>
      </c>
      <c r="D2658" t="s">
        <v>121</v>
      </c>
      <c r="E2658" t="s">
        <v>53</v>
      </c>
      <c r="F2658" t="s">
        <v>114</v>
      </c>
      <c r="G2658">
        <v>122639</v>
      </c>
      <c r="H2658" s="75">
        <v>42247</v>
      </c>
      <c r="I2658" t="s">
        <v>115</v>
      </c>
      <c r="J2658">
        <v>5000</v>
      </c>
      <c r="K2658">
        <v>165.85300000000001</v>
      </c>
      <c r="L2658">
        <v>30.147099999999998</v>
      </c>
      <c r="M2658">
        <v>10395.486000000001</v>
      </c>
      <c r="N2658" t="s">
        <v>15</v>
      </c>
    </row>
    <row r="2659" spans="1:14" x14ac:dyDescent="0.2">
      <c r="A2659" t="s">
        <v>119</v>
      </c>
      <c r="B2659" t="s">
        <v>137</v>
      </c>
      <c r="C2659" t="s">
        <v>136</v>
      </c>
      <c r="D2659" t="s">
        <v>121</v>
      </c>
      <c r="E2659" t="s">
        <v>53</v>
      </c>
      <c r="F2659" t="s">
        <v>114</v>
      </c>
      <c r="G2659">
        <v>122639</v>
      </c>
      <c r="H2659" s="75">
        <v>42277</v>
      </c>
      <c r="I2659" t="s">
        <v>115</v>
      </c>
      <c r="J2659">
        <v>5000</v>
      </c>
      <c r="K2659">
        <v>161.77199999999999</v>
      </c>
      <c r="L2659">
        <v>30.907699999999998</v>
      </c>
      <c r="M2659">
        <v>10557.258</v>
      </c>
      <c r="N2659" t="s">
        <v>15</v>
      </c>
    </row>
    <row r="2660" spans="1:14" x14ac:dyDescent="0.2">
      <c r="A2660" t="s">
        <v>119</v>
      </c>
      <c r="B2660" t="s">
        <v>137</v>
      </c>
      <c r="C2660" t="s">
        <v>136</v>
      </c>
      <c r="D2660" t="s">
        <v>121</v>
      </c>
      <c r="E2660" t="s">
        <v>53</v>
      </c>
      <c r="F2660" t="s">
        <v>114</v>
      </c>
      <c r="G2660">
        <v>122639</v>
      </c>
      <c r="H2660" s="75">
        <v>42277</v>
      </c>
      <c r="I2660" t="s">
        <v>116</v>
      </c>
      <c r="J2660">
        <v>2.5</v>
      </c>
      <c r="K2660">
        <v>0</v>
      </c>
      <c r="M2660">
        <v>10557.258</v>
      </c>
      <c r="N2660" t="s">
        <v>17</v>
      </c>
    </row>
    <row r="2661" spans="1:14" x14ac:dyDescent="0.2">
      <c r="A2661" t="s">
        <v>119</v>
      </c>
      <c r="B2661" t="s">
        <v>137</v>
      </c>
      <c r="C2661" t="s">
        <v>136</v>
      </c>
      <c r="D2661" t="s">
        <v>121</v>
      </c>
      <c r="E2661" t="s">
        <v>53</v>
      </c>
      <c r="F2661" t="s">
        <v>114</v>
      </c>
      <c r="G2661">
        <v>122639</v>
      </c>
      <c r="H2661" s="75">
        <v>42307</v>
      </c>
      <c r="I2661" t="s">
        <v>115</v>
      </c>
      <c r="J2661">
        <v>5000</v>
      </c>
      <c r="K2661">
        <v>164.86099999999999</v>
      </c>
      <c r="L2661">
        <v>30.328600000000002</v>
      </c>
      <c r="M2661">
        <v>10722.118</v>
      </c>
      <c r="N2661" t="s">
        <v>15</v>
      </c>
    </row>
    <row r="2662" spans="1:14" x14ac:dyDescent="0.2">
      <c r="A2662" t="s">
        <v>119</v>
      </c>
      <c r="B2662" t="s">
        <v>137</v>
      </c>
      <c r="C2662" t="s">
        <v>136</v>
      </c>
      <c r="D2662" t="s">
        <v>121</v>
      </c>
      <c r="E2662" t="s">
        <v>53</v>
      </c>
      <c r="F2662" t="s">
        <v>114</v>
      </c>
      <c r="G2662">
        <v>122639</v>
      </c>
      <c r="H2662" s="75">
        <v>42337</v>
      </c>
      <c r="I2662" t="s">
        <v>115</v>
      </c>
      <c r="J2662">
        <v>5000</v>
      </c>
      <c r="K2662">
        <v>167.36199999999999</v>
      </c>
      <c r="L2662">
        <v>29.875299999999999</v>
      </c>
      <c r="M2662">
        <v>10889.481</v>
      </c>
      <c r="N2662" t="s">
        <v>15</v>
      </c>
    </row>
    <row r="2663" spans="1:14" x14ac:dyDescent="0.2">
      <c r="A2663" t="s">
        <v>119</v>
      </c>
      <c r="B2663" t="s">
        <v>137</v>
      </c>
      <c r="C2663" t="s">
        <v>136</v>
      </c>
      <c r="D2663" t="s">
        <v>121</v>
      </c>
      <c r="E2663" t="s">
        <v>53</v>
      </c>
      <c r="F2663" t="s">
        <v>114</v>
      </c>
      <c r="G2663">
        <v>122639</v>
      </c>
      <c r="H2663" s="75">
        <v>42367</v>
      </c>
      <c r="I2663" t="s">
        <v>115</v>
      </c>
      <c r="J2663">
        <v>5000</v>
      </c>
      <c r="K2663">
        <v>166.905</v>
      </c>
      <c r="L2663">
        <v>29.9572</v>
      </c>
      <c r="M2663">
        <v>11056.386</v>
      </c>
      <c r="N2663" t="s">
        <v>15</v>
      </c>
    </row>
    <row r="2664" spans="1:14" x14ac:dyDescent="0.2">
      <c r="A2664" t="s">
        <v>119</v>
      </c>
      <c r="B2664" t="s">
        <v>137</v>
      </c>
      <c r="C2664" t="s">
        <v>136</v>
      </c>
      <c r="D2664" t="s">
        <v>121</v>
      </c>
      <c r="E2664" t="s">
        <v>53</v>
      </c>
      <c r="F2664" t="s">
        <v>114</v>
      </c>
      <c r="G2664">
        <v>122639</v>
      </c>
      <c r="H2664" s="75">
        <v>42397</v>
      </c>
      <c r="I2664" t="s">
        <v>115</v>
      </c>
      <c r="J2664">
        <v>5000</v>
      </c>
      <c r="K2664">
        <v>164.02</v>
      </c>
      <c r="L2664">
        <v>30.484000000000002</v>
      </c>
      <c r="M2664">
        <v>11220.406000000001</v>
      </c>
      <c r="N2664" t="s">
        <v>15</v>
      </c>
    </row>
    <row r="2665" spans="1:14" x14ac:dyDescent="0.2">
      <c r="A2665" t="s">
        <v>119</v>
      </c>
      <c r="B2665" t="s">
        <v>137</v>
      </c>
      <c r="C2665" t="s">
        <v>136</v>
      </c>
      <c r="D2665" t="s">
        <v>121</v>
      </c>
      <c r="E2665" t="s">
        <v>53</v>
      </c>
      <c r="F2665" t="s">
        <v>114</v>
      </c>
      <c r="G2665">
        <v>122639</v>
      </c>
      <c r="H2665" s="75">
        <v>42427</v>
      </c>
      <c r="I2665" t="s">
        <v>115</v>
      </c>
      <c r="J2665">
        <v>5000</v>
      </c>
      <c r="K2665">
        <v>165.54</v>
      </c>
      <c r="L2665">
        <v>30.2041</v>
      </c>
      <c r="M2665">
        <v>11385.947</v>
      </c>
      <c r="N2665" t="s">
        <v>15</v>
      </c>
    </row>
    <row r="2666" spans="1:14" x14ac:dyDescent="0.2">
      <c r="A2666" t="s">
        <v>119</v>
      </c>
      <c r="B2666" t="s">
        <v>137</v>
      </c>
      <c r="C2666" t="s">
        <v>136</v>
      </c>
      <c r="D2666" t="s">
        <v>121</v>
      </c>
      <c r="E2666" t="s">
        <v>53</v>
      </c>
      <c r="F2666" t="s">
        <v>114</v>
      </c>
      <c r="G2666">
        <v>122639</v>
      </c>
      <c r="H2666" s="75">
        <v>42457</v>
      </c>
      <c r="I2666" t="s">
        <v>115</v>
      </c>
      <c r="J2666">
        <v>5000</v>
      </c>
      <c r="K2666">
        <v>163.25700000000001</v>
      </c>
      <c r="L2666">
        <v>30.6265</v>
      </c>
      <c r="M2666">
        <v>11549.204</v>
      </c>
      <c r="N2666" t="s">
        <v>15</v>
      </c>
    </row>
    <row r="2667" spans="1:14" x14ac:dyDescent="0.2">
      <c r="A2667" t="s">
        <v>119</v>
      </c>
      <c r="B2667" t="s">
        <v>137</v>
      </c>
      <c r="C2667" t="s">
        <v>136</v>
      </c>
      <c r="D2667" t="s">
        <v>121</v>
      </c>
      <c r="E2667" t="s">
        <v>53</v>
      </c>
      <c r="F2667" t="s">
        <v>114</v>
      </c>
      <c r="G2667">
        <v>122639</v>
      </c>
      <c r="H2667" s="75">
        <v>42457</v>
      </c>
      <c r="I2667" t="s">
        <v>116</v>
      </c>
      <c r="J2667">
        <v>2.5</v>
      </c>
      <c r="K2667">
        <v>0</v>
      </c>
      <c r="M2667">
        <v>11549.204</v>
      </c>
      <c r="N2667" t="s">
        <v>17</v>
      </c>
    </row>
    <row r="2668" spans="1:14" x14ac:dyDescent="0.2">
      <c r="A2668" t="s">
        <v>119</v>
      </c>
      <c r="B2668" t="s">
        <v>137</v>
      </c>
      <c r="C2668" t="s">
        <v>136</v>
      </c>
      <c r="D2668" t="s">
        <v>121</v>
      </c>
      <c r="E2668" t="s">
        <v>53</v>
      </c>
      <c r="F2668" t="s">
        <v>114</v>
      </c>
      <c r="G2668">
        <v>122639</v>
      </c>
      <c r="H2668" s="75">
        <v>42487</v>
      </c>
      <c r="I2668" t="s">
        <v>115</v>
      </c>
      <c r="J2668">
        <v>5000</v>
      </c>
      <c r="K2668">
        <v>160.167</v>
      </c>
      <c r="L2668">
        <v>31.217500000000001</v>
      </c>
      <c r="M2668">
        <v>11709.37</v>
      </c>
      <c r="N2668" t="s">
        <v>15</v>
      </c>
    </row>
    <row r="2669" spans="1:14" x14ac:dyDescent="0.2">
      <c r="A2669" t="s">
        <v>119</v>
      </c>
      <c r="B2669" t="s">
        <v>137</v>
      </c>
      <c r="C2669" t="s">
        <v>136</v>
      </c>
      <c r="D2669" t="s">
        <v>121</v>
      </c>
      <c r="E2669" t="s">
        <v>53</v>
      </c>
      <c r="F2669" t="s">
        <v>114</v>
      </c>
      <c r="G2669">
        <v>122639</v>
      </c>
      <c r="H2669" s="75">
        <v>42517</v>
      </c>
      <c r="I2669" t="s">
        <v>115</v>
      </c>
      <c r="J2669">
        <v>5000</v>
      </c>
      <c r="K2669">
        <v>162.71100000000001</v>
      </c>
      <c r="L2669">
        <v>30.729299999999999</v>
      </c>
      <c r="M2669">
        <v>11872.082</v>
      </c>
      <c r="N2669" t="s">
        <v>15</v>
      </c>
    </row>
    <row r="2670" spans="1:14" x14ac:dyDescent="0.2">
      <c r="A2670" t="s">
        <v>119</v>
      </c>
      <c r="B2670" t="s">
        <v>137</v>
      </c>
      <c r="C2670" t="s">
        <v>136</v>
      </c>
      <c r="D2670" t="s">
        <v>121</v>
      </c>
      <c r="E2670" t="s">
        <v>53</v>
      </c>
      <c r="F2670" t="s">
        <v>114</v>
      </c>
      <c r="G2670">
        <v>122639</v>
      </c>
      <c r="H2670" s="75">
        <v>42547</v>
      </c>
      <c r="I2670" t="s">
        <v>115</v>
      </c>
      <c r="J2670">
        <v>5000</v>
      </c>
      <c r="K2670">
        <v>163.92699999999999</v>
      </c>
      <c r="L2670">
        <v>30.5014</v>
      </c>
      <c r="M2670">
        <v>12036.009</v>
      </c>
      <c r="N2670" t="s">
        <v>15</v>
      </c>
    </row>
    <row r="2671" spans="1:14" x14ac:dyDescent="0.2">
      <c r="A2671" t="s">
        <v>119</v>
      </c>
      <c r="B2671" t="s">
        <v>137</v>
      </c>
      <c r="C2671" t="s">
        <v>136</v>
      </c>
      <c r="D2671" t="s">
        <v>121</v>
      </c>
      <c r="E2671" t="s">
        <v>53</v>
      </c>
      <c r="F2671" t="s">
        <v>114</v>
      </c>
      <c r="G2671">
        <v>122639</v>
      </c>
      <c r="H2671" s="75">
        <v>42547</v>
      </c>
      <c r="I2671" t="s">
        <v>116</v>
      </c>
      <c r="J2671">
        <v>2.5</v>
      </c>
      <c r="K2671">
        <v>0</v>
      </c>
      <c r="M2671">
        <v>12036.009</v>
      </c>
      <c r="N2671" t="s">
        <v>17</v>
      </c>
    </row>
    <row r="2672" spans="1:14" x14ac:dyDescent="0.2">
      <c r="A2672" t="s">
        <v>119</v>
      </c>
      <c r="B2672" t="s">
        <v>137</v>
      </c>
      <c r="C2672" t="s">
        <v>136</v>
      </c>
      <c r="D2672" t="s">
        <v>121</v>
      </c>
      <c r="E2672" t="s">
        <v>53</v>
      </c>
      <c r="F2672" t="s">
        <v>114</v>
      </c>
      <c r="G2672">
        <v>122639</v>
      </c>
      <c r="H2672" s="75">
        <v>42577</v>
      </c>
      <c r="I2672" t="s">
        <v>115</v>
      </c>
      <c r="J2672">
        <v>5000</v>
      </c>
      <c r="K2672">
        <v>164.511</v>
      </c>
      <c r="L2672">
        <v>30.3931</v>
      </c>
      <c r="M2672">
        <v>12200.52</v>
      </c>
      <c r="N2672" t="s">
        <v>15</v>
      </c>
    </row>
    <row r="2673" spans="1:14" x14ac:dyDescent="0.2">
      <c r="A2673" t="s">
        <v>119</v>
      </c>
      <c r="B2673" t="s">
        <v>137</v>
      </c>
      <c r="C2673" t="s">
        <v>136</v>
      </c>
      <c r="D2673" t="s">
        <v>121</v>
      </c>
      <c r="E2673" t="s">
        <v>53</v>
      </c>
      <c r="F2673" t="s">
        <v>114</v>
      </c>
      <c r="G2673">
        <v>122639</v>
      </c>
      <c r="H2673" s="75">
        <v>42607</v>
      </c>
      <c r="I2673" t="s">
        <v>115</v>
      </c>
      <c r="J2673">
        <v>5000</v>
      </c>
      <c r="K2673">
        <v>162.51300000000001</v>
      </c>
      <c r="L2673">
        <v>30.7667</v>
      </c>
      <c r="M2673">
        <v>12363.032999999999</v>
      </c>
      <c r="N2673" t="s">
        <v>15</v>
      </c>
    </row>
    <row r="2674" spans="1:14" x14ac:dyDescent="0.2">
      <c r="A2674" t="s">
        <v>119</v>
      </c>
      <c r="B2674" t="s">
        <v>137</v>
      </c>
      <c r="C2674" t="s">
        <v>136</v>
      </c>
      <c r="D2674" t="s">
        <v>121</v>
      </c>
      <c r="E2674" t="s">
        <v>53</v>
      </c>
      <c r="F2674" t="s">
        <v>114</v>
      </c>
      <c r="G2674">
        <v>122639</v>
      </c>
      <c r="H2674" s="75">
        <v>42637</v>
      </c>
      <c r="I2674" t="s">
        <v>115</v>
      </c>
      <c r="J2674">
        <v>5000</v>
      </c>
      <c r="K2674">
        <v>159.30600000000001</v>
      </c>
      <c r="L2674">
        <v>31.386099999999999</v>
      </c>
      <c r="M2674">
        <v>12522.339</v>
      </c>
      <c r="N2674" t="s">
        <v>15</v>
      </c>
    </row>
    <row r="2675" spans="1:14" x14ac:dyDescent="0.2">
      <c r="A2675" t="s">
        <v>119</v>
      </c>
      <c r="B2675" t="s">
        <v>137</v>
      </c>
      <c r="C2675" t="s">
        <v>136</v>
      </c>
      <c r="D2675" t="s">
        <v>121</v>
      </c>
      <c r="E2675" t="s">
        <v>53</v>
      </c>
      <c r="F2675" t="s">
        <v>114</v>
      </c>
      <c r="G2675">
        <v>122639</v>
      </c>
      <c r="H2675" s="75">
        <v>42667</v>
      </c>
      <c r="I2675" t="s">
        <v>115</v>
      </c>
      <c r="J2675">
        <v>5000</v>
      </c>
      <c r="K2675">
        <v>159.541</v>
      </c>
      <c r="L2675">
        <v>31.34</v>
      </c>
      <c r="M2675">
        <v>12681.88</v>
      </c>
      <c r="N2675" t="s">
        <v>15</v>
      </c>
    </row>
    <row r="2676" spans="1:14" x14ac:dyDescent="0.2">
      <c r="A2676" t="s">
        <v>119</v>
      </c>
      <c r="B2676" t="s">
        <v>137</v>
      </c>
      <c r="C2676" t="s">
        <v>136</v>
      </c>
      <c r="D2676" t="s">
        <v>121</v>
      </c>
      <c r="E2676" t="s">
        <v>53</v>
      </c>
      <c r="F2676" t="s">
        <v>114</v>
      </c>
      <c r="G2676">
        <v>122639</v>
      </c>
      <c r="H2676" s="75">
        <v>42667</v>
      </c>
      <c r="I2676" t="s">
        <v>116</v>
      </c>
      <c r="J2676">
        <v>2.5</v>
      </c>
      <c r="K2676">
        <v>0</v>
      </c>
      <c r="M2676">
        <v>12681.88</v>
      </c>
      <c r="N2676" t="s">
        <v>17</v>
      </c>
    </row>
    <row r="2677" spans="1:14" x14ac:dyDescent="0.2">
      <c r="A2677" t="s">
        <v>119</v>
      </c>
      <c r="B2677" t="s">
        <v>137</v>
      </c>
      <c r="C2677" t="s">
        <v>136</v>
      </c>
      <c r="D2677" t="s">
        <v>121</v>
      </c>
      <c r="E2677" t="s">
        <v>53</v>
      </c>
      <c r="F2677" t="s">
        <v>114</v>
      </c>
      <c r="G2677">
        <v>122639</v>
      </c>
      <c r="H2677" s="75">
        <v>42697</v>
      </c>
      <c r="I2677" t="s">
        <v>115</v>
      </c>
      <c r="J2677">
        <v>5000</v>
      </c>
      <c r="K2677">
        <v>162.18700000000001</v>
      </c>
      <c r="L2677">
        <v>30.828600000000002</v>
      </c>
      <c r="M2677">
        <v>12844.066999999999</v>
      </c>
      <c r="N2677" t="s">
        <v>15</v>
      </c>
    </row>
    <row r="2678" spans="1:14" x14ac:dyDescent="0.2">
      <c r="A2678" t="s">
        <v>119</v>
      </c>
      <c r="B2678" t="s">
        <v>137</v>
      </c>
      <c r="C2678" t="s">
        <v>136</v>
      </c>
      <c r="D2678" t="s">
        <v>121</v>
      </c>
      <c r="E2678" t="s">
        <v>53</v>
      </c>
      <c r="F2678" t="s">
        <v>114</v>
      </c>
      <c r="G2678">
        <v>122639</v>
      </c>
      <c r="H2678" s="75">
        <v>42697</v>
      </c>
      <c r="I2678" t="s">
        <v>116</v>
      </c>
      <c r="J2678">
        <v>2.5</v>
      </c>
      <c r="K2678">
        <v>0</v>
      </c>
      <c r="M2678">
        <v>12844.066999999999</v>
      </c>
      <c r="N2678" t="s">
        <v>17</v>
      </c>
    </row>
    <row r="2679" spans="1:14" x14ac:dyDescent="0.2">
      <c r="A2679" t="s">
        <v>119</v>
      </c>
      <c r="B2679" t="s">
        <v>137</v>
      </c>
      <c r="C2679" t="s">
        <v>136</v>
      </c>
      <c r="D2679" t="s">
        <v>121</v>
      </c>
      <c r="E2679" t="s">
        <v>53</v>
      </c>
      <c r="F2679" t="s">
        <v>114</v>
      </c>
      <c r="G2679">
        <v>122639</v>
      </c>
      <c r="H2679" s="75">
        <v>42727</v>
      </c>
      <c r="I2679" t="s">
        <v>115</v>
      </c>
      <c r="J2679">
        <v>5000</v>
      </c>
      <c r="K2679">
        <v>159.87799999999999</v>
      </c>
      <c r="L2679">
        <v>31.273900000000001</v>
      </c>
      <c r="M2679">
        <v>13003.945</v>
      </c>
      <c r="N2679" t="s">
        <v>15</v>
      </c>
    </row>
    <row r="2680" spans="1:14" x14ac:dyDescent="0.2">
      <c r="A2680" t="s">
        <v>119</v>
      </c>
      <c r="B2680" t="s">
        <v>137</v>
      </c>
      <c r="C2680" t="s">
        <v>136</v>
      </c>
      <c r="D2680" t="s">
        <v>121</v>
      </c>
      <c r="E2680" t="s">
        <v>53</v>
      </c>
      <c r="F2680" t="s">
        <v>114</v>
      </c>
      <c r="G2680">
        <v>122639</v>
      </c>
      <c r="H2680" s="75">
        <v>42757</v>
      </c>
      <c r="I2680" t="s">
        <v>115</v>
      </c>
      <c r="J2680">
        <v>5000</v>
      </c>
      <c r="K2680">
        <v>161.03200000000001</v>
      </c>
      <c r="L2680">
        <v>31.049600000000002</v>
      </c>
      <c r="M2680">
        <v>13164.977000000001</v>
      </c>
      <c r="N2680" t="s">
        <v>15</v>
      </c>
    </row>
    <row r="2681" spans="1:14" x14ac:dyDescent="0.2">
      <c r="A2681" t="s">
        <v>119</v>
      </c>
      <c r="B2681" t="s">
        <v>137</v>
      </c>
      <c r="C2681" t="s">
        <v>136</v>
      </c>
      <c r="D2681" t="s">
        <v>121</v>
      </c>
      <c r="E2681" t="s">
        <v>53</v>
      </c>
      <c r="F2681" t="s">
        <v>114</v>
      </c>
      <c r="G2681">
        <v>122639</v>
      </c>
      <c r="H2681" s="75">
        <v>42787</v>
      </c>
      <c r="I2681" t="s">
        <v>115</v>
      </c>
      <c r="J2681">
        <v>5000</v>
      </c>
      <c r="K2681">
        <v>157.91399999999999</v>
      </c>
      <c r="L2681">
        <v>31.6629</v>
      </c>
      <c r="M2681">
        <v>13322.891</v>
      </c>
      <c r="N2681" t="s">
        <v>15</v>
      </c>
    </row>
    <row r="2682" spans="1:14" x14ac:dyDescent="0.2">
      <c r="A2682" t="s">
        <v>119</v>
      </c>
      <c r="B2682" t="s">
        <v>137</v>
      </c>
      <c r="C2682" t="s">
        <v>136</v>
      </c>
      <c r="D2682" t="s">
        <v>121</v>
      </c>
      <c r="E2682" t="s">
        <v>53</v>
      </c>
      <c r="F2682" t="s">
        <v>114</v>
      </c>
      <c r="G2682">
        <v>122639</v>
      </c>
      <c r="H2682" s="75">
        <v>42817</v>
      </c>
      <c r="I2682" t="s">
        <v>115</v>
      </c>
      <c r="J2682">
        <v>5000</v>
      </c>
      <c r="K2682">
        <v>155.87</v>
      </c>
      <c r="L2682">
        <v>32.078000000000003</v>
      </c>
      <c r="M2682">
        <v>13478.761</v>
      </c>
      <c r="N2682" t="s">
        <v>15</v>
      </c>
    </row>
    <row r="2683" spans="1:14" x14ac:dyDescent="0.2">
      <c r="A2683" t="s">
        <v>119</v>
      </c>
      <c r="B2683" t="s">
        <v>137</v>
      </c>
      <c r="C2683" t="s">
        <v>136</v>
      </c>
      <c r="D2683" t="s">
        <v>121</v>
      </c>
      <c r="E2683" t="s">
        <v>53</v>
      </c>
      <c r="F2683" t="s">
        <v>114</v>
      </c>
      <c r="G2683">
        <v>122639</v>
      </c>
      <c r="H2683" s="75">
        <v>42847</v>
      </c>
      <c r="I2683" t="s">
        <v>115</v>
      </c>
      <c r="J2683">
        <v>5000</v>
      </c>
      <c r="K2683">
        <v>157.33099999999999</v>
      </c>
      <c r="L2683">
        <v>31.780100000000001</v>
      </c>
      <c r="M2683">
        <v>13636.093000000001</v>
      </c>
      <c r="N2683" t="s">
        <v>15</v>
      </c>
    </row>
    <row r="2684" spans="1:14" x14ac:dyDescent="0.2">
      <c r="A2684" t="s">
        <v>119</v>
      </c>
      <c r="B2684" t="s">
        <v>137</v>
      </c>
      <c r="C2684" t="s">
        <v>136</v>
      </c>
      <c r="D2684" t="s">
        <v>121</v>
      </c>
      <c r="E2684" t="s">
        <v>53</v>
      </c>
      <c r="F2684" t="s">
        <v>114</v>
      </c>
      <c r="G2684">
        <v>122639</v>
      </c>
      <c r="H2684" s="75">
        <v>42877</v>
      </c>
      <c r="I2684" t="s">
        <v>115</v>
      </c>
      <c r="J2684">
        <v>5000</v>
      </c>
      <c r="K2684">
        <v>156.393</v>
      </c>
      <c r="L2684">
        <v>31.970700000000001</v>
      </c>
      <c r="M2684">
        <v>13792.486000000001</v>
      </c>
      <c r="N2684" t="s">
        <v>15</v>
      </c>
    </row>
    <row r="2685" spans="1:14" x14ac:dyDescent="0.2">
      <c r="A2685" t="s">
        <v>119</v>
      </c>
      <c r="B2685" t="s">
        <v>137</v>
      </c>
      <c r="C2685" t="s">
        <v>136</v>
      </c>
      <c r="D2685" t="s">
        <v>121</v>
      </c>
      <c r="E2685" t="s">
        <v>53</v>
      </c>
      <c r="F2685" t="s">
        <v>114</v>
      </c>
      <c r="G2685">
        <v>122639</v>
      </c>
      <c r="H2685" s="75">
        <v>42907</v>
      </c>
      <c r="I2685" t="s">
        <v>115</v>
      </c>
      <c r="J2685">
        <v>5000</v>
      </c>
      <c r="K2685">
        <v>156.77000000000001</v>
      </c>
      <c r="L2685">
        <v>31.893799999999999</v>
      </c>
      <c r="M2685">
        <v>13949.255999999999</v>
      </c>
      <c r="N2685" t="s">
        <v>15</v>
      </c>
    </row>
    <row r="2686" spans="1:14" x14ac:dyDescent="0.2">
      <c r="A2686" t="s">
        <v>119</v>
      </c>
      <c r="B2686" t="s">
        <v>137</v>
      </c>
      <c r="C2686" t="s">
        <v>136</v>
      </c>
      <c r="D2686" t="s">
        <v>121</v>
      </c>
      <c r="E2686" t="s">
        <v>53</v>
      </c>
      <c r="F2686" t="s">
        <v>114</v>
      </c>
      <c r="G2686">
        <v>122639</v>
      </c>
      <c r="H2686" s="75">
        <v>42937</v>
      </c>
      <c r="I2686" t="s">
        <v>115</v>
      </c>
      <c r="J2686">
        <v>5000</v>
      </c>
      <c r="K2686">
        <v>159.96799999999999</v>
      </c>
      <c r="L2686">
        <v>31.2562</v>
      </c>
      <c r="M2686">
        <v>14109.224</v>
      </c>
      <c r="N2686" t="s">
        <v>15</v>
      </c>
    </row>
    <row r="2687" spans="1:14" x14ac:dyDescent="0.2">
      <c r="A2687" t="s">
        <v>119</v>
      </c>
      <c r="B2687" t="s">
        <v>137</v>
      </c>
      <c r="C2687" t="s">
        <v>136</v>
      </c>
      <c r="D2687" t="s">
        <v>121</v>
      </c>
      <c r="E2687" t="s">
        <v>53</v>
      </c>
      <c r="F2687" t="s">
        <v>114</v>
      </c>
      <c r="G2687">
        <v>122639</v>
      </c>
      <c r="H2687" s="75">
        <v>42967</v>
      </c>
      <c r="I2687" t="s">
        <v>115</v>
      </c>
      <c r="J2687">
        <v>5000</v>
      </c>
      <c r="K2687">
        <v>155.614</v>
      </c>
      <c r="L2687">
        <v>32.130699999999997</v>
      </c>
      <c r="M2687">
        <v>14264.838</v>
      </c>
      <c r="N2687" t="s">
        <v>15</v>
      </c>
    </row>
    <row r="2688" spans="1:14" x14ac:dyDescent="0.2">
      <c r="A2688" t="s">
        <v>119</v>
      </c>
      <c r="B2688" t="s">
        <v>137</v>
      </c>
      <c r="C2688" t="s">
        <v>136</v>
      </c>
      <c r="D2688" t="s">
        <v>121</v>
      </c>
      <c r="E2688" t="s">
        <v>53</v>
      </c>
      <c r="F2688" t="s">
        <v>114</v>
      </c>
      <c r="G2688">
        <v>122639</v>
      </c>
      <c r="H2688" s="75">
        <v>42997</v>
      </c>
      <c r="I2688" t="s">
        <v>115</v>
      </c>
      <c r="J2688">
        <v>5000</v>
      </c>
      <c r="K2688">
        <v>151.482</v>
      </c>
      <c r="L2688">
        <v>33.007100000000001</v>
      </c>
      <c r="M2688">
        <v>14416.321</v>
      </c>
      <c r="N2688" t="s">
        <v>15</v>
      </c>
    </row>
    <row r="2689" spans="1:14" x14ac:dyDescent="0.2">
      <c r="A2689" t="s">
        <v>119</v>
      </c>
      <c r="B2689" t="s">
        <v>137</v>
      </c>
      <c r="C2689" t="s">
        <v>136</v>
      </c>
      <c r="D2689" t="s">
        <v>121</v>
      </c>
      <c r="E2689" t="s">
        <v>53</v>
      </c>
      <c r="F2689" t="s">
        <v>114</v>
      </c>
      <c r="G2689">
        <v>122639</v>
      </c>
      <c r="H2689" s="75">
        <v>43027</v>
      </c>
      <c r="I2689" t="s">
        <v>115</v>
      </c>
      <c r="J2689">
        <v>5000</v>
      </c>
      <c r="K2689">
        <v>154.30699999999999</v>
      </c>
      <c r="L2689">
        <v>32.402900000000002</v>
      </c>
      <c r="M2689">
        <v>14570.628000000001</v>
      </c>
      <c r="N2689" t="s">
        <v>15</v>
      </c>
    </row>
    <row r="2690" spans="1:14" x14ac:dyDescent="0.2">
      <c r="A2690" t="s">
        <v>119</v>
      </c>
      <c r="B2690" t="s">
        <v>137</v>
      </c>
      <c r="C2690" t="s">
        <v>136</v>
      </c>
      <c r="D2690" t="s">
        <v>121</v>
      </c>
      <c r="E2690" t="s">
        <v>53</v>
      </c>
      <c r="F2690" t="s">
        <v>114</v>
      </c>
      <c r="G2690">
        <v>122639</v>
      </c>
      <c r="H2690" s="75">
        <v>43057</v>
      </c>
      <c r="I2690" t="s">
        <v>115</v>
      </c>
      <c r="J2690">
        <v>5000</v>
      </c>
      <c r="K2690">
        <v>153.13499999999999</v>
      </c>
      <c r="L2690">
        <v>32.651000000000003</v>
      </c>
      <c r="M2690">
        <v>14723.763000000001</v>
      </c>
      <c r="N2690" t="s">
        <v>15</v>
      </c>
    </row>
    <row r="2691" spans="1:14" x14ac:dyDescent="0.2">
      <c r="A2691" t="s">
        <v>119</v>
      </c>
      <c r="B2691" t="s">
        <v>137</v>
      </c>
      <c r="C2691" t="s">
        <v>136</v>
      </c>
      <c r="D2691" t="s">
        <v>121</v>
      </c>
      <c r="E2691" t="s">
        <v>53</v>
      </c>
      <c r="F2691" t="s">
        <v>114</v>
      </c>
      <c r="G2691">
        <v>122639</v>
      </c>
      <c r="H2691" s="75">
        <v>43087</v>
      </c>
      <c r="I2691" t="s">
        <v>115</v>
      </c>
      <c r="J2691">
        <v>5000</v>
      </c>
      <c r="K2691">
        <v>152.25299999999999</v>
      </c>
      <c r="L2691">
        <v>32.840000000000003</v>
      </c>
      <c r="M2691">
        <v>14876.016</v>
      </c>
      <c r="N2691" t="s">
        <v>15</v>
      </c>
    </row>
    <row r="2692" spans="1:14" x14ac:dyDescent="0.2">
      <c r="A2692" t="s">
        <v>119</v>
      </c>
      <c r="B2692" t="s">
        <v>137</v>
      </c>
      <c r="C2692" t="s">
        <v>136</v>
      </c>
      <c r="D2692" t="s">
        <v>121</v>
      </c>
      <c r="E2692" t="s">
        <v>53</v>
      </c>
      <c r="F2692" t="s">
        <v>114</v>
      </c>
      <c r="G2692">
        <v>122639</v>
      </c>
      <c r="H2692" s="75">
        <v>43117</v>
      </c>
      <c r="I2692" t="s">
        <v>115</v>
      </c>
      <c r="J2692">
        <v>5000</v>
      </c>
      <c r="K2692">
        <v>148.71799999999999</v>
      </c>
      <c r="L2692">
        <v>33.620699999999999</v>
      </c>
      <c r="M2692">
        <v>15024.734</v>
      </c>
      <c r="N2692" t="s">
        <v>15</v>
      </c>
    </row>
    <row r="2693" spans="1:14" x14ac:dyDescent="0.2">
      <c r="A2693" t="s">
        <v>119</v>
      </c>
      <c r="B2693" t="s">
        <v>137</v>
      </c>
      <c r="C2693" t="s">
        <v>136</v>
      </c>
      <c r="D2693" t="s">
        <v>121</v>
      </c>
      <c r="E2693" t="s">
        <v>53</v>
      </c>
      <c r="F2693" t="s">
        <v>114</v>
      </c>
      <c r="G2693">
        <v>122639</v>
      </c>
      <c r="H2693" s="75">
        <v>43147</v>
      </c>
      <c r="I2693" t="s">
        <v>115</v>
      </c>
      <c r="J2693">
        <v>5000</v>
      </c>
      <c r="K2693">
        <v>148.92500000000001</v>
      </c>
      <c r="L2693">
        <v>33.573900000000002</v>
      </c>
      <c r="M2693">
        <v>15173.659</v>
      </c>
      <c r="N2693" t="s">
        <v>15</v>
      </c>
    </row>
    <row r="2694" spans="1:14" x14ac:dyDescent="0.2">
      <c r="A2694" t="s">
        <v>119</v>
      </c>
      <c r="B2694" t="s">
        <v>137</v>
      </c>
      <c r="C2694" t="s">
        <v>136</v>
      </c>
      <c r="D2694" t="s">
        <v>121</v>
      </c>
      <c r="E2694" t="s">
        <v>53</v>
      </c>
      <c r="F2694" t="s">
        <v>114</v>
      </c>
      <c r="G2694">
        <v>122639</v>
      </c>
      <c r="H2694" s="75">
        <v>43147</v>
      </c>
      <c r="I2694" t="s">
        <v>117</v>
      </c>
      <c r="J2694">
        <v>2.5</v>
      </c>
      <c r="K2694">
        <v>0</v>
      </c>
      <c r="M2694">
        <v>15173.659</v>
      </c>
      <c r="N2694" t="s">
        <v>46</v>
      </c>
    </row>
    <row r="2695" spans="1:14" x14ac:dyDescent="0.2">
      <c r="A2695" t="s">
        <v>119</v>
      </c>
      <c r="B2695" t="s">
        <v>137</v>
      </c>
      <c r="C2695" t="s">
        <v>136</v>
      </c>
      <c r="D2695" t="s">
        <v>121</v>
      </c>
      <c r="E2695" t="s">
        <v>53</v>
      </c>
      <c r="F2695" t="s">
        <v>114</v>
      </c>
      <c r="G2695">
        <v>122639</v>
      </c>
      <c r="H2695" s="75">
        <v>43177</v>
      </c>
      <c r="I2695" t="s">
        <v>115</v>
      </c>
      <c r="J2695">
        <v>5000</v>
      </c>
      <c r="K2695">
        <v>149.024</v>
      </c>
      <c r="L2695">
        <v>33.551600000000001</v>
      </c>
      <c r="M2695">
        <v>15322.683000000001</v>
      </c>
      <c r="N2695" t="s">
        <v>15</v>
      </c>
    </row>
    <row r="2696" spans="1:14" x14ac:dyDescent="0.2">
      <c r="A2696" t="s">
        <v>119</v>
      </c>
      <c r="B2696" t="s">
        <v>137</v>
      </c>
      <c r="C2696" t="s">
        <v>136</v>
      </c>
      <c r="D2696" t="s">
        <v>121</v>
      </c>
      <c r="E2696" t="s">
        <v>53</v>
      </c>
      <c r="F2696" t="s">
        <v>114</v>
      </c>
      <c r="G2696">
        <v>122639</v>
      </c>
      <c r="H2696" s="75">
        <v>43177</v>
      </c>
      <c r="I2696" t="s">
        <v>117</v>
      </c>
      <c r="J2696">
        <v>2.5</v>
      </c>
      <c r="K2696">
        <v>0</v>
      </c>
      <c r="M2696">
        <v>15322.683000000001</v>
      </c>
      <c r="N2696" t="s">
        <v>46</v>
      </c>
    </row>
    <row r="2697" spans="1:14" x14ac:dyDescent="0.2">
      <c r="A2697" t="s">
        <v>119</v>
      </c>
      <c r="B2697" t="s">
        <v>137</v>
      </c>
      <c r="C2697" t="s">
        <v>136</v>
      </c>
      <c r="D2697" t="s">
        <v>121</v>
      </c>
      <c r="E2697" t="s">
        <v>53</v>
      </c>
      <c r="F2697" t="s">
        <v>114</v>
      </c>
      <c r="G2697">
        <v>122639</v>
      </c>
      <c r="H2697" s="75">
        <v>43207</v>
      </c>
      <c r="I2697" t="s">
        <v>115</v>
      </c>
      <c r="J2697">
        <v>5000</v>
      </c>
      <c r="K2697">
        <v>150.57900000000001</v>
      </c>
      <c r="L2697">
        <v>33.205199999999998</v>
      </c>
      <c r="M2697">
        <v>15473.262000000001</v>
      </c>
      <c r="N2697" t="s">
        <v>15</v>
      </c>
    </row>
    <row r="2698" spans="1:14" x14ac:dyDescent="0.2">
      <c r="A2698" t="s">
        <v>119</v>
      </c>
      <c r="B2698" t="s">
        <v>137</v>
      </c>
      <c r="C2698" t="s">
        <v>136</v>
      </c>
      <c r="D2698" t="s">
        <v>121</v>
      </c>
      <c r="E2698" t="s">
        <v>53</v>
      </c>
      <c r="F2698" t="s">
        <v>114</v>
      </c>
      <c r="G2698">
        <v>122639</v>
      </c>
      <c r="H2698" s="75">
        <v>43237</v>
      </c>
      <c r="I2698" t="s">
        <v>115</v>
      </c>
      <c r="J2698">
        <v>5000</v>
      </c>
      <c r="K2698">
        <v>151.751</v>
      </c>
      <c r="L2698">
        <v>32.948700000000002</v>
      </c>
      <c r="M2698">
        <v>15625.013999999999</v>
      </c>
      <c r="N2698" t="s">
        <v>15</v>
      </c>
    </row>
    <row r="2699" spans="1:14" x14ac:dyDescent="0.2">
      <c r="A2699" t="s">
        <v>119</v>
      </c>
      <c r="B2699" t="s">
        <v>137</v>
      </c>
      <c r="C2699" t="s">
        <v>136</v>
      </c>
      <c r="D2699" t="s">
        <v>121</v>
      </c>
      <c r="E2699" t="s">
        <v>53</v>
      </c>
      <c r="F2699" t="s">
        <v>114</v>
      </c>
      <c r="G2699">
        <v>122639</v>
      </c>
      <c r="H2699" s="75">
        <v>43237</v>
      </c>
      <c r="I2699" t="s">
        <v>117</v>
      </c>
      <c r="J2699">
        <v>2.5</v>
      </c>
      <c r="K2699">
        <v>0</v>
      </c>
      <c r="M2699">
        <v>15625.013999999999</v>
      </c>
      <c r="N2699" t="s">
        <v>46</v>
      </c>
    </row>
    <row r="2700" spans="1:14" x14ac:dyDescent="0.2">
      <c r="A2700" t="s">
        <v>119</v>
      </c>
      <c r="B2700" t="s">
        <v>137</v>
      </c>
      <c r="C2700" t="s">
        <v>136</v>
      </c>
      <c r="D2700" t="s">
        <v>121</v>
      </c>
      <c r="E2700" t="s">
        <v>53</v>
      </c>
      <c r="F2700" t="s">
        <v>114</v>
      </c>
      <c r="G2700">
        <v>122639</v>
      </c>
      <c r="H2700" s="75">
        <v>43267</v>
      </c>
      <c r="I2700" t="s">
        <v>115</v>
      </c>
      <c r="J2700">
        <v>5000</v>
      </c>
      <c r="K2700">
        <v>150.13999999999999</v>
      </c>
      <c r="L2700">
        <v>33.302199999999999</v>
      </c>
      <c r="M2700">
        <v>15775.154</v>
      </c>
      <c r="N2700" t="s">
        <v>15</v>
      </c>
    </row>
    <row r="2701" spans="1:14" x14ac:dyDescent="0.2">
      <c r="A2701" t="s">
        <v>119</v>
      </c>
      <c r="B2701" t="s">
        <v>137</v>
      </c>
      <c r="C2701" t="s">
        <v>136</v>
      </c>
      <c r="D2701" t="s">
        <v>121</v>
      </c>
      <c r="E2701" t="s">
        <v>53</v>
      </c>
      <c r="F2701" t="s">
        <v>114</v>
      </c>
      <c r="G2701">
        <v>122639</v>
      </c>
      <c r="H2701" s="75">
        <v>43297</v>
      </c>
      <c r="I2701" t="s">
        <v>115</v>
      </c>
      <c r="J2701">
        <v>5000</v>
      </c>
      <c r="K2701">
        <v>152.364</v>
      </c>
      <c r="L2701">
        <v>32.816200000000002</v>
      </c>
      <c r="M2701">
        <v>15927.518</v>
      </c>
      <c r="N2701" t="s">
        <v>15</v>
      </c>
    </row>
    <row r="2702" spans="1:14" x14ac:dyDescent="0.2">
      <c r="A2702" t="s">
        <v>119</v>
      </c>
      <c r="B2702" t="s">
        <v>137</v>
      </c>
      <c r="C2702" t="s">
        <v>136</v>
      </c>
      <c r="D2702" t="s">
        <v>121</v>
      </c>
      <c r="E2702" t="s">
        <v>53</v>
      </c>
      <c r="F2702" t="s">
        <v>114</v>
      </c>
      <c r="G2702">
        <v>122639</v>
      </c>
      <c r="H2702" s="75">
        <v>43297</v>
      </c>
      <c r="I2702" t="s">
        <v>116</v>
      </c>
      <c r="J2702">
        <v>2.5</v>
      </c>
      <c r="K2702">
        <v>0</v>
      </c>
      <c r="M2702">
        <v>15927.518</v>
      </c>
      <c r="N2702" t="s">
        <v>17</v>
      </c>
    </row>
    <row r="2703" spans="1:14" x14ac:dyDescent="0.2">
      <c r="A2703" t="s">
        <v>119</v>
      </c>
      <c r="B2703" t="s">
        <v>137</v>
      </c>
      <c r="C2703" t="s">
        <v>136</v>
      </c>
      <c r="D2703" t="s">
        <v>121</v>
      </c>
      <c r="E2703" t="s">
        <v>53</v>
      </c>
      <c r="F2703" t="s">
        <v>114</v>
      </c>
      <c r="G2703">
        <v>122639</v>
      </c>
      <c r="H2703" s="75">
        <v>43327</v>
      </c>
      <c r="I2703" t="s">
        <v>115</v>
      </c>
      <c r="J2703">
        <v>5000</v>
      </c>
      <c r="K2703">
        <v>152.04499999999999</v>
      </c>
      <c r="L2703">
        <v>32.884999999999998</v>
      </c>
      <c r="M2703">
        <v>16079.563</v>
      </c>
      <c r="N2703" t="s">
        <v>15</v>
      </c>
    </row>
    <row r="2704" spans="1:14" x14ac:dyDescent="0.2">
      <c r="A2704" t="s">
        <v>119</v>
      </c>
      <c r="B2704" t="s">
        <v>137</v>
      </c>
      <c r="C2704" t="s">
        <v>136</v>
      </c>
      <c r="D2704" t="s">
        <v>121</v>
      </c>
      <c r="E2704" t="s">
        <v>53</v>
      </c>
      <c r="F2704" t="s">
        <v>114</v>
      </c>
      <c r="G2704">
        <v>122639</v>
      </c>
      <c r="H2704" s="75">
        <v>43357</v>
      </c>
      <c r="I2704" t="s">
        <v>115</v>
      </c>
      <c r="J2704">
        <v>5000</v>
      </c>
      <c r="K2704">
        <v>149.28</v>
      </c>
      <c r="L2704">
        <v>33.494199999999999</v>
      </c>
      <c r="M2704">
        <v>16228.843000000001</v>
      </c>
      <c r="N2704" t="s">
        <v>15</v>
      </c>
    </row>
    <row r="2705" spans="1:15" x14ac:dyDescent="0.2">
      <c r="A2705" t="s">
        <v>119</v>
      </c>
      <c r="B2705" t="s">
        <v>137</v>
      </c>
      <c r="C2705" t="s">
        <v>136</v>
      </c>
      <c r="D2705" t="s">
        <v>121</v>
      </c>
      <c r="E2705" t="s">
        <v>53</v>
      </c>
      <c r="F2705" t="s">
        <v>114</v>
      </c>
      <c r="G2705">
        <v>122639</v>
      </c>
      <c r="H2705" s="75">
        <v>43387</v>
      </c>
      <c r="I2705" t="s">
        <v>115</v>
      </c>
      <c r="J2705">
        <v>5000</v>
      </c>
      <c r="K2705">
        <v>149.547</v>
      </c>
      <c r="L2705">
        <v>33.434199999999997</v>
      </c>
      <c r="M2705">
        <v>16378.39</v>
      </c>
      <c r="N2705" t="s">
        <v>15</v>
      </c>
    </row>
    <row r="2706" spans="1:15" x14ac:dyDescent="0.2">
      <c r="A2706" t="s">
        <v>119</v>
      </c>
      <c r="B2706" t="s">
        <v>137</v>
      </c>
      <c r="C2706" t="s">
        <v>136</v>
      </c>
      <c r="D2706" t="s">
        <v>121</v>
      </c>
      <c r="E2706" t="s">
        <v>53</v>
      </c>
      <c r="F2706" t="s">
        <v>114</v>
      </c>
      <c r="G2706">
        <v>122639</v>
      </c>
      <c r="H2706" s="75">
        <v>43417</v>
      </c>
      <c r="I2706" t="s">
        <v>115</v>
      </c>
      <c r="J2706">
        <v>5000</v>
      </c>
      <c r="K2706">
        <v>146.68299999999999</v>
      </c>
      <c r="L2706">
        <v>34.087200000000003</v>
      </c>
      <c r="M2706">
        <v>16525.073</v>
      </c>
      <c r="N2706" t="s">
        <v>15</v>
      </c>
    </row>
    <row r="2707" spans="1:15" x14ac:dyDescent="0.2">
      <c r="A2707" t="s">
        <v>119</v>
      </c>
      <c r="B2707" t="s">
        <v>137</v>
      </c>
      <c r="C2707" t="s">
        <v>136</v>
      </c>
      <c r="D2707" t="s">
        <v>121</v>
      </c>
      <c r="E2707" t="s">
        <v>53</v>
      </c>
      <c r="F2707" t="s">
        <v>114</v>
      </c>
      <c r="G2707">
        <v>122639</v>
      </c>
      <c r="H2707" s="75">
        <v>43447</v>
      </c>
      <c r="I2707" t="s">
        <v>115</v>
      </c>
      <c r="J2707">
        <v>5000</v>
      </c>
      <c r="K2707">
        <v>149.21199999999999</v>
      </c>
      <c r="L2707">
        <v>33.509300000000003</v>
      </c>
      <c r="M2707">
        <v>16674.285</v>
      </c>
      <c r="N2707" t="s">
        <v>15</v>
      </c>
    </row>
    <row r="2708" spans="1:15" x14ac:dyDescent="0.2">
      <c r="A2708" t="s">
        <v>119</v>
      </c>
      <c r="B2708" t="s">
        <v>137</v>
      </c>
      <c r="C2708" t="s">
        <v>136</v>
      </c>
      <c r="D2708" t="s">
        <v>121</v>
      </c>
      <c r="E2708" t="s">
        <v>53</v>
      </c>
      <c r="F2708" t="s">
        <v>114</v>
      </c>
      <c r="G2708">
        <v>122639</v>
      </c>
      <c r="H2708" s="75">
        <v>43477</v>
      </c>
      <c r="I2708" t="s">
        <v>115</v>
      </c>
      <c r="J2708">
        <v>5000</v>
      </c>
      <c r="K2708">
        <v>145.54</v>
      </c>
      <c r="L2708">
        <v>34.354900000000001</v>
      </c>
      <c r="M2708">
        <v>16819.825000000001</v>
      </c>
      <c r="N2708" t="s">
        <v>15</v>
      </c>
    </row>
    <row r="2709" spans="1:15" x14ac:dyDescent="0.2">
      <c r="A2709" t="s">
        <v>119</v>
      </c>
      <c r="B2709" t="s">
        <v>137</v>
      </c>
      <c r="C2709" t="s">
        <v>136</v>
      </c>
      <c r="D2709" t="s">
        <v>121</v>
      </c>
      <c r="E2709" t="s">
        <v>53</v>
      </c>
      <c r="F2709" t="s">
        <v>114</v>
      </c>
      <c r="G2709">
        <v>122639</v>
      </c>
      <c r="H2709" s="75">
        <v>43507</v>
      </c>
      <c r="I2709" t="s">
        <v>115</v>
      </c>
      <c r="J2709">
        <v>5000</v>
      </c>
      <c r="K2709">
        <v>144.56200000000001</v>
      </c>
      <c r="L2709">
        <v>34.587299999999999</v>
      </c>
      <c r="M2709">
        <v>16964.385999999999</v>
      </c>
      <c r="N2709" t="s">
        <v>15</v>
      </c>
    </row>
    <row r="2710" spans="1:15" x14ac:dyDescent="0.2">
      <c r="A2710" t="s">
        <v>119</v>
      </c>
      <c r="B2710" t="s">
        <v>137</v>
      </c>
      <c r="C2710" t="s">
        <v>136</v>
      </c>
      <c r="D2710" t="s">
        <v>121</v>
      </c>
      <c r="E2710" t="s">
        <v>53</v>
      </c>
      <c r="F2710" t="s">
        <v>114</v>
      </c>
      <c r="G2710">
        <v>122639</v>
      </c>
      <c r="H2710" s="75">
        <v>43537</v>
      </c>
      <c r="I2710" t="s">
        <v>115</v>
      </c>
      <c r="J2710">
        <v>5000</v>
      </c>
      <c r="K2710">
        <v>145.27000000000001</v>
      </c>
      <c r="L2710">
        <v>34.418799999999997</v>
      </c>
      <c r="M2710">
        <v>17109.655999999999</v>
      </c>
      <c r="N2710" t="s">
        <v>15</v>
      </c>
    </row>
    <row r="2711" spans="1:15" x14ac:dyDescent="0.2">
      <c r="A2711" t="s">
        <v>119</v>
      </c>
      <c r="B2711" t="s">
        <v>137</v>
      </c>
      <c r="C2711" t="s">
        <v>136</v>
      </c>
      <c r="D2711" t="s">
        <v>121</v>
      </c>
      <c r="E2711" t="s">
        <v>53</v>
      </c>
      <c r="F2711" t="s">
        <v>114</v>
      </c>
      <c r="G2711">
        <v>122639</v>
      </c>
      <c r="H2711" s="75">
        <v>43567</v>
      </c>
      <c r="I2711" t="s">
        <v>115</v>
      </c>
      <c r="J2711">
        <v>5000</v>
      </c>
      <c r="K2711">
        <v>141.34800000000001</v>
      </c>
      <c r="L2711">
        <v>35.373600000000003</v>
      </c>
      <c r="M2711">
        <v>17251.005000000001</v>
      </c>
      <c r="N2711" t="s">
        <v>15</v>
      </c>
    </row>
    <row r="2712" spans="1:15" x14ac:dyDescent="0.2">
      <c r="A2712" t="s">
        <v>119</v>
      </c>
      <c r="B2712" t="s">
        <v>137</v>
      </c>
      <c r="C2712" t="s">
        <v>136</v>
      </c>
      <c r="D2712" t="s">
        <v>121</v>
      </c>
      <c r="E2712" t="s">
        <v>53</v>
      </c>
      <c r="F2712" t="s">
        <v>114</v>
      </c>
      <c r="G2712">
        <v>122639</v>
      </c>
      <c r="H2712" s="75">
        <v>43597</v>
      </c>
      <c r="I2712" t="s">
        <v>115</v>
      </c>
      <c r="J2712">
        <v>5000</v>
      </c>
      <c r="K2712">
        <v>144.21799999999999</v>
      </c>
      <c r="L2712">
        <v>34.669699999999999</v>
      </c>
      <c r="M2712">
        <v>17395.223000000002</v>
      </c>
      <c r="N2712" t="s">
        <v>15</v>
      </c>
    </row>
    <row r="2713" spans="1:15" x14ac:dyDescent="0.2">
      <c r="A2713" t="s">
        <v>119</v>
      </c>
      <c r="B2713" t="s">
        <v>137</v>
      </c>
      <c r="C2713" t="s">
        <v>136</v>
      </c>
      <c r="D2713" t="s">
        <v>121</v>
      </c>
      <c r="E2713" t="s">
        <v>53</v>
      </c>
      <c r="F2713" t="s">
        <v>114</v>
      </c>
      <c r="G2713">
        <v>122639</v>
      </c>
      <c r="H2713" s="75">
        <v>43597</v>
      </c>
      <c r="I2713" t="s">
        <v>116</v>
      </c>
      <c r="J2713">
        <v>2.5</v>
      </c>
      <c r="K2713">
        <v>0</v>
      </c>
      <c r="M2713">
        <v>17395.223000000002</v>
      </c>
      <c r="N2713" t="s">
        <v>17</v>
      </c>
    </row>
    <row r="2714" spans="1:15" x14ac:dyDescent="0.2">
      <c r="A2714" t="s">
        <v>119</v>
      </c>
      <c r="B2714" t="s">
        <v>137</v>
      </c>
      <c r="C2714" t="s">
        <v>136</v>
      </c>
      <c r="D2714" t="s">
        <v>121</v>
      </c>
      <c r="E2714" t="s">
        <v>53</v>
      </c>
      <c r="F2714" t="s">
        <v>114</v>
      </c>
      <c r="G2714">
        <v>122639</v>
      </c>
      <c r="H2714" s="75">
        <v>43627</v>
      </c>
      <c r="I2714" t="s">
        <v>115</v>
      </c>
      <c r="J2714">
        <v>5000</v>
      </c>
      <c r="K2714">
        <v>143.88300000000001</v>
      </c>
      <c r="L2714">
        <v>34.750500000000002</v>
      </c>
      <c r="M2714">
        <v>17539.105</v>
      </c>
      <c r="N2714" t="s">
        <v>15</v>
      </c>
    </row>
    <row r="2715" spans="1:15" x14ac:dyDescent="0.2">
      <c r="A2715" t="s">
        <v>119</v>
      </c>
      <c r="B2715" t="s">
        <v>137</v>
      </c>
      <c r="C2715" t="s">
        <v>136</v>
      </c>
      <c r="D2715" t="s">
        <v>121</v>
      </c>
      <c r="E2715" t="s">
        <v>53</v>
      </c>
      <c r="F2715" t="s">
        <v>114</v>
      </c>
      <c r="G2715">
        <v>122639</v>
      </c>
      <c r="H2715" s="75">
        <v>43627</v>
      </c>
      <c r="I2715" t="s">
        <v>117</v>
      </c>
      <c r="J2715">
        <v>2.5</v>
      </c>
      <c r="K2715">
        <v>0</v>
      </c>
      <c r="M2715">
        <v>17539.105</v>
      </c>
      <c r="N2715" t="s">
        <v>46</v>
      </c>
    </row>
    <row r="2716" spans="1:15" x14ac:dyDescent="0.2">
      <c r="A2716" t="s">
        <v>119</v>
      </c>
      <c r="B2716" t="s">
        <v>137</v>
      </c>
      <c r="C2716" t="s">
        <v>136</v>
      </c>
      <c r="D2716" t="s">
        <v>121</v>
      </c>
      <c r="E2716" t="s">
        <v>53</v>
      </c>
      <c r="F2716" t="s">
        <v>114</v>
      </c>
      <c r="G2716">
        <v>122639</v>
      </c>
      <c r="H2716" s="75">
        <v>43657</v>
      </c>
      <c r="I2716" t="s">
        <v>115</v>
      </c>
      <c r="J2716">
        <v>5000</v>
      </c>
      <c r="K2716">
        <v>144.46199999999999</v>
      </c>
      <c r="L2716">
        <v>34.611199999999997</v>
      </c>
      <c r="M2716">
        <v>17683.566999999999</v>
      </c>
      <c r="N2716" t="s">
        <v>15</v>
      </c>
    </row>
    <row r="2717" spans="1:15" x14ac:dyDescent="0.2">
      <c r="A2717" t="s">
        <v>119</v>
      </c>
      <c r="B2717" t="s">
        <v>137</v>
      </c>
      <c r="C2717" t="s">
        <v>136</v>
      </c>
      <c r="D2717" t="s">
        <v>121</v>
      </c>
      <c r="E2717" t="s">
        <v>53</v>
      </c>
      <c r="F2717" t="s">
        <v>114</v>
      </c>
      <c r="G2717">
        <v>122639</v>
      </c>
      <c r="H2717" s="75">
        <v>43657</v>
      </c>
      <c r="I2717" t="s">
        <v>118</v>
      </c>
      <c r="J2717">
        <v>8841.7800000000007</v>
      </c>
      <c r="K2717">
        <v>0</v>
      </c>
      <c r="M2717">
        <v>17683.566999999999</v>
      </c>
      <c r="N2717" t="s">
        <v>19</v>
      </c>
      <c r="O2717">
        <v>8841.7800000000007</v>
      </c>
    </row>
    <row r="2718" spans="1:15" x14ac:dyDescent="0.2">
      <c r="A2718" t="s">
        <v>119</v>
      </c>
      <c r="B2718" t="s">
        <v>137</v>
      </c>
      <c r="C2718" t="s">
        <v>136</v>
      </c>
      <c r="D2718" t="s">
        <v>121</v>
      </c>
      <c r="E2718" t="s">
        <v>53</v>
      </c>
      <c r="F2718" t="s">
        <v>114</v>
      </c>
      <c r="G2718">
        <v>122639</v>
      </c>
      <c r="H2718" s="75">
        <v>43687</v>
      </c>
      <c r="I2718" t="s">
        <v>115</v>
      </c>
      <c r="J2718">
        <v>5000</v>
      </c>
      <c r="K2718">
        <v>145.81100000000001</v>
      </c>
      <c r="L2718">
        <v>34.290900000000001</v>
      </c>
      <c r="M2718">
        <v>17829.379000000001</v>
      </c>
      <c r="N2718" t="s">
        <v>15</v>
      </c>
    </row>
    <row r="2719" spans="1:15" x14ac:dyDescent="0.2">
      <c r="A2719" t="s">
        <v>119</v>
      </c>
      <c r="B2719" t="s">
        <v>137</v>
      </c>
      <c r="C2719" t="s">
        <v>136</v>
      </c>
      <c r="D2719" t="s">
        <v>121</v>
      </c>
      <c r="E2719" t="s">
        <v>53</v>
      </c>
      <c r="F2719" t="s">
        <v>114</v>
      </c>
      <c r="G2719">
        <v>122639</v>
      </c>
      <c r="H2719" s="75">
        <v>43717</v>
      </c>
      <c r="I2719" t="s">
        <v>115</v>
      </c>
      <c r="J2719">
        <v>5000</v>
      </c>
      <c r="K2719">
        <v>147.13300000000001</v>
      </c>
      <c r="L2719">
        <v>33.982799999999997</v>
      </c>
      <c r="M2719">
        <v>17976.511999999999</v>
      </c>
      <c r="N2719" t="s">
        <v>15</v>
      </c>
    </row>
    <row r="2720" spans="1:15" x14ac:dyDescent="0.2">
      <c r="A2720" t="s">
        <v>119</v>
      </c>
      <c r="B2720" t="s">
        <v>137</v>
      </c>
      <c r="C2720" t="s">
        <v>136</v>
      </c>
      <c r="D2720" t="s">
        <v>121</v>
      </c>
      <c r="E2720" t="s">
        <v>53</v>
      </c>
      <c r="F2720" t="s">
        <v>114</v>
      </c>
      <c r="G2720">
        <v>122639</v>
      </c>
      <c r="H2720" s="75">
        <v>43747</v>
      </c>
      <c r="I2720" t="s">
        <v>115</v>
      </c>
      <c r="J2720">
        <v>5000</v>
      </c>
      <c r="K2720">
        <v>146.35599999999999</v>
      </c>
      <c r="L2720">
        <v>34.163200000000003</v>
      </c>
      <c r="M2720">
        <v>18122.867999999999</v>
      </c>
      <c r="N2720" t="s">
        <v>15</v>
      </c>
    </row>
    <row r="2721" spans="1:14" x14ac:dyDescent="0.2">
      <c r="A2721" t="s">
        <v>119</v>
      </c>
      <c r="B2721" t="s">
        <v>137</v>
      </c>
      <c r="C2721" t="s">
        <v>136</v>
      </c>
      <c r="D2721" t="s">
        <v>121</v>
      </c>
      <c r="E2721" t="s">
        <v>53</v>
      </c>
      <c r="F2721" t="s">
        <v>114</v>
      </c>
      <c r="G2721">
        <v>122639</v>
      </c>
      <c r="H2721" s="75">
        <v>43777</v>
      </c>
      <c r="I2721" t="s">
        <v>115</v>
      </c>
      <c r="J2721">
        <v>5000</v>
      </c>
      <c r="K2721">
        <v>145.03700000000001</v>
      </c>
      <c r="L2721">
        <v>34.4739</v>
      </c>
      <c r="M2721">
        <v>18267.905999999999</v>
      </c>
      <c r="N2721" t="s">
        <v>15</v>
      </c>
    </row>
    <row r="2722" spans="1:14" x14ac:dyDescent="0.2">
      <c r="A2722" t="s">
        <v>119</v>
      </c>
      <c r="B2722" t="s">
        <v>137</v>
      </c>
      <c r="C2722" t="s">
        <v>136</v>
      </c>
      <c r="D2722" t="s">
        <v>121</v>
      </c>
      <c r="E2722" t="s">
        <v>53</v>
      </c>
      <c r="F2722" t="s">
        <v>114</v>
      </c>
      <c r="G2722">
        <v>122639</v>
      </c>
      <c r="H2722" s="75">
        <v>43807</v>
      </c>
      <c r="I2722" t="s">
        <v>115</v>
      </c>
      <c r="J2722">
        <v>5000</v>
      </c>
      <c r="K2722">
        <v>145.785</v>
      </c>
      <c r="L2722">
        <v>34.296999999999997</v>
      </c>
      <c r="M2722">
        <v>18413.690999999999</v>
      </c>
      <c r="N2722" t="s">
        <v>15</v>
      </c>
    </row>
    <row r="2723" spans="1:14" x14ac:dyDescent="0.2">
      <c r="A2723" t="s">
        <v>119</v>
      </c>
      <c r="B2723" t="s">
        <v>137</v>
      </c>
      <c r="C2723" t="s">
        <v>136</v>
      </c>
      <c r="D2723" t="s">
        <v>121</v>
      </c>
      <c r="E2723" t="s">
        <v>53</v>
      </c>
      <c r="F2723" t="s">
        <v>114</v>
      </c>
      <c r="G2723">
        <v>122639</v>
      </c>
      <c r="H2723" s="75">
        <v>43837</v>
      </c>
      <c r="I2723" t="s">
        <v>115</v>
      </c>
      <c r="J2723">
        <v>5000</v>
      </c>
      <c r="K2723">
        <v>144.64099999999999</v>
      </c>
      <c r="L2723">
        <v>34.568199999999997</v>
      </c>
      <c r="M2723">
        <v>18558.331999999999</v>
      </c>
      <c r="N2723" t="s">
        <v>15</v>
      </c>
    </row>
    <row r="2724" spans="1:14" x14ac:dyDescent="0.2">
      <c r="A2724" t="s">
        <v>119</v>
      </c>
      <c r="B2724" t="s">
        <v>137</v>
      </c>
      <c r="C2724" t="s">
        <v>136</v>
      </c>
      <c r="D2724" t="s">
        <v>121</v>
      </c>
      <c r="E2724" t="s">
        <v>53</v>
      </c>
      <c r="F2724" t="s">
        <v>114</v>
      </c>
      <c r="G2724">
        <v>122639</v>
      </c>
      <c r="H2724" s="75">
        <v>43867</v>
      </c>
      <c r="I2724" t="s">
        <v>115</v>
      </c>
      <c r="J2724">
        <v>5000</v>
      </c>
      <c r="K2724">
        <v>145.21899999999999</v>
      </c>
      <c r="L2724">
        <v>34.430799999999998</v>
      </c>
      <c r="M2724">
        <v>18703.550999999999</v>
      </c>
      <c r="N2724" t="s">
        <v>15</v>
      </c>
    </row>
    <row r="2725" spans="1:14" x14ac:dyDescent="0.2">
      <c r="A2725" t="s">
        <v>119</v>
      </c>
      <c r="B2725" t="s">
        <v>137</v>
      </c>
      <c r="C2725" t="s">
        <v>136</v>
      </c>
      <c r="D2725" t="s">
        <v>121</v>
      </c>
      <c r="E2725" t="s">
        <v>53</v>
      </c>
      <c r="F2725" t="s">
        <v>114</v>
      </c>
      <c r="G2725">
        <v>122639</v>
      </c>
      <c r="H2725" s="75">
        <v>43897</v>
      </c>
      <c r="I2725" t="s">
        <v>115</v>
      </c>
      <c r="J2725">
        <v>5000</v>
      </c>
      <c r="K2725">
        <v>141.18799999999999</v>
      </c>
      <c r="L2725">
        <v>35.413800000000002</v>
      </c>
      <c r="M2725">
        <v>18844.739000000001</v>
      </c>
      <c r="N2725" t="s">
        <v>15</v>
      </c>
    </row>
    <row r="2726" spans="1:14" x14ac:dyDescent="0.2">
      <c r="A2726" t="s">
        <v>119</v>
      </c>
      <c r="B2726" t="s">
        <v>137</v>
      </c>
      <c r="C2726" t="s">
        <v>136</v>
      </c>
      <c r="D2726" t="s">
        <v>121</v>
      </c>
      <c r="E2726" t="s">
        <v>53</v>
      </c>
      <c r="F2726" t="s">
        <v>114</v>
      </c>
      <c r="G2726">
        <v>122639</v>
      </c>
      <c r="H2726" s="75">
        <v>43927</v>
      </c>
      <c r="I2726" t="s">
        <v>115</v>
      </c>
      <c r="J2726">
        <v>5000</v>
      </c>
      <c r="K2726">
        <v>141.583</v>
      </c>
      <c r="L2726">
        <v>35.314900000000002</v>
      </c>
      <c r="M2726">
        <v>18986.323</v>
      </c>
      <c r="N2726" t="s">
        <v>15</v>
      </c>
    </row>
    <row r="2727" spans="1:14" x14ac:dyDescent="0.2">
      <c r="A2727" t="s">
        <v>119</v>
      </c>
      <c r="B2727" t="s">
        <v>137</v>
      </c>
      <c r="C2727" t="s">
        <v>136</v>
      </c>
      <c r="D2727" t="s">
        <v>121</v>
      </c>
      <c r="E2727" t="s">
        <v>53</v>
      </c>
      <c r="F2727" t="s">
        <v>114</v>
      </c>
      <c r="G2727">
        <v>122639</v>
      </c>
      <c r="H2727" s="75">
        <v>43927</v>
      </c>
      <c r="I2727" t="s">
        <v>116</v>
      </c>
      <c r="J2727">
        <v>2.5</v>
      </c>
      <c r="K2727">
        <v>0</v>
      </c>
      <c r="M2727">
        <v>18986.323</v>
      </c>
      <c r="N2727" t="s">
        <v>17</v>
      </c>
    </row>
    <row r="2728" spans="1:14" x14ac:dyDescent="0.2">
      <c r="A2728" t="s">
        <v>119</v>
      </c>
      <c r="B2728" t="s">
        <v>137</v>
      </c>
      <c r="C2728" t="s">
        <v>136</v>
      </c>
      <c r="D2728" t="s">
        <v>121</v>
      </c>
      <c r="E2728" t="s">
        <v>53</v>
      </c>
      <c r="F2728" t="s">
        <v>114</v>
      </c>
      <c r="G2728">
        <v>122639</v>
      </c>
      <c r="H2728" s="75">
        <v>43957</v>
      </c>
      <c r="I2728" t="s">
        <v>115</v>
      </c>
      <c r="J2728">
        <v>5000</v>
      </c>
      <c r="K2728">
        <v>138.07599999999999</v>
      </c>
      <c r="L2728">
        <v>36.212000000000003</v>
      </c>
      <c r="M2728">
        <v>19124.398000000001</v>
      </c>
      <c r="N2728" t="s">
        <v>15</v>
      </c>
    </row>
    <row r="2729" spans="1:14" x14ac:dyDescent="0.2">
      <c r="A2729" t="s">
        <v>119</v>
      </c>
      <c r="B2729" t="s">
        <v>137</v>
      </c>
      <c r="C2729" t="s">
        <v>136</v>
      </c>
      <c r="D2729" t="s">
        <v>121</v>
      </c>
      <c r="E2729" t="s">
        <v>53</v>
      </c>
      <c r="F2729" t="s">
        <v>114</v>
      </c>
      <c r="G2729">
        <v>122639</v>
      </c>
      <c r="H2729" s="75">
        <v>43987</v>
      </c>
      <c r="I2729" t="s">
        <v>115</v>
      </c>
      <c r="J2729">
        <v>5000</v>
      </c>
      <c r="K2729">
        <v>136.30099999999999</v>
      </c>
      <c r="L2729">
        <v>36.683500000000002</v>
      </c>
      <c r="M2729">
        <v>19260.699000000001</v>
      </c>
      <c r="N2729" t="s">
        <v>15</v>
      </c>
    </row>
    <row r="2730" spans="1:14" x14ac:dyDescent="0.2">
      <c r="A2730" t="s">
        <v>119</v>
      </c>
      <c r="B2730" t="s">
        <v>137</v>
      </c>
      <c r="C2730" t="s">
        <v>136</v>
      </c>
      <c r="D2730" t="s">
        <v>121</v>
      </c>
      <c r="E2730" t="s">
        <v>53</v>
      </c>
      <c r="F2730" t="s">
        <v>114</v>
      </c>
      <c r="G2730">
        <v>122639</v>
      </c>
      <c r="H2730" s="75">
        <v>44017</v>
      </c>
      <c r="I2730" t="s">
        <v>115</v>
      </c>
      <c r="J2730">
        <v>5000</v>
      </c>
      <c r="K2730">
        <v>137.78200000000001</v>
      </c>
      <c r="L2730">
        <v>36.289099999999998</v>
      </c>
      <c r="M2730">
        <v>19398.482</v>
      </c>
      <c r="N2730" t="s">
        <v>15</v>
      </c>
    </row>
    <row r="2731" spans="1:14" x14ac:dyDescent="0.2">
      <c r="A2731" t="s">
        <v>119</v>
      </c>
      <c r="B2731" t="s">
        <v>137</v>
      </c>
      <c r="C2731" t="s">
        <v>136</v>
      </c>
      <c r="D2731" t="s">
        <v>121</v>
      </c>
      <c r="E2731" t="s">
        <v>53</v>
      </c>
      <c r="F2731" t="s">
        <v>114</v>
      </c>
      <c r="G2731">
        <v>122639</v>
      </c>
      <c r="H2731" s="75">
        <v>44017</v>
      </c>
      <c r="I2731" t="s">
        <v>117</v>
      </c>
      <c r="J2731">
        <v>2.5</v>
      </c>
      <c r="K2731">
        <v>0</v>
      </c>
      <c r="M2731">
        <v>19398.482</v>
      </c>
      <c r="N2731" t="s">
        <v>46</v>
      </c>
    </row>
    <row r="2732" spans="1:14" x14ac:dyDescent="0.2">
      <c r="A2732" t="s">
        <v>119</v>
      </c>
      <c r="B2732" t="s">
        <v>137</v>
      </c>
      <c r="C2732" t="s">
        <v>136</v>
      </c>
      <c r="D2732" t="s">
        <v>121</v>
      </c>
      <c r="E2732" t="s">
        <v>53</v>
      </c>
      <c r="F2732" t="s">
        <v>114</v>
      </c>
      <c r="G2732">
        <v>122639</v>
      </c>
      <c r="H2732" s="75">
        <v>44047</v>
      </c>
      <c r="I2732" t="s">
        <v>115</v>
      </c>
      <c r="J2732">
        <v>5000</v>
      </c>
      <c r="K2732">
        <v>134.87700000000001</v>
      </c>
      <c r="L2732">
        <v>37.070799999999998</v>
      </c>
      <c r="M2732">
        <v>19533.359</v>
      </c>
      <c r="N2732" t="s">
        <v>15</v>
      </c>
    </row>
    <row r="2733" spans="1:14" x14ac:dyDescent="0.2">
      <c r="A2733" t="s">
        <v>119</v>
      </c>
      <c r="B2733" t="s">
        <v>137</v>
      </c>
      <c r="C2733" t="s">
        <v>136</v>
      </c>
      <c r="D2733" t="s">
        <v>121</v>
      </c>
      <c r="E2733" t="s">
        <v>53</v>
      </c>
      <c r="F2733" t="s">
        <v>114</v>
      </c>
      <c r="G2733">
        <v>122639</v>
      </c>
      <c r="H2733" s="75">
        <v>44077</v>
      </c>
      <c r="I2733" t="s">
        <v>115</v>
      </c>
      <c r="J2733">
        <v>5000</v>
      </c>
      <c r="K2733">
        <v>131.77199999999999</v>
      </c>
      <c r="L2733">
        <v>37.944200000000002</v>
      </c>
      <c r="M2733">
        <v>19665.131000000001</v>
      </c>
      <c r="N2733" t="s">
        <v>15</v>
      </c>
    </row>
    <row r="2734" spans="1:14" x14ac:dyDescent="0.2">
      <c r="A2734" t="s">
        <v>119</v>
      </c>
      <c r="B2734" t="s">
        <v>137</v>
      </c>
      <c r="C2734" t="s">
        <v>136</v>
      </c>
      <c r="D2734" t="s">
        <v>121</v>
      </c>
      <c r="E2734" t="s">
        <v>53</v>
      </c>
      <c r="F2734" t="s">
        <v>114</v>
      </c>
      <c r="G2734">
        <v>122639</v>
      </c>
      <c r="H2734" s="75">
        <v>44077</v>
      </c>
      <c r="I2734" t="s">
        <v>116</v>
      </c>
      <c r="J2734">
        <v>2.5</v>
      </c>
      <c r="K2734">
        <v>0</v>
      </c>
      <c r="M2734">
        <v>19665.131000000001</v>
      </c>
      <c r="N2734" t="s">
        <v>17</v>
      </c>
    </row>
    <row r="2735" spans="1:14" x14ac:dyDescent="0.2">
      <c r="A2735" t="s">
        <v>119</v>
      </c>
      <c r="B2735" t="s">
        <v>137</v>
      </c>
      <c r="C2735" t="s">
        <v>136</v>
      </c>
      <c r="D2735" t="s">
        <v>121</v>
      </c>
      <c r="E2735" t="s">
        <v>53</v>
      </c>
      <c r="F2735" t="s">
        <v>114</v>
      </c>
      <c r="G2735">
        <v>122639</v>
      </c>
      <c r="H2735" s="75">
        <v>44107</v>
      </c>
      <c r="I2735" t="s">
        <v>115</v>
      </c>
      <c r="J2735">
        <v>5000</v>
      </c>
      <c r="K2735">
        <v>129.77099999999999</v>
      </c>
      <c r="L2735">
        <v>38.529299999999999</v>
      </c>
      <c r="M2735">
        <v>19794.901999999998</v>
      </c>
      <c r="N2735" t="s">
        <v>15</v>
      </c>
    </row>
    <row r="2736" spans="1:14" x14ac:dyDescent="0.2">
      <c r="A2736" t="s">
        <v>119</v>
      </c>
      <c r="B2736" t="s">
        <v>137</v>
      </c>
      <c r="C2736" t="s">
        <v>136</v>
      </c>
      <c r="D2736" t="s">
        <v>121</v>
      </c>
      <c r="E2736" t="s">
        <v>53</v>
      </c>
      <c r="F2736" t="s">
        <v>114</v>
      </c>
      <c r="G2736">
        <v>122639</v>
      </c>
      <c r="H2736" s="75">
        <v>44107</v>
      </c>
      <c r="I2736" t="s">
        <v>116</v>
      </c>
      <c r="J2736">
        <v>2.5</v>
      </c>
      <c r="K2736">
        <v>0</v>
      </c>
      <c r="M2736">
        <v>19794.901999999998</v>
      </c>
      <c r="N2736" t="s">
        <v>17</v>
      </c>
    </row>
    <row r="2737" spans="1:15" x14ac:dyDescent="0.2">
      <c r="A2737" t="s">
        <v>119</v>
      </c>
      <c r="B2737" t="s">
        <v>137</v>
      </c>
      <c r="C2737" t="s">
        <v>136</v>
      </c>
      <c r="D2737" t="s">
        <v>121</v>
      </c>
      <c r="E2737" t="s">
        <v>53</v>
      </c>
      <c r="F2737" t="s">
        <v>114</v>
      </c>
      <c r="G2737">
        <v>122639</v>
      </c>
      <c r="H2737" s="75">
        <v>44107</v>
      </c>
      <c r="I2737" t="s">
        <v>25</v>
      </c>
      <c r="J2737">
        <v>-152536.66</v>
      </c>
      <c r="K2737">
        <v>-3958.98</v>
      </c>
      <c r="L2737">
        <v>38.529299999999999</v>
      </c>
      <c r="M2737">
        <v>15835.922</v>
      </c>
      <c r="N2737" t="s">
        <v>16</v>
      </c>
    </row>
    <row r="2738" spans="1:15" x14ac:dyDescent="0.2">
      <c r="A2738" t="s">
        <v>119</v>
      </c>
      <c r="B2738" t="s">
        <v>137</v>
      </c>
      <c r="C2738" t="s">
        <v>136</v>
      </c>
      <c r="D2738" t="s">
        <v>121</v>
      </c>
      <c r="E2738" t="s">
        <v>53</v>
      </c>
      <c r="F2738" t="s">
        <v>114</v>
      </c>
      <c r="G2738">
        <v>122639</v>
      </c>
      <c r="H2738" s="75">
        <v>44137</v>
      </c>
      <c r="I2738" t="s">
        <v>115</v>
      </c>
      <c r="J2738">
        <v>5000</v>
      </c>
      <c r="K2738">
        <v>132.15799999999999</v>
      </c>
      <c r="L2738">
        <v>37.833500000000001</v>
      </c>
      <c r="M2738">
        <v>15968.08</v>
      </c>
      <c r="N2738" t="s">
        <v>15</v>
      </c>
    </row>
    <row r="2739" spans="1:15" x14ac:dyDescent="0.2">
      <c r="A2739" t="s">
        <v>119</v>
      </c>
      <c r="B2739" t="s">
        <v>137</v>
      </c>
      <c r="C2739" t="s">
        <v>136</v>
      </c>
      <c r="D2739" t="s">
        <v>121</v>
      </c>
      <c r="E2739" t="s">
        <v>53</v>
      </c>
      <c r="F2739" t="s">
        <v>114</v>
      </c>
      <c r="G2739">
        <v>122639</v>
      </c>
      <c r="H2739" s="75">
        <v>44167</v>
      </c>
      <c r="I2739" t="s">
        <v>115</v>
      </c>
      <c r="J2739">
        <v>5000</v>
      </c>
      <c r="K2739">
        <v>132.13999999999999</v>
      </c>
      <c r="L2739">
        <v>37.8386</v>
      </c>
      <c r="M2739">
        <v>16100.22</v>
      </c>
      <c r="N2739" t="s">
        <v>15</v>
      </c>
    </row>
    <row r="2740" spans="1:15" x14ac:dyDescent="0.2">
      <c r="A2740" t="s">
        <v>119</v>
      </c>
      <c r="B2740" t="s">
        <v>137</v>
      </c>
      <c r="C2740" t="s">
        <v>136</v>
      </c>
      <c r="D2740" t="s">
        <v>121</v>
      </c>
      <c r="E2740" t="s">
        <v>53</v>
      </c>
      <c r="F2740" t="s">
        <v>114</v>
      </c>
      <c r="G2740">
        <v>122639</v>
      </c>
      <c r="H2740" s="75">
        <v>44197</v>
      </c>
      <c r="I2740" t="s">
        <v>115</v>
      </c>
      <c r="J2740">
        <v>5000</v>
      </c>
      <c r="K2740">
        <v>132.65199999999999</v>
      </c>
      <c r="L2740">
        <v>37.692599999999999</v>
      </c>
      <c r="M2740">
        <v>16232.871999999999</v>
      </c>
      <c r="N2740" t="s">
        <v>15</v>
      </c>
    </row>
    <row r="2741" spans="1:15" x14ac:dyDescent="0.2">
      <c r="A2741" t="s">
        <v>119</v>
      </c>
      <c r="B2741" t="s">
        <v>137</v>
      </c>
      <c r="C2741" t="s">
        <v>136</v>
      </c>
      <c r="D2741" t="s">
        <v>121</v>
      </c>
      <c r="E2741" t="s">
        <v>53</v>
      </c>
      <c r="F2741" t="s">
        <v>114</v>
      </c>
      <c r="G2741">
        <v>122639</v>
      </c>
      <c r="H2741" s="75">
        <v>44197</v>
      </c>
      <c r="I2741" t="s">
        <v>116</v>
      </c>
      <c r="J2741">
        <v>2.5</v>
      </c>
      <c r="K2741">
        <v>0</v>
      </c>
      <c r="M2741">
        <v>16232.871999999999</v>
      </c>
      <c r="N2741" t="s">
        <v>17</v>
      </c>
    </row>
    <row r="2742" spans="1:15" x14ac:dyDescent="0.2">
      <c r="A2742" t="s">
        <v>119</v>
      </c>
      <c r="B2742" t="s">
        <v>137</v>
      </c>
      <c r="C2742" t="s">
        <v>136</v>
      </c>
      <c r="D2742" t="s">
        <v>121</v>
      </c>
      <c r="E2742" t="s">
        <v>53</v>
      </c>
      <c r="F2742" t="s">
        <v>114</v>
      </c>
      <c r="G2742">
        <v>122639</v>
      </c>
      <c r="H2742" s="75">
        <v>44227</v>
      </c>
      <c r="I2742" t="s">
        <v>115</v>
      </c>
      <c r="J2742">
        <v>5000</v>
      </c>
      <c r="K2742">
        <v>129.238</v>
      </c>
      <c r="L2742">
        <v>38.688200000000002</v>
      </c>
      <c r="M2742">
        <v>16362.111000000001</v>
      </c>
      <c r="N2742" t="s">
        <v>15</v>
      </c>
    </row>
    <row r="2743" spans="1:15" x14ac:dyDescent="0.2">
      <c r="A2743" t="s">
        <v>119</v>
      </c>
      <c r="B2743" t="s">
        <v>137</v>
      </c>
      <c r="C2743" t="s">
        <v>136</v>
      </c>
      <c r="D2743" t="s">
        <v>121</v>
      </c>
      <c r="E2743" t="s">
        <v>53</v>
      </c>
      <c r="F2743" t="s">
        <v>114</v>
      </c>
      <c r="G2743">
        <v>122639</v>
      </c>
      <c r="H2743" s="75">
        <v>44257</v>
      </c>
      <c r="I2743" t="s">
        <v>115</v>
      </c>
      <c r="J2743">
        <v>5000</v>
      </c>
      <c r="K2743">
        <v>126.38500000000001</v>
      </c>
      <c r="L2743">
        <v>39.561700000000002</v>
      </c>
      <c r="M2743">
        <v>16488.495999999999</v>
      </c>
      <c r="N2743" t="s">
        <v>15</v>
      </c>
    </row>
    <row r="2744" spans="1:15" x14ac:dyDescent="0.2">
      <c r="A2744" t="s">
        <v>119</v>
      </c>
      <c r="B2744" t="s">
        <v>137</v>
      </c>
      <c r="C2744" t="s">
        <v>136</v>
      </c>
      <c r="D2744" t="s">
        <v>121</v>
      </c>
      <c r="E2744" t="s">
        <v>53</v>
      </c>
      <c r="F2744" t="s">
        <v>114</v>
      </c>
      <c r="G2744">
        <v>122639</v>
      </c>
      <c r="H2744" s="75">
        <v>44257</v>
      </c>
      <c r="I2744" t="s">
        <v>118</v>
      </c>
      <c r="J2744">
        <v>8244.25</v>
      </c>
      <c r="K2744">
        <v>0</v>
      </c>
      <c r="M2744">
        <v>16488.495999999999</v>
      </c>
      <c r="N2744" t="s">
        <v>19</v>
      </c>
      <c r="O2744">
        <v>8244.25</v>
      </c>
    </row>
    <row r="2745" spans="1:15" x14ac:dyDescent="0.2">
      <c r="A2745" t="s">
        <v>119</v>
      </c>
      <c r="B2745" t="s">
        <v>137</v>
      </c>
      <c r="C2745" t="s">
        <v>136</v>
      </c>
      <c r="D2745" t="s">
        <v>121</v>
      </c>
      <c r="E2745" t="s">
        <v>53</v>
      </c>
      <c r="F2745" t="s">
        <v>114</v>
      </c>
      <c r="G2745">
        <v>122639</v>
      </c>
      <c r="H2745" s="75">
        <v>44287</v>
      </c>
      <c r="I2745" t="s">
        <v>115</v>
      </c>
      <c r="J2745">
        <v>5000</v>
      </c>
      <c r="K2745">
        <v>123.974</v>
      </c>
      <c r="L2745">
        <v>40.331099999999999</v>
      </c>
      <c r="M2745">
        <v>16612.469000000001</v>
      </c>
      <c r="N2745" t="s">
        <v>15</v>
      </c>
    </row>
    <row r="2746" spans="1:15" x14ac:dyDescent="0.2">
      <c r="A2746" t="s">
        <v>119</v>
      </c>
      <c r="B2746" t="s">
        <v>137</v>
      </c>
      <c r="C2746" t="s">
        <v>136</v>
      </c>
      <c r="D2746" t="s">
        <v>121</v>
      </c>
      <c r="E2746" t="s">
        <v>53</v>
      </c>
      <c r="F2746" t="s">
        <v>114</v>
      </c>
      <c r="G2746">
        <v>122639</v>
      </c>
      <c r="H2746" s="75">
        <v>44287</v>
      </c>
      <c r="I2746" t="s">
        <v>117</v>
      </c>
      <c r="J2746">
        <v>2.5</v>
      </c>
      <c r="K2746">
        <v>0</v>
      </c>
      <c r="M2746">
        <v>16612.469000000001</v>
      </c>
      <c r="N2746" t="s">
        <v>46</v>
      </c>
    </row>
    <row r="2747" spans="1:15" x14ac:dyDescent="0.2">
      <c r="A2747" t="s">
        <v>119</v>
      </c>
      <c r="B2747" t="s">
        <v>137</v>
      </c>
      <c r="C2747" t="s">
        <v>136</v>
      </c>
      <c r="D2747" t="s">
        <v>121</v>
      </c>
      <c r="E2747" t="s">
        <v>53</v>
      </c>
      <c r="F2747" t="s">
        <v>114</v>
      </c>
      <c r="G2747">
        <v>122639</v>
      </c>
      <c r="H2747" s="75">
        <v>44317</v>
      </c>
      <c r="I2747" t="s">
        <v>115</v>
      </c>
      <c r="J2747">
        <v>5000</v>
      </c>
      <c r="K2747">
        <v>122.411</v>
      </c>
      <c r="L2747">
        <v>40.8459</v>
      </c>
      <c r="M2747">
        <v>16734.881000000001</v>
      </c>
      <c r="N2747" t="s">
        <v>15</v>
      </c>
    </row>
    <row r="2748" spans="1:15" x14ac:dyDescent="0.2">
      <c r="A2748" t="s">
        <v>119</v>
      </c>
      <c r="B2748" t="s">
        <v>137</v>
      </c>
      <c r="C2748" t="s">
        <v>136</v>
      </c>
      <c r="D2748" t="s">
        <v>121</v>
      </c>
      <c r="E2748" t="s">
        <v>53</v>
      </c>
      <c r="F2748" t="s">
        <v>114</v>
      </c>
      <c r="G2748">
        <v>122639</v>
      </c>
      <c r="H2748" s="75">
        <v>44347</v>
      </c>
      <c r="I2748" t="s">
        <v>115</v>
      </c>
      <c r="J2748">
        <v>5000</v>
      </c>
      <c r="K2748">
        <v>121.071</v>
      </c>
      <c r="L2748">
        <v>41.298200000000001</v>
      </c>
      <c r="M2748">
        <v>16855.952000000001</v>
      </c>
      <c r="N2748" t="s">
        <v>15</v>
      </c>
    </row>
    <row r="2749" spans="1:15" x14ac:dyDescent="0.2">
      <c r="A2749" t="s">
        <v>119</v>
      </c>
      <c r="B2749" t="s">
        <v>137</v>
      </c>
      <c r="C2749" t="s">
        <v>136</v>
      </c>
      <c r="D2749" t="s">
        <v>121</v>
      </c>
      <c r="E2749" t="s">
        <v>53</v>
      </c>
      <c r="F2749" t="s">
        <v>114</v>
      </c>
      <c r="G2749">
        <v>122639</v>
      </c>
      <c r="H2749" s="75">
        <v>44377</v>
      </c>
      <c r="I2749" t="s">
        <v>115</v>
      </c>
      <c r="J2749">
        <v>5000</v>
      </c>
      <c r="K2749">
        <v>118.069</v>
      </c>
      <c r="L2749">
        <v>42.348199999999999</v>
      </c>
      <c r="M2749">
        <v>16974.02</v>
      </c>
      <c r="N2749" t="s">
        <v>15</v>
      </c>
    </row>
    <row r="2750" spans="1:15" x14ac:dyDescent="0.2">
      <c r="A2750" t="s">
        <v>119</v>
      </c>
      <c r="B2750" t="s">
        <v>137</v>
      </c>
      <c r="C2750" t="s">
        <v>136</v>
      </c>
      <c r="D2750" t="s">
        <v>121</v>
      </c>
      <c r="E2750" t="s">
        <v>53</v>
      </c>
      <c r="F2750" t="s">
        <v>114</v>
      </c>
      <c r="G2750">
        <v>122639</v>
      </c>
      <c r="H2750" s="75">
        <v>44407</v>
      </c>
      <c r="I2750" t="s">
        <v>115</v>
      </c>
      <c r="J2750">
        <v>5000</v>
      </c>
      <c r="K2750">
        <v>114.792</v>
      </c>
      <c r="L2750">
        <v>43.557000000000002</v>
      </c>
      <c r="M2750">
        <v>17088.812000000002</v>
      </c>
      <c r="N2750" t="s">
        <v>15</v>
      </c>
    </row>
    <row r="2751" spans="1:15" x14ac:dyDescent="0.2">
      <c r="A2751" t="s">
        <v>119</v>
      </c>
      <c r="B2751" t="s">
        <v>137</v>
      </c>
      <c r="C2751" t="s">
        <v>136</v>
      </c>
      <c r="D2751" t="s">
        <v>121</v>
      </c>
      <c r="E2751" t="s">
        <v>53</v>
      </c>
      <c r="F2751" t="s">
        <v>114</v>
      </c>
      <c r="G2751">
        <v>122639</v>
      </c>
      <c r="H2751" s="75">
        <v>44437</v>
      </c>
      <c r="I2751" t="s">
        <v>115</v>
      </c>
      <c r="J2751">
        <v>5000</v>
      </c>
      <c r="K2751">
        <v>115.434</v>
      </c>
      <c r="L2751">
        <v>43.314900000000002</v>
      </c>
      <c r="M2751">
        <v>17204.245999999999</v>
      </c>
      <c r="N2751" t="s">
        <v>15</v>
      </c>
    </row>
    <row r="2752" spans="1:15" x14ac:dyDescent="0.2">
      <c r="A2752" t="s">
        <v>119</v>
      </c>
      <c r="B2752" t="s">
        <v>137</v>
      </c>
      <c r="C2752" t="s">
        <v>136</v>
      </c>
      <c r="D2752" t="s">
        <v>121</v>
      </c>
      <c r="E2752" t="s">
        <v>53</v>
      </c>
      <c r="F2752" t="s">
        <v>114</v>
      </c>
      <c r="G2752">
        <v>122639</v>
      </c>
      <c r="H2752" s="75">
        <v>44467</v>
      </c>
      <c r="I2752" t="s">
        <v>115</v>
      </c>
      <c r="J2752">
        <v>5000</v>
      </c>
      <c r="K2752">
        <v>115.52500000000001</v>
      </c>
      <c r="L2752">
        <v>43.280500000000004</v>
      </c>
      <c r="M2752">
        <v>17319.772000000001</v>
      </c>
      <c r="N2752" t="s">
        <v>15</v>
      </c>
    </row>
    <row r="2753" spans="1:15" x14ac:dyDescent="0.2">
      <c r="A2753" t="s">
        <v>119</v>
      </c>
      <c r="B2753" t="s">
        <v>137</v>
      </c>
      <c r="C2753" t="s">
        <v>136</v>
      </c>
      <c r="D2753" t="s">
        <v>121</v>
      </c>
      <c r="E2753" t="s">
        <v>53</v>
      </c>
      <c r="F2753" t="s">
        <v>114</v>
      </c>
      <c r="G2753">
        <v>122639</v>
      </c>
      <c r="H2753" s="75">
        <v>44497</v>
      </c>
      <c r="I2753" t="s">
        <v>115</v>
      </c>
      <c r="J2753">
        <v>5000</v>
      </c>
      <c r="K2753">
        <v>113.91200000000001</v>
      </c>
      <c r="L2753">
        <v>43.8934</v>
      </c>
      <c r="M2753">
        <v>17433.684000000001</v>
      </c>
      <c r="N2753" t="s">
        <v>15</v>
      </c>
    </row>
    <row r="2754" spans="1:15" x14ac:dyDescent="0.2">
      <c r="A2754" t="s">
        <v>119</v>
      </c>
      <c r="B2754" t="s">
        <v>137</v>
      </c>
      <c r="C2754" t="s">
        <v>136</v>
      </c>
      <c r="D2754" t="s">
        <v>121</v>
      </c>
      <c r="E2754" t="s">
        <v>53</v>
      </c>
      <c r="F2754" t="s">
        <v>114</v>
      </c>
      <c r="G2754">
        <v>122639</v>
      </c>
      <c r="H2754" s="75">
        <v>44527</v>
      </c>
      <c r="I2754" t="s">
        <v>115</v>
      </c>
      <c r="J2754">
        <v>5000</v>
      </c>
      <c r="K2754">
        <v>113.2</v>
      </c>
      <c r="L2754">
        <v>44.169699999999999</v>
      </c>
      <c r="M2754">
        <v>17546.883999999998</v>
      </c>
      <c r="N2754" t="s">
        <v>15</v>
      </c>
    </row>
    <row r="2755" spans="1:15" x14ac:dyDescent="0.2">
      <c r="A2755" t="s">
        <v>119</v>
      </c>
      <c r="B2755" t="s">
        <v>137</v>
      </c>
      <c r="C2755" t="s">
        <v>136</v>
      </c>
      <c r="D2755" t="s">
        <v>121</v>
      </c>
      <c r="E2755" t="s">
        <v>53</v>
      </c>
      <c r="F2755" t="s">
        <v>114</v>
      </c>
      <c r="G2755">
        <v>122639</v>
      </c>
      <c r="H2755" s="75">
        <v>44557</v>
      </c>
      <c r="I2755" t="s">
        <v>115</v>
      </c>
      <c r="J2755">
        <v>5000</v>
      </c>
      <c r="K2755">
        <v>111.754</v>
      </c>
      <c r="L2755">
        <v>44.741300000000003</v>
      </c>
      <c r="M2755">
        <v>17658.636999999999</v>
      </c>
      <c r="N2755" t="s">
        <v>15</v>
      </c>
    </row>
    <row r="2756" spans="1:15" x14ac:dyDescent="0.2">
      <c r="A2756" t="s">
        <v>119</v>
      </c>
      <c r="B2756" t="s">
        <v>137</v>
      </c>
      <c r="C2756" t="s">
        <v>136</v>
      </c>
      <c r="D2756" t="s">
        <v>121</v>
      </c>
      <c r="E2756" t="s">
        <v>53</v>
      </c>
      <c r="F2756" t="s">
        <v>114</v>
      </c>
      <c r="G2756">
        <v>122639</v>
      </c>
      <c r="H2756" s="75">
        <v>44587</v>
      </c>
      <c r="I2756" t="s">
        <v>115</v>
      </c>
      <c r="J2756">
        <v>5000</v>
      </c>
      <c r="K2756">
        <v>110.923</v>
      </c>
      <c r="L2756">
        <v>45.076300000000003</v>
      </c>
      <c r="M2756">
        <v>17769.561000000002</v>
      </c>
      <c r="N2756" t="s">
        <v>15</v>
      </c>
    </row>
    <row r="2757" spans="1:15" x14ac:dyDescent="0.2">
      <c r="A2757" t="s">
        <v>119</v>
      </c>
      <c r="B2757" t="s">
        <v>137</v>
      </c>
      <c r="C2757" t="s">
        <v>136</v>
      </c>
      <c r="D2757" t="s">
        <v>121</v>
      </c>
      <c r="E2757" t="s">
        <v>53</v>
      </c>
      <c r="F2757" t="s">
        <v>114</v>
      </c>
      <c r="G2757">
        <v>122639</v>
      </c>
      <c r="H2757" s="75">
        <v>44587</v>
      </c>
      <c r="I2757" t="s">
        <v>116</v>
      </c>
      <c r="J2757">
        <v>2.5</v>
      </c>
      <c r="K2757">
        <v>0</v>
      </c>
      <c r="M2757">
        <v>17769.561000000002</v>
      </c>
      <c r="N2757" t="s">
        <v>17</v>
      </c>
    </row>
    <row r="2758" spans="1:15" x14ac:dyDescent="0.2">
      <c r="A2758" t="s">
        <v>119</v>
      </c>
      <c r="B2758" t="s">
        <v>137</v>
      </c>
      <c r="C2758" t="s">
        <v>136</v>
      </c>
      <c r="D2758" t="s">
        <v>121</v>
      </c>
      <c r="E2758" t="s">
        <v>53</v>
      </c>
      <c r="F2758" t="s">
        <v>114</v>
      </c>
      <c r="G2758">
        <v>122639</v>
      </c>
      <c r="H2758" s="75">
        <v>44617</v>
      </c>
      <c r="I2758" t="s">
        <v>115</v>
      </c>
      <c r="J2758">
        <v>5000</v>
      </c>
      <c r="K2758">
        <v>111.149</v>
      </c>
      <c r="L2758">
        <v>44.9848</v>
      </c>
      <c r="M2758">
        <v>17880.708999999999</v>
      </c>
      <c r="N2758" t="s">
        <v>15</v>
      </c>
    </row>
    <row r="2759" spans="1:15" x14ac:dyDescent="0.2">
      <c r="A2759" t="s">
        <v>119</v>
      </c>
      <c r="B2759" t="s">
        <v>137</v>
      </c>
      <c r="C2759" t="s">
        <v>136</v>
      </c>
      <c r="D2759" t="s">
        <v>121</v>
      </c>
      <c r="E2759" t="s">
        <v>53</v>
      </c>
      <c r="F2759" t="s">
        <v>114</v>
      </c>
      <c r="G2759">
        <v>122639</v>
      </c>
      <c r="H2759" s="75">
        <v>44647</v>
      </c>
      <c r="I2759" t="s">
        <v>115</v>
      </c>
      <c r="J2759">
        <v>5000</v>
      </c>
      <c r="K2759">
        <v>110.79600000000001</v>
      </c>
      <c r="L2759">
        <v>45.127899999999997</v>
      </c>
      <c r="M2759">
        <v>17991.505000000001</v>
      </c>
      <c r="N2759" t="s">
        <v>15</v>
      </c>
    </row>
    <row r="2760" spans="1:15" x14ac:dyDescent="0.2">
      <c r="A2760" t="s">
        <v>119</v>
      </c>
      <c r="B2760" t="s">
        <v>137</v>
      </c>
      <c r="C2760" t="s">
        <v>136</v>
      </c>
      <c r="D2760" t="s">
        <v>121</v>
      </c>
      <c r="E2760" t="s">
        <v>53</v>
      </c>
      <c r="F2760" t="s">
        <v>114</v>
      </c>
      <c r="G2760">
        <v>122639</v>
      </c>
      <c r="H2760" s="75">
        <v>44647</v>
      </c>
      <c r="I2760" t="s">
        <v>25</v>
      </c>
      <c r="J2760">
        <v>-162383.63</v>
      </c>
      <c r="K2760">
        <v>-3598.3009999999999</v>
      </c>
      <c r="L2760">
        <v>45.127899999999997</v>
      </c>
      <c r="M2760">
        <v>14393.204</v>
      </c>
      <c r="N2760" t="s">
        <v>16</v>
      </c>
    </row>
    <row r="2761" spans="1:15" x14ac:dyDescent="0.2">
      <c r="A2761" t="s">
        <v>119</v>
      </c>
      <c r="B2761" t="s">
        <v>137</v>
      </c>
      <c r="C2761" t="s">
        <v>136</v>
      </c>
      <c r="D2761" t="s">
        <v>121</v>
      </c>
      <c r="E2761" t="s">
        <v>53</v>
      </c>
      <c r="F2761" t="s">
        <v>114</v>
      </c>
      <c r="G2761">
        <v>122639</v>
      </c>
      <c r="H2761" s="75">
        <v>44677</v>
      </c>
      <c r="I2761" t="s">
        <v>115</v>
      </c>
      <c r="J2761">
        <v>5000</v>
      </c>
      <c r="K2761">
        <v>111.258</v>
      </c>
      <c r="L2761">
        <v>44.940600000000003</v>
      </c>
      <c r="M2761">
        <v>14504.462</v>
      </c>
      <c r="N2761" t="s">
        <v>15</v>
      </c>
    </row>
    <row r="2762" spans="1:15" x14ac:dyDescent="0.2">
      <c r="A2762" t="s">
        <v>119</v>
      </c>
      <c r="B2762" t="s">
        <v>137</v>
      </c>
      <c r="C2762" t="s">
        <v>136</v>
      </c>
      <c r="D2762" t="s">
        <v>121</v>
      </c>
      <c r="E2762" t="s">
        <v>53</v>
      </c>
      <c r="F2762" t="s">
        <v>114</v>
      </c>
      <c r="G2762">
        <v>122639</v>
      </c>
      <c r="H2762" s="75">
        <v>44707</v>
      </c>
      <c r="I2762" t="s">
        <v>115</v>
      </c>
      <c r="J2762">
        <v>5000</v>
      </c>
      <c r="K2762">
        <v>109.18899999999999</v>
      </c>
      <c r="L2762">
        <v>45.792000000000002</v>
      </c>
      <c r="M2762">
        <v>14613.652</v>
      </c>
      <c r="N2762" t="s">
        <v>15</v>
      </c>
    </row>
    <row r="2763" spans="1:15" x14ac:dyDescent="0.2">
      <c r="A2763" t="s">
        <v>119</v>
      </c>
      <c r="B2763" t="s">
        <v>137</v>
      </c>
      <c r="C2763" t="s">
        <v>136</v>
      </c>
      <c r="D2763" t="s">
        <v>121</v>
      </c>
      <c r="E2763" t="s">
        <v>53</v>
      </c>
      <c r="F2763" t="s">
        <v>114</v>
      </c>
      <c r="G2763">
        <v>122639</v>
      </c>
      <c r="H2763" s="75">
        <v>44737</v>
      </c>
      <c r="I2763" t="s">
        <v>115</v>
      </c>
      <c r="J2763">
        <v>5000</v>
      </c>
      <c r="K2763">
        <v>109.504</v>
      </c>
      <c r="L2763">
        <v>45.660499999999999</v>
      </c>
      <c r="M2763">
        <v>14723.156000000001</v>
      </c>
      <c r="N2763" t="s">
        <v>15</v>
      </c>
    </row>
    <row r="2764" spans="1:15" x14ac:dyDescent="0.2">
      <c r="A2764" t="s">
        <v>119</v>
      </c>
      <c r="B2764" t="s">
        <v>137</v>
      </c>
      <c r="C2764" t="s">
        <v>136</v>
      </c>
      <c r="D2764" t="s">
        <v>121</v>
      </c>
      <c r="E2764" t="s">
        <v>53</v>
      </c>
      <c r="F2764" t="s">
        <v>114</v>
      </c>
      <c r="G2764">
        <v>122639</v>
      </c>
      <c r="H2764" s="75">
        <v>44737</v>
      </c>
      <c r="I2764" t="s">
        <v>116</v>
      </c>
      <c r="J2764">
        <v>2.5</v>
      </c>
      <c r="K2764">
        <v>0</v>
      </c>
      <c r="M2764">
        <v>14723.156000000001</v>
      </c>
      <c r="N2764" t="s">
        <v>17</v>
      </c>
    </row>
    <row r="2765" spans="1:15" x14ac:dyDescent="0.2">
      <c r="A2765" t="s">
        <v>119</v>
      </c>
      <c r="B2765" t="s">
        <v>137</v>
      </c>
      <c r="C2765" t="s">
        <v>136</v>
      </c>
      <c r="D2765" t="s">
        <v>121</v>
      </c>
      <c r="E2765" t="s">
        <v>53</v>
      </c>
      <c r="F2765" t="s">
        <v>114</v>
      </c>
      <c r="G2765">
        <v>122639</v>
      </c>
      <c r="H2765" s="75">
        <v>44737</v>
      </c>
      <c r="I2765" t="s">
        <v>118</v>
      </c>
      <c r="J2765">
        <v>7361.58</v>
      </c>
      <c r="K2765">
        <v>0</v>
      </c>
      <c r="M2765">
        <v>14723.156000000001</v>
      </c>
      <c r="N2765" t="s">
        <v>19</v>
      </c>
      <c r="O2765">
        <v>7361.58</v>
      </c>
    </row>
    <row r="2766" spans="1:15" x14ac:dyDescent="0.2">
      <c r="A2766" t="s">
        <v>119</v>
      </c>
      <c r="B2766" t="s">
        <v>137</v>
      </c>
      <c r="C2766" t="s">
        <v>136</v>
      </c>
      <c r="D2766" t="s">
        <v>121</v>
      </c>
      <c r="E2766" t="s">
        <v>53</v>
      </c>
      <c r="F2766" t="s">
        <v>114</v>
      </c>
      <c r="G2766">
        <v>122639</v>
      </c>
      <c r="H2766" s="75">
        <v>44767</v>
      </c>
      <c r="I2766" t="s">
        <v>115</v>
      </c>
      <c r="J2766">
        <v>5000</v>
      </c>
      <c r="K2766">
        <v>109.50700000000001</v>
      </c>
      <c r="L2766">
        <v>45.659199999999998</v>
      </c>
      <c r="M2766">
        <v>14832.662</v>
      </c>
      <c r="N2766" t="s">
        <v>15</v>
      </c>
    </row>
    <row r="2767" spans="1:15" x14ac:dyDescent="0.2">
      <c r="A2767" t="s">
        <v>119</v>
      </c>
      <c r="B2767" t="s">
        <v>137</v>
      </c>
      <c r="C2767" t="s">
        <v>136</v>
      </c>
      <c r="D2767" t="s">
        <v>121</v>
      </c>
      <c r="E2767" t="s">
        <v>53</v>
      </c>
      <c r="F2767" t="s">
        <v>114</v>
      </c>
      <c r="G2767">
        <v>122639</v>
      </c>
      <c r="H2767" s="75">
        <v>44797</v>
      </c>
      <c r="I2767" t="s">
        <v>115</v>
      </c>
      <c r="J2767">
        <v>5000</v>
      </c>
      <c r="K2767">
        <v>108.532</v>
      </c>
      <c r="L2767">
        <v>46.069299999999998</v>
      </c>
      <c r="M2767">
        <v>14941.195</v>
      </c>
      <c r="N2767" t="s">
        <v>15</v>
      </c>
    </row>
    <row r="2768" spans="1:15" x14ac:dyDescent="0.2">
      <c r="A2768" t="s">
        <v>119</v>
      </c>
      <c r="B2768" t="s">
        <v>137</v>
      </c>
      <c r="C2768" t="s">
        <v>136</v>
      </c>
      <c r="D2768" t="s">
        <v>121</v>
      </c>
      <c r="E2768" t="s">
        <v>53</v>
      </c>
      <c r="F2768" t="s">
        <v>114</v>
      </c>
      <c r="G2768">
        <v>122639</v>
      </c>
      <c r="H2768" s="75">
        <v>44797</v>
      </c>
      <c r="I2768" t="s">
        <v>117</v>
      </c>
      <c r="J2768">
        <v>2.5</v>
      </c>
      <c r="K2768">
        <v>0</v>
      </c>
      <c r="M2768">
        <v>14941.195</v>
      </c>
      <c r="N2768" t="s">
        <v>46</v>
      </c>
    </row>
    <row r="2769" spans="1:15" x14ac:dyDescent="0.2">
      <c r="A2769" t="s">
        <v>119</v>
      </c>
      <c r="B2769" t="s">
        <v>137</v>
      </c>
      <c r="C2769" t="s">
        <v>136</v>
      </c>
      <c r="D2769" t="s">
        <v>121</v>
      </c>
      <c r="E2769" t="s">
        <v>53</v>
      </c>
      <c r="F2769" t="s">
        <v>114</v>
      </c>
      <c r="G2769">
        <v>122639</v>
      </c>
      <c r="H2769" s="75">
        <v>44827</v>
      </c>
      <c r="I2769" t="s">
        <v>115</v>
      </c>
      <c r="J2769">
        <v>5000</v>
      </c>
      <c r="K2769">
        <v>108.883</v>
      </c>
      <c r="L2769">
        <v>45.9208</v>
      </c>
      <c r="M2769">
        <v>15050.078</v>
      </c>
      <c r="N2769" t="s">
        <v>15</v>
      </c>
    </row>
    <row r="2770" spans="1:15" x14ac:dyDescent="0.2">
      <c r="A2770" t="s">
        <v>119</v>
      </c>
      <c r="B2770" t="s">
        <v>137</v>
      </c>
      <c r="C2770" t="s">
        <v>136</v>
      </c>
      <c r="D2770" t="s">
        <v>121</v>
      </c>
      <c r="E2770" t="s">
        <v>53</v>
      </c>
      <c r="F2770" t="s">
        <v>114</v>
      </c>
      <c r="G2770">
        <v>122639</v>
      </c>
      <c r="H2770" s="75">
        <v>44857</v>
      </c>
      <c r="I2770" t="s">
        <v>115</v>
      </c>
      <c r="J2770">
        <v>5000</v>
      </c>
      <c r="K2770">
        <v>108.833</v>
      </c>
      <c r="L2770">
        <v>45.941800000000001</v>
      </c>
      <c r="M2770">
        <v>15158.911</v>
      </c>
      <c r="N2770" t="s">
        <v>15</v>
      </c>
    </row>
    <row r="2771" spans="1:15" x14ac:dyDescent="0.2">
      <c r="A2771" t="s">
        <v>119</v>
      </c>
      <c r="B2771" t="s">
        <v>137</v>
      </c>
      <c r="C2771" t="s">
        <v>136</v>
      </c>
      <c r="D2771" t="s">
        <v>121</v>
      </c>
      <c r="E2771" t="s">
        <v>53</v>
      </c>
      <c r="F2771" t="s">
        <v>114</v>
      </c>
      <c r="G2771">
        <v>122639</v>
      </c>
      <c r="H2771" s="75">
        <v>44887</v>
      </c>
      <c r="I2771" t="s">
        <v>115</v>
      </c>
      <c r="J2771">
        <v>5000</v>
      </c>
      <c r="K2771">
        <v>108.117</v>
      </c>
      <c r="L2771">
        <v>46.246200000000002</v>
      </c>
      <c r="M2771">
        <v>15267.028</v>
      </c>
      <c r="N2771" t="s">
        <v>15</v>
      </c>
    </row>
    <row r="2772" spans="1:15" x14ac:dyDescent="0.2">
      <c r="A2772" t="s">
        <v>119</v>
      </c>
      <c r="B2772" t="s">
        <v>137</v>
      </c>
      <c r="C2772" t="s">
        <v>136</v>
      </c>
      <c r="D2772" t="s">
        <v>121</v>
      </c>
      <c r="E2772" t="s">
        <v>53</v>
      </c>
      <c r="F2772" t="s">
        <v>114</v>
      </c>
      <c r="G2772">
        <v>122639</v>
      </c>
      <c r="H2772" s="75">
        <v>44917</v>
      </c>
      <c r="I2772" t="s">
        <v>115</v>
      </c>
      <c r="J2772">
        <v>5000</v>
      </c>
      <c r="K2772">
        <v>106.54900000000001</v>
      </c>
      <c r="L2772">
        <v>46.9268</v>
      </c>
      <c r="M2772">
        <v>15373.576999999999</v>
      </c>
      <c r="N2772" t="s">
        <v>15</v>
      </c>
    </row>
    <row r="2773" spans="1:15" x14ac:dyDescent="0.2">
      <c r="A2773" t="s">
        <v>119</v>
      </c>
      <c r="B2773" t="s">
        <v>137</v>
      </c>
      <c r="C2773" t="s">
        <v>136</v>
      </c>
      <c r="D2773" t="s">
        <v>121</v>
      </c>
      <c r="E2773" t="s">
        <v>53</v>
      </c>
      <c r="F2773" t="s">
        <v>114</v>
      </c>
      <c r="G2773">
        <v>122639</v>
      </c>
      <c r="H2773" s="75">
        <v>44947</v>
      </c>
      <c r="I2773" t="s">
        <v>115</v>
      </c>
      <c r="J2773">
        <v>5000</v>
      </c>
      <c r="K2773">
        <v>105.05</v>
      </c>
      <c r="L2773">
        <v>47.596499999999999</v>
      </c>
      <c r="M2773">
        <v>15478.627</v>
      </c>
      <c r="N2773" t="s">
        <v>15</v>
      </c>
    </row>
    <row r="2774" spans="1:15" x14ac:dyDescent="0.2">
      <c r="A2774" t="s">
        <v>119</v>
      </c>
      <c r="B2774" t="s">
        <v>137</v>
      </c>
      <c r="C2774" t="s">
        <v>136</v>
      </c>
      <c r="D2774" t="s">
        <v>121</v>
      </c>
      <c r="E2774" t="s">
        <v>53</v>
      </c>
      <c r="F2774" t="s">
        <v>114</v>
      </c>
      <c r="G2774">
        <v>122639</v>
      </c>
      <c r="H2774" s="75">
        <v>44977</v>
      </c>
      <c r="I2774" t="s">
        <v>115</v>
      </c>
      <c r="J2774">
        <v>5000</v>
      </c>
      <c r="K2774">
        <v>106.602</v>
      </c>
      <c r="L2774">
        <v>46.903500000000001</v>
      </c>
      <c r="M2774">
        <v>15585.227999999999</v>
      </c>
      <c r="N2774" t="s">
        <v>15</v>
      </c>
    </row>
    <row r="2775" spans="1:15" x14ac:dyDescent="0.2">
      <c r="A2775" t="s">
        <v>119</v>
      </c>
      <c r="B2775" t="s">
        <v>137</v>
      </c>
      <c r="C2775" t="s">
        <v>136</v>
      </c>
      <c r="D2775" t="s">
        <v>121</v>
      </c>
      <c r="E2775" t="s">
        <v>53</v>
      </c>
      <c r="F2775" t="s">
        <v>114</v>
      </c>
      <c r="G2775">
        <v>122639</v>
      </c>
      <c r="H2775" s="75">
        <v>45007</v>
      </c>
      <c r="I2775" t="s">
        <v>115</v>
      </c>
      <c r="J2775">
        <v>5000</v>
      </c>
      <c r="K2775">
        <v>107.9</v>
      </c>
      <c r="L2775">
        <v>46.339100000000002</v>
      </c>
      <c r="M2775">
        <v>15693.129000000001</v>
      </c>
      <c r="N2775" t="s">
        <v>15</v>
      </c>
    </row>
    <row r="2776" spans="1:15" x14ac:dyDescent="0.2">
      <c r="A2776" t="s">
        <v>119</v>
      </c>
      <c r="B2776" t="s">
        <v>137</v>
      </c>
      <c r="C2776" t="s">
        <v>136</v>
      </c>
      <c r="D2776" t="s">
        <v>121</v>
      </c>
      <c r="E2776" t="s">
        <v>53</v>
      </c>
      <c r="F2776" t="s">
        <v>114</v>
      </c>
      <c r="G2776">
        <v>122639</v>
      </c>
      <c r="H2776" s="75">
        <v>45037</v>
      </c>
      <c r="I2776" t="s">
        <v>115</v>
      </c>
      <c r="J2776">
        <v>5000</v>
      </c>
      <c r="K2776">
        <v>106.182</v>
      </c>
      <c r="L2776">
        <v>47.089100000000002</v>
      </c>
      <c r="M2776">
        <v>15799.31</v>
      </c>
      <c r="N2776" t="s">
        <v>15</v>
      </c>
    </row>
    <row r="2777" spans="1:15" x14ac:dyDescent="0.2">
      <c r="A2777" t="s">
        <v>119</v>
      </c>
      <c r="B2777" t="s">
        <v>137</v>
      </c>
      <c r="C2777" t="s">
        <v>136</v>
      </c>
      <c r="D2777" t="s">
        <v>121</v>
      </c>
      <c r="E2777" t="s">
        <v>53</v>
      </c>
      <c r="F2777" t="s">
        <v>114</v>
      </c>
      <c r="G2777">
        <v>122639</v>
      </c>
      <c r="H2777" s="75">
        <v>45067</v>
      </c>
      <c r="I2777" t="s">
        <v>115</v>
      </c>
      <c r="J2777">
        <v>5000</v>
      </c>
      <c r="K2777">
        <v>106.131</v>
      </c>
      <c r="L2777">
        <v>47.111800000000002</v>
      </c>
      <c r="M2777">
        <v>15905.441000000001</v>
      </c>
      <c r="N2777" t="s">
        <v>15</v>
      </c>
    </row>
    <row r="2778" spans="1:15" x14ac:dyDescent="0.2">
      <c r="A2778" t="s">
        <v>119</v>
      </c>
      <c r="B2778" t="s">
        <v>137</v>
      </c>
      <c r="C2778" t="s">
        <v>136</v>
      </c>
      <c r="D2778" t="s">
        <v>121</v>
      </c>
      <c r="E2778" t="s">
        <v>53</v>
      </c>
      <c r="F2778" t="s">
        <v>114</v>
      </c>
      <c r="G2778">
        <v>122639</v>
      </c>
      <c r="H2778" s="75">
        <v>45097</v>
      </c>
      <c r="I2778" t="s">
        <v>115</v>
      </c>
      <c r="J2778">
        <v>5000</v>
      </c>
      <c r="K2778">
        <v>106.669</v>
      </c>
      <c r="L2778">
        <v>46.874000000000002</v>
      </c>
      <c r="M2778">
        <v>16012.11</v>
      </c>
      <c r="N2778" t="s">
        <v>15</v>
      </c>
    </row>
    <row r="2779" spans="1:15" x14ac:dyDescent="0.2">
      <c r="A2779" t="s">
        <v>119</v>
      </c>
      <c r="B2779" t="s">
        <v>137</v>
      </c>
      <c r="C2779" t="s">
        <v>136</v>
      </c>
      <c r="D2779" t="s">
        <v>121</v>
      </c>
      <c r="E2779" t="s">
        <v>53</v>
      </c>
      <c r="F2779" t="s">
        <v>114</v>
      </c>
      <c r="G2779">
        <v>122639</v>
      </c>
      <c r="H2779" s="75">
        <v>45127</v>
      </c>
      <c r="I2779" t="s">
        <v>115</v>
      </c>
      <c r="J2779">
        <v>5000</v>
      </c>
      <c r="K2779">
        <v>107.253</v>
      </c>
      <c r="L2779">
        <v>46.618600000000001</v>
      </c>
      <c r="M2779">
        <v>16119.362999999999</v>
      </c>
      <c r="N2779" t="s">
        <v>15</v>
      </c>
    </row>
    <row r="2780" spans="1:15" x14ac:dyDescent="0.2">
      <c r="A2780" t="s">
        <v>119</v>
      </c>
      <c r="B2780" t="s">
        <v>137</v>
      </c>
      <c r="C2780" t="s">
        <v>136</v>
      </c>
      <c r="D2780" t="s">
        <v>121</v>
      </c>
      <c r="E2780" t="s">
        <v>53</v>
      </c>
      <c r="F2780" t="s">
        <v>114</v>
      </c>
      <c r="G2780">
        <v>122639</v>
      </c>
      <c r="H2780" s="75">
        <v>45157</v>
      </c>
      <c r="I2780" t="s">
        <v>115</v>
      </c>
      <c r="J2780">
        <v>5000</v>
      </c>
      <c r="K2780">
        <v>108.389</v>
      </c>
      <c r="L2780">
        <v>46.130099999999999</v>
      </c>
      <c r="M2780">
        <v>16227.752</v>
      </c>
      <c r="N2780" t="s">
        <v>15</v>
      </c>
    </row>
    <row r="2781" spans="1:15" x14ac:dyDescent="0.2">
      <c r="A2781" t="s">
        <v>119</v>
      </c>
      <c r="B2781" t="s">
        <v>137</v>
      </c>
      <c r="C2781" t="s">
        <v>136</v>
      </c>
      <c r="D2781" t="s">
        <v>121</v>
      </c>
      <c r="E2781" t="s">
        <v>53</v>
      </c>
      <c r="F2781" t="s">
        <v>114</v>
      </c>
      <c r="G2781">
        <v>122639</v>
      </c>
      <c r="H2781" s="75">
        <v>45187</v>
      </c>
      <c r="I2781" t="s">
        <v>115</v>
      </c>
      <c r="J2781">
        <v>5000</v>
      </c>
      <c r="K2781">
        <v>108.491</v>
      </c>
      <c r="L2781">
        <v>46.086799999999997</v>
      </c>
      <c r="M2781">
        <v>16336.243</v>
      </c>
      <c r="N2781" t="s">
        <v>15</v>
      </c>
    </row>
    <row r="2782" spans="1:15" x14ac:dyDescent="0.2">
      <c r="A2782" t="s">
        <v>119</v>
      </c>
      <c r="B2782" t="s">
        <v>137</v>
      </c>
      <c r="C2782" t="s">
        <v>136</v>
      </c>
      <c r="D2782" t="s">
        <v>121</v>
      </c>
      <c r="E2782" t="s">
        <v>53</v>
      </c>
      <c r="F2782" t="s">
        <v>114</v>
      </c>
      <c r="G2782">
        <v>122639</v>
      </c>
      <c r="H2782" s="75">
        <v>45217</v>
      </c>
      <c r="I2782" t="s">
        <v>115</v>
      </c>
      <c r="J2782">
        <v>5000</v>
      </c>
      <c r="K2782">
        <v>108.932</v>
      </c>
      <c r="L2782">
        <v>45.900199999999998</v>
      </c>
      <c r="M2782">
        <v>16445.174999999999</v>
      </c>
      <c r="N2782" t="s">
        <v>15</v>
      </c>
    </row>
    <row r="2783" spans="1:15" x14ac:dyDescent="0.2">
      <c r="A2783" t="s">
        <v>119</v>
      </c>
      <c r="B2783" t="s">
        <v>137</v>
      </c>
      <c r="C2783" t="s">
        <v>136</v>
      </c>
      <c r="D2783" t="s">
        <v>121</v>
      </c>
      <c r="E2783" t="s">
        <v>53</v>
      </c>
      <c r="F2783" t="s">
        <v>114</v>
      </c>
      <c r="G2783">
        <v>122639</v>
      </c>
      <c r="H2783" s="75">
        <v>45217</v>
      </c>
      <c r="I2783" t="s">
        <v>118</v>
      </c>
      <c r="J2783">
        <v>8222.59</v>
      </c>
      <c r="K2783">
        <v>0</v>
      </c>
      <c r="M2783">
        <v>16445.174999999999</v>
      </c>
      <c r="N2783" t="s">
        <v>19</v>
      </c>
      <c r="O2783">
        <v>8222.59</v>
      </c>
    </row>
    <row r="2784" spans="1:15" x14ac:dyDescent="0.2">
      <c r="A2784" t="s">
        <v>119</v>
      </c>
      <c r="B2784" t="s">
        <v>137</v>
      </c>
      <c r="C2784" t="s">
        <v>136</v>
      </c>
      <c r="D2784" t="s">
        <v>121</v>
      </c>
      <c r="E2784" t="s">
        <v>53</v>
      </c>
      <c r="F2784" t="s">
        <v>114</v>
      </c>
      <c r="G2784">
        <v>122639</v>
      </c>
      <c r="H2784" s="75">
        <v>45247</v>
      </c>
      <c r="I2784" t="s">
        <v>115</v>
      </c>
      <c r="J2784">
        <v>5000</v>
      </c>
      <c r="K2784">
        <v>107.93</v>
      </c>
      <c r="L2784">
        <v>46.326300000000003</v>
      </c>
      <c r="M2784">
        <v>16553.105</v>
      </c>
      <c r="N2784" t="s">
        <v>15</v>
      </c>
    </row>
    <row r="2785" spans="1:15" x14ac:dyDescent="0.2">
      <c r="A2785" t="s">
        <v>119</v>
      </c>
      <c r="B2785" t="s">
        <v>137</v>
      </c>
      <c r="C2785" t="s">
        <v>136</v>
      </c>
      <c r="D2785" t="s">
        <v>121</v>
      </c>
      <c r="E2785" t="s">
        <v>53</v>
      </c>
      <c r="F2785" t="s">
        <v>114</v>
      </c>
      <c r="G2785">
        <v>122639</v>
      </c>
      <c r="H2785" s="75">
        <v>45277</v>
      </c>
      <c r="I2785" t="s">
        <v>115</v>
      </c>
      <c r="J2785">
        <v>5000</v>
      </c>
      <c r="K2785">
        <v>105.114</v>
      </c>
      <c r="L2785">
        <v>47.567599999999999</v>
      </c>
      <c r="M2785">
        <v>16658.219000000001</v>
      </c>
      <c r="N2785" t="s">
        <v>15</v>
      </c>
    </row>
    <row r="2786" spans="1:15" x14ac:dyDescent="0.2">
      <c r="A2786" t="s">
        <v>119</v>
      </c>
      <c r="B2786" t="s">
        <v>137</v>
      </c>
      <c r="C2786" t="s">
        <v>136</v>
      </c>
      <c r="D2786" t="s">
        <v>121</v>
      </c>
      <c r="E2786" t="s">
        <v>53</v>
      </c>
      <c r="F2786" t="s">
        <v>114</v>
      </c>
      <c r="G2786">
        <v>122639</v>
      </c>
      <c r="H2786" s="75">
        <v>45307</v>
      </c>
      <c r="I2786" t="s">
        <v>115</v>
      </c>
      <c r="J2786">
        <v>5000</v>
      </c>
      <c r="K2786">
        <v>104.48099999999999</v>
      </c>
      <c r="L2786">
        <v>47.855400000000003</v>
      </c>
      <c r="M2786">
        <v>16762.7</v>
      </c>
      <c r="N2786" t="s">
        <v>15</v>
      </c>
    </row>
    <row r="2787" spans="1:15" x14ac:dyDescent="0.2">
      <c r="A2787" t="s">
        <v>119</v>
      </c>
      <c r="B2787" t="s">
        <v>137</v>
      </c>
      <c r="C2787" t="s">
        <v>136</v>
      </c>
      <c r="D2787" t="s">
        <v>121</v>
      </c>
      <c r="E2787" t="s">
        <v>53</v>
      </c>
      <c r="F2787" t="s">
        <v>114</v>
      </c>
      <c r="G2787">
        <v>122639</v>
      </c>
      <c r="H2787" s="75">
        <v>45307</v>
      </c>
      <c r="I2787" t="s">
        <v>117</v>
      </c>
      <c r="J2787">
        <v>2.5</v>
      </c>
      <c r="K2787">
        <v>0</v>
      </c>
      <c r="M2787">
        <v>16762.7</v>
      </c>
      <c r="N2787" t="s">
        <v>46</v>
      </c>
    </row>
    <row r="2788" spans="1:15" x14ac:dyDescent="0.2">
      <c r="A2788" t="s">
        <v>119</v>
      </c>
      <c r="B2788" t="s">
        <v>137</v>
      </c>
      <c r="C2788" t="s">
        <v>136</v>
      </c>
      <c r="D2788" t="s">
        <v>121</v>
      </c>
      <c r="E2788" t="s">
        <v>53</v>
      </c>
      <c r="F2788" t="s">
        <v>114</v>
      </c>
      <c r="G2788">
        <v>122639</v>
      </c>
      <c r="H2788" s="75">
        <v>45337</v>
      </c>
      <c r="I2788" t="s">
        <v>115</v>
      </c>
      <c r="J2788">
        <v>5000</v>
      </c>
      <c r="K2788">
        <v>105.45099999999999</v>
      </c>
      <c r="L2788">
        <v>47.415199999999999</v>
      </c>
      <c r="M2788">
        <v>16868.151999999998</v>
      </c>
      <c r="N2788" t="s">
        <v>15</v>
      </c>
    </row>
    <row r="2789" spans="1:15" x14ac:dyDescent="0.2">
      <c r="A2789" t="s">
        <v>119</v>
      </c>
      <c r="B2789" t="s">
        <v>137</v>
      </c>
      <c r="C2789" t="s">
        <v>136</v>
      </c>
      <c r="D2789" t="s">
        <v>121</v>
      </c>
      <c r="E2789" t="s">
        <v>53</v>
      </c>
      <c r="F2789" t="s">
        <v>114</v>
      </c>
      <c r="G2789">
        <v>122639</v>
      </c>
      <c r="H2789" s="75">
        <v>45367</v>
      </c>
      <c r="I2789" t="s">
        <v>115</v>
      </c>
      <c r="J2789">
        <v>5000</v>
      </c>
      <c r="K2789">
        <v>103.005</v>
      </c>
      <c r="L2789">
        <v>48.5413</v>
      </c>
      <c r="M2789">
        <v>16971.156999999999</v>
      </c>
      <c r="N2789" t="s">
        <v>15</v>
      </c>
    </row>
    <row r="2790" spans="1:15" x14ac:dyDescent="0.2">
      <c r="A2790" t="s">
        <v>119</v>
      </c>
      <c r="B2790" t="s">
        <v>137</v>
      </c>
      <c r="C2790" t="s">
        <v>136</v>
      </c>
      <c r="D2790" t="s">
        <v>121</v>
      </c>
      <c r="E2790" t="s">
        <v>53</v>
      </c>
      <c r="F2790" t="s">
        <v>114</v>
      </c>
      <c r="G2790">
        <v>122639</v>
      </c>
      <c r="H2790" s="75">
        <v>45397</v>
      </c>
      <c r="I2790" t="s">
        <v>115</v>
      </c>
      <c r="J2790">
        <v>5000</v>
      </c>
      <c r="K2790">
        <v>102.93600000000001</v>
      </c>
      <c r="L2790">
        <v>48.574100000000001</v>
      </c>
      <c r="M2790">
        <v>17074.092000000001</v>
      </c>
      <c r="N2790" t="s">
        <v>15</v>
      </c>
    </row>
    <row r="2791" spans="1:15" x14ac:dyDescent="0.2">
      <c r="A2791" t="s">
        <v>119</v>
      </c>
      <c r="B2791" t="s">
        <v>137</v>
      </c>
      <c r="C2791" t="s">
        <v>136</v>
      </c>
      <c r="D2791" t="s">
        <v>121</v>
      </c>
      <c r="E2791" t="s">
        <v>53</v>
      </c>
      <c r="F2791" t="s">
        <v>114</v>
      </c>
      <c r="G2791">
        <v>122639</v>
      </c>
      <c r="H2791" s="75">
        <v>45397</v>
      </c>
      <c r="I2791" t="s">
        <v>116</v>
      </c>
      <c r="J2791">
        <v>2.5</v>
      </c>
      <c r="K2791">
        <v>0</v>
      </c>
      <c r="M2791">
        <v>17074.092000000001</v>
      </c>
      <c r="N2791" t="s">
        <v>17</v>
      </c>
    </row>
    <row r="2792" spans="1:15" x14ac:dyDescent="0.2">
      <c r="A2792" t="s">
        <v>119</v>
      </c>
      <c r="B2792" t="s">
        <v>137</v>
      </c>
      <c r="C2792" t="s">
        <v>136</v>
      </c>
      <c r="D2792" t="s">
        <v>121</v>
      </c>
      <c r="E2792" t="s">
        <v>53</v>
      </c>
      <c r="F2792" t="s">
        <v>114</v>
      </c>
      <c r="G2792">
        <v>122639</v>
      </c>
      <c r="H2792" s="75">
        <v>45427</v>
      </c>
      <c r="I2792" t="s">
        <v>115</v>
      </c>
      <c r="J2792">
        <v>5000</v>
      </c>
      <c r="K2792">
        <v>102.651</v>
      </c>
      <c r="L2792">
        <v>48.7089</v>
      </c>
      <c r="M2792">
        <v>17176.742999999999</v>
      </c>
      <c r="N2792" t="s">
        <v>15</v>
      </c>
    </row>
    <row r="2793" spans="1:15" x14ac:dyDescent="0.2">
      <c r="A2793" t="s">
        <v>119</v>
      </c>
      <c r="B2793" t="s">
        <v>137</v>
      </c>
      <c r="C2793" t="s">
        <v>136</v>
      </c>
      <c r="D2793" t="s">
        <v>121</v>
      </c>
      <c r="E2793" t="s">
        <v>53</v>
      </c>
      <c r="F2793" t="s">
        <v>114</v>
      </c>
      <c r="G2793">
        <v>122639</v>
      </c>
      <c r="H2793" s="75">
        <v>45457</v>
      </c>
      <c r="I2793" t="s">
        <v>115</v>
      </c>
      <c r="J2793">
        <v>5000</v>
      </c>
      <c r="K2793">
        <v>102.36</v>
      </c>
      <c r="L2793">
        <v>48.847200000000001</v>
      </c>
      <c r="M2793">
        <v>17279.102999999999</v>
      </c>
      <c r="N2793" t="s">
        <v>15</v>
      </c>
    </row>
    <row r="2794" spans="1:15" x14ac:dyDescent="0.2">
      <c r="A2794" t="s">
        <v>119</v>
      </c>
      <c r="B2794" t="s">
        <v>137</v>
      </c>
      <c r="C2794" t="s">
        <v>136</v>
      </c>
      <c r="D2794" t="s">
        <v>121</v>
      </c>
      <c r="E2794" t="s">
        <v>53</v>
      </c>
      <c r="F2794" t="s">
        <v>114</v>
      </c>
      <c r="G2794">
        <v>122639</v>
      </c>
      <c r="H2794" s="75">
        <v>45487</v>
      </c>
      <c r="I2794" t="s">
        <v>115</v>
      </c>
      <c r="J2794">
        <v>5000</v>
      </c>
      <c r="K2794">
        <v>103.367</v>
      </c>
      <c r="L2794">
        <v>48.371400000000001</v>
      </c>
      <c r="M2794">
        <v>17382.47</v>
      </c>
      <c r="N2794" t="s">
        <v>15</v>
      </c>
    </row>
    <row r="2795" spans="1:15" x14ac:dyDescent="0.2">
      <c r="A2795" t="s">
        <v>119</v>
      </c>
      <c r="B2795" t="s">
        <v>137</v>
      </c>
      <c r="C2795" t="s">
        <v>136</v>
      </c>
      <c r="D2795" t="s">
        <v>121</v>
      </c>
      <c r="E2795" t="s">
        <v>53</v>
      </c>
      <c r="F2795" t="s">
        <v>114</v>
      </c>
      <c r="G2795">
        <v>122639</v>
      </c>
      <c r="H2795" s="75">
        <v>45517</v>
      </c>
      <c r="I2795" t="s">
        <v>115</v>
      </c>
      <c r="J2795">
        <v>5000</v>
      </c>
      <c r="K2795">
        <v>100.922</v>
      </c>
      <c r="L2795">
        <v>49.543199999999999</v>
      </c>
      <c r="M2795">
        <v>17483.392</v>
      </c>
      <c r="N2795" t="s">
        <v>15</v>
      </c>
    </row>
    <row r="2796" spans="1:15" x14ac:dyDescent="0.2">
      <c r="A2796" t="s">
        <v>119</v>
      </c>
      <c r="B2796" t="s">
        <v>137</v>
      </c>
      <c r="C2796" t="s">
        <v>136</v>
      </c>
      <c r="D2796" t="s">
        <v>121</v>
      </c>
      <c r="E2796" t="s">
        <v>53</v>
      </c>
      <c r="F2796" t="s">
        <v>114</v>
      </c>
      <c r="G2796">
        <v>122639</v>
      </c>
      <c r="H2796" s="75">
        <v>45517</v>
      </c>
      <c r="I2796" t="s">
        <v>116</v>
      </c>
      <c r="J2796">
        <v>2.5</v>
      </c>
      <c r="K2796">
        <v>0</v>
      </c>
      <c r="M2796">
        <v>17483.392</v>
      </c>
      <c r="N2796" t="s">
        <v>17</v>
      </c>
    </row>
    <row r="2797" spans="1:15" x14ac:dyDescent="0.2">
      <c r="A2797" t="s">
        <v>119</v>
      </c>
      <c r="B2797" t="s">
        <v>137</v>
      </c>
      <c r="C2797" t="s">
        <v>136</v>
      </c>
      <c r="D2797" t="s">
        <v>121</v>
      </c>
      <c r="E2797" t="s">
        <v>53</v>
      </c>
      <c r="F2797" t="s">
        <v>114</v>
      </c>
      <c r="G2797">
        <v>122639</v>
      </c>
      <c r="H2797" s="75">
        <v>45547</v>
      </c>
      <c r="I2797" t="s">
        <v>115</v>
      </c>
      <c r="J2797">
        <v>5000</v>
      </c>
      <c r="K2797">
        <v>98.494</v>
      </c>
      <c r="L2797">
        <v>50.764699999999998</v>
      </c>
      <c r="M2797">
        <v>17581.884999999998</v>
      </c>
      <c r="N2797" t="s">
        <v>15</v>
      </c>
    </row>
    <row r="2798" spans="1:15" x14ac:dyDescent="0.2">
      <c r="A2798" t="s">
        <v>119</v>
      </c>
      <c r="B2798" t="s">
        <v>137</v>
      </c>
      <c r="C2798" t="s">
        <v>136</v>
      </c>
      <c r="D2798" t="s">
        <v>121</v>
      </c>
      <c r="E2798" t="s">
        <v>53</v>
      </c>
      <c r="F2798" t="s">
        <v>114</v>
      </c>
      <c r="G2798">
        <v>122639</v>
      </c>
      <c r="H2798" s="75">
        <v>45547</v>
      </c>
      <c r="I2798" t="s">
        <v>118</v>
      </c>
      <c r="J2798">
        <v>8790.94</v>
      </c>
      <c r="K2798">
        <v>0</v>
      </c>
      <c r="M2798">
        <v>17581.884999999998</v>
      </c>
      <c r="N2798" t="s">
        <v>19</v>
      </c>
      <c r="O2798">
        <v>8790.94</v>
      </c>
    </row>
    <row r="2799" spans="1:15" x14ac:dyDescent="0.2">
      <c r="A2799" t="s">
        <v>119</v>
      </c>
      <c r="B2799" t="s">
        <v>137</v>
      </c>
      <c r="C2799" t="s">
        <v>136</v>
      </c>
      <c r="D2799" t="s">
        <v>121</v>
      </c>
      <c r="E2799" t="s">
        <v>53</v>
      </c>
      <c r="F2799" t="s">
        <v>114</v>
      </c>
      <c r="G2799">
        <v>122639</v>
      </c>
      <c r="H2799" s="75">
        <v>45577</v>
      </c>
      <c r="I2799" t="s">
        <v>115</v>
      </c>
      <c r="J2799">
        <v>5000</v>
      </c>
      <c r="K2799">
        <v>96.799000000000007</v>
      </c>
      <c r="L2799">
        <v>51.653199999999998</v>
      </c>
      <c r="M2799">
        <v>17678.685000000001</v>
      </c>
      <c r="N2799" t="s">
        <v>15</v>
      </c>
    </row>
    <row r="2800" spans="1:15" x14ac:dyDescent="0.2">
      <c r="A2800" t="s">
        <v>119</v>
      </c>
      <c r="B2800" t="s">
        <v>137</v>
      </c>
      <c r="C2800" t="s">
        <v>136</v>
      </c>
      <c r="D2800" t="s">
        <v>121</v>
      </c>
      <c r="E2800" t="s">
        <v>53</v>
      </c>
      <c r="F2800" t="s">
        <v>114</v>
      </c>
      <c r="G2800">
        <v>122639</v>
      </c>
      <c r="H2800" s="75">
        <v>45607</v>
      </c>
      <c r="I2800" t="s">
        <v>115</v>
      </c>
      <c r="J2800">
        <v>5000</v>
      </c>
      <c r="K2800">
        <v>98.135999999999996</v>
      </c>
      <c r="L2800">
        <v>50.949800000000003</v>
      </c>
      <c r="M2800">
        <v>17776.821</v>
      </c>
      <c r="N2800" t="s">
        <v>15</v>
      </c>
    </row>
    <row r="2801" spans="1:14" x14ac:dyDescent="0.2">
      <c r="A2801" t="s">
        <v>119</v>
      </c>
      <c r="B2801" t="s">
        <v>137</v>
      </c>
      <c r="C2801" t="s">
        <v>136</v>
      </c>
      <c r="D2801" t="s">
        <v>121</v>
      </c>
      <c r="E2801" t="s">
        <v>53</v>
      </c>
      <c r="F2801" t="s">
        <v>114</v>
      </c>
      <c r="G2801">
        <v>122639</v>
      </c>
      <c r="H2801" s="75">
        <v>45637</v>
      </c>
      <c r="I2801" t="s">
        <v>115</v>
      </c>
      <c r="J2801">
        <v>5000</v>
      </c>
      <c r="K2801">
        <v>98.191999999999993</v>
      </c>
      <c r="L2801">
        <v>50.920499999999997</v>
      </c>
      <c r="M2801">
        <v>17875.012999999999</v>
      </c>
      <c r="N2801" t="s">
        <v>15</v>
      </c>
    </row>
    <row r="2802" spans="1:14" x14ac:dyDescent="0.2">
      <c r="A2802" t="s">
        <v>119</v>
      </c>
      <c r="B2802" t="s">
        <v>137</v>
      </c>
      <c r="C2802" t="s">
        <v>136</v>
      </c>
      <c r="D2802" t="s">
        <v>121</v>
      </c>
      <c r="E2802" t="s">
        <v>53</v>
      </c>
      <c r="F2802" t="s">
        <v>114</v>
      </c>
      <c r="G2802">
        <v>122639</v>
      </c>
      <c r="H2802" s="75">
        <v>45667</v>
      </c>
      <c r="I2802" t="s">
        <v>115</v>
      </c>
      <c r="J2802">
        <v>5000</v>
      </c>
      <c r="K2802">
        <v>98.421000000000006</v>
      </c>
      <c r="L2802">
        <v>50.802199999999999</v>
      </c>
      <c r="M2802">
        <v>17973.434000000001</v>
      </c>
      <c r="N2802" t="s">
        <v>15</v>
      </c>
    </row>
    <row r="2803" spans="1:14" x14ac:dyDescent="0.2">
      <c r="A2803" t="s">
        <v>119</v>
      </c>
      <c r="B2803" t="s">
        <v>137</v>
      </c>
      <c r="C2803" t="s">
        <v>136</v>
      </c>
      <c r="D2803" t="s">
        <v>121</v>
      </c>
      <c r="E2803" t="s">
        <v>53</v>
      </c>
      <c r="F2803" t="s">
        <v>114</v>
      </c>
      <c r="G2803">
        <v>122639</v>
      </c>
      <c r="H2803" s="75">
        <v>45697</v>
      </c>
      <c r="I2803" t="s">
        <v>115</v>
      </c>
      <c r="J2803">
        <v>5000</v>
      </c>
      <c r="K2803">
        <v>97.125</v>
      </c>
      <c r="L2803">
        <v>51.480200000000004</v>
      </c>
      <c r="M2803">
        <v>18070.558000000001</v>
      </c>
      <c r="N2803" t="s">
        <v>15</v>
      </c>
    </row>
    <row r="2804" spans="1:14" x14ac:dyDescent="0.2">
      <c r="A2804" t="s">
        <v>119</v>
      </c>
      <c r="B2804" t="s">
        <v>137</v>
      </c>
      <c r="C2804" t="s">
        <v>136</v>
      </c>
      <c r="D2804" t="s">
        <v>121</v>
      </c>
      <c r="E2804" t="s">
        <v>53</v>
      </c>
      <c r="F2804" t="s">
        <v>114</v>
      </c>
      <c r="G2804">
        <v>122639</v>
      </c>
      <c r="H2804" s="75">
        <v>45727</v>
      </c>
      <c r="I2804" t="s">
        <v>115</v>
      </c>
      <c r="J2804">
        <v>5000</v>
      </c>
      <c r="K2804">
        <v>97.616</v>
      </c>
      <c r="L2804">
        <v>51.220999999999997</v>
      </c>
      <c r="M2804">
        <v>18168.174999999999</v>
      </c>
      <c r="N2804" t="s">
        <v>15</v>
      </c>
    </row>
    <row r="2805" spans="1:14" x14ac:dyDescent="0.2">
      <c r="A2805" t="s">
        <v>119</v>
      </c>
      <c r="B2805" t="s">
        <v>137</v>
      </c>
      <c r="C2805" t="s">
        <v>136</v>
      </c>
      <c r="D2805" t="s">
        <v>121</v>
      </c>
      <c r="E2805" t="s">
        <v>53</v>
      </c>
      <c r="F2805" t="s">
        <v>114</v>
      </c>
      <c r="G2805">
        <v>122639</v>
      </c>
      <c r="H2805" s="75">
        <v>45727</v>
      </c>
      <c r="I2805" t="s">
        <v>117</v>
      </c>
      <c r="J2805">
        <v>2.5</v>
      </c>
      <c r="K2805">
        <v>0</v>
      </c>
      <c r="M2805">
        <v>18168.174999999999</v>
      </c>
      <c r="N2805" t="s">
        <v>46</v>
      </c>
    </row>
    <row r="2806" spans="1:14" x14ac:dyDescent="0.2">
      <c r="A2806" t="s">
        <v>119</v>
      </c>
      <c r="B2806" t="s">
        <v>137</v>
      </c>
      <c r="C2806" t="s">
        <v>136</v>
      </c>
      <c r="D2806" t="s">
        <v>121</v>
      </c>
      <c r="E2806" t="s">
        <v>53</v>
      </c>
      <c r="F2806" t="s">
        <v>114</v>
      </c>
      <c r="G2806">
        <v>122639</v>
      </c>
      <c r="H2806" s="75">
        <v>45757</v>
      </c>
      <c r="I2806" t="s">
        <v>115</v>
      </c>
      <c r="J2806">
        <v>5000</v>
      </c>
      <c r="K2806">
        <v>97.540999999999997</v>
      </c>
      <c r="L2806">
        <v>51.2605</v>
      </c>
      <c r="M2806">
        <v>18265.716</v>
      </c>
      <c r="N2806" t="s">
        <v>15</v>
      </c>
    </row>
    <row r="2807" spans="1:14" x14ac:dyDescent="0.2">
      <c r="A2807" t="s">
        <v>119</v>
      </c>
      <c r="B2807" t="s">
        <v>137</v>
      </c>
      <c r="C2807" t="s">
        <v>136</v>
      </c>
      <c r="D2807" t="s">
        <v>121</v>
      </c>
      <c r="E2807" t="s">
        <v>53</v>
      </c>
      <c r="F2807" t="s">
        <v>114</v>
      </c>
      <c r="G2807">
        <v>122639</v>
      </c>
      <c r="H2807" s="75">
        <v>45757</v>
      </c>
      <c r="I2807" t="s">
        <v>117</v>
      </c>
      <c r="J2807">
        <v>2.5</v>
      </c>
      <c r="K2807">
        <v>0</v>
      </c>
      <c r="M2807">
        <v>18265.716</v>
      </c>
      <c r="N2807" t="s">
        <v>46</v>
      </c>
    </row>
    <row r="2808" spans="1:14" x14ac:dyDescent="0.2">
      <c r="A2808" t="s">
        <v>119</v>
      </c>
      <c r="B2808" t="s">
        <v>137</v>
      </c>
      <c r="C2808" t="s">
        <v>136</v>
      </c>
      <c r="D2808" t="s">
        <v>121</v>
      </c>
      <c r="E2808" t="s">
        <v>53</v>
      </c>
      <c r="F2808" t="s">
        <v>114</v>
      </c>
      <c r="G2808">
        <v>122639</v>
      </c>
      <c r="H2808" s="75">
        <v>45787</v>
      </c>
      <c r="I2808" t="s">
        <v>115</v>
      </c>
      <c r="J2808">
        <v>5000</v>
      </c>
      <c r="K2808">
        <v>98.167000000000002</v>
      </c>
      <c r="L2808">
        <v>50.933500000000002</v>
      </c>
      <c r="M2808">
        <v>18363.883000000002</v>
      </c>
      <c r="N2808" t="s">
        <v>15</v>
      </c>
    </row>
    <row r="2809" spans="1:14" x14ac:dyDescent="0.2">
      <c r="A2809" t="s">
        <v>119</v>
      </c>
      <c r="B2809" t="s">
        <v>137</v>
      </c>
      <c r="C2809" t="s">
        <v>136</v>
      </c>
      <c r="D2809" t="s">
        <v>121</v>
      </c>
      <c r="E2809" t="s">
        <v>53</v>
      </c>
      <c r="F2809" t="s">
        <v>114</v>
      </c>
      <c r="G2809">
        <v>122639</v>
      </c>
      <c r="H2809" s="75">
        <v>45817</v>
      </c>
      <c r="I2809" t="s">
        <v>115</v>
      </c>
      <c r="J2809">
        <v>5000</v>
      </c>
      <c r="K2809">
        <v>96.147000000000006</v>
      </c>
      <c r="L2809">
        <v>52.003700000000002</v>
      </c>
      <c r="M2809">
        <v>18460.03</v>
      </c>
      <c r="N2809" t="s">
        <v>15</v>
      </c>
    </row>
    <row r="2810" spans="1:14" x14ac:dyDescent="0.2">
      <c r="A2810" t="s">
        <v>119</v>
      </c>
      <c r="B2810" t="s">
        <v>137</v>
      </c>
      <c r="C2810" t="s">
        <v>136</v>
      </c>
      <c r="D2810" t="s">
        <v>121</v>
      </c>
      <c r="E2810" t="s">
        <v>53</v>
      </c>
      <c r="F2810" t="s">
        <v>114</v>
      </c>
      <c r="G2810">
        <v>122639</v>
      </c>
      <c r="H2810" s="75">
        <v>45847</v>
      </c>
      <c r="I2810" t="s">
        <v>115</v>
      </c>
      <c r="J2810">
        <v>5000</v>
      </c>
      <c r="K2810">
        <v>95.731999999999999</v>
      </c>
      <c r="L2810">
        <v>52.229300000000002</v>
      </c>
      <c r="M2810">
        <v>18555.761999999999</v>
      </c>
      <c r="N2810" t="s">
        <v>15</v>
      </c>
    </row>
    <row r="2811" spans="1:14" x14ac:dyDescent="0.2">
      <c r="A2811" t="s">
        <v>119</v>
      </c>
      <c r="B2811" t="s">
        <v>137</v>
      </c>
      <c r="C2811" t="s">
        <v>136</v>
      </c>
      <c r="D2811" t="s">
        <v>121</v>
      </c>
      <c r="E2811" t="s">
        <v>53</v>
      </c>
      <c r="F2811" t="s">
        <v>114</v>
      </c>
      <c r="G2811">
        <v>122639</v>
      </c>
      <c r="H2811" s="75">
        <v>45877</v>
      </c>
      <c r="I2811" t="s">
        <v>115</v>
      </c>
      <c r="J2811">
        <v>5000</v>
      </c>
      <c r="K2811">
        <v>96.570999999999998</v>
      </c>
      <c r="L2811">
        <v>51.775500000000001</v>
      </c>
      <c r="M2811">
        <v>18652.332999999999</v>
      </c>
      <c r="N2811" t="s">
        <v>15</v>
      </c>
    </row>
    <row r="2812" spans="1:14" x14ac:dyDescent="0.2">
      <c r="A2812" t="s">
        <v>119</v>
      </c>
      <c r="B2812" t="s">
        <v>137</v>
      </c>
      <c r="C2812" t="s">
        <v>136</v>
      </c>
      <c r="D2812" t="s">
        <v>121</v>
      </c>
      <c r="E2812" t="s">
        <v>53</v>
      </c>
      <c r="F2812" t="s">
        <v>114</v>
      </c>
      <c r="G2812">
        <v>122639</v>
      </c>
      <c r="H2812" s="75">
        <v>45907</v>
      </c>
      <c r="I2812" t="s">
        <v>115</v>
      </c>
      <c r="J2812">
        <v>5000</v>
      </c>
      <c r="K2812">
        <v>96.334999999999994</v>
      </c>
      <c r="L2812">
        <v>51.9024</v>
      </c>
      <c r="M2812">
        <v>18748.667000000001</v>
      </c>
      <c r="N2812" t="s">
        <v>15</v>
      </c>
    </row>
    <row r="2813" spans="1:14" x14ac:dyDescent="0.2">
      <c r="A2813" t="s">
        <v>119</v>
      </c>
      <c r="B2813" t="s">
        <v>137</v>
      </c>
      <c r="C2813" t="s">
        <v>136</v>
      </c>
      <c r="D2813" t="s">
        <v>121</v>
      </c>
      <c r="E2813" t="s">
        <v>53</v>
      </c>
      <c r="F2813" t="s">
        <v>114</v>
      </c>
      <c r="G2813">
        <v>122639</v>
      </c>
      <c r="H2813" s="75">
        <v>45937</v>
      </c>
      <c r="I2813" t="s">
        <v>115</v>
      </c>
      <c r="J2813">
        <v>5000</v>
      </c>
      <c r="K2813">
        <v>95.152000000000001</v>
      </c>
      <c r="L2813">
        <v>52.547699999999999</v>
      </c>
      <c r="M2813">
        <v>18843.819</v>
      </c>
      <c r="N2813" t="s">
        <v>15</v>
      </c>
    </row>
    <row r="2814" spans="1:14" x14ac:dyDescent="0.2">
      <c r="A2814" t="s">
        <v>119</v>
      </c>
      <c r="B2814" t="s">
        <v>137</v>
      </c>
      <c r="C2814" t="s">
        <v>136</v>
      </c>
      <c r="D2814" t="s">
        <v>121</v>
      </c>
      <c r="E2814" t="s">
        <v>53</v>
      </c>
      <c r="F2814" t="s">
        <v>114</v>
      </c>
      <c r="G2814">
        <v>122639</v>
      </c>
      <c r="H2814" s="75">
        <v>45967</v>
      </c>
      <c r="I2814" t="s">
        <v>115</v>
      </c>
      <c r="J2814">
        <v>5000</v>
      </c>
      <c r="K2814">
        <v>95.343999999999994</v>
      </c>
      <c r="L2814">
        <v>52.441499999999998</v>
      </c>
      <c r="M2814">
        <v>18939.163</v>
      </c>
      <c r="N2814" t="s">
        <v>15</v>
      </c>
    </row>
    <row r="2815" spans="1:14" x14ac:dyDescent="0.2">
      <c r="A2815" t="s">
        <v>119</v>
      </c>
      <c r="B2815" t="s">
        <v>137</v>
      </c>
      <c r="C2815" t="s">
        <v>136</v>
      </c>
      <c r="D2815" t="s">
        <v>121</v>
      </c>
      <c r="E2815" t="s">
        <v>53</v>
      </c>
      <c r="F2815" t="s">
        <v>114</v>
      </c>
      <c r="G2815">
        <v>122639</v>
      </c>
      <c r="H2815" s="75">
        <v>45967</v>
      </c>
      <c r="I2815" t="s">
        <v>116</v>
      </c>
      <c r="J2815">
        <v>2.5</v>
      </c>
      <c r="K2815">
        <v>0</v>
      </c>
      <c r="M2815">
        <v>18939.163</v>
      </c>
      <c r="N2815" t="s">
        <v>17</v>
      </c>
    </row>
    <row r="2816" spans="1:14" x14ac:dyDescent="0.2">
      <c r="A2816" t="s">
        <v>119</v>
      </c>
      <c r="B2816" t="s">
        <v>137</v>
      </c>
      <c r="C2816" t="s">
        <v>136</v>
      </c>
      <c r="D2816" t="s">
        <v>121</v>
      </c>
      <c r="E2816" t="s">
        <v>53</v>
      </c>
      <c r="F2816" t="s">
        <v>114</v>
      </c>
      <c r="G2816">
        <v>122639</v>
      </c>
      <c r="H2816" s="75">
        <v>45997</v>
      </c>
      <c r="I2816" t="s">
        <v>115</v>
      </c>
      <c r="J2816">
        <v>5000</v>
      </c>
      <c r="K2816">
        <v>94.441000000000003</v>
      </c>
      <c r="L2816">
        <v>52.942999999999998</v>
      </c>
      <c r="M2816">
        <v>19033.603999999999</v>
      </c>
      <c r="N2816" t="s">
        <v>15</v>
      </c>
    </row>
    <row r="2817" spans="1:14" x14ac:dyDescent="0.2">
      <c r="A2817" t="s">
        <v>119</v>
      </c>
      <c r="B2817" t="s">
        <v>137</v>
      </c>
      <c r="C2817" t="s">
        <v>136</v>
      </c>
      <c r="D2817" t="s">
        <v>121</v>
      </c>
      <c r="E2817" t="s">
        <v>53</v>
      </c>
      <c r="F2817" t="s">
        <v>114</v>
      </c>
      <c r="G2817">
        <v>122639</v>
      </c>
      <c r="H2817" s="75">
        <v>45997</v>
      </c>
      <c r="I2817" t="s">
        <v>117</v>
      </c>
      <c r="J2817">
        <v>2.5</v>
      </c>
      <c r="K2817">
        <v>0</v>
      </c>
      <c r="M2817">
        <v>19033.603999999999</v>
      </c>
      <c r="N2817" t="s">
        <v>46</v>
      </c>
    </row>
    <row r="2818" spans="1:14" x14ac:dyDescent="0.2">
      <c r="A2818" t="s">
        <v>119</v>
      </c>
      <c r="B2818" t="s">
        <v>137</v>
      </c>
      <c r="C2818" t="s">
        <v>136</v>
      </c>
      <c r="D2818" t="s">
        <v>121</v>
      </c>
      <c r="E2818" t="s">
        <v>53</v>
      </c>
      <c r="F2818" t="s">
        <v>114</v>
      </c>
      <c r="G2818">
        <v>122639</v>
      </c>
      <c r="H2818" s="75">
        <v>46027</v>
      </c>
      <c r="I2818" t="s">
        <v>115</v>
      </c>
      <c r="J2818">
        <v>5000</v>
      </c>
      <c r="K2818">
        <v>93.543999999999997</v>
      </c>
      <c r="L2818">
        <v>53.450899999999997</v>
      </c>
      <c r="M2818">
        <v>19127.148000000001</v>
      </c>
      <c r="N2818" t="s">
        <v>15</v>
      </c>
    </row>
    <row r="2819" spans="1:14" x14ac:dyDescent="0.2">
      <c r="A2819" t="s">
        <v>119</v>
      </c>
      <c r="B2819" t="s">
        <v>137</v>
      </c>
      <c r="C2819" t="s">
        <v>136</v>
      </c>
      <c r="D2819" t="s">
        <v>121</v>
      </c>
      <c r="E2819" t="s">
        <v>53</v>
      </c>
      <c r="F2819" t="s">
        <v>114</v>
      </c>
      <c r="G2819">
        <v>122639</v>
      </c>
      <c r="H2819" s="75">
        <v>46057</v>
      </c>
      <c r="I2819" t="s">
        <v>115</v>
      </c>
      <c r="J2819">
        <v>5000</v>
      </c>
      <c r="K2819">
        <v>91.792000000000002</v>
      </c>
      <c r="L2819">
        <v>54.4709</v>
      </c>
      <c r="M2819">
        <v>19218.939999999999</v>
      </c>
      <c r="N2819" t="s">
        <v>15</v>
      </c>
    </row>
    <row r="2820" spans="1:14" x14ac:dyDescent="0.2">
      <c r="A2820" t="s">
        <v>119</v>
      </c>
      <c r="B2820" t="s">
        <v>137</v>
      </c>
      <c r="C2820" t="s">
        <v>136</v>
      </c>
      <c r="D2820" t="s">
        <v>121</v>
      </c>
      <c r="E2820" t="s">
        <v>53</v>
      </c>
      <c r="F2820" t="s">
        <v>114</v>
      </c>
      <c r="G2820">
        <v>122639</v>
      </c>
      <c r="H2820" s="75">
        <v>46057</v>
      </c>
      <c r="I2820" t="s">
        <v>116</v>
      </c>
      <c r="J2820">
        <v>2.5</v>
      </c>
      <c r="K2820">
        <v>0</v>
      </c>
      <c r="M2820">
        <v>19218.939999999999</v>
      </c>
      <c r="N2820" t="s">
        <v>17</v>
      </c>
    </row>
    <row r="2821" spans="1:14" x14ac:dyDescent="0.2">
      <c r="A2821" t="s">
        <v>119</v>
      </c>
      <c r="B2821" t="s">
        <v>137</v>
      </c>
      <c r="C2821" t="s">
        <v>136</v>
      </c>
      <c r="D2821" t="s">
        <v>121</v>
      </c>
      <c r="E2821" t="s">
        <v>53</v>
      </c>
      <c r="F2821" t="s">
        <v>114</v>
      </c>
      <c r="G2821">
        <v>122639</v>
      </c>
      <c r="H2821" s="75">
        <v>46087</v>
      </c>
      <c r="I2821" t="s">
        <v>115</v>
      </c>
      <c r="J2821">
        <v>5000</v>
      </c>
      <c r="K2821">
        <v>90.248000000000005</v>
      </c>
      <c r="L2821">
        <v>55.402999999999999</v>
      </c>
      <c r="M2821">
        <v>19309.187999999998</v>
      </c>
      <c r="N2821" t="s">
        <v>15</v>
      </c>
    </row>
    <row r="2822" spans="1:14" x14ac:dyDescent="0.2">
      <c r="A2822" t="s">
        <v>119</v>
      </c>
      <c r="B2822" t="s">
        <v>137</v>
      </c>
      <c r="C2822" t="s">
        <v>136</v>
      </c>
      <c r="D2822" t="s">
        <v>121</v>
      </c>
      <c r="E2822" t="s">
        <v>53</v>
      </c>
      <c r="F2822" t="s">
        <v>114</v>
      </c>
      <c r="G2822">
        <v>122639</v>
      </c>
      <c r="H2822" s="75">
        <v>46117</v>
      </c>
      <c r="I2822" t="s">
        <v>115</v>
      </c>
      <c r="J2822">
        <v>5000</v>
      </c>
      <c r="K2822">
        <v>91.3</v>
      </c>
      <c r="L2822">
        <v>54.764800000000001</v>
      </c>
      <c r="M2822">
        <v>19400.488000000001</v>
      </c>
      <c r="N2822" t="s">
        <v>15</v>
      </c>
    </row>
    <row r="2823" spans="1:14" x14ac:dyDescent="0.2">
      <c r="A2823" t="s">
        <v>119</v>
      </c>
      <c r="B2823" t="s">
        <v>137</v>
      </c>
      <c r="C2823" t="s">
        <v>136</v>
      </c>
      <c r="D2823" t="s">
        <v>121</v>
      </c>
      <c r="E2823" t="s">
        <v>53</v>
      </c>
      <c r="F2823" t="s">
        <v>114</v>
      </c>
      <c r="G2823">
        <v>122639</v>
      </c>
      <c r="H2823" s="75">
        <v>46147</v>
      </c>
      <c r="I2823" t="s">
        <v>115</v>
      </c>
      <c r="J2823">
        <v>5000</v>
      </c>
      <c r="K2823">
        <v>89.055000000000007</v>
      </c>
      <c r="L2823">
        <v>56.1449</v>
      </c>
      <c r="M2823">
        <v>19489.543000000001</v>
      </c>
      <c r="N2823" t="s">
        <v>15</v>
      </c>
    </row>
    <row r="2824" spans="1:14" x14ac:dyDescent="0.2">
      <c r="A2824" t="s">
        <v>119</v>
      </c>
      <c r="B2824" t="s">
        <v>137</v>
      </c>
      <c r="C2824" t="s">
        <v>136</v>
      </c>
      <c r="D2824" t="s">
        <v>121</v>
      </c>
      <c r="E2824" t="s">
        <v>53</v>
      </c>
      <c r="F2824" t="s">
        <v>114</v>
      </c>
      <c r="G2824">
        <v>122639</v>
      </c>
      <c r="H2824" s="75">
        <v>46147</v>
      </c>
      <c r="I2824" t="s">
        <v>117</v>
      </c>
      <c r="J2824">
        <v>2.5</v>
      </c>
      <c r="K2824">
        <v>0</v>
      </c>
      <c r="M2824">
        <v>19489.543000000001</v>
      </c>
      <c r="N2824" t="s">
        <v>46</v>
      </c>
    </row>
    <row r="2825" spans="1:14" x14ac:dyDescent="0.2">
      <c r="A2825" t="s">
        <v>119</v>
      </c>
      <c r="B2825" t="s">
        <v>137</v>
      </c>
      <c r="C2825" t="s">
        <v>136</v>
      </c>
      <c r="D2825" t="s">
        <v>121</v>
      </c>
      <c r="E2825" t="s">
        <v>53</v>
      </c>
      <c r="F2825" t="s">
        <v>114</v>
      </c>
      <c r="G2825">
        <v>122639</v>
      </c>
      <c r="H2825" s="75">
        <v>46177</v>
      </c>
      <c r="I2825" t="s">
        <v>115</v>
      </c>
      <c r="J2825">
        <v>5000</v>
      </c>
      <c r="K2825">
        <v>87.581000000000003</v>
      </c>
      <c r="L2825">
        <v>57.090200000000003</v>
      </c>
      <c r="M2825">
        <v>19577.124</v>
      </c>
      <c r="N2825" t="s">
        <v>15</v>
      </c>
    </row>
    <row r="2826" spans="1:14" x14ac:dyDescent="0.2">
      <c r="A2826" t="s">
        <v>119</v>
      </c>
      <c r="B2826" t="s">
        <v>137</v>
      </c>
      <c r="C2826" t="s">
        <v>136</v>
      </c>
      <c r="D2826" t="s">
        <v>121</v>
      </c>
      <c r="E2826" t="s">
        <v>53</v>
      </c>
      <c r="F2826" t="s">
        <v>114</v>
      </c>
      <c r="G2826">
        <v>122639</v>
      </c>
      <c r="H2826" s="75">
        <v>46177</v>
      </c>
      <c r="I2826" t="s">
        <v>116</v>
      </c>
      <c r="J2826">
        <v>2.5</v>
      </c>
      <c r="K2826">
        <v>0</v>
      </c>
      <c r="M2826">
        <v>19577.124</v>
      </c>
      <c r="N2826" t="s">
        <v>17</v>
      </c>
    </row>
    <row r="2827" spans="1:14" x14ac:dyDescent="0.2">
      <c r="A2827" t="s">
        <v>56</v>
      </c>
      <c r="B2827" t="s">
        <v>138</v>
      </c>
      <c r="C2827" t="s">
        <v>136</v>
      </c>
      <c r="D2827" t="s">
        <v>57</v>
      </c>
      <c r="E2827" t="s">
        <v>53</v>
      </c>
      <c r="F2827" t="s">
        <v>114</v>
      </c>
      <c r="G2827">
        <v>119598</v>
      </c>
      <c r="H2827" s="75">
        <v>40539</v>
      </c>
      <c r="I2827" t="s">
        <v>115</v>
      </c>
      <c r="J2827">
        <v>5000</v>
      </c>
      <c r="K2827">
        <v>250.363</v>
      </c>
      <c r="L2827">
        <v>19.971</v>
      </c>
      <c r="M2827">
        <v>250.363</v>
      </c>
      <c r="N2827" t="s">
        <v>15</v>
      </c>
    </row>
    <row r="2828" spans="1:14" x14ac:dyDescent="0.2">
      <c r="A2828" t="s">
        <v>56</v>
      </c>
      <c r="B2828" t="s">
        <v>138</v>
      </c>
      <c r="C2828" t="s">
        <v>136</v>
      </c>
      <c r="D2828" t="s">
        <v>57</v>
      </c>
      <c r="E2828" t="s">
        <v>53</v>
      </c>
      <c r="F2828" t="s">
        <v>114</v>
      </c>
      <c r="G2828">
        <v>119598</v>
      </c>
      <c r="H2828" s="75">
        <v>40569</v>
      </c>
      <c r="I2828" t="s">
        <v>115</v>
      </c>
      <c r="J2828">
        <v>5000</v>
      </c>
      <c r="K2828">
        <v>244.38900000000001</v>
      </c>
      <c r="L2828">
        <v>20.459199999999999</v>
      </c>
      <c r="M2828">
        <v>494.75200000000001</v>
      </c>
      <c r="N2828" t="s">
        <v>15</v>
      </c>
    </row>
    <row r="2829" spans="1:14" x14ac:dyDescent="0.2">
      <c r="A2829" t="s">
        <v>56</v>
      </c>
      <c r="B2829" t="s">
        <v>138</v>
      </c>
      <c r="C2829" t="s">
        <v>136</v>
      </c>
      <c r="D2829" t="s">
        <v>57</v>
      </c>
      <c r="E2829" t="s">
        <v>53</v>
      </c>
      <c r="F2829" t="s">
        <v>114</v>
      </c>
      <c r="G2829">
        <v>119598</v>
      </c>
      <c r="H2829" s="75">
        <v>40569</v>
      </c>
      <c r="I2829" t="s">
        <v>25</v>
      </c>
      <c r="J2829">
        <v>-2024.44</v>
      </c>
      <c r="K2829">
        <v>-98.95</v>
      </c>
      <c r="L2829">
        <v>20.459199999999999</v>
      </c>
      <c r="M2829">
        <v>395.80099999999999</v>
      </c>
      <c r="N2829" t="s">
        <v>16</v>
      </c>
    </row>
    <row r="2830" spans="1:14" x14ac:dyDescent="0.2">
      <c r="A2830" t="s">
        <v>56</v>
      </c>
      <c r="B2830" t="s">
        <v>138</v>
      </c>
      <c r="C2830" t="s">
        <v>136</v>
      </c>
      <c r="D2830" t="s">
        <v>57</v>
      </c>
      <c r="E2830" t="s">
        <v>53</v>
      </c>
      <c r="F2830" t="s">
        <v>114</v>
      </c>
      <c r="G2830">
        <v>119598</v>
      </c>
      <c r="H2830" s="75">
        <v>40599</v>
      </c>
      <c r="I2830" t="s">
        <v>115</v>
      </c>
      <c r="J2830">
        <v>5000</v>
      </c>
      <c r="K2830">
        <v>247.428</v>
      </c>
      <c r="L2830">
        <v>20.207899999999999</v>
      </c>
      <c r="M2830">
        <v>643.22900000000004</v>
      </c>
      <c r="N2830" t="s">
        <v>15</v>
      </c>
    </row>
    <row r="2831" spans="1:14" x14ac:dyDescent="0.2">
      <c r="A2831" t="s">
        <v>56</v>
      </c>
      <c r="B2831" t="s">
        <v>138</v>
      </c>
      <c r="C2831" t="s">
        <v>136</v>
      </c>
      <c r="D2831" t="s">
        <v>57</v>
      </c>
      <c r="E2831" t="s">
        <v>53</v>
      </c>
      <c r="F2831" t="s">
        <v>114</v>
      </c>
      <c r="G2831">
        <v>119598</v>
      </c>
      <c r="H2831" s="75">
        <v>40629</v>
      </c>
      <c r="I2831" t="s">
        <v>115</v>
      </c>
      <c r="J2831">
        <v>5000</v>
      </c>
      <c r="K2831">
        <v>241.82499999999999</v>
      </c>
      <c r="L2831">
        <v>20.676100000000002</v>
      </c>
      <c r="M2831">
        <v>885.05399999999997</v>
      </c>
      <c r="N2831" t="s">
        <v>15</v>
      </c>
    </row>
    <row r="2832" spans="1:14" x14ac:dyDescent="0.2">
      <c r="A2832" t="s">
        <v>56</v>
      </c>
      <c r="B2832" t="s">
        <v>138</v>
      </c>
      <c r="C2832" t="s">
        <v>136</v>
      </c>
      <c r="D2832" t="s">
        <v>57</v>
      </c>
      <c r="E2832" t="s">
        <v>53</v>
      </c>
      <c r="F2832" t="s">
        <v>114</v>
      </c>
      <c r="G2832">
        <v>119598</v>
      </c>
      <c r="H2832" s="75">
        <v>40659</v>
      </c>
      <c r="I2832" t="s">
        <v>115</v>
      </c>
      <c r="J2832">
        <v>5000</v>
      </c>
      <c r="K2832">
        <v>238.18</v>
      </c>
      <c r="L2832">
        <v>20.9925</v>
      </c>
      <c r="M2832">
        <v>1123.2339999999999</v>
      </c>
      <c r="N2832" t="s">
        <v>15</v>
      </c>
    </row>
    <row r="2833" spans="1:14" x14ac:dyDescent="0.2">
      <c r="A2833" t="s">
        <v>56</v>
      </c>
      <c r="B2833" t="s">
        <v>138</v>
      </c>
      <c r="C2833" t="s">
        <v>136</v>
      </c>
      <c r="D2833" t="s">
        <v>57</v>
      </c>
      <c r="E2833" t="s">
        <v>53</v>
      </c>
      <c r="F2833" t="s">
        <v>114</v>
      </c>
      <c r="G2833">
        <v>119598</v>
      </c>
      <c r="H2833" s="75">
        <v>40689</v>
      </c>
      <c r="I2833" t="s">
        <v>115</v>
      </c>
      <c r="J2833">
        <v>5000</v>
      </c>
      <c r="K2833">
        <v>239.25899999999999</v>
      </c>
      <c r="L2833">
        <v>20.8978</v>
      </c>
      <c r="M2833">
        <v>1362.4929999999999</v>
      </c>
      <c r="N2833" t="s">
        <v>15</v>
      </c>
    </row>
    <row r="2834" spans="1:14" x14ac:dyDescent="0.2">
      <c r="A2834" t="s">
        <v>56</v>
      </c>
      <c r="B2834" t="s">
        <v>138</v>
      </c>
      <c r="C2834" t="s">
        <v>136</v>
      </c>
      <c r="D2834" t="s">
        <v>57</v>
      </c>
      <c r="E2834" t="s">
        <v>53</v>
      </c>
      <c r="F2834" t="s">
        <v>114</v>
      </c>
      <c r="G2834">
        <v>119598</v>
      </c>
      <c r="H2834" s="75">
        <v>40689</v>
      </c>
      <c r="I2834" t="s">
        <v>25</v>
      </c>
      <c r="J2834">
        <v>-5694.63</v>
      </c>
      <c r="K2834">
        <v>-272.49900000000002</v>
      </c>
      <c r="L2834">
        <v>20.8978</v>
      </c>
      <c r="M2834">
        <v>1089.9939999999999</v>
      </c>
      <c r="N2834" t="s">
        <v>16</v>
      </c>
    </row>
    <row r="2835" spans="1:14" x14ac:dyDescent="0.2">
      <c r="A2835" t="s">
        <v>56</v>
      </c>
      <c r="B2835" t="s">
        <v>138</v>
      </c>
      <c r="C2835" t="s">
        <v>136</v>
      </c>
      <c r="D2835" t="s">
        <v>57</v>
      </c>
      <c r="E2835" t="s">
        <v>53</v>
      </c>
      <c r="F2835" t="s">
        <v>114</v>
      </c>
      <c r="G2835">
        <v>119598</v>
      </c>
      <c r="H2835" s="75">
        <v>40719</v>
      </c>
      <c r="I2835" t="s">
        <v>115</v>
      </c>
      <c r="J2835">
        <v>5000</v>
      </c>
      <c r="K2835">
        <v>238.655</v>
      </c>
      <c r="L2835">
        <v>20.950800000000001</v>
      </c>
      <c r="M2835">
        <v>1328.6489999999999</v>
      </c>
      <c r="N2835" t="s">
        <v>15</v>
      </c>
    </row>
    <row r="2836" spans="1:14" x14ac:dyDescent="0.2">
      <c r="A2836" t="s">
        <v>56</v>
      </c>
      <c r="B2836" t="s">
        <v>138</v>
      </c>
      <c r="C2836" t="s">
        <v>136</v>
      </c>
      <c r="D2836" t="s">
        <v>57</v>
      </c>
      <c r="E2836" t="s">
        <v>53</v>
      </c>
      <c r="F2836" t="s">
        <v>114</v>
      </c>
      <c r="G2836">
        <v>119598</v>
      </c>
      <c r="H2836" s="75">
        <v>40749</v>
      </c>
      <c r="I2836" t="s">
        <v>115</v>
      </c>
      <c r="J2836">
        <v>5000</v>
      </c>
      <c r="K2836">
        <v>236.24600000000001</v>
      </c>
      <c r="L2836">
        <v>21.164400000000001</v>
      </c>
      <c r="M2836">
        <v>1564.895</v>
      </c>
      <c r="N2836" t="s">
        <v>15</v>
      </c>
    </row>
    <row r="2837" spans="1:14" x14ac:dyDescent="0.2">
      <c r="A2837" t="s">
        <v>56</v>
      </c>
      <c r="B2837" t="s">
        <v>138</v>
      </c>
      <c r="C2837" t="s">
        <v>136</v>
      </c>
      <c r="D2837" t="s">
        <v>57</v>
      </c>
      <c r="E2837" t="s">
        <v>53</v>
      </c>
      <c r="F2837" t="s">
        <v>114</v>
      </c>
      <c r="G2837">
        <v>119598</v>
      </c>
      <c r="H2837" s="75">
        <v>40779</v>
      </c>
      <c r="I2837" t="s">
        <v>115</v>
      </c>
      <c r="J2837">
        <v>5000</v>
      </c>
      <c r="K2837">
        <v>230.89500000000001</v>
      </c>
      <c r="L2837">
        <v>21.654900000000001</v>
      </c>
      <c r="M2837">
        <v>1795.789</v>
      </c>
      <c r="N2837" t="s">
        <v>15</v>
      </c>
    </row>
    <row r="2838" spans="1:14" x14ac:dyDescent="0.2">
      <c r="A2838" t="s">
        <v>56</v>
      </c>
      <c r="B2838" t="s">
        <v>138</v>
      </c>
      <c r="C2838" t="s">
        <v>136</v>
      </c>
      <c r="D2838" t="s">
        <v>57</v>
      </c>
      <c r="E2838" t="s">
        <v>53</v>
      </c>
      <c r="F2838" t="s">
        <v>114</v>
      </c>
      <c r="G2838">
        <v>119598</v>
      </c>
      <c r="H2838" s="75">
        <v>40809</v>
      </c>
      <c r="I2838" t="s">
        <v>115</v>
      </c>
      <c r="J2838">
        <v>5000</v>
      </c>
      <c r="K2838">
        <v>228.32599999999999</v>
      </c>
      <c r="L2838">
        <v>21.898499999999999</v>
      </c>
      <c r="M2838">
        <v>2024.115</v>
      </c>
      <c r="N2838" t="s">
        <v>15</v>
      </c>
    </row>
    <row r="2839" spans="1:14" x14ac:dyDescent="0.2">
      <c r="A2839" t="s">
        <v>56</v>
      </c>
      <c r="B2839" t="s">
        <v>138</v>
      </c>
      <c r="C2839" t="s">
        <v>136</v>
      </c>
      <c r="D2839" t="s">
        <v>57</v>
      </c>
      <c r="E2839" t="s">
        <v>53</v>
      </c>
      <c r="F2839" t="s">
        <v>114</v>
      </c>
      <c r="G2839">
        <v>119598</v>
      </c>
      <c r="H2839" s="75">
        <v>40839</v>
      </c>
      <c r="I2839" t="s">
        <v>115</v>
      </c>
      <c r="J2839">
        <v>5000</v>
      </c>
      <c r="K2839">
        <v>224.60400000000001</v>
      </c>
      <c r="L2839">
        <v>22.261500000000002</v>
      </c>
      <c r="M2839">
        <v>2248.7190000000001</v>
      </c>
      <c r="N2839" t="s">
        <v>15</v>
      </c>
    </row>
    <row r="2840" spans="1:14" x14ac:dyDescent="0.2">
      <c r="A2840" t="s">
        <v>56</v>
      </c>
      <c r="B2840" t="s">
        <v>138</v>
      </c>
      <c r="C2840" t="s">
        <v>136</v>
      </c>
      <c r="D2840" t="s">
        <v>57</v>
      </c>
      <c r="E2840" t="s">
        <v>53</v>
      </c>
      <c r="F2840" t="s">
        <v>114</v>
      </c>
      <c r="G2840">
        <v>119598</v>
      </c>
      <c r="H2840" s="75">
        <v>40869</v>
      </c>
      <c r="I2840" t="s">
        <v>115</v>
      </c>
      <c r="J2840">
        <v>5000</v>
      </c>
      <c r="K2840">
        <v>221.047</v>
      </c>
      <c r="L2840">
        <v>22.619599999999998</v>
      </c>
      <c r="M2840">
        <v>2469.7660000000001</v>
      </c>
      <c r="N2840" t="s">
        <v>15</v>
      </c>
    </row>
    <row r="2841" spans="1:14" x14ac:dyDescent="0.2">
      <c r="A2841" t="s">
        <v>56</v>
      </c>
      <c r="B2841" t="s">
        <v>138</v>
      </c>
      <c r="C2841" t="s">
        <v>136</v>
      </c>
      <c r="D2841" t="s">
        <v>57</v>
      </c>
      <c r="E2841" t="s">
        <v>53</v>
      </c>
      <c r="F2841" t="s">
        <v>114</v>
      </c>
      <c r="G2841">
        <v>119598</v>
      </c>
      <c r="H2841" s="75">
        <v>40869</v>
      </c>
      <c r="I2841" t="s">
        <v>117</v>
      </c>
      <c r="J2841">
        <v>2.5</v>
      </c>
      <c r="K2841">
        <v>0</v>
      </c>
      <c r="M2841">
        <v>2469.7660000000001</v>
      </c>
      <c r="N2841" t="s">
        <v>46</v>
      </c>
    </row>
    <row r="2842" spans="1:14" x14ac:dyDescent="0.2">
      <c r="A2842" t="s">
        <v>56</v>
      </c>
      <c r="B2842" t="s">
        <v>138</v>
      </c>
      <c r="C2842" t="s">
        <v>136</v>
      </c>
      <c r="D2842" t="s">
        <v>57</v>
      </c>
      <c r="E2842" t="s">
        <v>53</v>
      </c>
      <c r="F2842" t="s">
        <v>114</v>
      </c>
      <c r="G2842">
        <v>119598</v>
      </c>
      <c r="H2842" s="75">
        <v>40899</v>
      </c>
      <c r="I2842" t="s">
        <v>115</v>
      </c>
      <c r="J2842">
        <v>5000</v>
      </c>
      <c r="K2842">
        <v>222.54300000000001</v>
      </c>
      <c r="L2842">
        <v>22.467600000000001</v>
      </c>
      <c r="M2842">
        <v>2692.308</v>
      </c>
      <c r="N2842" t="s">
        <v>15</v>
      </c>
    </row>
    <row r="2843" spans="1:14" x14ac:dyDescent="0.2">
      <c r="A2843" t="s">
        <v>56</v>
      </c>
      <c r="B2843" t="s">
        <v>138</v>
      </c>
      <c r="C2843" t="s">
        <v>136</v>
      </c>
      <c r="D2843" t="s">
        <v>57</v>
      </c>
      <c r="E2843" t="s">
        <v>53</v>
      </c>
      <c r="F2843" t="s">
        <v>114</v>
      </c>
      <c r="G2843">
        <v>119598</v>
      </c>
      <c r="H2843" s="75">
        <v>40929</v>
      </c>
      <c r="I2843" t="s">
        <v>115</v>
      </c>
      <c r="J2843">
        <v>5000</v>
      </c>
      <c r="K2843">
        <v>219.53200000000001</v>
      </c>
      <c r="L2843">
        <v>22.7758</v>
      </c>
      <c r="M2843">
        <v>2911.84</v>
      </c>
      <c r="N2843" t="s">
        <v>15</v>
      </c>
    </row>
    <row r="2844" spans="1:14" x14ac:dyDescent="0.2">
      <c r="A2844" t="s">
        <v>56</v>
      </c>
      <c r="B2844" t="s">
        <v>138</v>
      </c>
      <c r="C2844" t="s">
        <v>136</v>
      </c>
      <c r="D2844" t="s">
        <v>57</v>
      </c>
      <c r="E2844" t="s">
        <v>53</v>
      </c>
      <c r="F2844" t="s">
        <v>114</v>
      </c>
      <c r="G2844">
        <v>119598</v>
      </c>
      <c r="H2844" s="75">
        <v>40959</v>
      </c>
      <c r="I2844" t="s">
        <v>115</v>
      </c>
      <c r="J2844">
        <v>5000</v>
      </c>
      <c r="K2844">
        <v>218.03399999999999</v>
      </c>
      <c r="L2844">
        <v>22.932200000000002</v>
      </c>
      <c r="M2844">
        <v>3129.8739999999998</v>
      </c>
      <c r="N2844" t="s">
        <v>15</v>
      </c>
    </row>
    <row r="2845" spans="1:14" x14ac:dyDescent="0.2">
      <c r="A2845" t="s">
        <v>56</v>
      </c>
      <c r="B2845" t="s">
        <v>138</v>
      </c>
      <c r="C2845" t="s">
        <v>136</v>
      </c>
      <c r="D2845" t="s">
        <v>57</v>
      </c>
      <c r="E2845" t="s">
        <v>53</v>
      </c>
      <c r="F2845" t="s">
        <v>114</v>
      </c>
      <c r="G2845">
        <v>119598</v>
      </c>
      <c r="H2845" s="75">
        <v>40989</v>
      </c>
      <c r="I2845" t="s">
        <v>115</v>
      </c>
      <c r="J2845">
        <v>5000</v>
      </c>
      <c r="K2845">
        <v>217.102</v>
      </c>
      <c r="L2845">
        <v>23.0307</v>
      </c>
      <c r="M2845">
        <v>3346.9749999999999</v>
      </c>
      <c r="N2845" t="s">
        <v>15</v>
      </c>
    </row>
    <row r="2846" spans="1:14" x14ac:dyDescent="0.2">
      <c r="A2846" t="s">
        <v>56</v>
      </c>
      <c r="B2846" t="s">
        <v>138</v>
      </c>
      <c r="C2846" t="s">
        <v>136</v>
      </c>
      <c r="D2846" t="s">
        <v>57</v>
      </c>
      <c r="E2846" t="s">
        <v>53</v>
      </c>
      <c r="F2846" t="s">
        <v>114</v>
      </c>
      <c r="G2846">
        <v>119598</v>
      </c>
      <c r="H2846" s="75">
        <v>40989</v>
      </c>
      <c r="I2846" t="s">
        <v>117</v>
      </c>
      <c r="J2846">
        <v>2.5</v>
      </c>
      <c r="K2846">
        <v>0</v>
      </c>
      <c r="M2846">
        <v>3346.9749999999999</v>
      </c>
      <c r="N2846" t="s">
        <v>46</v>
      </c>
    </row>
    <row r="2847" spans="1:14" x14ac:dyDescent="0.2">
      <c r="A2847" t="s">
        <v>56</v>
      </c>
      <c r="B2847" t="s">
        <v>138</v>
      </c>
      <c r="C2847" t="s">
        <v>136</v>
      </c>
      <c r="D2847" t="s">
        <v>57</v>
      </c>
      <c r="E2847" t="s">
        <v>53</v>
      </c>
      <c r="F2847" t="s">
        <v>114</v>
      </c>
      <c r="G2847">
        <v>119598</v>
      </c>
      <c r="H2847" s="75">
        <v>41019</v>
      </c>
      <c r="I2847" t="s">
        <v>115</v>
      </c>
      <c r="J2847">
        <v>5000</v>
      </c>
      <c r="K2847">
        <v>211.495</v>
      </c>
      <c r="L2847">
        <v>23.641200000000001</v>
      </c>
      <c r="M2847">
        <v>3558.47</v>
      </c>
      <c r="N2847" t="s">
        <v>15</v>
      </c>
    </row>
    <row r="2848" spans="1:14" x14ac:dyDescent="0.2">
      <c r="A2848" t="s">
        <v>56</v>
      </c>
      <c r="B2848" t="s">
        <v>138</v>
      </c>
      <c r="C2848" t="s">
        <v>136</v>
      </c>
      <c r="D2848" t="s">
        <v>57</v>
      </c>
      <c r="E2848" t="s">
        <v>53</v>
      </c>
      <c r="F2848" t="s">
        <v>114</v>
      </c>
      <c r="G2848">
        <v>119598</v>
      </c>
      <c r="H2848" s="75">
        <v>41049</v>
      </c>
      <c r="I2848" t="s">
        <v>115</v>
      </c>
      <c r="J2848">
        <v>5000</v>
      </c>
      <c r="K2848">
        <v>211.54900000000001</v>
      </c>
      <c r="L2848">
        <v>23.635200000000001</v>
      </c>
      <c r="M2848">
        <v>3770.0189999999998</v>
      </c>
      <c r="N2848" t="s">
        <v>15</v>
      </c>
    </row>
    <row r="2849" spans="1:14" x14ac:dyDescent="0.2">
      <c r="A2849" t="s">
        <v>56</v>
      </c>
      <c r="B2849" t="s">
        <v>138</v>
      </c>
      <c r="C2849" t="s">
        <v>136</v>
      </c>
      <c r="D2849" t="s">
        <v>57</v>
      </c>
      <c r="E2849" t="s">
        <v>53</v>
      </c>
      <c r="F2849" t="s">
        <v>114</v>
      </c>
      <c r="G2849">
        <v>119598</v>
      </c>
      <c r="H2849" s="75">
        <v>41079</v>
      </c>
      <c r="I2849" t="s">
        <v>115</v>
      </c>
      <c r="J2849">
        <v>5000</v>
      </c>
      <c r="K2849">
        <v>211.875</v>
      </c>
      <c r="L2849">
        <v>23.5989</v>
      </c>
      <c r="M2849">
        <v>3981.893</v>
      </c>
      <c r="N2849" t="s">
        <v>15</v>
      </c>
    </row>
    <row r="2850" spans="1:14" x14ac:dyDescent="0.2">
      <c r="A2850" t="s">
        <v>56</v>
      </c>
      <c r="B2850" t="s">
        <v>138</v>
      </c>
      <c r="C2850" t="s">
        <v>136</v>
      </c>
      <c r="D2850" t="s">
        <v>57</v>
      </c>
      <c r="E2850" t="s">
        <v>53</v>
      </c>
      <c r="F2850" t="s">
        <v>114</v>
      </c>
      <c r="G2850">
        <v>119598</v>
      </c>
      <c r="H2850" s="75">
        <v>41109</v>
      </c>
      <c r="I2850" t="s">
        <v>115</v>
      </c>
      <c r="J2850">
        <v>5000</v>
      </c>
      <c r="K2850">
        <v>210.73500000000001</v>
      </c>
      <c r="L2850">
        <v>23.726500000000001</v>
      </c>
      <c r="M2850">
        <v>4192.6279999999997</v>
      </c>
      <c r="N2850" t="s">
        <v>15</v>
      </c>
    </row>
    <row r="2851" spans="1:14" x14ac:dyDescent="0.2">
      <c r="A2851" t="s">
        <v>56</v>
      </c>
      <c r="B2851" t="s">
        <v>138</v>
      </c>
      <c r="C2851" t="s">
        <v>136</v>
      </c>
      <c r="D2851" t="s">
        <v>57</v>
      </c>
      <c r="E2851" t="s">
        <v>53</v>
      </c>
      <c r="F2851" t="s">
        <v>114</v>
      </c>
      <c r="G2851">
        <v>119598</v>
      </c>
      <c r="H2851" s="75">
        <v>41139</v>
      </c>
      <c r="I2851" t="s">
        <v>115</v>
      </c>
      <c r="J2851">
        <v>5000</v>
      </c>
      <c r="K2851">
        <v>213.71799999999999</v>
      </c>
      <c r="L2851">
        <v>23.395299999999999</v>
      </c>
      <c r="M2851">
        <v>4406.3469999999998</v>
      </c>
      <c r="N2851" t="s">
        <v>15</v>
      </c>
    </row>
    <row r="2852" spans="1:14" x14ac:dyDescent="0.2">
      <c r="A2852" t="s">
        <v>56</v>
      </c>
      <c r="B2852" t="s">
        <v>138</v>
      </c>
      <c r="C2852" t="s">
        <v>136</v>
      </c>
      <c r="D2852" t="s">
        <v>57</v>
      </c>
      <c r="E2852" t="s">
        <v>53</v>
      </c>
      <c r="F2852" t="s">
        <v>114</v>
      </c>
      <c r="G2852">
        <v>119598</v>
      </c>
      <c r="H2852" s="75">
        <v>41169</v>
      </c>
      <c r="I2852" t="s">
        <v>115</v>
      </c>
      <c r="J2852">
        <v>5000</v>
      </c>
      <c r="K2852">
        <v>215.70699999999999</v>
      </c>
      <c r="L2852">
        <v>23.179600000000001</v>
      </c>
      <c r="M2852">
        <v>4622.0540000000001</v>
      </c>
      <c r="N2852" t="s">
        <v>15</v>
      </c>
    </row>
    <row r="2853" spans="1:14" x14ac:dyDescent="0.2">
      <c r="A2853" t="s">
        <v>56</v>
      </c>
      <c r="B2853" t="s">
        <v>138</v>
      </c>
      <c r="C2853" t="s">
        <v>136</v>
      </c>
      <c r="D2853" t="s">
        <v>57</v>
      </c>
      <c r="E2853" t="s">
        <v>53</v>
      </c>
      <c r="F2853" t="s">
        <v>114</v>
      </c>
      <c r="G2853">
        <v>119598</v>
      </c>
      <c r="H2853" s="75">
        <v>41199</v>
      </c>
      <c r="I2853" t="s">
        <v>115</v>
      </c>
      <c r="J2853">
        <v>5000</v>
      </c>
      <c r="K2853">
        <v>213.09700000000001</v>
      </c>
      <c r="L2853">
        <v>23.4635</v>
      </c>
      <c r="M2853">
        <v>4835.1509999999998</v>
      </c>
      <c r="N2853" t="s">
        <v>15</v>
      </c>
    </row>
    <row r="2854" spans="1:14" x14ac:dyDescent="0.2">
      <c r="A2854" t="s">
        <v>56</v>
      </c>
      <c r="B2854" t="s">
        <v>138</v>
      </c>
      <c r="C2854" t="s">
        <v>136</v>
      </c>
      <c r="D2854" t="s">
        <v>57</v>
      </c>
      <c r="E2854" t="s">
        <v>53</v>
      </c>
      <c r="F2854" t="s">
        <v>114</v>
      </c>
      <c r="G2854">
        <v>119598</v>
      </c>
      <c r="H2854" s="75">
        <v>41229</v>
      </c>
      <c r="I2854" t="s">
        <v>115</v>
      </c>
      <c r="J2854">
        <v>5000</v>
      </c>
      <c r="K2854">
        <v>207.22499999999999</v>
      </c>
      <c r="L2854">
        <v>24.128299999999999</v>
      </c>
      <c r="M2854">
        <v>5042.3760000000002</v>
      </c>
      <c r="N2854" t="s">
        <v>15</v>
      </c>
    </row>
    <row r="2855" spans="1:14" x14ac:dyDescent="0.2">
      <c r="A2855" t="s">
        <v>56</v>
      </c>
      <c r="B2855" t="s">
        <v>138</v>
      </c>
      <c r="C2855" t="s">
        <v>136</v>
      </c>
      <c r="D2855" t="s">
        <v>57</v>
      </c>
      <c r="E2855" t="s">
        <v>53</v>
      </c>
      <c r="F2855" t="s">
        <v>114</v>
      </c>
      <c r="G2855">
        <v>119598</v>
      </c>
      <c r="H2855" s="75">
        <v>41259</v>
      </c>
      <c r="I2855" t="s">
        <v>115</v>
      </c>
      <c r="J2855">
        <v>5000</v>
      </c>
      <c r="K2855">
        <v>204.31200000000001</v>
      </c>
      <c r="L2855">
        <v>24.4724</v>
      </c>
      <c r="M2855">
        <v>5246.6880000000001</v>
      </c>
      <c r="N2855" t="s">
        <v>15</v>
      </c>
    </row>
    <row r="2856" spans="1:14" x14ac:dyDescent="0.2">
      <c r="A2856" t="s">
        <v>56</v>
      </c>
      <c r="B2856" t="s">
        <v>138</v>
      </c>
      <c r="C2856" t="s">
        <v>136</v>
      </c>
      <c r="D2856" t="s">
        <v>57</v>
      </c>
      <c r="E2856" t="s">
        <v>53</v>
      </c>
      <c r="F2856" t="s">
        <v>114</v>
      </c>
      <c r="G2856">
        <v>119598</v>
      </c>
      <c r="H2856" s="75">
        <v>41289</v>
      </c>
      <c r="I2856" t="s">
        <v>115</v>
      </c>
      <c r="J2856">
        <v>5000</v>
      </c>
      <c r="K2856">
        <v>204.58</v>
      </c>
      <c r="L2856">
        <v>24.440300000000001</v>
      </c>
      <c r="M2856">
        <v>5451.268</v>
      </c>
      <c r="N2856" t="s">
        <v>15</v>
      </c>
    </row>
    <row r="2857" spans="1:14" x14ac:dyDescent="0.2">
      <c r="A2857" t="s">
        <v>56</v>
      </c>
      <c r="B2857" t="s">
        <v>138</v>
      </c>
      <c r="C2857" t="s">
        <v>136</v>
      </c>
      <c r="D2857" t="s">
        <v>57</v>
      </c>
      <c r="E2857" t="s">
        <v>53</v>
      </c>
      <c r="F2857" t="s">
        <v>114</v>
      </c>
      <c r="G2857">
        <v>119598</v>
      </c>
      <c r="H2857" s="75">
        <v>41289</v>
      </c>
      <c r="I2857" t="s">
        <v>117</v>
      </c>
      <c r="J2857">
        <v>2.5</v>
      </c>
      <c r="K2857">
        <v>0</v>
      </c>
      <c r="M2857">
        <v>5451.268</v>
      </c>
      <c r="N2857" t="s">
        <v>46</v>
      </c>
    </row>
    <row r="2858" spans="1:14" x14ac:dyDescent="0.2">
      <c r="A2858" t="s">
        <v>56</v>
      </c>
      <c r="B2858" t="s">
        <v>138</v>
      </c>
      <c r="C2858" t="s">
        <v>136</v>
      </c>
      <c r="D2858" t="s">
        <v>57</v>
      </c>
      <c r="E2858" t="s">
        <v>53</v>
      </c>
      <c r="F2858" t="s">
        <v>114</v>
      </c>
      <c r="G2858">
        <v>119598</v>
      </c>
      <c r="H2858" s="75">
        <v>41319</v>
      </c>
      <c r="I2858" t="s">
        <v>115</v>
      </c>
      <c r="J2858">
        <v>5000</v>
      </c>
      <c r="K2858">
        <v>204.28899999999999</v>
      </c>
      <c r="L2858">
        <v>24.475100000000001</v>
      </c>
      <c r="M2858">
        <v>5655.5569999999998</v>
      </c>
      <c r="N2858" t="s">
        <v>15</v>
      </c>
    </row>
    <row r="2859" spans="1:14" x14ac:dyDescent="0.2">
      <c r="A2859" t="s">
        <v>56</v>
      </c>
      <c r="B2859" t="s">
        <v>138</v>
      </c>
      <c r="C2859" t="s">
        <v>136</v>
      </c>
      <c r="D2859" t="s">
        <v>57</v>
      </c>
      <c r="E2859" t="s">
        <v>53</v>
      </c>
      <c r="F2859" t="s">
        <v>114</v>
      </c>
      <c r="G2859">
        <v>119598</v>
      </c>
      <c r="H2859" s="75">
        <v>41349</v>
      </c>
      <c r="I2859" t="s">
        <v>115</v>
      </c>
      <c r="J2859">
        <v>5000</v>
      </c>
      <c r="K2859">
        <v>204.99199999999999</v>
      </c>
      <c r="L2859">
        <v>24.391200000000001</v>
      </c>
      <c r="M2859">
        <v>5860.549</v>
      </c>
      <c r="N2859" t="s">
        <v>15</v>
      </c>
    </row>
    <row r="2860" spans="1:14" x14ac:dyDescent="0.2">
      <c r="A2860" t="s">
        <v>56</v>
      </c>
      <c r="B2860" t="s">
        <v>138</v>
      </c>
      <c r="C2860" t="s">
        <v>136</v>
      </c>
      <c r="D2860" t="s">
        <v>57</v>
      </c>
      <c r="E2860" t="s">
        <v>53</v>
      </c>
      <c r="F2860" t="s">
        <v>114</v>
      </c>
      <c r="G2860">
        <v>119598</v>
      </c>
      <c r="H2860" s="75">
        <v>41349</v>
      </c>
      <c r="I2860" t="s">
        <v>117</v>
      </c>
      <c r="J2860">
        <v>2.5</v>
      </c>
      <c r="K2860">
        <v>0</v>
      </c>
      <c r="M2860">
        <v>5860.549</v>
      </c>
      <c r="N2860" t="s">
        <v>46</v>
      </c>
    </row>
    <row r="2861" spans="1:14" x14ac:dyDescent="0.2">
      <c r="A2861" t="s">
        <v>56</v>
      </c>
      <c r="B2861" t="s">
        <v>138</v>
      </c>
      <c r="C2861" t="s">
        <v>136</v>
      </c>
      <c r="D2861" t="s">
        <v>57</v>
      </c>
      <c r="E2861" t="s">
        <v>53</v>
      </c>
      <c r="F2861" t="s">
        <v>114</v>
      </c>
      <c r="G2861">
        <v>119598</v>
      </c>
      <c r="H2861" s="75">
        <v>41379</v>
      </c>
      <c r="I2861" t="s">
        <v>115</v>
      </c>
      <c r="J2861">
        <v>5000</v>
      </c>
      <c r="K2861">
        <v>201.89400000000001</v>
      </c>
      <c r="L2861">
        <v>24.765499999999999</v>
      </c>
      <c r="M2861">
        <v>6062.4430000000002</v>
      </c>
      <c r="N2861" t="s">
        <v>15</v>
      </c>
    </row>
    <row r="2862" spans="1:14" x14ac:dyDescent="0.2">
      <c r="A2862" t="s">
        <v>56</v>
      </c>
      <c r="B2862" t="s">
        <v>138</v>
      </c>
      <c r="C2862" t="s">
        <v>136</v>
      </c>
      <c r="D2862" t="s">
        <v>57</v>
      </c>
      <c r="E2862" t="s">
        <v>53</v>
      </c>
      <c r="F2862" t="s">
        <v>114</v>
      </c>
      <c r="G2862">
        <v>119598</v>
      </c>
      <c r="H2862" s="75">
        <v>41409</v>
      </c>
      <c r="I2862" t="s">
        <v>115</v>
      </c>
      <c r="J2862">
        <v>5000</v>
      </c>
      <c r="K2862">
        <v>200.23500000000001</v>
      </c>
      <c r="L2862">
        <v>24.970700000000001</v>
      </c>
      <c r="M2862">
        <v>6262.6779999999999</v>
      </c>
      <c r="N2862" t="s">
        <v>15</v>
      </c>
    </row>
    <row r="2863" spans="1:14" x14ac:dyDescent="0.2">
      <c r="A2863" t="s">
        <v>56</v>
      </c>
      <c r="B2863" t="s">
        <v>138</v>
      </c>
      <c r="C2863" t="s">
        <v>136</v>
      </c>
      <c r="D2863" t="s">
        <v>57</v>
      </c>
      <c r="E2863" t="s">
        <v>53</v>
      </c>
      <c r="F2863" t="s">
        <v>114</v>
      </c>
      <c r="G2863">
        <v>119598</v>
      </c>
      <c r="H2863" s="75">
        <v>41439</v>
      </c>
      <c r="I2863" t="s">
        <v>115</v>
      </c>
      <c r="J2863">
        <v>5000</v>
      </c>
      <c r="K2863">
        <v>200.23099999999999</v>
      </c>
      <c r="L2863">
        <v>24.9712</v>
      </c>
      <c r="M2863">
        <v>6462.9080000000004</v>
      </c>
      <c r="N2863" t="s">
        <v>15</v>
      </c>
    </row>
    <row r="2864" spans="1:14" x14ac:dyDescent="0.2">
      <c r="A2864" t="s">
        <v>56</v>
      </c>
      <c r="B2864" t="s">
        <v>138</v>
      </c>
      <c r="C2864" t="s">
        <v>136</v>
      </c>
      <c r="D2864" t="s">
        <v>57</v>
      </c>
      <c r="E2864" t="s">
        <v>53</v>
      </c>
      <c r="F2864" t="s">
        <v>114</v>
      </c>
      <c r="G2864">
        <v>119598</v>
      </c>
      <c r="H2864" s="75">
        <v>41439</v>
      </c>
      <c r="I2864" t="s">
        <v>117</v>
      </c>
      <c r="J2864">
        <v>2.5</v>
      </c>
      <c r="K2864">
        <v>0</v>
      </c>
      <c r="M2864">
        <v>6462.9080000000004</v>
      </c>
      <c r="N2864" t="s">
        <v>46</v>
      </c>
    </row>
    <row r="2865" spans="1:14" x14ac:dyDescent="0.2">
      <c r="A2865" t="s">
        <v>56</v>
      </c>
      <c r="B2865" t="s">
        <v>138</v>
      </c>
      <c r="C2865" t="s">
        <v>136</v>
      </c>
      <c r="D2865" t="s">
        <v>57</v>
      </c>
      <c r="E2865" t="s">
        <v>53</v>
      </c>
      <c r="F2865" t="s">
        <v>114</v>
      </c>
      <c r="G2865">
        <v>119598</v>
      </c>
      <c r="H2865" s="75">
        <v>41469</v>
      </c>
      <c r="I2865" t="s">
        <v>115</v>
      </c>
      <c r="J2865">
        <v>5000</v>
      </c>
      <c r="K2865">
        <v>196.136</v>
      </c>
      <c r="L2865">
        <v>25.4925</v>
      </c>
      <c r="M2865">
        <v>6659.0450000000001</v>
      </c>
      <c r="N2865" t="s">
        <v>15</v>
      </c>
    </row>
    <row r="2866" spans="1:14" x14ac:dyDescent="0.2">
      <c r="A2866" t="s">
        <v>56</v>
      </c>
      <c r="B2866" t="s">
        <v>138</v>
      </c>
      <c r="C2866" t="s">
        <v>136</v>
      </c>
      <c r="D2866" t="s">
        <v>57</v>
      </c>
      <c r="E2866" t="s">
        <v>53</v>
      </c>
      <c r="F2866" t="s">
        <v>114</v>
      </c>
      <c r="G2866">
        <v>119598</v>
      </c>
      <c r="H2866" s="75">
        <v>41499</v>
      </c>
      <c r="I2866" t="s">
        <v>115</v>
      </c>
      <c r="J2866">
        <v>5000</v>
      </c>
      <c r="K2866">
        <v>195.042</v>
      </c>
      <c r="L2866">
        <v>25.635400000000001</v>
      </c>
      <c r="M2866">
        <v>6854.0870000000004</v>
      </c>
      <c r="N2866" t="s">
        <v>15</v>
      </c>
    </row>
    <row r="2867" spans="1:14" x14ac:dyDescent="0.2">
      <c r="A2867" t="s">
        <v>56</v>
      </c>
      <c r="B2867" t="s">
        <v>138</v>
      </c>
      <c r="C2867" t="s">
        <v>136</v>
      </c>
      <c r="D2867" t="s">
        <v>57</v>
      </c>
      <c r="E2867" t="s">
        <v>53</v>
      </c>
      <c r="F2867" t="s">
        <v>114</v>
      </c>
      <c r="G2867">
        <v>119598</v>
      </c>
      <c r="H2867" s="75">
        <v>41529</v>
      </c>
      <c r="I2867" t="s">
        <v>115</v>
      </c>
      <c r="J2867">
        <v>5000</v>
      </c>
      <c r="K2867">
        <v>194.095</v>
      </c>
      <c r="L2867">
        <v>25.7605</v>
      </c>
      <c r="M2867">
        <v>7048.1819999999998</v>
      </c>
      <c r="N2867" t="s">
        <v>15</v>
      </c>
    </row>
    <row r="2868" spans="1:14" x14ac:dyDescent="0.2">
      <c r="A2868" t="s">
        <v>56</v>
      </c>
      <c r="B2868" t="s">
        <v>138</v>
      </c>
      <c r="C2868" t="s">
        <v>136</v>
      </c>
      <c r="D2868" t="s">
        <v>57</v>
      </c>
      <c r="E2868" t="s">
        <v>53</v>
      </c>
      <c r="F2868" t="s">
        <v>114</v>
      </c>
      <c r="G2868">
        <v>119598</v>
      </c>
      <c r="H2868" s="75">
        <v>41559</v>
      </c>
      <c r="I2868" t="s">
        <v>115</v>
      </c>
      <c r="J2868">
        <v>5000</v>
      </c>
      <c r="K2868">
        <v>188.739</v>
      </c>
      <c r="L2868">
        <v>26.491599999999998</v>
      </c>
      <c r="M2868">
        <v>7236.9210000000003</v>
      </c>
      <c r="N2868" t="s">
        <v>15</v>
      </c>
    </row>
    <row r="2869" spans="1:14" x14ac:dyDescent="0.2">
      <c r="A2869" t="s">
        <v>56</v>
      </c>
      <c r="B2869" t="s">
        <v>138</v>
      </c>
      <c r="C2869" t="s">
        <v>136</v>
      </c>
      <c r="D2869" t="s">
        <v>57</v>
      </c>
      <c r="E2869" t="s">
        <v>53</v>
      </c>
      <c r="F2869" t="s">
        <v>114</v>
      </c>
      <c r="G2869">
        <v>119598</v>
      </c>
      <c r="H2869" s="75">
        <v>41589</v>
      </c>
      <c r="I2869" t="s">
        <v>115</v>
      </c>
      <c r="J2869">
        <v>5000</v>
      </c>
      <c r="K2869">
        <v>183.87</v>
      </c>
      <c r="L2869">
        <v>27.193100000000001</v>
      </c>
      <c r="M2869">
        <v>7420.7920000000004</v>
      </c>
      <c r="N2869" t="s">
        <v>15</v>
      </c>
    </row>
    <row r="2870" spans="1:14" x14ac:dyDescent="0.2">
      <c r="A2870" t="s">
        <v>56</v>
      </c>
      <c r="B2870" t="s">
        <v>138</v>
      </c>
      <c r="C2870" t="s">
        <v>136</v>
      </c>
      <c r="D2870" t="s">
        <v>57</v>
      </c>
      <c r="E2870" t="s">
        <v>53</v>
      </c>
      <c r="F2870" t="s">
        <v>114</v>
      </c>
      <c r="G2870">
        <v>119598</v>
      </c>
      <c r="H2870" s="75">
        <v>41619</v>
      </c>
      <c r="I2870" t="s">
        <v>115</v>
      </c>
      <c r="J2870">
        <v>5000</v>
      </c>
      <c r="K2870">
        <v>187.28700000000001</v>
      </c>
      <c r="L2870">
        <v>26.696999999999999</v>
      </c>
      <c r="M2870">
        <v>7608.0789999999997</v>
      </c>
      <c r="N2870" t="s">
        <v>15</v>
      </c>
    </row>
    <row r="2871" spans="1:14" x14ac:dyDescent="0.2">
      <c r="A2871" t="s">
        <v>56</v>
      </c>
      <c r="B2871" t="s">
        <v>138</v>
      </c>
      <c r="C2871" t="s">
        <v>136</v>
      </c>
      <c r="D2871" t="s">
        <v>57</v>
      </c>
      <c r="E2871" t="s">
        <v>53</v>
      </c>
      <c r="F2871" t="s">
        <v>114</v>
      </c>
      <c r="G2871">
        <v>119598</v>
      </c>
      <c r="H2871" s="75">
        <v>41649</v>
      </c>
      <c r="I2871" t="s">
        <v>115</v>
      </c>
      <c r="J2871">
        <v>5000</v>
      </c>
      <c r="K2871">
        <v>186.101</v>
      </c>
      <c r="L2871">
        <v>26.867100000000001</v>
      </c>
      <c r="M2871">
        <v>7794.18</v>
      </c>
      <c r="N2871" t="s">
        <v>15</v>
      </c>
    </row>
    <row r="2872" spans="1:14" x14ac:dyDescent="0.2">
      <c r="A2872" t="s">
        <v>56</v>
      </c>
      <c r="B2872" t="s">
        <v>138</v>
      </c>
      <c r="C2872" t="s">
        <v>136</v>
      </c>
      <c r="D2872" t="s">
        <v>57</v>
      </c>
      <c r="E2872" t="s">
        <v>53</v>
      </c>
      <c r="F2872" t="s">
        <v>114</v>
      </c>
      <c r="G2872">
        <v>119598</v>
      </c>
      <c r="H2872" s="75">
        <v>41679</v>
      </c>
      <c r="I2872" t="s">
        <v>115</v>
      </c>
      <c r="J2872">
        <v>5000</v>
      </c>
      <c r="K2872">
        <v>186.089</v>
      </c>
      <c r="L2872">
        <v>26.8688</v>
      </c>
      <c r="M2872">
        <v>7980.2690000000002</v>
      </c>
      <c r="N2872" t="s">
        <v>15</v>
      </c>
    </row>
    <row r="2873" spans="1:14" x14ac:dyDescent="0.2">
      <c r="A2873" t="s">
        <v>56</v>
      </c>
      <c r="B2873" t="s">
        <v>138</v>
      </c>
      <c r="C2873" t="s">
        <v>136</v>
      </c>
      <c r="D2873" t="s">
        <v>57</v>
      </c>
      <c r="E2873" t="s">
        <v>53</v>
      </c>
      <c r="F2873" t="s">
        <v>114</v>
      </c>
      <c r="G2873">
        <v>119598</v>
      </c>
      <c r="H2873" s="75">
        <v>41709</v>
      </c>
      <c r="I2873" t="s">
        <v>115</v>
      </c>
      <c r="J2873">
        <v>5000</v>
      </c>
      <c r="K2873">
        <v>183.49199999999999</v>
      </c>
      <c r="L2873">
        <v>27.249099999999999</v>
      </c>
      <c r="M2873">
        <v>8163.7610000000004</v>
      </c>
      <c r="N2873" t="s">
        <v>15</v>
      </c>
    </row>
    <row r="2874" spans="1:14" x14ac:dyDescent="0.2">
      <c r="A2874" t="s">
        <v>56</v>
      </c>
      <c r="B2874" t="s">
        <v>138</v>
      </c>
      <c r="C2874" t="s">
        <v>136</v>
      </c>
      <c r="D2874" t="s">
        <v>57</v>
      </c>
      <c r="E2874" t="s">
        <v>53</v>
      </c>
      <c r="F2874" t="s">
        <v>114</v>
      </c>
      <c r="G2874">
        <v>119598</v>
      </c>
      <c r="H2874" s="75">
        <v>41739</v>
      </c>
      <c r="I2874" t="s">
        <v>115</v>
      </c>
      <c r="J2874">
        <v>5000</v>
      </c>
      <c r="K2874">
        <v>181.684</v>
      </c>
      <c r="L2874">
        <v>27.520399999999999</v>
      </c>
      <c r="M2874">
        <v>8345.4449999999997</v>
      </c>
      <c r="N2874" t="s">
        <v>15</v>
      </c>
    </row>
    <row r="2875" spans="1:14" x14ac:dyDescent="0.2">
      <c r="A2875" t="s">
        <v>56</v>
      </c>
      <c r="B2875" t="s">
        <v>138</v>
      </c>
      <c r="C2875" t="s">
        <v>136</v>
      </c>
      <c r="D2875" t="s">
        <v>57</v>
      </c>
      <c r="E2875" t="s">
        <v>53</v>
      </c>
      <c r="F2875" t="s">
        <v>114</v>
      </c>
      <c r="G2875">
        <v>119598</v>
      </c>
      <c r="H2875" s="75">
        <v>41769</v>
      </c>
      <c r="I2875" t="s">
        <v>115</v>
      </c>
      <c r="J2875">
        <v>5000</v>
      </c>
      <c r="K2875">
        <v>184.65600000000001</v>
      </c>
      <c r="L2875">
        <v>27.077400000000001</v>
      </c>
      <c r="M2875">
        <v>8530.1010000000006</v>
      </c>
      <c r="N2875" t="s">
        <v>15</v>
      </c>
    </row>
    <row r="2876" spans="1:14" x14ac:dyDescent="0.2">
      <c r="A2876" t="s">
        <v>56</v>
      </c>
      <c r="B2876" t="s">
        <v>138</v>
      </c>
      <c r="C2876" t="s">
        <v>136</v>
      </c>
      <c r="D2876" t="s">
        <v>57</v>
      </c>
      <c r="E2876" t="s">
        <v>53</v>
      </c>
      <c r="F2876" t="s">
        <v>114</v>
      </c>
      <c r="G2876">
        <v>119598</v>
      </c>
      <c r="H2876" s="75">
        <v>41799</v>
      </c>
      <c r="I2876" t="s">
        <v>115</v>
      </c>
      <c r="J2876">
        <v>5000</v>
      </c>
      <c r="K2876">
        <v>183.02500000000001</v>
      </c>
      <c r="L2876">
        <v>27.3187</v>
      </c>
      <c r="M2876">
        <v>8713.1260000000002</v>
      </c>
      <c r="N2876" t="s">
        <v>15</v>
      </c>
    </row>
    <row r="2877" spans="1:14" x14ac:dyDescent="0.2">
      <c r="A2877" t="s">
        <v>56</v>
      </c>
      <c r="B2877" t="s">
        <v>138</v>
      </c>
      <c r="C2877" t="s">
        <v>136</v>
      </c>
      <c r="D2877" t="s">
        <v>57</v>
      </c>
      <c r="E2877" t="s">
        <v>53</v>
      </c>
      <c r="F2877" t="s">
        <v>114</v>
      </c>
      <c r="G2877">
        <v>119598</v>
      </c>
      <c r="H2877" s="75">
        <v>41829</v>
      </c>
      <c r="I2877" t="s">
        <v>115</v>
      </c>
      <c r="J2877">
        <v>5000</v>
      </c>
      <c r="K2877">
        <v>180.709</v>
      </c>
      <c r="L2877">
        <v>27.668700000000001</v>
      </c>
      <c r="M2877">
        <v>8893.8349999999991</v>
      </c>
      <c r="N2877" t="s">
        <v>15</v>
      </c>
    </row>
    <row r="2878" spans="1:14" x14ac:dyDescent="0.2">
      <c r="A2878" t="s">
        <v>56</v>
      </c>
      <c r="B2878" t="s">
        <v>138</v>
      </c>
      <c r="C2878" t="s">
        <v>136</v>
      </c>
      <c r="D2878" t="s">
        <v>57</v>
      </c>
      <c r="E2878" t="s">
        <v>53</v>
      </c>
      <c r="F2878" t="s">
        <v>114</v>
      </c>
      <c r="G2878">
        <v>119598</v>
      </c>
      <c r="H2878" s="75">
        <v>41859</v>
      </c>
      <c r="I2878" t="s">
        <v>115</v>
      </c>
      <c r="J2878">
        <v>5000</v>
      </c>
      <c r="K2878">
        <v>181.846</v>
      </c>
      <c r="L2878">
        <v>27.495799999999999</v>
      </c>
      <c r="M2878">
        <v>9075.6810000000005</v>
      </c>
      <c r="N2878" t="s">
        <v>15</v>
      </c>
    </row>
    <row r="2879" spans="1:14" x14ac:dyDescent="0.2">
      <c r="A2879" t="s">
        <v>56</v>
      </c>
      <c r="B2879" t="s">
        <v>138</v>
      </c>
      <c r="C2879" t="s">
        <v>136</v>
      </c>
      <c r="D2879" t="s">
        <v>57</v>
      </c>
      <c r="E2879" t="s">
        <v>53</v>
      </c>
      <c r="F2879" t="s">
        <v>114</v>
      </c>
      <c r="G2879">
        <v>119598</v>
      </c>
      <c r="H2879" s="75">
        <v>41889</v>
      </c>
      <c r="I2879" t="s">
        <v>115</v>
      </c>
      <c r="J2879">
        <v>5000</v>
      </c>
      <c r="K2879">
        <v>183.45500000000001</v>
      </c>
      <c r="L2879">
        <v>27.2547</v>
      </c>
      <c r="M2879">
        <v>9259.1360000000004</v>
      </c>
      <c r="N2879" t="s">
        <v>15</v>
      </c>
    </row>
    <row r="2880" spans="1:14" x14ac:dyDescent="0.2">
      <c r="A2880" t="s">
        <v>56</v>
      </c>
      <c r="B2880" t="s">
        <v>138</v>
      </c>
      <c r="C2880" t="s">
        <v>136</v>
      </c>
      <c r="D2880" t="s">
        <v>57</v>
      </c>
      <c r="E2880" t="s">
        <v>53</v>
      </c>
      <c r="F2880" t="s">
        <v>114</v>
      </c>
      <c r="G2880">
        <v>119598</v>
      </c>
      <c r="H2880" s="75">
        <v>41889</v>
      </c>
      <c r="I2880" t="s">
        <v>116</v>
      </c>
      <c r="J2880">
        <v>2.5</v>
      </c>
      <c r="K2880">
        <v>0</v>
      </c>
      <c r="M2880">
        <v>9259.1360000000004</v>
      </c>
      <c r="N2880" t="s">
        <v>17</v>
      </c>
    </row>
    <row r="2881" spans="1:14" x14ac:dyDescent="0.2">
      <c r="A2881" t="s">
        <v>56</v>
      </c>
      <c r="B2881" t="s">
        <v>138</v>
      </c>
      <c r="C2881" t="s">
        <v>136</v>
      </c>
      <c r="D2881" t="s">
        <v>57</v>
      </c>
      <c r="E2881" t="s">
        <v>53</v>
      </c>
      <c r="F2881" t="s">
        <v>114</v>
      </c>
      <c r="G2881">
        <v>119598</v>
      </c>
      <c r="H2881" s="75">
        <v>41919</v>
      </c>
      <c r="I2881" t="s">
        <v>115</v>
      </c>
      <c r="J2881">
        <v>5000</v>
      </c>
      <c r="K2881">
        <v>179.59899999999999</v>
      </c>
      <c r="L2881">
        <v>27.8398</v>
      </c>
      <c r="M2881">
        <v>9438.7350000000006</v>
      </c>
      <c r="N2881" t="s">
        <v>15</v>
      </c>
    </row>
    <row r="2882" spans="1:14" x14ac:dyDescent="0.2">
      <c r="A2882" t="s">
        <v>56</v>
      </c>
      <c r="B2882" t="s">
        <v>138</v>
      </c>
      <c r="C2882" t="s">
        <v>136</v>
      </c>
      <c r="D2882" t="s">
        <v>57</v>
      </c>
      <c r="E2882" t="s">
        <v>53</v>
      </c>
      <c r="F2882" t="s">
        <v>114</v>
      </c>
      <c r="G2882">
        <v>119598</v>
      </c>
      <c r="H2882" s="75">
        <v>41949</v>
      </c>
      <c r="I2882" t="s">
        <v>115</v>
      </c>
      <c r="J2882">
        <v>5000</v>
      </c>
      <c r="K2882">
        <v>175.54599999999999</v>
      </c>
      <c r="L2882">
        <v>28.482600000000001</v>
      </c>
      <c r="M2882">
        <v>9614.2810000000009</v>
      </c>
      <c r="N2882" t="s">
        <v>15</v>
      </c>
    </row>
    <row r="2883" spans="1:14" x14ac:dyDescent="0.2">
      <c r="A2883" t="s">
        <v>56</v>
      </c>
      <c r="B2883" t="s">
        <v>138</v>
      </c>
      <c r="C2883" t="s">
        <v>136</v>
      </c>
      <c r="D2883" t="s">
        <v>57</v>
      </c>
      <c r="E2883" t="s">
        <v>53</v>
      </c>
      <c r="F2883" t="s">
        <v>114</v>
      </c>
      <c r="G2883">
        <v>119598</v>
      </c>
      <c r="H2883" s="75">
        <v>41979</v>
      </c>
      <c r="I2883" t="s">
        <v>115</v>
      </c>
      <c r="J2883">
        <v>5000</v>
      </c>
      <c r="K2883">
        <v>175.459</v>
      </c>
      <c r="L2883">
        <v>28.496700000000001</v>
      </c>
      <c r="M2883">
        <v>9789.74</v>
      </c>
      <c r="N2883" t="s">
        <v>15</v>
      </c>
    </row>
    <row r="2884" spans="1:14" x14ac:dyDescent="0.2">
      <c r="A2884" t="s">
        <v>56</v>
      </c>
      <c r="B2884" t="s">
        <v>138</v>
      </c>
      <c r="C2884" t="s">
        <v>136</v>
      </c>
      <c r="D2884" t="s">
        <v>57</v>
      </c>
      <c r="E2884" t="s">
        <v>53</v>
      </c>
      <c r="F2884" t="s">
        <v>114</v>
      </c>
      <c r="G2884">
        <v>119598</v>
      </c>
      <c r="H2884" s="75">
        <v>42009</v>
      </c>
      <c r="I2884" t="s">
        <v>115</v>
      </c>
      <c r="J2884">
        <v>5000</v>
      </c>
      <c r="K2884">
        <v>171.72</v>
      </c>
      <c r="L2884">
        <v>29.117100000000001</v>
      </c>
      <c r="M2884">
        <v>9961.4599999999991</v>
      </c>
      <c r="N2884" t="s">
        <v>15</v>
      </c>
    </row>
    <row r="2885" spans="1:14" x14ac:dyDescent="0.2">
      <c r="A2885" t="s">
        <v>56</v>
      </c>
      <c r="B2885" t="s">
        <v>138</v>
      </c>
      <c r="C2885" t="s">
        <v>136</v>
      </c>
      <c r="D2885" t="s">
        <v>57</v>
      </c>
      <c r="E2885" t="s">
        <v>53</v>
      </c>
      <c r="F2885" t="s">
        <v>114</v>
      </c>
      <c r="G2885">
        <v>119598</v>
      </c>
      <c r="H2885" s="75">
        <v>42039</v>
      </c>
      <c r="I2885" t="s">
        <v>115</v>
      </c>
      <c r="J2885">
        <v>5000</v>
      </c>
      <c r="K2885">
        <v>171.26599999999999</v>
      </c>
      <c r="L2885">
        <v>29.194299999999998</v>
      </c>
      <c r="M2885">
        <v>10132.726000000001</v>
      </c>
      <c r="N2885" t="s">
        <v>15</v>
      </c>
    </row>
    <row r="2886" spans="1:14" x14ac:dyDescent="0.2">
      <c r="A2886" t="s">
        <v>56</v>
      </c>
      <c r="B2886" t="s">
        <v>138</v>
      </c>
      <c r="C2886" t="s">
        <v>136</v>
      </c>
      <c r="D2886" t="s">
        <v>57</v>
      </c>
      <c r="E2886" t="s">
        <v>53</v>
      </c>
      <c r="F2886" t="s">
        <v>114</v>
      </c>
      <c r="G2886">
        <v>119598</v>
      </c>
      <c r="H2886" s="75">
        <v>42069</v>
      </c>
      <c r="I2886" t="s">
        <v>115</v>
      </c>
      <c r="J2886">
        <v>5000</v>
      </c>
      <c r="K2886">
        <v>171.238</v>
      </c>
      <c r="L2886">
        <v>29.199100000000001</v>
      </c>
      <c r="M2886">
        <v>10303.964</v>
      </c>
      <c r="N2886" t="s">
        <v>15</v>
      </c>
    </row>
    <row r="2887" spans="1:14" x14ac:dyDescent="0.2">
      <c r="A2887" t="s">
        <v>56</v>
      </c>
      <c r="B2887" t="s">
        <v>138</v>
      </c>
      <c r="C2887" t="s">
        <v>136</v>
      </c>
      <c r="D2887" t="s">
        <v>57</v>
      </c>
      <c r="E2887" t="s">
        <v>53</v>
      </c>
      <c r="F2887" t="s">
        <v>114</v>
      </c>
      <c r="G2887">
        <v>119598</v>
      </c>
      <c r="H2887" s="75">
        <v>42069</v>
      </c>
      <c r="I2887" t="s">
        <v>116</v>
      </c>
      <c r="J2887">
        <v>2.5</v>
      </c>
      <c r="K2887">
        <v>0</v>
      </c>
      <c r="M2887">
        <v>10303.964</v>
      </c>
      <c r="N2887" t="s">
        <v>17</v>
      </c>
    </row>
    <row r="2888" spans="1:14" x14ac:dyDescent="0.2">
      <c r="A2888" t="s">
        <v>56</v>
      </c>
      <c r="B2888" t="s">
        <v>138</v>
      </c>
      <c r="C2888" t="s">
        <v>136</v>
      </c>
      <c r="D2888" t="s">
        <v>57</v>
      </c>
      <c r="E2888" t="s">
        <v>53</v>
      </c>
      <c r="F2888" t="s">
        <v>114</v>
      </c>
      <c r="G2888">
        <v>119598</v>
      </c>
      <c r="H2888" s="75">
        <v>42099</v>
      </c>
      <c r="I2888" t="s">
        <v>115</v>
      </c>
      <c r="J2888">
        <v>5000</v>
      </c>
      <c r="K2888">
        <v>167.90199999999999</v>
      </c>
      <c r="L2888">
        <v>29.779399999999999</v>
      </c>
      <c r="M2888">
        <v>10471.866</v>
      </c>
      <c r="N2888" t="s">
        <v>15</v>
      </c>
    </row>
    <row r="2889" spans="1:14" x14ac:dyDescent="0.2">
      <c r="A2889" t="s">
        <v>56</v>
      </c>
      <c r="B2889" t="s">
        <v>138</v>
      </c>
      <c r="C2889" t="s">
        <v>136</v>
      </c>
      <c r="D2889" t="s">
        <v>57</v>
      </c>
      <c r="E2889" t="s">
        <v>53</v>
      </c>
      <c r="F2889" t="s">
        <v>114</v>
      </c>
      <c r="G2889">
        <v>119598</v>
      </c>
      <c r="H2889" s="75">
        <v>42099</v>
      </c>
      <c r="I2889" t="s">
        <v>25</v>
      </c>
      <c r="J2889">
        <v>-62369.08</v>
      </c>
      <c r="K2889">
        <v>-2094.373</v>
      </c>
      <c r="L2889">
        <v>29.779399999999999</v>
      </c>
      <c r="M2889">
        <v>8377.4930000000004</v>
      </c>
      <c r="N2889" t="s">
        <v>16</v>
      </c>
    </row>
    <row r="2890" spans="1:14" x14ac:dyDescent="0.2">
      <c r="A2890" t="s">
        <v>56</v>
      </c>
      <c r="B2890" t="s">
        <v>138</v>
      </c>
      <c r="C2890" t="s">
        <v>136</v>
      </c>
      <c r="D2890" t="s">
        <v>57</v>
      </c>
      <c r="E2890" t="s">
        <v>53</v>
      </c>
      <c r="F2890" t="s">
        <v>114</v>
      </c>
      <c r="G2890">
        <v>119598</v>
      </c>
      <c r="H2890" s="75">
        <v>42129</v>
      </c>
      <c r="I2890" t="s">
        <v>115</v>
      </c>
      <c r="J2890">
        <v>5000</v>
      </c>
      <c r="K2890">
        <v>169.34299999999999</v>
      </c>
      <c r="L2890">
        <v>29.5259</v>
      </c>
      <c r="M2890">
        <v>8546.8359999999993</v>
      </c>
      <c r="N2890" t="s">
        <v>15</v>
      </c>
    </row>
    <row r="2891" spans="1:14" x14ac:dyDescent="0.2">
      <c r="A2891" t="s">
        <v>56</v>
      </c>
      <c r="B2891" t="s">
        <v>138</v>
      </c>
      <c r="C2891" t="s">
        <v>136</v>
      </c>
      <c r="D2891" t="s">
        <v>57</v>
      </c>
      <c r="E2891" t="s">
        <v>53</v>
      </c>
      <c r="F2891" t="s">
        <v>114</v>
      </c>
      <c r="G2891">
        <v>119598</v>
      </c>
      <c r="H2891" s="75">
        <v>42129</v>
      </c>
      <c r="I2891" t="s">
        <v>117</v>
      </c>
      <c r="J2891">
        <v>2.5</v>
      </c>
      <c r="K2891">
        <v>0</v>
      </c>
      <c r="M2891">
        <v>8546.8359999999993</v>
      </c>
      <c r="N2891" t="s">
        <v>46</v>
      </c>
    </row>
    <row r="2892" spans="1:14" x14ac:dyDescent="0.2">
      <c r="A2892" t="s">
        <v>56</v>
      </c>
      <c r="B2892" t="s">
        <v>138</v>
      </c>
      <c r="C2892" t="s">
        <v>136</v>
      </c>
      <c r="D2892" t="s">
        <v>57</v>
      </c>
      <c r="E2892" t="s">
        <v>53</v>
      </c>
      <c r="F2892" t="s">
        <v>114</v>
      </c>
      <c r="G2892">
        <v>119598</v>
      </c>
      <c r="H2892" s="75">
        <v>42159</v>
      </c>
      <c r="I2892" t="s">
        <v>115</v>
      </c>
      <c r="J2892">
        <v>5000</v>
      </c>
      <c r="K2892">
        <v>166.85300000000001</v>
      </c>
      <c r="L2892">
        <v>29.9666</v>
      </c>
      <c r="M2892">
        <v>8713.6880000000001</v>
      </c>
      <c r="N2892" t="s">
        <v>15</v>
      </c>
    </row>
    <row r="2893" spans="1:14" x14ac:dyDescent="0.2">
      <c r="A2893" t="s">
        <v>56</v>
      </c>
      <c r="B2893" t="s">
        <v>138</v>
      </c>
      <c r="C2893" t="s">
        <v>136</v>
      </c>
      <c r="D2893" t="s">
        <v>57</v>
      </c>
      <c r="E2893" t="s">
        <v>53</v>
      </c>
      <c r="F2893" t="s">
        <v>114</v>
      </c>
      <c r="G2893">
        <v>119598</v>
      </c>
      <c r="H2893" s="75">
        <v>42189</v>
      </c>
      <c r="I2893" t="s">
        <v>115</v>
      </c>
      <c r="J2893">
        <v>5000</v>
      </c>
      <c r="K2893">
        <v>164.52199999999999</v>
      </c>
      <c r="L2893">
        <v>30.390999999999998</v>
      </c>
      <c r="M2893">
        <v>8878.2109999999993</v>
      </c>
      <c r="N2893" t="s">
        <v>15</v>
      </c>
    </row>
    <row r="2894" spans="1:14" x14ac:dyDescent="0.2">
      <c r="A2894" t="s">
        <v>56</v>
      </c>
      <c r="B2894" t="s">
        <v>138</v>
      </c>
      <c r="C2894" t="s">
        <v>136</v>
      </c>
      <c r="D2894" t="s">
        <v>57</v>
      </c>
      <c r="E2894" t="s">
        <v>53</v>
      </c>
      <c r="F2894" t="s">
        <v>114</v>
      </c>
      <c r="G2894">
        <v>119598</v>
      </c>
      <c r="H2894" s="75">
        <v>42219</v>
      </c>
      <c r="I2894" t="s">
        <v>115</v>
      </c>
      <c r="J2894">
        <v>5000</v>
      </c>
      <c r="K2894">
        <v>164.011</v>
      </c>
      <c r="L2894">
        <v>30.485700000000001</v>
      </c>
      <c r="M2894">
        <v>9042.2219999999998</v>
      </c>
      <c r="N2894" t="s">
        <v>15</v>
      </c>
    </row>
    <row r="2895" spans="1:14" x14ac:dyDescent="0.2">
      <c r="A2895" t="s">
        <v>56</v>
      </c>
      <c r="B2895" t="s">
        <v>138</v>
      </c>
      <c r="C2895" t="s">
        <v>136</v>
      </c>
      <c r="D2895" t="s">
        <v>57</v>
      </c>
      <c r="E2895" t="s">
        <v>53</v>
      </c>
      <c r="F2895" t="s">
        <v>114</v>
      </c>
      <c r="G2895">
        <v>119598</v>
      </c>
      <c r="H2895" s="75">
        <v>42249</v>
      </c>
      <c r="I2895" t="s">
        <v>115</v>
      </c>
      <c r="J2895">
        <v>5000</v>
      </c>
      <c r="K2895">
        <v>164.899</v>
      </c>
      <c r="L2895">
        <v>30.3216</v>
      </c>
      <c r="M2895">
        <v>9207.1209999999992</v>
      </c>
      <c r="N2895" t="s">
        <v>15</v>
      </c>
    </row>
    <row r="2896" spans="1:14" x14ac:dyDescent="0.2">
      <c r="A2896" t="s">
        <v>56</v>
      </c>
      <c r="B2896" t="s">
        <v>138</v>
      </c>
      <c r="C2896" t="s">
        <v>136</v>
      </c>
      <c r="D2896" t="s">
        <v>57</v>
      </c>
      <c r="E2896" t="s">
        <v>53</v>
      </c>
      <c r="F2896" t="s">
        <v>114</v>
      </c>
      <c r="G2896">
        <v>119598</v>
      </c>
      <c r="H2896" s="75">
        <v>42249</v>
      </c>
      <c r="I2896" t="s">
        <v>117</v>
      </c>
      <c r="J2896">
        <v>2.5</v>
      </c>
      <c r="K2896">
        <v>0</v>
      </c>
      <c r="M2896">
        <v>9207.1209999999992</v>
      </c>
      <c r="N2896" t="s">
        <v>46</v>
      </c>
    </row>
    <row r="2897" spans="1:14" x14ac:dyDescent="0.2">
      <c r="A2897" t="s">
        <v>56</v>
      </c>
      <c r="B2897" t="s">
        <v>138</v>
      </c>
      <c r="C2897" t="s">
        <v>136</v>
      </c>
      <c r="D2897" t="s">
        <v>57</v>
      </c>
      <c r="E2897" t="s">
        <v>53</v>
      </c>
      <c r="F2897" t="s">
        <v>114</v>
      </c>
      <c r="G2897">
        <v>119598</v>
      </c>
      <c r="H2897" s="75">
        <v>42279</v>
      </c>
      <c r="I2897" t="s">
        <v>115</v>
      </c>
      <c r="J2897">
        <v>5000</v>
      </c>
      <c r="K2897">
        <v>163.774</v>
      </c>
      <c r="L2897">
        <v>30.529900000000001</v>
      </c>
      <c r="M2897">
        <v>9370.8950000000004</v>
      </c>
      <c r="N2897" t="s">
        <v>15</v>
      </c>
    </row>
    <row r="2898" spans="1:14" x14ac:dyDescent="0.2">
      <c r="A2898" t="s">
        <v>56</v>
      </c>
      <c r="B2898" t="s">
        <v>138</v>
      </c>
      <c r="C2898" t="s">
        <v>136</v>
      </c>
      <c r="D2898" t="s">
        <v>57</v>
      </c>
      <c r="E2898" t="s">
        <v>53</v>
      </c>
      <c r="F2898" t="s">
        <v>114</v>
      </c>
      <c r="G2898">
        <v>119598</v>
      </c>
      <c r="H2898" s="75">
        <v>42309</v>
      </c>
      <c r="I2898" t="s">
        <v>115</v>
      </c>
      <c r="J2898">
        <v>5000</v>
      </c>
      <c r="K2898">
        <v>162.93100000000001</v>
      </c>
      <c r="L2898">
        <v>30.687799999999999</v>
      </c>
      <c r="M2898">
        <v>9533.8259999999991</v>
      </c>
      <c r="N2898" t="s">
        <v>15</v>
      </c>
    </row>
    <row r="2899" spans="1:14" x14ac:dyDescent="0.2">
      <c r="A2899" t="s">
        <v>56</v>
      </c>
      <c r="B2899" t="s">
        <v>138</v>
      </c>
      <c r="C2899" t="s">
        <v>136</v>
      </c>
      <c r="D2899" t="s">
        <v>57</v>
      </c>
      <c r="E2899" t="s">
        <v>53</v>
      </c>
      <c r="F2899" t="s">
        <v>114</v>
      </c>
      <c r="G2899">
        <v>119598</v>
      </c>
      <c r="H2899" s="75">
        <v>42339</v>
      </c>
      <c r="I2899" t="s">
        <v>115</v>
      </c>
      <c r="J2899">
        <v>5000</v>
      </c>
      <c r="K2899">
        <v>163.78100000000001</v>
      </c>
      <c r="L2899">
        <v>30.528600000000001</v>
      </c>
      <c r="M2899">
        <v>9697.607</v>
      </c>
      <c r="N2899" t="s">
        <v>15</v>
      </c>
    </row>
    <row r="2900" spans="1:14" x14ac:dyDescent="0.2">
      <c r="A2900" t="s">
        <v>56</v>
      </c>
      <c r="B2900" t="s">
        <v>138</v>
      </c>
      <c r="C2900" t="s">
        <v>136</v>
      </c>
      <c r="D2900" t="s">
        <v>57</v>
      </c>
      <c r="E2900" t="s">
        <v>53</v>
      </c>
      <c r="F2900" t="s">
        <v>114</v>
      </c>
      <c r="G2900">
        <v>119598</v>
      </c>
      <c r="H2900" s="75">
        <v>42369</v>
      </c>
      <c r="I2900" t="s">
        <v>115</v>
      </c>
      <c r="J2900">
        <v>5000</v>
      </c>
      <c r="K2900">
        <v>163.327</v>
      </c>
      <c r="L2900">
        <v>30.613499999999998</v>
      </c>
      <c r="M2900">
        <v>9860.9339999999993</v>
      </c>
      <c r="N2900" t="s">
        <v>15</v>
      </c>
    </row>
    <row r="2901" spans="1:14" x14ac:dyDescent="0.2">
      <c r="A2901" t="s">
        <v>56</v>
      </c>
      <c r="B2901" t="s">
        <v>138</v>
      </c>
      <c r="C2901" t="s">
        <v>136</v>
      </c>
      <c r="D2901" t="s">
        <v>57</v>
      </c>
      <c r="E2901" t="s">
        <v>53</v>
      </c>
      <c r="F2901" t="s">
        <v>114</v>
      </c>
      <c r="G2901">
        <v>119598</v>
      </c>
      <c r="H2901" s="75">
        <v>42399</v>
      </c>
      <c r="I2901" t="s">
        <v>115</v>
      </c>
      <c r="J2901">
        <v>5000</v>
      </c>
      <c r="K2901">
        <v>164.97300000000001</v>
      </c>
      <c r="L2901">
        <v>30.308</v>
      </c>
      <c r="M2901">
        <v>10025.906000000001</v>
      </c>
      <c r="N2901" t="s">
        <v>15</v>
      </c>
    </row>
    <row r="2902" spans="1:14" x14ac:dyDescent="0.2">
      <c r="A2902" t="s">
        <v>56</v>
      </c>
      <c r="B2902" t="s">
        <v>138</v>
      </c>
      <c r="C2902" t="s">
        <v>136</v>
      </c>
      <c r="D2902" t="s">
        <v>57</v>
      </c>
      <c r="E2902" t="s">
        <v>53</v>
      </c>
      <c r="F2902" t="s">
        <v>114</v>
      </c>
      <c r="G2902">
        <v>119598</v>
      </c>
      <c r="H2902" s="75">
        <v>42429</v>
      </c>
      <c r="I2902" t="s">
        <v>115</v>
      </c>
      <c r="J2902">
        <v>5000</v>
      </c>
      <c r="K2902">
        <v>167.57599999999999</v>
      </c>
      <c r="L2902">
        <v>29.837199999999999</v>
      </c>
      <c r="M2902">
        <v>10193.482</v>
      </c>
      <c r="N2902" t="s">
        <v>15</v>
      </c>
    </row>
    <row r="2903" spans="1:14" x14ac:dyDescent="0.2">
      <c r="A2903" t="s">
        <v>56</v>
      </c>
      <c r="B2903" t="s">
        <v>138</v>
      </c>
      <c r="C2903" t="s">
        <v>136</v>
      </c>
      <c r="D2903" t="s">
        <v>57</v>
      </c>
      <c r="E2903" t="s">
        <v>53</v>
      </c>
      <c r="F2903" t="s">
        <v>114</v>
      </c>
      <c r="G2903">
        <v>119598</v>
      </c>
      <c r="H2903" s="75">
        <v>42459</v>
      </c>
      <c r="I2903" t="s">
        <v>115</v>
      </c>
      <c r="J2903">
        <v>5000</v>
      </c>
      <c r="K2903">
        <v>170.042</v>
      </c>
      <c r="L2903">
        <v>29.404499999999999</v>
      </c>
      <c r="M2903">
        <v>10363.523999999999</v>
      </c>
      <c r="N2903" t="s">
        <v>15</v>
      </c>
    </row>
    <row r="2904" spans="1:14" x14ac:dyDescent="0.2">
      <c r="A2904" t="s">
        <v>56</v>
      </c>
      <c r="B2904" t="s">
        <v>138</v>
      </c>
      <c r="C2904" t="s">
        <v>136</v>
      </c>
      <c r="D2904" t="s">
        <v>57</v>
      </c>
      <c r="E2904" t="s">
        <v>53</v>
      </c>
      <c r="F2904" t="s">
        <v>114</v>
      </c>
      <c r="G2904">
        <v>119598</v>
      </c>
      <c r="H2904" s="75">
        <v>42489</v>
      </c>
      <c r="I2904" t="s">
        <v>115</v>
      </c>
      <c r="J2904">
        <v>5000</v>
      </c>
      <c r="K2904">
        <v>170.506</v>
      </c>
      <c r="L2904">
        <v>29.324400000000001</v>
      </c>
      <c r="M2904">
        <v>10534.031000000001</v>
      </c>
      <c r="N2904" t="s">
        <v>15</v>
      </c>
    </row>
    <row r="2905" spans="1:14" x14ac:dyDescent="0.2">
      <c r="A2905" t="s">
        <v>56</v>
      </c>
      <c r="B2905" t="s">
        <v>138</v>
      </c>
      <c r="C2905" t="s">
        <v>136</v>
      </c>
      <c r="D2905" t="s">
        <v>57</v>
      </c>
      <c r="E2905" t="s">
        <v>53</v>
      </c>
      <c r="F2905" t="s">
        <v>114</v>
      </c>
      <c r="G2905">
        <v>119598</v>
      </c>
      <c r="H2905" s="75">
        <v>42519</v>
      </c>
      <c r="I2905" t="s">
        <v>115</v>
      </c>
      <c r="J2905">
        <v>5000</v>
      </c>
      <c r="K2905">
        <v>168.45500000000001</v>
      </c>
      <c r="L2905">
        <v>29.6816</v>
      </c>
      <c r="M2905">
        <v>10702.485000000001</v>
      </c>
      <c r="N2905" t="s">
        <v>15</v>
      </c>
    </row>
    <row r="2906" spans="1:14" x14ac:dyDescent="0.2">
      <c r="A2906" t="s">
        <v>56</v>
      </c>
      <c r="B2906" t="s">
        <v>138</v>
      </c>
      <c r="C2906" t="s">
        <v>136</v>
      </c>
      <c r="D2906" t="s">
        <v>57</v>
      </c>
      <c r="E2906" t="s">
        <v>53</v>
      </c>
      <c r="F2906" t="s">
        <v>114</v>
      </c>
      <c r="G2906">
        <v>119598</v>
      </c>
      <c r="H2906" s="75">
        <v>42549</v>
      </c>
      <c r="I2906" t="s">
        <v>115</v>
      </c>
      <c r="J2906">
        <v>5000</v>
      </c>
      <c r="K2906">
        <v>163.65299999999999</v>
      </c>
      <c r="L2906">
        <v>30.552499999999998</v>
      </c>
      <c r="M2906">
        <v>10866.138000000001</v>
      </c>
      <c r="N2906" t="s">
        <v>15</v>
      </c>
    </row>
    <row r="2907" spans="1:14" x14ac:dyDescent="0.2">
      <c r="A2907" t="s">
        <v>56</v>
      </c>
      <c r="B2907" t="s">
        <v>138</v>
      </c>
      <c r="C2907" t="s">
        <v>136</v>
      </c>
      <c r="D2907" t="s">
        <v>57</v>
      </c>
      <c r="E2907" t="s">
        <v>53</v>
      </c>
      <c r="F2907" t="s">
        <v>114</v>
      </c>
      <c r="G2907">
        <v>119598</v>
      </c>
      <c r="H2907" s="75">
        <v>42579</v>
      </c>
      <c r="I2907" t="s">
        <v>115</v>
      </c>
      <c r="J2907">
        <v>5000</v>
      </c>
      <c r="K2907">
        <v>166.358</v>
      </c>
      <c r="L2907">
        <v>30.055599999999998</v>
      </c>
      <c r="M2907">
        <v>11032.495999999999</v>
      </c>
      <c r="N2907" t="s">
        <v>15</v>
      </c>
    </row>
    <row r="2908" spans="1:14" x14ac:dyDescent="0.2">
      <c r="A2908" t="s">
        <v>56</v>
      </c>
      <c r="B2908" t="s">
        <v>138</v>
      </c>
      <c r="C2908" t="s">
        <v>136</v>
      </c>
      <c r="D2908" t="s">
        <v>57</v>
      </c>
      <c r="E2908" t="s">
        <v>53</v>
      </c>
      <c r="F2908" t="s">
        <v>114</v>
      </c>
      <c r="G2908">
        <v>119598</v>
      </c>
      <c r="H2908" s="75">
        <v>42609</v>
      </c>
      <c r="I2908" t="s">
        <v>115</v>
      </c>
      <c r="J2908">
        <v>5000</v>
      </c>
      <c r="K2908">
        <v>167.47499999999999</v>
      </c>
      <c r="L2908">
        <v>29.8553</v>
      </c>
      <c r="M2908">
        <v>11199.971</v>
      </c>
      <c r="N2908" t="s">
        <v>15</v>
      </c>
    </row>
    <row r="2909" spans="1:14" x14ac:dyDescent="0.2">
      <c r="A2909" t="s">
        <v>56</v>
      </c>
      <c r="B2909" t="s">
        <v>138</v>
      </c>
      <c r="C2909" t="s">
        <v>136</v>
      </c>
      <c r="D2909" t="s">
        <v>57</v>
      </c>
      <c r="E2909" t="s">
        <v>53</v>
      </c>
      <c r="F2909" t="s">
        <v>114</v>
      </c>
      <c r="G2909">
        <v>119598</v>
      </c>
      <c r="H2909" s="75">
        <v>42609</v>
      </c>
      <c r="I2909" t="s">
        <v>116</v>
      </c>
      <c r="J2909">
        <v>2.5</v>
      </c>
      <c r="K2909">
        <v>0</v>
      </c>
      <c r="M2909">
        <v>11199.971</v>
      </c>
      <c r="N2909" t="s">
        <v>17</v>
      </c>
    </row>
    <row r="2910" spans="1:14" x14ac:dyDescent="0.2">
      <c r="A2910" t="s">
        <v>56</v>
      </c>
      <c r="B2910" t="s">
        <v>138</v>
      </c>
      <c r="C2910" t="s">
        <v>136</v>
      </c>
      <c r="D2910" t="s">
        <v>57</v>
      </c>
      <c r="E2910" t="s">
        <v>53</v>
      </c>
      <c r="F2910" t="s">
        <v>114</v>
      </c>
      <c r="G2910">
        <v>119598</v>
      </c>
      <c r="H2910" s="75">
        <v>42639</v>
      </c>
      <c r="I2910" t="s">
        <v>115</v>
      </c>
      <c r="J2910">
        <v>5000</v>
      </c>
      <c r="K2910">
        <v>170.57599999999999</v>
      </c>
      <c r="L2910">
        <v>29.3124</v>
      </c>
      <c r="M2910">
        <v>11370.547</v>
      </c>
      <c r="N2910" t="s">
        <v>15</v>
      </c>
    </row>
    <row r="2911" spans="1:14" x14ac:dyDescent="0.2">
      <c r="A2911" t="s">
        <v>56</v>
      </c>
      <c r="B2911" t="s">
        <v>138</v>
      </c>
      <c r="C2911" t="s">
        <v>136</v>
      </c>
      <c r="D2911" t="s">
        <v>57</v>
      </c>
      <c r="E2911" t="s">
        <v>53</v>
      </c>
      <c r="F2911" t="s">
        <v>114</v>
      </c>
      <c r="G2911">
        <v>119598</v>
      </c>
      <c r="H2911" s="75">
        <v>42639</v>
      </c>
      <c r="I2911" t="s">
        <v>116</v>
      </c>
      <c r="J2911">
        <v>2.5</v>
      </c>
      <c r="K2911">
        <v>0</v>
      </c>
      <c r="M2911">
        <v>11370.547</v>
      </c>
      <c r="N2911" t="s">
        <v>17</v>
      </c>
    </row>
    <row r="2912" spans="1:14" x14ac:dyDescent="0.2">
      <c r="A2912" t="s">
        <v>56</v>
      </c>
      <c r="B2912" t="s">
        <v>138</v>
      </c>
      <c r="C2912" t="s">
        <v>136</v>
      </c>
      <c r="D2912" t="s">
        <v>57</v>
      </c>
      <c r="E2912" t="s">
        <v>53</v>
      </c>
      <c r="F2912" t="s">
        <v>114</v>
      </c>
      <c r="G2912">
        <v>119598</v>
      </c>
      <c r="H2912" s="75">
        <v>42669</v>
      </c>
      <c r="I2912" t="s">
        <v>115</v>
      </c>
      <c r="J2912">
        <v>5000</v>
      </c>
      <c r="K2912">
        <v>171.08799999999999</v>
      </c>
      <c r="L2912">
        <v>29.224799999999998</v>
      </c>
      <c r="M2912">
        <v>11541.635</v>
      </c>
      <c r="N2912" t="s">
        <v>15</v>
      </c>
    </row>
    <row r="2913" spans="1:14" x14ac:dyDescent="0.2">
      <c r="A2913" t="s">
        <v>56</v>
      </c>
      <c r="B2913" t="s">
        <v>138</v>
      </c>
      <c r="C2913" t="s">
        <v>136</v>
      </c>
      <c r="D2913" t="s">
        <v>57</v>
      </c>
      <c r="E2913" t="s">
        <v>53</v>
      </c>
      <c r="F2913" t="s">
        <v>114</v>
      </c>
      <c r="G2913">
        <v>119598</v>
      </c>
      <c r="H2913" s="75">
        <v>42669</v>
      </c>
      <c r="I2913" t="s">
        <v>117</v>
      </c>
      <c r="J2913">
        <v>2.5</v>
      </c>
      <c r="K2913">
        <v>0</v>
      </c>
      <c r="M2913">
        <v>11541.635</v>
      </c>
      <c r="N2913" t="s">
        <v>46</v>
      </c>
    </row>
    <row r="2914" spans="1:14" x14ac:dyDescent="0.2">
      <c r="A2914" t="s">
        <v>56</v>
      </c>
      <c r="B2914" t="s">
        <v>138</v>
      </c>
      <c r="C2914" t="s">
        <v>136</v>
      </c>
      <c r="D2914" t="s">
        <v>57</v>
      </c>
      <c r="E2914" t="s">
        <v>53</v>
      </c>
      <c r="F2914" t="s">
        <v>114</v>
      </c>
      <c r="G2914">
        <v>119598</v>
      </c>
      <c r="H2914" s="75">
        <v>42699</v>
      </c>
      <c r="I2914" t="s">
        <v>115</v>
      </c>
      <c r="J2914">
        <v>5000</v>
      </c>
      <c r="K2914">
        <v>171.61799999999999</v>
      </c>
      <c r="L2914">
        <v>29.134599999999999</v>
      </c>
      <c r="M2914">
        <v>11713.253000000001</v>
      </c>
      <c r="N2914" t="s">
        <v>15</v>
      </c>
    </row>
    <row r="2915" spans="1:14" x14ac:dyDescent="0.2">
      <c r="A2915" t="s">
        <v>56</v>
      </c>
      <c r="B2915" t="s">
        <v>138</v>
      </c>
      <c r="C2915" t="s">
        <v>136</v>
      </c>
      <c r="D2915" t="s">
        <v>57</v>
      </c>
      <c r="E2915" t="s">
        <v>53</v>
      </c>
      <c r="F2915" t="s">
        <v>114</v>
      </c>
      <c r="G2915">
        <v>119598</v>
      </c>
      <c r="H2915" s="75">
        <v>42729</v>
      </c>
      <c r="I2915" t="s">
        <v>115</v>
      </c>
      <c r="J2915">
        <v>5000</v>
      </c>
      <c r="K2915">
        <v>175.012</v>
      </c>
      <c r="L2915">
        <v>28.569500000000001</v>
      </c>
      <c r="M2915">
        <v>11888.263999999999</v>
      </c>
      <c r="N2915" t="s">
        <v>15</v>
      </c>
    </row>
    <row r="2916" spans="1:14" x14ac:dyDescent="0.2">
      <c r="A2916" t="s">
        <v>56</v>
      </c>
      <c r="B2916" t="s">
        <v>138</v>
      </c>
      <c r="C2916" t="s">
        <v>136</v>
      </c>
      <c r="D2916" t="s">
        <v>57</v>
      </c>
      <c r="E2916" t="s">
        <v>53</v>
      </c>
      <c r="F2916" t="s">
        <v>114</v>
      </c>
      <c r="G2916">
        <v>119598</v>
      </c>
      <c r="H2916" s="75">
        <v>42759</v>
      </c>
      <c r="I2916" t="s">
        <v>115</v>
      </c>
      <c r="J2916">
        <v>5000</v>
      </c>
      <c r="K2916">
        <v>171.399</v>
      </c>
      <c r="L2916">
        <v>29.171600000000002</v>
      </c>
      <c r="M2916">
        <v>12059.664000000001</v>
      </c>
      <c r="N2916" t="s">
        <v>15</v>
      </c>
    </row>
    <row r="2917" spans="1:14" x14ac:dyDescent="0.2">
      <c r="A2917" t="s">
        <v>56</v>
      </c>
      <c r="B2917" t="s">
        <v>138</v>
      </c>
      <c r="C2917" t="s">
        <v>136</v>
      </c>
      <c r="D2917" t="s">
        <v>57</v>
      </c>
      <c r="E2917" t="s">
        <v>53</v>
      </c>
      <c r="F2917" t="s">
        <v>114</v>
      </c>
      <c r="G2917">
        <v>119598</v>
      </c>
      <c r="H2917" s="75">
        <v>42759</v>
      </c>
      <c r="I2917" t="s">
        <v>25</v>
      </c>
      <c r="J2917">
        <v>-70360.039999999994</v>
      </c>
      <c r="K2917">
        <v>-2411.933</v>
      </c>
      <c r="L2917">
        <v>29.171600000000002</v>
      </c>
      <c r="M2917">
        <v>9647.7309999999998</v>
      </c>
      <c r="N2917" t="s">
        <v>16</v>
      </c>
    </row>
    <row r="2918" spans="1:14" x14ac:dyDescent="0.2">
      <c r="A2918" t="s">
        <v>56</v>
      </c>
      <c r="B2918" t="s">
        <v>138</v>
      </c>
      <c r="C2918" t="s">
        <v>136</v>
      </c>
      <c r="D2918" t="s">
        <v>57</v>
      </c>
      <c r="E2918" t="s">
        <v>53</v>
      </c>
      <c r="F2918" t="s">
        <v>114</v>
      </c>
      <c r="G2918">
        <v>119598</v>
      </c>
      <c r="H2918" s="75">
        <v>42789</v>
      </c>
      <c r="I2918" t="s">
        <v>115</v>
      </c>
      <c r="J2918">
        <v>5000</v>
      </c>
      <c r="K2918">
        <v>173.626</v>
      </c>
      <c r="L2918">
        <v>28.797599999999999</v>
      </c>
      <c r="M2918">
        <v>9821.357</v>
      </c>
      <c r="N2918" t="s">
        <v>15</v>
      </c>
    </row>
    <row r="2919" spans="1:14" x14ac:dyDescent="0.2">
      <c r="A2919" t="s">
        <v>56</v>
      </c>
      <c r="B2919" t="s">
        <v>138</v>
      </c>
      <c r="C2919" t="s">
        <v>136</v>
      </c>
      <c r="D2919" t="s">
        <v>57</v>
      </c>
      <c r="E2919" t="s">
        <v>53</v>
      </c>
      <c r="F2919" t="s">
        <v>114</v>
      </c>
      <c r="G2919">
        <v>119598</v>
      </c>
      <c r="H2919" s="75">
        <v>42789</v>
      </c>
      <c r="I2919" t="s">
        <v>117</v>
      </c>
      <c r="J2919">
        <v>2.5</v>
      </c>
      <c r="K2919">
        <v>0</v>
      </c>
      <c r="M2919">
        <v>9821.357</v>
      </c>
      <c r="N2919" t="s">
        <v>46</v>
      </c>
    </row>
    <row r="2920" spans="1:14" x14ac:dyDescent="0.2">
      <c r="A2920" t="s">
        <v>56</v>
      </c>
      <c r="B2920" t="s">
        <v>138</v>
      </c>
      <c r="C2920" t="s">
        <v>136</v>
      </c>
      <c r="D2920" t="s">
        <v>57</v>
      </c>
      <c r="E2920" t="s">
        <v>53</v>
      </c>
      <c r="F2920" t="s">
        <v>114</v>
      </c>
      <c r="G2920">
        <v>119598</v>
      </c>
      <c r="H2920" s="75">
        <v>42819</v>
      </c>
      <c r="I2920" t="s">
        <v>115</v>
      </c>
      <c r="J2920">
        <v>5000</v>
      </c>
      <c r="K2920">
        <v>173.899</v>
      </c>
      <c r="L2920">
        <v>28.752300000000002</v>
      </c>
      <c r="M2920">
        <v>9995.2559999999994</v>
      </c>
      <c r="N2920" t="s">
        <v>15</v>
      </c>
    </row>
    <row r="2921" spans="1:14" x14ac:dyDescent="0.2">
      <c r="A2921" t="s">
        <v>56</v>
      </c>
      <c r="B2921" t="s">
        <v>138</v>
      </c>
      <c r="C2921" t="s">
        <v>136</v>
      </c>
      <c r="D2921" t="s">
        <v>57</v>
      </c>
      <c r="E2921" t="s">
        <v>53</v>
      </c>
      <c r="F2921" t="s">
        <v>114</v>
      </c>
      <c r="G2921">
        <v>119598</v>
      </c>
      <c r="H2921" s="75">
        <v>42849</v>
      </c>
      <c r="I2921" t="s">
        <v>115</v>
      </c>
      <c r="J2921">
        <v>5000</v>
      </c>
      <c r="K2921">
        <v>171.83799999999999</v>
      </c>
      <c r="L2921">
        <v>29.097100000000001</v>
      </c>
      <c r="M2921">
        <v>10167.093999999999</v>
      </c>
      <c r="N2921" t="s">
        <v>15</v>
      </c>
    </row>
    <row r="2922" spans="1:14" x14ac:dyDescent="0.2">
      <c r="A2922" t="s">
        <v>56</v>
      </c>
      <c r="B2922" t="s">
        <v>138</v>
      </c>
      <c r="C2922" t="s">
        <v>136</v>
      </c>
      <c r="D2922" t="s">
        <v>57</v>
      </c>
      <c r="E2922" t="s">
        <v>53</v>
      </c>
      <c r="F2922" t="s">
        <v>114</v>
      </c>
      <c r="G2922">
        <v>119598</v>
      </c>
      <c r="H2922" s="75">
        <v>42879</v>
      </c>
      <c r="I2922" t="s">
        <v>115</v>
      </c>
      <c r="J2922">
        <v>5000</v>
      </c>
      <c r="K2922">
        <v>173.79900000000001</v>
      </c>
      <c r="L2922">
        <v>28.768899999999999</v>
      </c>
      <c r="M2922">
        <v>10340.893</v>
      </c>
      <c r="N2922" t="s">
        <v>15</v>
      </c>
    </row>
    <row r="2923" spans="1:14" x14ac:dyDescent="0.2">
      <c r="A2923" t="s">
        <v>56</v>
      </c>
      <c r="B2923" t="s">
        <v>138</v>
      </c>
      <c r="C2923" t="s">
        <v>136</v>
      </c>
      <c r="D2923" t="s">
        <v>57</v>
      </c>
      <c r="E2923" t="s">
        <v>53</v>
      </c>
      <c r="F2923" t="s">
        <v>114</v>
      </c>
      <c r="G2923">
        <v>119598</v>
      </c>
      <c r="H2923" s="75">
        <v>42909</v>
      </c>
      <c r="I2923" t="s">
        <v>115</v>
      </c>
      <c r="J2923">
        <v>5000</v>
      </c>
      <c r="K2923">
        <v>168.74299999999999</v>
      </c>
      <c r="L2923">
        <v>29.630800000000001</v>
      </c>
      <c r="M2923">
        <v>10509.636</v>
      </c>
      <c r="N2923" t="s">
        <v>15</v>
      </c>
    </row>
    <row r="2924" spans="1:14" x14ac:dyDescent="0.2">
      <c r="A2924" t="s">
        <v>56</v>
      </c>
      <c r="B2924" t="s">
        <v>138</v>
      </c>
      <c r="C2924" t="s">
        <v>136</v>
      </c>
      <c r="D2924" t="s">
        <v>57</v>
      </c>
      <c r="E2924" t="s">
        <v>53</v>
      </c>
      <c r="F2924" t="s">
        <v>114</v>
      </c>
      <c r="G2924">
        <v>119598</v>
      </c>
      <c r="H2924" s="75">
        <v>42909</v>
      </c>
      <c r="I2924" t="s">
        <v>116</v>
      </c>
      <c r="J2924">
        <v>2.5</v>
      </c>
      <c r="K2924">
        <v>0</v>
      </c>
      <c r="M2924">
        <v>10509.636</v>
      </c>
      <c r="N2924" t="s">
        <v>17</v>
      </c>
    </row>
    <row r="2925" spans="1:14" x14ac:dyDescent="0.2">
      <c r="A2925" t="s">
        <v>56</v>
      </c>
      <c r="B2925" t="s">
        <v>138</v>
      </c>
      <c r="C2925" t="s">
        <v>136</v>
      </c>
      <c r="D2925" t="s">
        <v>57</v>
      </c>
      <c r="E2925" t="s">
        <v>53</v>
      </c>
      <c r="F2925" t="s">
        <v>114</v>
      </c>
      <c r="G2925">
        <v>119598</v>
      </c>
      <c r="H2925" s="75">
        <v>42939</v>
      </c>
      <c r="I2925" t="s">
        <v>115</v>
      </c>
      <c r="J2925">
        <v>5000</v>
      </c>
      <c r="K2925">
        <v>166.74700000000001</v>
      </c>
      <c r="L2925">
        <v>29.985499999999998</v>
      </c>
      <c r="M2925">
        <v>10676.384</v>
      </c>
      <c r="N2925" t="s">
        <v>15</v>
      </c>
    </row>
    <row r="2926" spans="1:14" x14ac:dyDescent="0.2">
      <c r="A2926" t="s">
        <v>56</v>
      </c>
      <c r="B2926" t="s">
        <v>138</v>
      </c>
      <c r="C2926" t="s">
        <v>136</v>
      </c>
      <c r="D2926" t="s">
        <v>57</v>
      </c>
      <c r="E2926" t="s">
        <v>53</v>
      </c>
      <c r="F2926" t="s">
        <v>114</v>
      </c>
      <c r="G2926">
        <v>119598</v>
      </c>
      <c r="H2926" s="75">
        <v>42939</v>
      </c>
      <c r="I2926" t="s">
        <v>116</v>
      </c>
      <c r="J2926">
        <v>2.5</v>
      </c>
      <c r="K2926">
        <v>0</v>
      </c>
      <c r="M2926">
        <v>10676.384</v>
      </c>
      <c r="N2926" t="s">
        <v>17</v>
      </c>
    </row>
    <row r="2927" spans="1:14" x14ac:dyDescent="0.2">
      <c r="A2927" t="s">
        <v>56</v>
      </c>
      <c r="B2927" t="s">
        <v>138</v>
      </c>
      <c r="C2927" t="s">
        <v>136</v>
      </c>
      <c r="D2927" t="s">
        <v>57</v>
      </c>
      <c r="E2927" t="s">
        <v>53</v>
      </c>
      <c r="F2927" t="s">
        <v>114</v>
      </c>
      <c r="G2927">
        <v>119598</v>
      </c>
      <c r="H2927" s="75">
        <v>42969</v>
      </c>
      <c r="I2927" t="s">
        <v>115</v>
      </c>
      <c r="J2927">
        <v>5000</v>
      </c>
      <c r="K2927">
        <v>170.036</v>
      </c>
      <c r="L2927">
        <v>29.4055</v>
      </c>
      <c r="M2927">
        <v>10846.42</v>
      </c>
      <c r="N2927" t="s">
        <v>15</v>
      </c>
    </row>
    <row r="2928" spans="1:14" x14ac:dyDescent="0.2">
      <c r="A2928" t="s">
        <v>56</v>
      </c>
      <c r="B2928" t="s">
        <v>138</v>
      </c>
      <c r="C2928" t="s">
        <v>136</v>
      </c>
      <c r="D2928" t="s">
        <v>57</v>
      </c>
      <c r="E2928" t="s">
        <v>53</v>
      </c>
      <c r="F2928" t="s">
        <v>114</v>
      </c>
      <c r="G2928">
        <v>119598</v>
      </c>
      <c r="H2928" s="75">
        <v>42999</v>
      </c>
      <c r="I2928" t="s">
        <v>115</v>
      </c>
      <c r="J2928">
        <v>5000</v>
      </c>
      <c r="K2928">
        <v>166.15799999999999</v>
      </c>
      <c r="L2928">
        <v>30.091799999999999</v>
      </c>
      <c r="M2928">
        <v>11012.578</v>
      </c>
      <c r="N2928" t="s">
        <v>15</v>
      </c>
    </row>
    <row r="2929" spans="1:14" x14ac:dyDescent="0.2">
      <c r="A2929" t="s">
        <v>56</v>
      </c>
      <c r="B2929" t="s">
        <v>138</v>
      </c>
      <c r="C2929" t="s">
        <v>136</v>
      </c>
      <c r="D2929" t="s">
        <v>57</v>
      </c>
      <c r="E2929" t="s">
        <v>53</v>
      </c>
      <c r="F2929" t="s">
        <v>114</v>
      </c>
      <c r="G2929">
        <v>119598</v>
      </c>
      <c r="H2929" s="75">
        <v>42999</v>
      </c>
      <c r="I2929" t="s">
        <v>117</v>
      </c>
      <c r="J2929">
        <v>2.5</v>
      </c>
      <c r="K2929">
        <v>0</v>
      </c>
      <c r="M2929">
        <v>11012.578</v>
      </c>
      <c r="N2929" t="s">
        <v>46</v>
      </c>
    </row>
    <row r="2930" spans="1:14" x14ac:dyDescent="0.2">
      <c r="A2930" t="s">
        <v>56</v>
      </c>
      <c r="B2930" t="s">
        <v>138</v>
      </c>
      <c r="C2930" t="s">
        <v>136</v>
      </c>
      <c r="D2930" t="s">
        <v>57</v>
      </c>
      <c r="E2930" t="s">
        <v>53</v>
      </c>
      <c r="F2930" t="s">
        <v>114</v>
      </c>
      <c r="G2930">
        <v>119598</v>
      </c>
      <c r="H2930" s="75">
        <v>43029</v>
      </c>
      <c r="I2930" t="s">
        <v>115</v>
      </c>
      <c r="J2930">
        <v>5000</v>
      </c>
      <c r="K2930">
        <v>163.47300000000001</v>
      </c>
      <c r="L2930">
        <v>30.585999999999999</v>
      </c>
      <c r="M2930">
        <v>11176.050999999999</v>
      </c>
      <c r="N2930" t="s">
        <v>15</v>
      </c>
    </row>
    <row r="2931" spans="1:14" x14ac:dyDescent="0.2">
      <c r="A2931" t="s">
        <v>56</v>
      </c>
      <c r="B2931" t="s">
        <v>138</v>
      </c>
      <c r="C2931" t="s">
        <v>136</v>
      </c>
      <c r="D2931" t="s">
        <v>57</v>
      </c>
      <c r="E2931" t="s">
        <v>53</v>
      </c>
      <c r="F2931" t="s">
        <v>114</v>
      </c>
      <c r="G2931">
        <v>119598</v>
      </c>
      <c r="H2931" s="75">
        <v>43059</v>
      </c>
      <c r="I2931" t="s">
        <v>115</v>
      </c>
      <c r="J2931">
        <v>5000</v>
      </c>
      <c r="K2931">
        <v>162.13499999999999</v>
      </c>
      <c r="L2931">
        <v>30.8385</v>
      </c>
      <c r="M2931">
        <v>11338.186</v>
      </c>
      <c r="N2931" t="s">
        <v>15</v>
      </c>
    </row>
    <row r="2932" spans="1:14" x14ac:dyDescent="0.2">
      <c r="A2932" t="s">
        <v>56</v>
      </c>
      <c r="B2932" t="s">
        <v>138</v>
      </c>
      <c r="C2932" t="s">
        <v>136</v>
      </c>
      <c r="D2932" t="s">
        <v>57</v>
      </c>
      <c r="E2932" t="s">
        <v>53</v>
      </c>
      <c r="F2932" t="s">
        <v>114</v>
      </c>
      <c r="G2932">
        <v>119598</v>
      </c>
      <c r="H2932" s="75">
        <v>43089</v>
      </c>
      <c r="I2932" t="s">
        <v>115</v>
      </c>
      <c r="J2932">
        <v>5000</v>
      </c>
      <c r="K2932">
        <v>164.762</v>
      </c>
      <c r="L2932">
        <v>30.346900000000002</v>
      </c>
      <c r="M2932">
        <v>11502.948</v>
      </c>
      <c r="N2932" t="s">
        <v>15</v>
      </c>
    </row>
    <row r="2933" spans="1:14" x14ac:dyDescent="0.2">
      <c r="A2933" t="s">
        <v>56</v>
      </c>
      <c r="B2933" t="s">
        <v>138</v>
      </c>
      <c r="C2933" t="s">
        <v>136</v>
      </c>
      <c r="D2933" t="s">
        <v>57</v>
      </c>
      <c r="E2933" t="s">
        <v>53</v>
      </c>
      <c r="F2933" t="s">
        <v>114</v>
      </c>
      <c r="G2933">
        <v>119598</v>
      </c>
      <c r="H2933" s="75">
        <v>43119</v>
      </c>
      <c r="I2933" t="s">
        <v>115</v>
      </c>
      <c r="J2933">
        <v>5000</v>
      </c>
      <c r="K2933">
        <v>163.80500000000001</v>
      </c>
      <c r="L2933">
        <v>30.524100000000001</v>
      </c>
      <c r="M2933">
        <v>11666.753000000001</v>
      </c>
      <c r="N2933" t="s">
        <v>15</v>
      </c>
    </row>
    <row r="2934" spans="1:14" x14ac:dyDescent="0.2">
      <c r="A2934" t="s">
        <v>56</v>
      </c>
      <c r="B2934" t="s">
        <v>138</v>
      </c>
      <c r="C2934" t="s">
        <v>136</v>
      </c>
      <c r="D2934" t="s">
        <v>57</v>
      </c>
      <c r="E2934" t="s">
        <v>53</v>
      </c>
      <c r="F2934" t="s">
        <v>114</v>
      </c>
      <c r="G2934">
        <v>119598</v>
      </c>
      <c r="H2934" s="75">
        <v>43149</v>
      </c>
      <c r="I2934" t="s">
        <v>115</v>
      </c>
      <c r="J2934">
        <v>5000</v>
      </c>
      <c r="K2934">
        <v>160.98400000000001</v>
      </c>
      <c r="L2934">
        <v>31.059000000000001</v>
      </c>
      <c r="M2934">
        <v>11827.736999999999</v>
      </c>
      <c r="N2934" t="s">
        <v>15</v>
      </c>
    </row>
    <row r="2935" spans="1:14" x14ac:dyDescent="0.2">
      <c r="A2935" t="s">
        <v>56</v>
      </c>
      <c r="B2935" t="s">
        <v>138</v>
      </c>
      <c r="C2935" t="s">
        <v>136</v>
      </c>
      <c r="D2935" t="s">
        <v>57</v>
      </c>
      <c r="E2935" t="s">
        <v>53</v>
      </c>
      <c r="F2935" t="s">
        <v>114</v>
      </c>
      <c r="G2935">
        <v>119598</v>
      </c>
      <c r="H2935" s="75">
        <v>43179</v>
      </c>
      <c r="I2935" t="s">
        <v>115</v>
      </c>
      <c r="J2935">
        <v>5000</v>
      </c>
      <c r="K2935">
        <v>161.63999999999999</v>
      </c>
      <c r="L2935">
        <v>30.9329</v>
      </c>
      <c r="M2935">
        <v>11989.377</v>
      </c>
      <c r="N2935" t="s">
        <v>15</v>
      </c>
    </row>
    <row r="2936" spans="1:14" x14ac:dyDescent="0.2">
      <c r="A2936" t="s">
        <v>56</v>
      </c>
      <c r="B2936" t="s">
        <v>138</v>
      </c>
      <c r="C2936" t="s">
        <v>136</v>
      </c>
      <c r="D2936" t="s">
        <v>57</v>
      </c>
      <c r="E2936" t="s">
        <v>53</v>
      </c>
      <c r="F2936" t="s">
        <v>114</v>
      </c>
      <c r="G2936">
        <v>119598</v>
      </c>
      <c r="H2936" s="75">
        <v>43209</v>
      </c>
      <c r="I2936" t="s">
        <v>115</v>
      </c>
      <c r="J2936">
        <v>5000</v>
      </c>
      <c r="K2936">
        <v>158.965</v>
      </c>
      <c r="L2936">
        <v>31.453499999999998</v>
      </c>
      <c r="M2936">
        <v>12148.342000000001</v>
      </c>
      <c r="N2936" t="s">
        <v>15</v>
      </c>
    </row>
    <row r="2937" spans="1:14" x14ac:dyDescent="0.2">
      <c r="A2937" t="s">
        <v>56</v>
      </c>
      <c r="B2937" t="s">
        <v>138</v>
      </c>
      <c r="C2937" t="s">
        <v>136</v>
      </c>
      <c r="D2937" t="s">
        <v>57</v>
      </c>
      <c r="E2937" t="s">
        <v>53</v>
      </c>
      <c r="F2937" t="s">
        <v>114</v>
      </c>
      <c r="G2937">
        <v>119598</v>
      </c>
      <c r="H2937" s="75">
        <v>43209</v>
      </c>
      <c r="I2937" t="s">
        <v>117</v>
      </c>
      <c r="J2937">
        <v>2.5</v>
      </c>
      <c r="K2937">
        <v>0</v>
      </c>
      <c r="M2937">
        <v>12148.342000000001</v>
      </c>
      <c r="N2937" t="s">
        <v>46</v>
      </c>
    </row>
    <row r="2938" spans="1:14" x14ac:dyDescent="0.2">
      <c r="A2938" t="s">
        <v>56</v>
      </c>
      <c r="B2938" t="s">
        <v>138</v>
      </c>
      <c r="C2938" t="s">
        <v>136</v>
      </c>
      <c r="D2938" t="s">
        <v>57</v>
      </c>
      <c r="E2938" t="s">
        <v>53</v>
      </c>
      <c r="F2938" t="s">
        <v>114</v>
      </c>
      <c r="G2938">
        <v>119598</v>
      </c>
      <c r="H2938" s="75">
        <v>43239</v>
      </c>
      <c r="I2938" t="s">
        <v>115</v>
      </c>
      <c r="J2938">
        <v>5000</v>
      </c>
      <c r="K2938">
        <v>159.73699999999999</v>
      </c>
      <c r="L2938">
        <v>31.301500000000001</v>
      </c>
      <c r="M2938">
        <v>12308.078</v>
      </c>
      <c r="N2938" t="s">
        <v>15</v>
      </c>
    </row>
    <row r="2939" spans="1:14" x14ac:dyDescent="0.2">
      <c r="A2939" t="s">
        <v>56</v>
      </c>
      <c r="B2939" t="s">
        <v>138</v>
      </c>
      <c r="C2939" t="s">
        <v>136</v>
      </c>
      <c r="D2939" t="s">
        <v>57</v>
      </c>
      <c r="E2939" t="s">
        <v>53</v>
      </c>
      <c r="F2939" t="s">
        <v>114</v>
      </c>
      <c r="G2939">
        <v>119598</v>
      </c>
      <c r="H2939" s="75">
        <v>43269</v>
      </c>
      <c r="I2939" t="s">
        <v>115</v>
      </c>
      <c r="J2939">
        <v>5000</v>
      </c>
      <c r="K2939">
        <v>158.929</v>
      </c>
      <c r="L2939">
        <v>31.460599999999999</v>
      </c>
      <c r="M2939">
        <v>12467.008</v>
      </c>
      <c r="N2939" t="s">
        <v>15</v>
      </c>
    </row>
    <row r="2940" spans="1:14" x14ac:dyDescent="0.2">
      <c r="A2940" t="s">
        <v>56</v>
      </c>
      <c r="B2940" t="s">
        <v>138</v>
      </c>
      <c r="C2940" t="s">
        <v>136</v>
      </c>
      <c r="D2940" t="s">
        <v>57</v>
      </c>
      <c r="E2940" t="s">
        <v>53</v>
      </c>
      <c r="F2940" t="s">
        <v>114</v>
      </c>
      <c r="G2940">
        <v>119598</v>
      </c>
      <c r="H2940" s="75">
        <v>43299</v>
      </c>
      <c r="I2940" t="s">
        <v>115</v>
      </c>
      <c r="J2940">
        <v>5000</v>
      </c>
      <c r="K2940">
        <v>154.40100000000001</v>
      </c>
      <c r="L2940">
        <v>32.383200000000002</v>
      </c>
      <c r="M2940">
        <v>12621.409</v>
      </c>
      <c r="N2940" t="s">
        <v>15</v>
      </c>
    </row>
    <row r="2941" spans="1:14" x14ac:dyDescent="0.2">
      <c r="A2941" t="s">
        <v>56</v>
      </c>
      <c r="B2941" t="s">
        <v>138</v>
      </c>
      <c r="C2941" t="s">
        <v>136</v>
      </c>
      <c r="D2941" t="s">
        <v>57</v>
      </c>
      <c r="E2941" t="s">
        <v>53</v>
      </c>
      <c r="F2941" t="s">
        <v>114</v>
      </c>
      <c r="G2941">
        <v>119598</v>
      </c>
      <c r="H2941" s="75">
        <v>43329</v>
      </c>
      <c r="I2941" t="s">
        <v>115</v>
      </c>
      <c r="J2941">
        <v>5000</v>
      </c>
      <c r="K2941">
        <v>154.34299999999999</v>
      </c>
      <c r="L2941">
        <v>32.395400000000002</v>
      </c>
      <c r="M2941">
        <v>12775.752</v>
      </c>
      <c r="N2941" t="s">
        <v>15</v>
      </c>
    </row>
    <row r="2942" spans="1:14" x14ac:dyDescent="0.2">
      <c r="A2942" t="s">
        <v>56</v>
      </c>
      <c r="B2942" t="s">
        <v>138</v>
      </c>
      <c r="C2942" t="s">
        <v>136</v>
      </c>
      <c r="D2942" t="s">
        <v>57</v>
      </c>
      <c r="E2942" t="s">
        <v>53</v>
      </c>
      <c r="F2942" t="s">
        <v>114</v>
      </c>
      <c r="G2942">
        <v>119598</v>
      </c>
      <c r="H2942" s="75">
        <v>43359</v>
      </c>
      <c r="I2942" t="s">
        <v>115</v>
      </c>
      <c r="J2942">
        <v>5000</v>
      </c>
      <c r="K2942">
        <v>153.86799999999999</v>
      </c>
      <c r="L2942">
        <v>32.4955</v>
      </c>
      <c r="M2942">
        <v>12929.619000000001</v>
      </c>
      <c r="N2942" t="s">
        <v>15</v>
      </c>
    </row>
    <row r="2943" spans="1:14" x14ac:dyDescent="0.2">
      <c r="A2943" t="s">
        <v>56</v>
      </c>
      <c r="B2943" t="s">
        <v>138</v>
      </c>
      <c r="C2943" t="s">
        <v>136</v>
      </c>
      <c r="D2943" t="s">
        <v>57</v>
      </c>
      <c r="E2943" t="s">
        <v>53</v>
      </c>
      <c r="F2943" t="s">
        <v>114</v>
      </c>
      <c r="G2943">
        <v>119598</v>
      </c>
      <c r="H2943" s="75">
        <v>43389</v>
      </c>
      <c r="I2943" t="s">
        <v>115</v>
      </c>
      <c r="J2943">
        <v>5000</v>
      </c>
      <c r="K2943">
        <v>149.83099999999999</v>
      </c>
      <c r="L2943">
        <v>33.370899999999999</v>
      </c>
      <c r="M2943">
        <v>13079.45</v>
      </c>
      <c r="N2943" t="s">
        <v>15</v>
      </c>
    </row>
    <row r="2944" spans="1:14" x14ac:dyDescent="0.2">
      <c r="A2944" t="s">
        <v>56</v>
      </c>
      <c r="B2944" t="s">
        <v>138</v>
      </c>
      <c r="C2944" t="s">
        <v>136</v>
      </c>
      <c r="D2944" t="s">
        <v>57</v>
      </c>
      <c r="E2944" t="s">
        <v>53</v>
      </c>
      <c r="F2944" t="s">
        <v>114</v>
      </c>
      <c r="G2944">
        <v>119598</v>
      </c>
      <c r="H2944" s="75">
        <v>43419</v>
      </c>
      <c r="I2944" t="s">
        <v>115</v>
      </c>
      <c r="J2944">
        <v>5000</v>
      </c>
      <c r="K2944">
        <v>151.26300000000001</v>
      </c>
      <c r="L2944">
        <v>33.055</v>
      </c>
      <c r="M2944">
        <v>13230.713</v>
      </c>
      <c r="N2944" t="s">
        <v>15</v>
      </c>
    </row>
    <row r="2945" spans="1:14" x14ac:dyDescent="0.2">
      <c r="A2945" t="s">
        <v>56</v>
      </c>
      <c r="B2945" t="s">
        <v>138</v>
      </c>
      <c r="C2945" t="s">
        <v>136</v>
      </c>
      <c r="D2945" t="s">
        <v>57</v>
      </c>
      <c r="E2945" t="s">
        <v>53</v>
      </c>
      <c r="F2945" t="s">
        <v>114</v>
      </c>
      <c r="G2945">
        <v>119598</v>
      </c>
      <c r="H2945" s="75">
        <v>43449</v>
      </c>
      <c r="I2945" t="s">
        <v>115</v>
      </c>
      <c r="J2945">
        <v>5000</v>
      </c>
      <c r="K2945">
        <v>148.15100000000001</v>
      </c>
      <c r="L2945">
        <v>33.749299999999998</v>
      </c>
      <c r="M2945">
        <v>13378.864</v>
      </c>
      <c r="N2945" t="s">
        <v>15</v>
      </c>
    </row>
    <row r="2946" spans="1:14" x14ac:dyDescent="0.2">
      <c r="A2946" t="s">
        <v>56</v>
      </c>
      <c r="B2946" t="s">
        <v>138</v>
      </c>
      <c r="C2946" t="s">
        <v>136</v>
      </c>
      <c r="D2946" t="s">
        <v>57</v>
      </c>
      <c r="E2946" t="s">
        <v>53</v>
      </c>
      <c r="F2946" t="s">
        <v>114</v>
      </c>
      <c r="G2946">
        <v>119598</v>
      </c>
      <c r="H2946" s="75">
        <v>43479</v>
      </c>
      <c r="I2946" t="s">
        <v>115</v>
      </c>
      <c r="J2946">
        <v>5000</v>
      </c>
      <c r="K2946">
        <v>144.661</v>
      </c>
      <c r="L2946">
        <v>34.563499999999998</v>
      </c>
      <c r="M2946">
        <v>13523.525</v>
      </c>
      <c r="N2946" t="s">
        <v>15</v>
      </c>
    </row>
    <row r="2947" spans="1:14" x14ac:dyDescent="0.2">
      <c r="A2947" t="s">
        <v>56</v>
      </c>
      <c r="B2947" t="s">
        <v>138</v>
      </c>
      <c r="C2947" t="s">
        <v>136</v>
      </c>
      <c r="D2947" t="s">
        <v>57</v>
      </c>
      <c r="E2947" t="s">
        <v>53</v>
      </c>
      <c r="F2947" t="s">
        <v>114</v>
      </c>
      <c r="G2947">
        <v>119598</v>
      </c>
      <c r="H2947" s="75">
        <v>43509</v>
      </c>
      <c r="I2947" t="s">
        <v>115</v>
      </c>
      <c r="J2947">
        <v>5000</v>
      </c>
      <c r="K2947">
        <v>146.95400000000001</v>
      </c>
      <c r="L2947">
        <v>34.0242</v>
      </c>
      <c r="M2947">
        <v>13670.478999999999</v>
      </c>
      <c r="N2947" t="s">
        <v>15</v>
      </c>
    </row>
    <row r="2948" spans="1:14" x14ac:dyDescent="0.2">
      <c r="A2948" t="s">
        <v>56</v>
      </c>
      <c r="B2948" t="s">
        <v>138</v>
      </c>
      <c r="C2948" t="s">
        <v>136</v>
      </c>
      <c r="D2948" t="s">
        <v>57</v>
      </c>
      <c r="E2948" t="s">
        <v>53</v>
      </c>
      <c r="F2948" t="s">
        <v>114</v>
      </c>
      <c r="G2948">
        <v>119598</v>
      </c>
      <c r="H2948" s="75">
        <v>43539</v>
      </c>
      <c r="I2948" t="s">
        <v>115</v>
      </c>
      <c r="J2948">
        <v>5000</v>
      </c>
      <c r="K2948">
        <v>145.142</v>
      </c>
      <c r="L2948">
        <v>34.448999999999998</v>
      </c>
      <c r="M2948">
        <v>13815.620999999999</v>
      </c>
      <c r="N2948" t="s">
        <v>15</v>
      </c>
    </row>
    <row r="2949" spans="1:14" x14ac:dyDescent="0.2">
      <c r="A2949" t="s">
        <v>56</v>
      </c>
      <c r="B2949" t="s">
        <v>138</v>
      </c>
      <c r="C2949" t="s">
        <v>136</v>
      </c>
      <c r="D2949" t="s">
        <v>57</v>
      </c>
      <c r="E2949" t="s">
        <v>53</v>
      </c>
      <c r="F2949" t="s">
        <v>114</v>
      </c>
      <c r="G2949">
        <v>119598</v>
      </c>
      <c r="H2949" s="75">
        <v>43569</v>
      </c>
      <c r="I2949" t="s">
        <v>115</v>
      </c>
      <c r="J2949">
        <v>5000</v>
      </c>
      <c r="K2949">
        <v>146.74</v>
      </c>
      <c r="L2949">
        <v>34.073900000000002</v>
      </c>
      <c r="M2949">
        <v>13962.361000000001</v>
      </c>
      <c r="N2949" t="s">
        <v>15</v>
      </c>
    </row>
    <row r="2950" spans="1:14" x14ac:dyDescent="0.2">
      <c r="A2950" t="s">
        <v>56</v>
      </c>
      <c r="B2950" t="s">
        <v>138</v>
      </c>
      <c r="C2950" t="s">
        <v>136</v>
      </c>
      <c r="D2950" t="s">
        <v>57</v>
      </c>
      <c r="E2950" t="s">
        <v>53</v>
      </c>
      <c r="F2950" t="s">
        <v>114</v>
      </c>
      <c r="G2950">
        <v>119598</v>
      </c>
      <c r="H2950" s="75">
        <v>43599</v>
      </c>
      <c r="I2950" t="s">
        <v>115</v>
      </c>
      <c r="J2950">
        <v>5000</v>
      </c>
      <c r="K2950">
        <v>145.96100000000001</v>
      </c>
      <c r="L2950">
        <v>34.255699999999997</v>
      </c>
      <c r="M2950">
        <v>14108.323</v>
      </c>
      <c r="N2950" t="s">
        <v>15</v>
      </c>
    </row>
    <row r="2951" spans="1:14" x14ac:dyDescent="0.2">
      <c r="A2951" t="s">
        <v>56</v>
      </c>
      <c r="B2951" t="s">
        <v>138</v>
      </c>
      <c r="C2951" t="s">
        <v>136</v>
      </c>
      <c r="D2951" t="s">
        <v>57</v>
      </c>
      <c r="E2951" t="s">
        <v>53</v>
      </c>
      <c r="F2951" t="s">
        <v>114</v>
      </c>
      <c r="G2951">
        <v>119598</v>
      </c>
      <c r="H2951" s="75">
        <v>43629</v>
      </c>
      <c r="I2951" t="s">
        <v>115</v>
      </c>
      <c r="J2951">
        <v>5000</v>
      </c>
      <c r="K2951">
        <v>146.48699999999999</v>
      </c>
      <c r="L2951">
        <v>34.132599999999996</v>
      </c>
      <c r="M2951">
        <v>14254.81</v>
      </c>
      <c r="N2951" t="s">
        <v>15</v>
      </c>
    </row>
    <row r="2952" spans="1:14" x14ac:dyDescent="0.2">
      <c r="A2952" t="s">
        <v>56</v>
      </c>
      <c r="B2952" t="s">
        <v>138</v>
      </c>
      <c r="C2952" t="s">
        <v>136</v>
      </c>
      <c r="D2952" t="s">
        <v>57</v>
      </c>
      <c r="E2952" t="s">
        <v>53</v>
      </c>
      <c r="F2952" t="s">
        <v>114</v>
      </c>
      <c r="G2952">
        <v>119598</v>
      </c>
      <c r="H2952" s="75">
        <v>43659</v>
      </c>
      <c r="I2952" t="s">
        <v>115</v>
      </c>
      <c r="J2952">
        <v>5000</v>
      </c>
      <c r="K2952">
        <v>142.779</v>
      </c>
      <c r="L2952">
        <v>35.019199999999998</v>
      </c>
      <c r="M2952">
        <v>14397.589</v>
      </c>
      <c r="N2952" t="s">
        <v>15</v>
      </c>
    </row>
    <row r="2953" spans="1:14" x14ac:dyDescent="0.2">
      <c r="A2953" t="s">
        <v>56</v>
      </c>
      <c r="B2953" t="s">
        <v>138</v>
      </c>
      <c r="C2953" t="s">
        <v>136</v>
      </c>
      <c r="D2953" t="s">
        <v>57</v>
      </c>
      <c r="E2953" t="s">
        <v>53</v>
      </c>
      <c r="F2953" t="s">
        <v>114</v>
      </c>
      <c r="G2953">
        <v>119598</v>
      </c>
      <c r="H2953" s="75">
        <v>43689</v>
      </c>
      <c r="I2953" t="s">
        <v>115</v>
      </c>
      <c r="J2953">
        <v>5000</v>
      </c>
      <c r="K2953">
        <v>141.75800000000001</v>
      </c>
      <c r="L2953">
        <v>35.2714</v>
      </c>
      <c r="M2953">
        <v>14539.347</v>
      </c>
      <c r="N2953" t="s">
        <v>15</v>
      </c>
    </row>
    <row r="2954" spans="1:14" x14ac:dyDescent="0.2">
      <c r="A2954" t="s">
        <v>56</v>
      </c>
      <c r="B2954" t="s">
        <v>138</v>
      </c>
      <c r="C2954" t="s">
        <v>136</v>
      </c>
      <c r="D2954" t="s">
        <v>57</v>
      </c>
      <c r="E2954" t="s">
        <v>53</v>
      </c>
      <c r="F2954" t="s">
        <v>114</v>
      </c>
      <c r="G2954">
        <v>119598</v>
      </c>
      <c r="H2954" s="75">
        <v>43719</v>
      </c>
      <c r="I2954" t="s">
        <v>115</v>
      </c>
      <c r="J2954">
        <v>5000</v>
      </c>
      <c r="K2954">
        <v>142.041</v>
      </c>
      <c r="L2954">
        <v>35.2012</v>
      </c>
      <c r="M2954">
        <v>14681.388000000001</v>
      </c>
      <c r="N2954" t="s">
        <v>15</v>
      </c>
    </row>
    <row r="2955" spans="1:14" x14ac:dyDescent="0.2">
      <c r="A2955" t="s">
        <v>56</v>
      </c>
      <c r="B2955" t="s">
        <v>138</v>
      </c>
      <c r="C2955" t="s">
        <v>136</v>
      </c>
      <c r="D2955" t="s">
        <v>57</v>
      </c>
      <c r="E2955" t="s">
        <v>53</v>
      </c>
      <c r="F2955" t="s">
        <v>114</v>
      </c>
      <c r="G2955">
        <v>119598</v>
      </c>
      <c r="H2955" s="75">
        <v>43749</v>
      </c>
      <c r="I2955" t="s">
        <v>115</v>
      </c>
      <c r="J2955">
        <v>5000</v>
      </c>
      <c r="K2955">
        <v>143.51499999999999</v>
      </c>
      <c r="L2955">
        <v>34.839700000000001</v>
      </c>
      <c r="M2955">
        <v>14824.902</v>
      </c>
      <c r="N2955" t="s">
        <v>15</v>
      </c>
    </row>
    <row r="2956" spans="1:14" x14ac:dyDescent="0.2">
      <c r="A2956" t="s">
        <v>56</v>
      </c>
      <c r="B2956" t="s">
        <v>138</v>
      </c>
      <c r="C2956" t="s">
        <v>136</v>
      </c>
      <c r="D2956" t="s">
        <v>57</v>
      </c>
      <c r="E2956" t="s">
        <v>53</v>
      </c>
      <c r="F2956" t="s">
        <v>114</v>
      </c>
      <c r="G2956">
        <v>119598</v>
      </c>
      <c r="H2956" s="75">
        <v>43749</v>
      </c>
      <c r="I2956" t="s">
        <v>116</v>
      </c>
      <c r="J2956">
        <v>2.5</v>
      </c>
      <c r="K2956">
        <v>0</v>
      </c>
      <c r="M2956">
        <v>14824.902</v>
      </c>
      <c r="N2956" t="s">
        <v>17</v>
      </c>
    </row>
    <row r="2957" spans="1:14" x14ac:dyDescent="0.2">
      <c r="A2957" t="s">
        <v>56</v>
      </c>
      <c r="B2957" t="s">
        <v>138</v>
      </c>
      <c r="C2957" t="s">
        <v>136</v>
      </c>
      <c r="D2957" t="s">
        <v>57</v>
      </c>
      <c r="E2957" t="s">
        <v>53</v>
      </c>
      <c r="F2957" t="s">
        <v>114</v>
      </c>
      <c r="G2957">
        <v>119598</v>
      </c>
      <c r="H2957" s="75">
        <v>43779</v>
      </c>
      <c r="I2957" t="s">
        <v>115</v>
      </c>
      <c r="J2957">
        <v>5000</v>
      </c>
      <c r="K2957">
        <v>141.69900000000001</v>
      </c>
      <c r="L2957">
        <v>35.286099999999998</v>
      </c>
      <c r="M2957">
        <v>14966.601000000001</v>
      </c>
      <c r="N2957" t="s">
        <v>15</v>
      </c>
    </row>
    <row r="2958" spans="1:14" x14ac:dyDescent="0.2">
      <c r="A2958" t="s">
        <v>56</v>
      </c>
      <c r="B2958" t="s">
        <v>138</v>
      </c>
      <c r="C2958" t="s">
        <v>136</v>
      </c>
      <c r="D2958" t="s">
        <v>57</v>
      </c>
      <c r="E2958" t="s">
        <v>53</v>
      </c>
      <c r="F2958" t="s">
        <v>114</v>
      </c>
      <c r="G2958">
        <v>119598</v>
      </c>
      <c r="H2958" s="75">
        <v>43809</v>
      </c>
      <c r="I2958" t="s">
        <v>115</v>
      </c>
      <c r="J2958">
        <v>5000</v>
      </c>
      <c r="K2958">
        <v>142.57</v>
      </c>
      <c r="L2958">
        <v>35.070599999999999</v>
      </c>
      <c r="M2958">
        <v>15109.171</v>
      </c>
      <c r="N2958" t="s">
        <v>15</v>
      </c>
    </row>
    <row r="2959" spans="1:14" x14ac:dyDescent="0.2">
      <c r="A2959" t="s">
        <v>56</v>
      </c>
      <c r="B2959" t="s">
        <v>138</v>
      </c>
      <c r="C2959" t="s">
        <v>136</v>
      </c>
      <c r="D2959" t="s">
        <v>57</v>
      </c>
      <c r="E2959" t="s">
        <v>53</v>
      </c>
      <c r="F2959" t="s">
        <v>114</v>
      </c>
      <c r="G2959">
        <v>119598</v>
      </c>
      <c r="H2959" s="75">
        <v>43839</v>
      </c>
      <c r="I2959" t="s">
        <v>115</v>
      </c>
      <c r="J2959">
        <v>5000</v>
      </c>
      <c r="K2959">
        <v>142.44200000000001</v>
      </c>
      <c r="L2959">
        <v>35.1021</v>
      </c>
      <c r="M2959">
        <v>15251.611999999999</v>
      </c>
      <c r="N2959" t="s">
        <v>15</v>
      </c>
    </row>
    <row r="2960" spans="1:14" x14ac:dyDescent="0.2">
      <c r="A2960" t="s">
        <v>56</v>
      </c>
      <c r="B2960" t="s">
        <v>138</v>
      </c>
      <c r="C2960" t="s">
        <v>136</v>
      </c>
      <c r="D2960" t="s">
        <v>57</v>
      </c>
      <c r="E2960" t="s">
        <v>53</v>
      </c>
      <c r="F2960" t="s">
        <v>114</v>
      </c>
      <c r="G2960">
        <v>119598</v>
      </c>
      <c r="H2960" s="75">
        <v>43839</v>
      </c>
      <c r="I2960" t="s">
        <v>116</v>
      </c>
      <c r="J2960">
        <v>2.5</v>
      </c>
      <c r="K2960">
        <v>0</v>
      </c>
      <c r="M2960">
        <v>15251.611999999999</v>
      </c>
      <c r="N2960" t="s">
        <v>17</v>
      </c>
    </row>
    <row r="2961" spans="1:14" x14ac:dyDescent="0.2">
      <c r="A2961" t="s">
        <v>56</v>
      </c>
      <c r="B2961" t="s">
        <v>138</v>
      </c>
      <c r="C2961" t="s">
        <v>136</v>
      </c>
      <c r="D2961" t="s">
        <v>57</v>
      </c>
      <c r="E2961" t="s">
        <v>53</v>
      </c>
      <c r="F2961" t="s">
        <v>114</v>
      </c>
      <c r="G2961">
        <v>119598</v>
      </c>
      <c r="H2961" s="75">
        <v>43869</v>
      </c>
      <c r="I2961" t="s">
        <v>115</v>
      </c>
      <c r="J2961">
        <v>5000</v>
      </c>
      <c r="K2961">
        <v>141.761</v>
      </c>
      <c r="L2961">
        <v>35.270499999999998</v>
      </c>
      <c r="M2961">
        <v>15393.374</v>
      </c>
      <c r="N2961" t="s">
        <v>15</v>
      </c>
    </row>
    <row r="2962" spans="1:14" x14ac:dyDescent="0.2">
      <c r="A2962" t="s">
        <v>56</v>
      </c>
      <c r="B2962" t="s">
        <v>138</v>
      </c>
      <c r="C2962" t="s">
        <v>136</v>
      </c>
      <c r="D2962" t="s">
        <v>57</v>
      </c>
      <c r="E2962" t="s">
        <v>53</v>
      </c>
      <c r="F2962" t="s">
        <v>114</v>
      </c>
      <c r="G2962">
        <v>119598</v>
      </c>
      <c r="H2962" s="75">
        <v>43869</v>
      </c>
      <c r="I2962" t="s">
        <v>116</v>
      </c>
      <c r="J2962">
        <v>2.5</v>
      </c>
      <c r="K2962">
        <v>0</v>
      </c>
      <c r="M2962">
        <v>15393.374</v>
      </c>
      <c r="N2962" t="s">
        <v>17</v>
      </c>
    </row>
    <row r="2963" spans="1:14" x14ac:dyDescent="0.2">
      <c r="A2963" t="s">
        <v>56</v>
      </c>
      <c r="B2963" t="s">
        <v>138</v>
      </c>
      <c r="C2963" t="s">
        <v>136</v>
      </c>
      <c r="D2963" t="s">
        <v>57</v>
      </c>
      <c r="E2963" t="s">
        <v>53</v>
      </c>
      <c r="F2963" t="s">
        <v>114</v>
      </c>
      <c r="G2963">
        <v>119598</v>
      </c>
      <c r="H2963" s="75">
        <v>43899</v>
      </c>
      <c r="I2963" t="s">
        <v>115</v>
      </c>
      <c r="J2963">
        <v>5000</v>
      </c>
      <c r="K2963">
        <v>140.28700000000001</v>
      </c>
      <c r="L2963">
        <v>35.641300000000001</v>
      </c>
      <c r="M2963">
        <v>15533.661</v>
      </c>
      <c r="N2963" t="s">
        <v>15</v>
      </c>
    </row>
    <row r="2964" spans="1:14" x14ac:dyDescent="0.2">
      <c r="A2964" t="s">
        <v>56</v>
      </c>
      <c r="B2964" t="s">
        <v>138</v>
      </c>
      <c r="C2964" t="s">
        <v>136</v>
      </c>
      <c r="D2964" t="s">
        <v>57</v>
      </c>
      <c r="E2964" t="s">
        <v>53</v>
      </c>
      <c r="F2964" t="s">
        <v>114</v>
      </c>
      <c r="G2964">
        <v>119598</v>
      </c>
      <c r="H2964" s="75">
        <v>43929</v>
      </c>
      <c r="I2964" t="s">
        <v>115</v>
      </c>
      <c r="J2964">
        <v>5000</v>
      </c>
      <c r="K2964">
        <v>136.28200000000001</v>
      </c>
      <c r="L2964">
        <v>36.688600000000001</v>
      </c>
      <c r="M2964">
        <v>15669.942999999999</v>
      </c>
      <c r="N2964" t="s">
        <v>15</v>
      </c>
    </row>
    <row r="2965" spans="1:14" x14ac:dyDescent="0.2">
      <c r="A2965" t="s">
        <v>56</v>
      </c>
      <c r="B2965" t="s">
        <v>138</v>
      </c>
      <c r="C2965" t="s">
        <v>136</v>
      </c>
      <c r="D2965" t="s">
        <v>57</v>
      </c>
      <c r="E2965" t="s">
        <v>53</v>
      </c>
      <c r="F2965" t="s">
        <v>114</v>
      </c>
      <c r="G2965">
        <v>119598</v>
      </c>
      <c r="H2965" s="75">
        <v>43959</v>
      </c>
      <c r="I2965" t="s">
        <v>115</v>
      </c>
      <c r="J2965">
        <v>5000</v>
      </c>
      <c r="K2965">
        <v>136.65899999999999</v>
      </c>
      <c r="L2965">
        <v>36.587499999999999</v>
      </c>
      <c r="M2965">
        <v>15806.601000000001</v>
      </c>
      <c r="N2965" t="s">
        <v>15</v>
      </c>
    </row>
    <row r="2966" spans="1:14" x14ac:dyDescent="0.2">
      <c r="A2966" t="s">
        <v>56</v>
      </c>
      <c r="B2966" t="s">
        <v>138</v>
      </c>
      <c r="C2966" t="s">
        <v>136</v>
      </c>
      <c r="D2966" t="s">
        <v>57</v>
      </c>
      <c r="E2966" t="s">
        <v>53</v>
      </c>
      <c r="F2966" t="s">
        <v>114</v>
      </c>
      <c r="G2966">
        <v>119598</v>
      </c>
      <c r="H2966" s="75">
        <v>43989</v>
      </c>
      <c r="I2966" t="s">
        <v>115</v>
      </c>
      <c r="J2966">
        <v>5000</v>
      </c>
      <c r="K2966">
        <v>134.78</v>
      </c>
      <c r="L2966">
        <v>37.0974</v>
      </c>
      <c r="M2966">
        <v>15941.382</v>
      </c>
      <c r="N2966" t="s">
        <v>15</v>
      </c>
    </row>
    <row r="2967" spans="1:14" x14ac:dyDescent="0.2">
      <c r="A2967" t="s">
        <v>56</v>
      </c>
      <c r="B2967" t="s">
        <v>138</v>
      </c>
      <c r="C2967" t="s">
        <v>136</v>
      </c>
      <c r="D2967" t="s">
        <v>57</v>
      </c>
      <c r="E2967" t="s">
        <v>53</v>
      </c>
      <c r="F2967" t="s">
        <v>114</v>
      </c>
      <c r="G2967">
        <v>119598</v>
      </c>
      <c r="H2967" s="75">
        <v>44019</v>
      </c>
      <c r="I2967" t="s">
        <v>115</v>
      </c>
      <c r="J2967">
        <v>5000</v>
      </c>
      <c r="K2967">
        <v>133.745</v>
      </c>
      <c r="L2967">
        <v>37.384599999999999</v>
      </c>
      <c r="M2967">
        <v>16075.127</v>
      </c>
      <c r="N2967" t="s">
        <v>15</v>
      </c>
    </row>
    <row r="2968" spans="1:14" x14ac:dyDescent="0.2">
      <c r="A2968" t="s">
        <v>56</v>
      </c>
      <c r="B2968" t="s">
        <v>138</v>
      </c>
      <c r="C2968" t="s">
        <v>136</v>
      </c>
      <c r="D2968" t="s">
        <v>57</v>
      </c>
      <c r="E2968" t="s">
        <v>53</v>
      </c>
      <c r="F2968" t="s">
        <v>114</v>
      </c>
      <c r="G2968">
        <v>119598</v>
      </c>
      <c r="H2968" s="75">
        <v>44019</v>
      </c>
      <c r="I2968" t="s">
        <v>116</v>
      </c>
      <c r="J2968">
        <v>2.5</v>
      </c>
      <c r="K2968">
        <v>0</v>
      </c>
      <c r="M2968">
        <v>16075.127</v>
      </c>
      <c r="N2968" t="s">
        <v>17</v>
      </c>
    </row>
    <row r="2969" spans="1:14" x14ac:dyDescent="0.2">
      <c r="A2969" t="s">
        <v>56</v>
      </c>
      <c r="B2969" t="s">
        <v>138</v>
      </c>
      <c r="C2969" t="s">
        <v>136</v>
      </c>
      <c r="D2969" t="s">
        <v>57</v>
      </c>
      <c r="E2969" t="s">
        <v>53</v>
      </c>
      <c r="F2969" t="s">
        <v>114</v>
      </c>
      <c r="G2969">
        <v>119598</v>
      </c>
      <c r="H2969" s="75">
        <v>44049</v>
      </c>
      <c r="I2969" t="s">
        <v>115</v>
      </c>
      <c r="J2969">
        <v>5000</v>
      </c>
      <c r="K2969">
        <v>135.089</v>
      </c>
      <c r="L2969">
        <v>37.012599999999999</v>
      </c>
      <c r="M2969">
        <v>16210.216</v>
      </c>
      <c r="N2969" t="s">
        <v>15</v>
      </c>
    </row>
    <row r="2970" spans="1:14" x14ac:dyDescent="0.2">
      <c r="A2970" t="s">
        <v>56</v>
      </c>
      <c r="B2970" t="s">
        <v>138</v>
      </c>
      <c r="C2970" t="s">
        <v>136</v>
      </c>
      <c r="D2970" t="s">
        <v>57</v>
      </c>
      <c r="E2970" t="s">
        <v>53</v>
      </c>
      <c r="F2970" t="s">
        <v>114</v>
      </c>
      <c r="G2970">
        <v>119598</v>
      </c>
      <c r="H2970" s="75">
        <v>44079</v>
      </c>
      <c r="I2970" t="s">
        <v>115</v>
      </c>
      <c r="J2970">
        <v>5000</v>
      </c>
      <c r="K2970">
        <v>137.46700000000001</v>
      </c>
      <c r="L2970">
        <v>36.372300000000003</v>
      </c>
      <c r="M2970">
        <v>16347.683000000001</v>
      </c>
      <c r="N2970" t="s">
        <v>15</v>
      </c>
    </row>
    <row r="2971" spans="1:14" x14ac:dyDescent="0.2">
      <c r="A2971" t="s">
        <v>56</v>
      </c>
      <c r="B2971" t="s">
        <v>138</v>
      </c>
      <c r="C2971" t="s">
        <v>136</v>
      </c>
      <c r="D2971" t="s">
        <v>57</v>
      </c>
      <c r="E2971" t="s">
        <v>53</v>
      </c>
      <c r="F2971" t="s">
        <v>114</v>
      </c>
      <c r="G2971">
        <v>119598</v>
      </c>
      <c r="H2971" s="75">
        <v>44109</v>
      </c>
      <c r="I2971" t="s">
        <v>115</v>
      </c>
      <c r="J2971">
        <v>5000</v>
      </c>
      <c r="K2971">
        <v>137.148</v>
      </c>
      <c r="L2971">
        <v>36.457000000000001</v>
      </c>
      <c r="M2971">
        <v>16484.830999999998</v>
      </c>
      <c r="N2971" t="s">
        <v>15</v>
      </c>
    </row>
    <row r="2972" spans="1:14" x14ac:dyDescent="0.2">
      <c r="A2972" t="s">
        <v>56</v>
      </c>
      <c r="B2972" t="s">
        <v>138</v>
      </c>
      <c r="C2972" t="s">
        <v>136</v>
      </c>
      <c r="D2972" t="s">
        <v>57</v>
      </c>
      <c r="E2972" t="s">
        <v>53</v>
      </c>
      <c r="F2972" t="s">
        <v>114</v>
      </c>
      <c r="G2972">
        <v>119598</v>
      </c>
      <c r="H2972" s="75">
        <v>44109</v>
      </c>
      <c r="I2972" t="s">
        <v>116</v>
      </c>
      <c r="J2972">
        <v>2.5</v>
      </c>
      <c r="K2972">
        <v>0</v>
      </c>
      <c r="M2972">
        <v>16484.830999999998</v>
      </c>
      <c r="N2972" t="s">
        <v>17</v>
      </c>
    </row>
    <row r="2973" spans="1:14" x14ac:dyDescent="0.2">
      <c r="A2973" t="s">
        <v>56</v>
      </c>
      <c r="B2973" t="s">
        <v>138</v>
      </c>
      <c r="C2973" t="s">
        <v>136</v>
      </c>
      <c r="D2973" t="s">
        <v>57</v>
      </c>
      <c r="E2973" t="s">
        <v>53</v>
      </c>
      <c r="F2973" t="s">
        <v>114</v>
      </c>
      <c r="G2973">
        <v>119598</v>
      </c>
      <c r="H2973" s="75">
        <v>44139</v>
      </c>
      <c r="I2973" t="s">
        <v>115</v>
      </c>
      <c r="J2973">
        <v>5000</v>
      </c>
      <c r="K2973">
        <v>139.87299999999999</v>
      </c>
      <c r="L2973">
        <v>35.746699999999997</v>
      </c>
      <c r="M2973">
        <v>16624.704000000002</v>
      </c>
      <c r="N2973" t="s">
        <v>15</v>
      </c>
    </row>
    <row r="2974" spans="1:14" x14ac:dyDescent="0.2">
      <c r="A2974" t="s">
        <v>56</v>
      </c>
      <c r="B2974" t="s">
        <v>138</v>
      </c>
      <c r="C2974" t="s">
        <v>136</v>
      </c>
      <c r="D2974" t="s">
        <v>57</v>
      </c>
      <c r="E2974" t="s">
        <v>53</v>
      </c>
      <c r="F2974" t="s">
        <v>114</v>
      </c>
      <c r="G2974">
        <v>119598</v>
      </c>
      <c r="H2974" s="75">
        <v>44169</v>
      </c>
      <c r="I2974" t="s">
        <v>115</v>
      </c>
      <c r="J2974">
        <v>5000</v>
      </c>
      <c r="K2974">
        <v>137.08500000000001</v>
      </c>
      <c r="L2974">
        <v>36.473799999999997</v>
      </c>
      <c r="M2974">
        <v>16761.789000000001</v>
      </c>
      <c r="N2974" t="s">
        <v>15</v>
      </c>
    </row>
    <row r="2975" spans="1:14" x14ac:dyDescent="0.2">
      <c r="A2975" t="s">
        <v>56</v>
      </c>
      <c r="B2975" t="s">
        <v>138</v>
      </c>
      <c r="C2975" t="s">
        <v>136</v>
      </c>
      <c r="D2975" t="s">
        <v>57</v>
      </c>
      <c r="E2975" t="s">
        <v>53</v>
      </c>
      <c r="F2975" t="s">
        <v>114</v>
      </c>
      <c r="G2975">
        <v>119598</v>
      </c>
      <c r="H2975" s="75">
        <v>44199</v>
      </c>
      <c r="I2975" t="s">
        <v>115</v>
      </c>
      <c r="J2975">
        <v>5000</v>
      </c>
      <c r="K2975">
        <v>138.49199999999999</v>
      </c>
      <c r="L2975">
        <v>36.103200000000001</v>
      </c>
      <c r="M2975">
        <v>16900.280999999999</v>
      </c>
      <c r="N2975" t="s">
        <v>15</v>
      </c>
    </row>
    <row r="2976" spans="1:14" x14ac:dyDescent="0.2">
      <c r="A2976" t="s">
        <v>56</v>
      </c>
      <c r="B2976" t="s">
        <v>138</v>
      </c>
      <c r="C2976" t="s">
        <v>136</v>
      </c>
      <c r="D2976" t="s">
        <v>57</v>
      </c>
      <c r="E2976" t="s">
        <v>53</v>
      </c>
      <c r="F2976" t="s">
        <v>114</v>
      </c>
      <c r="G2976">
        <v>119598</v>
      </c>
      <c r="H2976" s="75">
        <v>44229</v>
      </c>
      <c r="I2976" t="s">
        <v>115</v>
      </c>
      <c r="J2976">
        <v>5000</v>
      </c>
      <c r="K2976">
        <v>136.18100000000001</v>
      </c>
      <c r="L2976">
        <v>36.715699999999998</v>
      </c>
      <c r="M2976">
        <v>17036.462</v>
      </c>
      <c r="N2976" t="s">
        <v>15</v>
      </c>
    </row>
    <row r="2977" spans="1:14" x14ac:dyDescent="0.2">
      <c r="A2977" t="s">
        <v>56</v>
      </c>
      <c r="B2977" t="s">
        <v>138</v>
      </c>
      <c r="C2977" t="s">
        <v>136</v>
      </c>
      <c r="D2977" t="s">
        <v>57</v>
      </c>
      <c r="E2977" t="s">
        <v>53</v>
      </c>
      <c r="F2977" t="s">
        <v>114</v>
      </c>
      <c r="G2977">
        <v>119598</v>
      </c>
      <c r="H2977" s="75">
        <v>44259</v>
      </c>
      <c r="I2977" t="s">
        <v>115</v>
      </c>
      <c r="J2977">
        <v>5000</v>
      </c>
      <c r="K2977">
        <v>137.369</v>
      </c>
      <c r="L2977">
        <v>36.398400000000002</v>
      </c>
      <c r="M2977">
        <v>17173.830999999998</v>
      </c>
      <c r="N2977" t="s">
        <v>15</v>
      </c>
    </row>
    <row r="2978" spans="1:14" x14ac:dyDescent="0.2">
      <c r="A2978" t="s">
        <v>56</v>
      </c>
      <c r="B2978" t="s">
        <v>138</v>
      </c>
      <c r="C2978" t="s">
        <v>136</v>
      </c>
      <c r="D2978" t="s">
        <v>57</v>
      </c>
      <c r="E2978" t="s">
        <v>53</v>
      </c>
      <c r="F2978" t="s">
        <v>114</v>
      </c>
      <c r="G2978">
        <v>119598</v>
      </c>
      <c r="H2978" s="75">
        <v>44259</v>
      </c>
      <c r="I2978" t="s">
        <v>117</v>
      </c>
      <c r="J2978">
        <v>2.5</v>
      </c>
      <c r="K2978">
        <v>0</v>
      </c>
      <c r="M2978">
        <v>17173.830999999998</v>
      </c>
      <c r="N2978" t="s">
        <v>46</v>
      </c>
    </row>
    <row r="2979" spans="1:14" x14ac:dyDescent="0.2">
      <c r="A2979" t="s">
        <v>56</v>
      </c>
      <c r="B2979" t="s">
        <v>138</v>
      </c>
      <c r="C2979" t="s">
        <v>136</v>
      </c>
      <c r="D2979" t="s">
        <v>57</v>
      </c>
      <c r="E2979" t="s">
        <v>53</v>
      </c>
      <c r="F2979" t="s">
        <v>114</v>
      </c>
      <c r="G2979">
        <v>119598</v>
      </c>
      <c r="H2979" s="75">
        <v>44289</v>
      </c>
      <c r="I2979" t="s">
        <v>115</v>
      </c>
      <c r="J2979">
        <v>5000</v>
      </c>
      <c r="K2979">
        <v>136.71199999999999</v>
      </c>
      <c r="L2979">
        <v>36.573300000000003</v>
      </c>
      <c r="M2979">
        <v>17310.543000000001</v>
      </c>
      <c r="N2979" t="s">
        <v>15</v>
      </c>
    </row>
    <row r="2980" spans="1:14" x14ac:dyDescent="0.2">
      <c r="A2980" t="s">
        <v>56</v>
      </c>
      <c r="B2980" t="s">
        <v>138</v>
      </c>
      <c r="C2980" t="s">
        <v>136</v>
      </c>
      <c r="D2980" t="s">
        <v>57</v>
      </c>
      <c r="E2980" t="s">
        <v>53</v>
      </c>
      <c r="F2980" t="s">
        <v>114</v>
      </c>
      <c r="G2980">
        <v>119598</v>
      </c>
      <c r="H2980" s="75">
        <v>44319</v>
      </c>
      <c r="I2980" t="s">
        <v>115</v>
      </c>
      <c r="J2980">
        <v>5000</v>
      </c>
      <c r="K2980">
        <v>135.726</v>
      </c>
      <c r="L2980">
        <v>36.838799999999999</v>
      </c>
      <c r="M2980">
        <v>17446.269</v>
      </c>
      <c r="N2980" t="s">
        <v>15</v>
      </c>
    </row>
    <row r="2981" spans="1:14" x14ac:dyDescent="0.2">
      <c r="A2981" t="s">
        <v>56</v>
      </c>
      <c r="B2981" t="s">
        <v>138</v>
      </c>
      <c r="C2981" t="s">
        <v>136</v>
      </c>
      <c r="D2981" t="s">
        <v>57</v>
      </c>
      <c r="E2981" t="s">
        <v>53</v>
      </c>
      <c r="F2981" t="s">
        <v>114</v>
      </c>
      <c r="G2981">
        <v>119598</v>
      </c>
      <c r="H2981" s="75">
        <v>44349</v>
      </c>
      <c r="I2981" t="s">
        <v>115</v>
      </c>
      <c r="J2981">
        <v>5000</v>
      </c>
      <c r="K2981">
        <v>138.40299999999999</v>
      </c>
      <c r="L2981">
        <v>36.126399999999997</v>
      </c>
      <c r="M2981">
        <v>17584.671999999999</v>
      </c>
      <c r="N2981" t="s">
        <v>15</v>
      </c>
    </row>
    <row r="2982" spans="1:14" x14ac:dyDescent="0.2">
      <c r="A2982" t="s">
        <v>56</v>
      </c>
      <c r="B2982" t="s">
        <v>138</v>
      </c>
      <c r="C2982" t="s">
        <v>136</v>
      </c>
      <c r="D2982" t="s">
        <v>57</v>
      </c>
      <c r="E2982" t="s">
        <v>53</v>
      </c>
      <c r="F2982" t="s">
        <v>114</v>
      </c>
      <c r="G2982">
        <v>119598</v>
      </c>
      <c r="H2982" s="75">
        <v>44379</v>
      </c>
      <c r="I2982" t="s">
        <v>115</v>
      </c>
      <c r="J2982">
        <v>5000</v>
      </c>
      <c r="K2982">
        <v>138.90199999999999</v>
      </c>
      <c r="L2982">
        <v>35.996600000000001</v>
      </c>
      <c r="M2982">
        <v>17723.574000000001</v>
      </c>
      <c r="N2982" t="s">
        <v>15</v>
      </c>
    </row>
    <row r="2983" spans="1:14" x14ac:dyDescent="0.2">
      <c r="A2983" t="s">
        <v>56</v>
      </c>
      <c r="B2983" t="s">
        <v>138</v>
      </c>
      <c r="C2983" t="s">
        <v>136</v>
      </c>
      <c r="D2983" t="s">
        <v>57</v>
      </c>
      <c r="E2983" t="s">
        <v>53</v>
      </c>
      <c r="F2983" t="s">
        <v>114</v>
      </c>
      <c r="G2983">
        <v>119598</v>
      </c>
      <c r="H2983" s="75">
        <v>44379</v>
      </c>
      <c r="I2983" t="s">
        <v>117</v>
      </c>
      <c r="J2983">
        <v>2.5</v>
      </c>
      <c r="K2983">
        <v>0</v>
      </c>
      <c r="M2983">
        <v>17723.574000000001</v>
      </c>
      <c r="N2983" t="s">
        <v>46</v>
      </c>
    </row>
    <row r="2984" spans="1:14" x14ac:dyDescent="0.2">
      <c r="A2984" t="s">
        <v>56</v>
      </c>
      <c r="B2984" t="s">
        <v>138</v>
      </c>
      <c r="C2984" t="s">
        <v>136</v>
      </c>
      <c r="D2984" t="s">
        <v>57</v>
      </c>
      <c r="E2984" t="s">
        <v>53</v>
      </c>
      <c r="F2984" t="s">
        <v>114</v>
      </c>
      <c r="G2984">
        <v>119598</v>
      </c>
      <c r="H2984" s="75">
        <v>44409</v>
      </c>
      <c r="I2984" t="s">
        <v>115</v>
      </c>
      <c r="J2984">
        <v>5000</v>
      </c>
      <c r="K2984">
        <v>141.148</v>
      </c>
      <c r="L2984">
        <v>35.423900000000003</v>
      </c>
      <c r="M2984">
        <v>17864.722000000002</v>
      </c>
      <c r="N2984" t="s">
        <v>15</v>
      </c>
    </row>
    <row r="2985" spans="1:14" x14ac:dyDescent="0.2">
      <c r="A2985" t="s">
        <v>56</v>
      </c>
      <c r="B2985" t="s">
        <v>138</v>
      </c>
      <c r="C2985" t="s">
        <v>136</v>
      </c>
      <c r="D2985" t="s">
        <v>57</v>
      </c>
      <c r="E2985" t="s">
        <v>53</v>
      </c>
      <c r="F2985" t="s">
        <v>114</v>
      </c>
      <c r="G2985">
        <v>119598</v>
      </c>
      <c r="H2985" s="75">
        <v>44439</v>
      </c>
      <c r="I2985" t="s">
        <v>115</v>
      </c>
      <c r="J2985">
        <v>5000</v>
      </c>
      <c r="K2985">
        <v>138.64099999999999</v>
      </c>
      <c r="L2985">
        <v>36.064399999999999</v>
      </c>
      <c r="M2985">
        <v>18003.363000000001</v>
      </c>
      <c r="N2985" t="s">
        <v>15</v>
      </c>
    </row>
    <row r="2986" spans="1:14" x14ac:dyDescent="0.2">
      <c r="A2986" t="s">
        <v>56</v>
      </c>
      <c r="B2986" t="s">
        <v>138</v>
      </c>
      <c r="C2986" t="s">
        <v>136</v>
      </c>
      <c r="D2986" t="s">
        <v>57</v>
      </c>
      <c r="E2986" t="s">
        <v>53</v>
      </c>
      <c r="F2986" t="s">
        <v>114</v>
      </c>
      <c r="G2986">
        <v>119598</v>
      </c>
      <c r="H2986" s="75">
        <v>44469</v>
      </c>
      <c r="I2986" t="s">
        <v>115</v>
      </c>
      <c r="J2986">
        <v>5000</v>
      </c>
      <c r="K2986">
        <v>140.90299999999999</v>
      </c>
      <c r="L2986">
        <v>35.485399999999998</v>
      </c>
      <c r="M2986">
        <v>18144.266</v>
      </c>
      <c r="N2986" t="s">
        <v>15</v>
      </c>
    </row>
    <row r="2987" spans="1:14" x14ac:dyDescent="0.2">
      <c r="A2987" t="s">
        <v>56</v>
      </c>
      <c r="B2987" t="s">
        <v>138</v>
      </c>
      <c r="C2987" t="s">
        <v>136</v>
      </c>
      <c r="D2987" t="s">
        <v>57</v>
      </c>
      <c r="E2987" t="s">
        <v>53</v>
      </c>
      <c r="F2987" t="s">
        <v>114</v>
      </c>
      <c r="G2987">
        <v>119598</v>
      </c>
      <c r="H2987" s="75">
        <v>44499</v>
      </c>
      <c r="I2987" t="s">
        <v>115</v>
      </c>
      <c r="J2987">
        <v>5000</v>
      </c>
      <c r="K2987">
        <v>137.03700000000001</v>
      </c>
      <c r="L2987">
        <v>36.486400000000003</v>
      </c>
      <c r="M2987">
        <v>18281.303</v>
      </c>
      <c r="N2987" t="s">
        <v>15</v>
      </c>
    </row>
    <row r="2988" spans="1:14" x14ac:dyDescent="0.2">
      <c r="A2988" t="s">
        <v>56</v>
      </c>
      <c r="B2988" t="s">
        <v>138</v>
      </c>
      <c r="C2988" t="s">
        <v>136</v>
      </c>
      <c r="D2988" t="s">
        <v>57</v>
      </c>
      <c r="E2988" t="s">
        <v>53</v>
      </c>
      <c r="F2988" t="s">
        <v>114</v>
      </c>
      <c r="G2988">
        <v>119598</v>
      </c>
      <c r="H2988" s="75">
        <v>44529</v>
      </c>
      <c r="I2988" t="s">
        <v>115</v>
      </c>
      <c r="J2988">
        <v>5000</v>
      </c>
      <c r="K2988">
        <v>135.34299999999999</v>
      </c>
      <c r="L2988">
        <v>36.943100000000001</v>
      </c>
      <c r="M2988">
        <v>18416.647000000001</v>
      </c>
      <c r="N2988" t="s">
        <v>15</v>
      </c>
    </row>
    <row r="2989" spans="1:14" x14ac:dyDescent="0.2">
      <c r="A2989" t="s">
        <v>56</v>
      </c>
      <c r="B2989" t="s">
        <v>138</v>
      </c>
      <c r="C2989" t="s">
        <v>136</v>
      </c>
      <c r="D2989" t="s">
        <v>57</v>
      </c>
      <c r="E2989" t="s">
        <v>53</v>
      </c>
      <c r="F2989" t="s">
        <v>114</v>
      </c>
      <c r="G2989">
        <v>119598</v>
      </c>
      <c r="H2989" s="75">
        <v>44529</v>
      </c>
      <c r="I2989" t="s">
        <v>116</v>
      </c>
      <c r="J2989">
        <v>2.5</v>
      </c>
      <c r="K2989">
        <v>0</v>
      </c>
      <c r="M2989">
        <v>18416.647000000001</v>
      </c>
      <c r="N2989" t="s">
        <v>17</v>
      </c>
    </row>
    <row r="2990" spans="1:14" x14ac:dyDescent="0.2">
      <c r="A2990" t="s">
        <v>56</v>
      </c>
      <c r="B2990" t="s">
        <v>138</v>
      </c>
      <c r="C2990" t="s">
        <v>136</v>
      </c>
      <c r="D2990" t="s">
        <v>57</v>
      </c>
      <c r="E2990" t="s">
        <v>53</v>
      </c>
      <c r="F2990" t="s">
        <v>114</v>
      </c>
      <c r="G2990">
        <v>119598</v>
      </c>
      <c r="H2990" s="75">
        <v>44559</v>
      </c>
      <c r="I2990" t="s">
        <v>115</v>
      </c>
      <c r="J2990">
        <v>5000</v>
      </c>
      <c r="K2990">
        <v>134.43299999999999</v>
      </c>
      <c r="L2990">
        <v>37.193199999999997</v>
      </c>
      <c r="M2990">
        <v>18551.080000000002</v>
      </c>
      <c r="N2990" t="s">
        <v>15</v>
      </c>
    </row>
    <row r="2991" spans="1:14" x14ac:dyDescent="0.2">
      <c r="A2991" t="s">
        <v>56</v>
      </c>
      <c r="B2991" t="s">
        <v>138</v>
      </c>
      <c r="C2991" t="s">
        <v>136</v>
      </c>
      <c r="D2991" t="s">
        <v>57</v>
      </c>
      <c r="E2991" t="s">
        <v>53</v>
      </c>
      <c r="F2991" t="s">
        <v>114</v>
      </c>
      <c r="G2991">
        <v>119598</v>
      </c>
      <c r="H2991" s="75">
        <v>44589</v>
      </c>
      <c r="I2991" t="s">
        <v>115</v>
      </c>
      <c r="J2991">
        <v>5000</v>
      </c>
      <c r="K2991">
        <v>131.19200000000001</v>
      </c>
      <c r="L2991">
        <v>38.112000000000002</v>
      </c>
      <c r="M2991">
        <v>18682.272000000001</v>
      </c>
      <c r="N2991" t="s">
        <v>15</v>
      </c>
    </row>
    <row r="2992" spans="1:14" x14ac:dyDescent="0.2">
      <c r="A2992" t="s">
        <v>56</v>
      </c>
      <c r="B2992" t="s">
        <v>138</v>
      </c>
      <c r="C2992" t="s">
        <v>136</v>
      </c>
      <c r="D2992" t="s">
        <v>57</v>
      </c>
      <c r="E2992" t="s">
        <v>53</v>
      </c>
      <c r="F2992" t="s">
        <v>114</v>
      </c>
      <c r="G2992">
        <v>119598</v>
      </c>
      <c r="H2992" s="75">
        <v>44619</v>
      </c>
      <c r="I2992" t="s">
        <v>115</v>
      </c>
      <c r="J2992">
        <v>5000</v>
      </c>
      <c r="K2992">
        <v>129.22800000000001</v>
      </c>
      <c r="L2992">
        <v>38.691400000000002</v>
      </c>
      <c r="M2992">
        <v>18811.5</v>
      </c>
      <c r="N2992" t="s">
        <v>15</v>
      </c>
    </row>
    <row r="2993" spans="1:14" x14ac:dyDescent="0.2">
      <c r="A2993" t="s">
        <v>56</v>
      </c>
      <c r="B2993" t="s">
        <v>138</v>
      </c>
      <c r="C2993" t="s">
        <v>136</v>
      </c>
      <c r="D2993" t="s">
        <v>57</v>
      </c>
      <c r="E2993" t="s">
        <v>53</v>
      </c>
      <c r="F2993" t="s">
        <v>114</v>
      </c>
      <c r="G2993">
        <v>119598</v>
      </c>
      <c r="H2993" s="75">
        <v>44649</v>
      </c>
      <c r="I2993" t="s">
        <v>115</v>
      </c>
      <c r="J2993">
        <v>5000</v>
      </c>
      <c r="K2993">
        <v>127.32</v>
      </c>
      <c r="L2993">
        <v>39.2712</v>
      </c>
      <c r="M2993">
        <v>18938.82</v>
      </c>
      <c r="N2993" t="s">
        <v>15</v>
      </c>
    </row>
    <row r="2994" spans="1:14" x14ac:dyDescent="0.2">
      <c r="A2994" t="s">
        <v>56</v>
      </c>
      <c r="B2994" t="s">
        <v>138</v>
      </c>
      <c r="C2994" t="s">
        <v>136</v>
      </c>
      <c r="D2994" t="s">
        <v>57</v>
      </c>
      <c r="E2994" t="s">
        <v>53</v>
      </c>
      <c r="F2994" t="s">
        <v>114</v>
      </c>
      <c r="G2994">
        <v>119598</v>
      </c>
      <c r="H2994" s="75">
        <v>44679</v>
      </c>
      <c r="I2994" t="s">
        <v>115</v>
      </c>
      <c r="J2994">
        <v>5000</v>
      </c>
      <c r="K2994">
        <v>128.58699999999999</v>
      </c>
      <c r="L2994">
        <v>38.884300000000003</v>
      </c>
      <c r="M2994">
        <v>19067.405999999999</v>
      </c>
      <c r="N2994" t="s">
        <v>15</v>
      </c>
    </row>
    <row r="2995" spans="1:14" x14ac:dyDescent="0.2">
      <c r="A2995" t="s">
        <v>56</v>
      </c>
      <c r="B2995" t="s">
        <v>138</v>
      </c>
      <c r="C2995" t="s">
        <v>136</v>
      </c>
      <c r="D2995" t="s">
        <v>57</v>
      </c>
      <c r="E2995" t="s">
        <v>53</v>
      </c>
      <c r="F2995" t="s">
        <v>114</v>
      </c>
      <c r="G2995">
        <v>119598</v>
      </c>
      <c r="H2995" s="75">
        <v>44709</v>
      </c>
      <c r="I2995" t="s">
        <v>115</v>
      </c>
      <c r="J2995">
        <v>5000</v>
      </c>
      <c r="K2995">
        <v>129.15299999999999</v>
      </c>
      <c r="L2995">
        <v>38.713700000000003</v>
      </c>
      <c r="M2995">
        <v>19196.560000000001</v>
      </c>
      <c r="N2995" t="s">
        <v>15</v>
      </c>
    </row>
    <row r="2996" spans="1:14" x14ac:dyDescent="0.2">
      <c r="A2996" t="s">
        <v>56</v>
      </c>
      <c r="B2996" t="s">
        <v>138</v>
      </c>
      <c r="C2996" t="s">
        <v>136</v>
      </c>
      <c r="D2996" t="s">
        <v>57</v>
      </c>
      <c r="E2996" t="s">
        <v>53</v>
      </c>
      <c r="F2996" t="s">
        <v>114</v>
      </c>
      <c r="G2996">
        <v>119598</v>
      </c>
      <c r="H2996" s="75">
        <v>44739</v>
      </c>
      <c r="I2996" t="s">
        <v>115</v>
      </c>
      <c r="J2996">
        <v>5000</v>
      </c>
      <c r="K2996">
        <v>129.09200000000001</v>
      </c>
      <c r="L2996">
        <v>38.731999999999999</v>
      </c>
      <c r="M2996">
        <v>19325.651999999998</v>
      </c>
      <c r="N2996" t="s">
        <v>15</v>
      </c>
    </row>
    <row r="2997" spans="1:14" x14ac:dyDescent="0.2">
      <c r="A2997" t="s">
        <v>56</v>
      </c>
      <c r="B2997" t="s">
        <v>138</v>
      </c>
      <c r="C2997" t="s">
        <v>136</v>
      </c>
      <c r="D2997" t="s">
        <v>57</v>
      </c>
      <c r="E2997" t="s">
        <v>53</v>
      </c>
      <c r="F2997" t="s">
        <v>114</v>
      </c>
      <c r="G2997">
        <v>119598</v>
      </c>
      <c r="H2997" s="75">
        <v>44769</v>
      </c>
      <c r="I2997" t="s">
        <v>115</v>
      </c>
      <c r="J2997">
        <v>5000</v>
      </c>
      <c r="K2997">
        <v>125.67700000000001</v>
      </c>
      <c r="L2997">
        <v>39.784500000000001</v>
      </c>
      <c r="M2997">
        <v>19451.329000000002</v>
      </c>
      <c r="N2997" t="s">
        <v>15</v>
      </c>
    </row>
    <row r="2998" spans="1:14" x14ac:dyDescent="0.2">
      <c r="A2998" t="s">
        <v>56</v>
      </c>
      <c r="B2998" t="s">
        <v>138</v>
      </c>
      <c r="C2998" t="s">
        <v>136</v>
      </c>
      <c r="D2998" t="s">
        <v>57</v>
      </c>
      <c r="E2998" t="s">
        <v>53</v>
      </c>
      <c r="F2998" t="s">
        <v>114</v>
      </c>
      <c r="G2998">
        <v>119598</v>
      </c>
      <c r="H2998" s="75">
        <v>44799</v>
      </c>
      <c r="I2998" t="s">
        <v>115</v>
      </c>
      <c r="J2998">
        <v>5000</v>
      </c>
      <c r="K2998">
        <v>123.539</v>
      </c>
      <c r="L2998">
        <v>40.473199999999999</v>
      </c>
      <c r="M2998">
        <v>19574.866999999998</v>
      </c>
      <c r="N2998" t="s">
        <v>15</v>
      </c>
    </row>
    <row r="2999" spans="1:14" x14ac:dyDescent="0.2">
      <c r="A2999" t="s">
        <v>56</v>
      </c>
      <c r="B2999" t="s">
        <v>138</v>
      </c>
      <c r="C2999" t="s">
        <v>136</v>
      </c>
      <c r="D2999" t="s">
        <v>57</v>
      </c>
      <c r="E2999" t="s">
        <v>53</v>
      </c>
      <c r="F2999" t="s">
        <v>114</v>
      </c>
      <c r="G2999">
        <v>119598</v>
      </c>
      <c r="H2999" s="75">
        <v>44829</v>
      </c>
      <c r="I2999" t="s">
        <v>115</v>
      </c>
      <c r="J2999">
        <v>5000</v>
      </c>
      <c r="K2999">
        <v>121.512</v>
      </c>
      <c r="L2999">
        <v>41.148099999999999</v>
      </c>
      <c r="M2999">
        <v>19696.38</v>
      </c>
      <c r="N2999" t="s">
        <v>15</v>
      </c>
    </row>
    <row r="3000" spans="1:14" x14ac:dyDescent="0.2">
      <c r="A3000" t="s">
        <v>56</v>
      </c>
      <c r="B3000" t="s">
        <v>138</v>
      </c>
      <c r="C3000" t="s">
        <v>136</v>
      </c>
      <c r="D3000" t="s">
        <v>57</v>
      </c>
      <c r="E3000" t="s">
        <v>53</v>
      </c>
      <c r="F3000" t="s">
        <v>114</v>
      </c>
      <c r="G3000">
        <v>119598</v>
      </c>
      <c r="H3000" s="75">
        <v>44829</v>
      </c>
      <c r="I3000" t="s">
        <v>116</v>
      </c>
      <c r="J3000">
        <v>2.5</v>
      </c>
      <c r="K3000">
        <v>0</v>
      </c>
      <c r="M3000">
        <v>19696.38</v>
      </c>
      <c r="N3000" t="s">
        <v>17</v>
      </c>
    </row>
    <row r="3001" spans="1:14" x14ac:dyDescent="0.2">
      <c r="A3001" t="s">
        <v>56</v>
      </c>
      <c r="B3001" t="s">
        <v>138</v>
      </c>
      <c r="C3001" t="s">
        <v>136</v>
      </c>
      <c r="D3001" t="s">
        <v>57</v>
      </c>
      <c r="E3001" t="s">
        <v>53</v>
      </c>
      <c r="F3001" t="s">
        <v>114</v>
      </c>
      <c r="G3001">
        <v>119598</v>
      </c>
      <c r="H3001" s="75">
        <v>44859</v>
      </c>
      <c r="I3001" t="s">
        <v>115</v>
      </c>
      <c r="J3001">
        <v>5000</v>
      </c>
      <c r="K3001">
        <v>122.783</v>
      </c>
      <c r="L3001">
        <v>40.722299999999997</v>
      </c>
      <c r="M3001">
        <v>19819.163</v>
      </c>
      <c r="N3001" t="s">
        <v>15</v>
      </c>
    </row>
    <row r="3002" spans="1:14" x14ac:dyDescent="0.2">
      <c r="A3002" t="s">
        <v>56</v>
      </c>
      <c r="B3002" t="s">
        <v>138</v>
      </c>
      <c r="C3002" t="s">
        <v>136</v>
      </c>
      <c r="D3002" t="s">
        <v>57</v>
      </c>
      <c r="E3002" t="s">
        <v>53</v>
      </c>
      <c r="F3002" t="s">
        <v>114</v>
      </c>
      <c r="G3002">
        <v>119598</v>
      </c>
      <c r="H3002" s="75">
        <v>44889</v>
      </c>
      <c r="I3002" t="s">
        <v>115</v>
      </c>
      <c r="J3002">
        <v>5000</v>
      </c>
      <c r="K3002">
        <v>121.194</v>
      </c>
      <c r="L3002">
        <v>41.256100000000004</v>
      </c>
      <c r="M3002">
        <v>19940.357</v>
      </c>
      <c r="N3002" t="s">
        <v>15</v>
      </c>
    </row>
    <row r="3003" spans="1:14" x14ac:dyDescent="0.2">
      <c r="A3003" t="s">
        <v>56</v>
      </c>
      <c r="B3003" t="s">
        <v>138</v>
      </c>
      <c r="C3003" t="s">
        <v>136</v>
      </c>
      <c r="D3003" t="s">
        <v>57</v>
      </c>
      <c r="E3003" t="s">
        <v>53</v>
      </c>
      <c r="F3003" t="s">
        <v>114</v>
      </c>
      <c r="G3003">
        <v>119598</v>
      </c>
      <c r="H3003" s="75">
        <v>44919</v>
      </c>
      <c r="I3003" t="s">
        <v>115</v>
      </c>
      <c r="J3003">
        <v>5000</v>
      </c>
      <c r="K3003">
        <v>119.78400000000001</v>
      </c>
      <c r="L3003">
        <v>41.741900000000001</v>
      </c>
      <c r="M3003">
        <v>20060.141</v>
      </c>
      <c r="N3003" t="s">
        <v>15</v>
      </c>
    </row>
    <row r="3004" spans="1:14" x14ac:dyDescent="0.2">
      <c r="A3004" t="s">
        <v>56</v>
      </c>
      <c r="B3004" t="s">
        <v>138</v>
      </c>
      <c r="C3004" t="s">
        <v>136</v>
      </c>
      <c r="D3004" t="s">
        <v>57</v>
      </c>
      <c r="E3004" t="s">
        <v>53</v>
      </c>
      <c r="F3004" t="s">
        <v>114</v>
      </c>
      <c r="G3004">
        <v>119598</v>
      </c>
      <c r="H3004" s="75">
        <v>44949</v>
      </c>
      <c r="I3004" t="s">
        <v>115</v>
      </c>
      <c r="J3004">
        <v>5000</v>
      </c>
      <c r="K3004">
        <v>121.149</v>
      </c>
      <c r="L3004">
        <v>41.2714</v>
      </c>
      <c r="M3004">
        <v>20181.29</v>
      </c>
      <c r="N3004" t="s">
        <v>15</v>
      </c>
    </row>
    <row r="3005" spans="1:14" x14ac:dyDescent="0.2">
      <c r="A3005" t="s">
        <v>56</v>
      </c>
      <c r="B3005" t="s">
        <v>138</v>
      </c>
      <c r="C3005" t="s">
        <v>136</v>
      </c>
      <c r="D3005" t="s">
        <v>57</v>
      </c>
      <c r="E3005" t="s">
        <v>53</v>
      </c>
      <c r="F3005" t="s">
        <v>114</v>
      </c>
      <c r="G3005">
        <v>119598</v>
      </c>
      <c r="H3005" s="75">
        <v>44949</v>
      </c>
      <c r="I3005" t="s">
        <v>117</v>
      </c>
      <c r="J3005">
        <v>2.5</v>
      </c>
      <c r="K3005">
        <v>0</v>
      </c>
      <c r="M3005">
        <v>20181.29</v>
      </c>
      <c r="N3005" t="s">
        <v>46</v>
      </c>
    </row>
    <row r="3006" spans="1:14" x14ac:dyDescent="0.2">
      <c r="A3006" t="s">
        <v>56</v>
      </c>
      <c r="B3006" t="s">
        <v>138</v>
      </c>
      <c r="C3006" t="s">
        <v>136</v>
      </c>
      <c r="D3006" t="s">
        <v>57</v>
      </c>
      <c r="E3006" t="s">
        <v>53</v>
      </c>
      <c r="F3006" t="s">
        <v>114</v>
      </c>
      <c r="G3006">
        <v>119598</v>
      </c>
      <c r="H3006" s="75">
        <v>44979</v>
      </c>
      <c r="I3006" t="s">
        <v>115</v>
      </c>
      <c r="J3006">
        <v>5000</v>
      </c>
      <c r="K3006">
        <v>120.4</v>
      </c>
      <c r="L3006">
        <v>41.528199999999998</v>
      </c>
      <c r="M3006">
        <v>20301.689999999999</v>
      </c>
      <c r="N3006" t="s">
        <v>15</v>
      </c>
    </row>
    <row r="3007" spans="1:14" x14ac:dyDescent="0.2">
      <c r="A3007" t="s">
        <v>56</v>
      </c>
      <c r="B3007" t="s">
        <v>138</v>
      </c>
      <c r="C3007" t="s">
        <v>136</v>
      </c>
      <c r="D3007" t="s">
        <v>57</v>
      </c>
      <c r="E3007" t="s">
        <v>53</v>
      </c>
      <c r="F3007" t="s">
        <v>114</v>
      </c>
      <c r="G3007">
        <v>119598</v>
      </c>
      <c r="H3007" s="75">
        <v>45009</v>
      </c>
      <c r="I3007" t="s">
        <v>115</v>
      </c>
      <c r="J3007">
        <v>5000</v>
      </c>
      <c r="K3007">
        <v>119.01</v>
      </c>
      <c r="L3007">
        <v>42.013199999999998</v>
      </c>
      <c r="M3007">
        <v>20420.7</v>
      </c>
      <c r="N3007" t="s">
        <v>15</v>
      </c>
    </row>
    <row r="3008" spans="1:14" x14ac:dyDescent="0.2">
      <c r="A3008" t="s">
        <v>56</v>
      </c>
      <c r="B3008" t="s">
        <v>138</v>
      </c>
      <c r="C3008" t="s">
        <v>136</v>
      </c>
      <c r="D3008" t="s">
        <v>57</v>
      </c>
      <c r="E3008" t="s">
        <v>53</v>
      </c>
      <c r="F3008" t="s">
        <v>114</v>
      </c>
      <c r="G3008">
        <v>119598</v>
      </c>
      <c r="H3008" s="75">
        <v>45039</v>
      </c>
      <c r="I3008" t="s">
        <v>115</v>
      </c>
      <c r="J3008">
        <v>5000</v>
      </c>
      <c r="K3008">
        <v>115.922</v>
      </c>
      <c r="L3008">
        <v>43.132399999999997</v>
      </c>
      <c r="M3008">
        <v>20536.621999999999</v>
      </c>
      <c r="N3008" t="s">
        <v>15</v>
      </c>
    </row>
    <row r="3009" spans="1:14" x14ac:dyDescent="0.2">
      <c r="A3009" t="s">
        <v>56</v>
      </c>
      <c r="B3009" t="s">
        <v>138</v>
      </c>
      <c r="C3009" t="s">
        <v>136</v>
      </c>
      <c r="D3009" t="s">
        <v>57</v>
      </c>
      <c r="E3009" t="s">
        <v>53</v>
      </c>
      <c r="F3009" t="s">
        <v>114</v>
      </c>
      <c r="G3009">
        <v>119598</v>
      </c>
      <c r="H3009" s="75">
        <v>45069</v>
      </c>
      <c r="I3009" t="s">
        <v>115</v>
      </c>
      <c r="J3009">
        <v>5000</v>
      </c>
      <c r="K3009">
        <v>117.923</v>
      </c>
      <c r="L3009">
        <v>42.400500000000001</v>
      </c>
      <c r="M3009">
        <v>20654.544999999998</v>
      </c>
      <c r="N3009" t="s">
        <v>15</v>
      </c>
    </row>
    <row r="3010" spans="1:14" x14ac:dyDescent="0.2">
      <c r="A3010" t="s">
        <v>56</v>
      </c>
      <c r="B3010" t="s">
        <v>138</v>
      </c>
      <c r="C3010" t="s">
        <v>136</v>
      </c>
      <c r="D3010" t="s">
        <v>57</v>
      </c>
      <c r="E3010" t="s">
        <v>53</v>
      </c>
      <c r="F3010" t="s">
        <v>114</v>
      </c>
      <c r="G3010">
        <v>119598</v>
      </c>
      <c r="H3010" s="75">
        <v>45069</v>
      </c>
      <c r="I3010" t="s">
        <v>116</v>
      </c>
      <c r="J3010">
        <v>2.5</v>
      </c>
      <c r="K3010">
        <v>0</v>
      </c>
      <c r="M3010">
        <v>20654.544999999998</v>
      </c>
      <c r="N3010" t="s">
        <v>17</v>
      </c>
    </row>
    <row r="3011" spans="1:14" x14ac:dyDescent="0.2">
      <c r="A3011" t="s">
        <v>56</v>
      </c>
      <c r="B3011" t="s">
        <v>138</v>
      </c>
      <c r="C3011" t="s">
        <v>136</v>
      </c>
      <c r="D3011" t="s">
        <v>57</v>
      </c>
      <c r="E3011" t="s">
        <v>53</v>
      </c>
      <c r="F3011" t="s">
        <v>114</v>
      </c>
      <c r="G3011">
        <v>119598</v>
      </c>
      <c r="H3011" s="75">
        <v>45099</v>
      </c>
      <c r="I3011" t="s">
        <v>115</v>
      </c>
      <c r="J3011">
        <v>5000</v>
      </c>
      <c r="K3011">
        <v>118.952</v>
      </c>
      <c r="L3011">
        <v>42.0336</v>
      </c>
      <c r="M3011">
        <v>20773.498</v>
      </c>
      <c r="N3011" t="s">
        <v>15</v>
      </c>
    </row>
    <row r="3012" spans="1:14" x14ac:dyDescent="0.2">
      <c r="A3012" t="s">
        <v>56</v>
      </c>
      <c r="B3012" t="s">
        <v>138</v>
      </c>
      <c r="C3012" t="s">
        <v>136</v>
      </c>
      <c r="D3012" t="s">
        <v>57</v>
      </c>
      <c r="E3012" t="s">
        <v>53</v>
      </c>
      <c r="F3012" t="s">
        <v>114</v>
      </c>
      <c r="G3012">
        <v>119598</v>
      </c>
      <c r="H3012" s="75">
        <v>45099</v>
      </c>
      <c r="I3012" t="s">
        <v>25</v>
      </c>
      <c r="J3012">
        <v>-174636.93</v>
      </c>
      <c r="K3012">
        <v>-4154.7</v>
      </c>
      <c r="L3012">
        <v>42.0336</v>
      </c>
      <c r="M3012">
        <v>16618.797999999999</v>
      </c>
      <c r="N3012" t="s">
        <v>16</v>
      </c>
    </row>
    <row r="3013" spans="1:14" x14ac:dyDescent="0.2">
      <c r="A3013" t="s">
        <v>56</v>
      </c>
      <c r="B3013" t="s">
        <v>138</v>
      </c>
      <c r="C3013" t="s">
        <v>136</v>
      </c>
      <c r="D3013" t="s">
        <v>57</v>
      </c>
      <c r="E3013" t="s">
        <v>53</v>
      </c>
      <c r="F3013" t="s">
        <v>114</v>
      </c>
      <c r="G3013">
        <v>119598</v>
      </c>
      <c r="H3013" s="75">
        <v>45129</v>
      </c>
      <c r="I3013" t="s">
        <v>115</v>
      </c>
      <c r="J3013">
        <v>5000</v>
      </c>
      <c r="K3013">
        <v>116.18899999999999</v>
      </c>
      <c r="L3013">
        <v>43.0334</v>
      </c>
      <c r="M3013">
        <v>16734.987000000001</v>
      </c>
      <c r="N3013" t="s">
        <v>15</v>
      </c>
    </row>
    <row r="3014" spans="1:14" x14ac:dyDescent="0.2">
      <c r="A3014" t="s">
        <v>56</v>
      </c>
      <c r="B3014" t="s">
        <v>138</v>
      </c>
      <c r="C3014" t="s">
        <v>136</v>
      </c>
      <c r="D3014" t="s">
        <v>57</v>
      </c>
      <c r="E3014" t="s">
        <v>53</v>
      </c>
      <c r="F3014" t="s">
        <v>114</v>
      </c>
      <c r="G3014">
        <v>119598</v>
      </c>
      <c r="H3014" s="75">
        <v>45159</v>
      </c>
      <c r="I3014" t="s">
        <v>115</v>
      </c>
      <c r="J3014">
        <v>5000</v>
      </c>
      <c r="K3014">
        <v>116.04900000000001</v>
      </c>
      <c r="L3014">
        <v>43.085299999999997</v>
      </c>
      <c r="M3014">
        <v>16851.036</v>
      </c>
      <c r="N3014" t="s">
        <v>15</v>
      </c>
    </row>
    <row r="3015" spans="1:14" x14ac:dyDescent="0.2">
      <c r="A3015" t="s">
        <v>56</v>
      </c>
      <c r="B3015" t="s">
        <v>138</v>
      </c>
      <c r="C3015" t="s">
        <v>136</v>
      </c>
      <c r="D3015" t="s">
        <v>57</v>
      </c>
      <c r="E3015" t="s">
        <v>53</v>
      </c>
      <c r="F3015" t="s">
        <v>114</v>
      </c>
      <c r="G3015">
        <v>119598</v>
      </c>
      <c r="H3015" s="75">
        <v>45189</v>
      </c>
      <c r="I3015" t="s">
        <v>115</v>
      </c>
      <c r="J3015">
        <v>5000</v>
      </c>
      <c r="K3015">
        <v>114.044</v>
      </c>
      <c r="L3015">
        <v>43.842500000000001</v>
      </c>
      <c r="M3015">
        <v>16965.080000000002</v>
      </c>
      <c r="N3015" t="s">
        <v>15</v>
      </c>
    </row>
    <row r="3016" spans="1:14" x14ac:dyDescent="0.2">
      <c r="A3016" t="s">
        <v>56</v>
      </c>
      <c r="B3016" t="s">
        <v>138</v>
      </c>
      <c r="C3016" t="s">
        <v>136</v>
      </c>
      <c r="D3016" t="s">
        <v>57</v>
      </c>
      <c r="E3016" t="s">
        <v>53</v>
      </c>
      <c r="F3016" t="s">
        <v>114</v>
      </c>
      <c r="G3016">
        <v>119598</v>
      </c>
      <c r="H3016" s="75">
        <v>45219</v>
      </c>
      <c r="I3016" t="s">
        <v>115</v>
      </c>
      <c r="J3016">
        <v>5000</v>
      </c>
      <c r="K3016">
        <v>111.07899999999999</v>
      </c>
      <c r="L3016">
        <v>45.012999999999998</v>
      </c>
      <c r="M3016">
        <v>17076.16</v>
      </c>
      <c r="N3016" t="s">
        <v>15</v>
      </c>
    </row>
    <row r="3017" spans="1:14" x14ac:dyDescent="0.2">
      <c r="A3017" t="s">
        <v>56</v>
      </c>
      <c r="B3017" t="s">
        <v>138</v>
      </c>
      <c r="C3017" t="s">
        <v>136</v>
      </c>
      <c r="D3017" t="s">
        <v>57</v>
      </c>
      <c r="E3017" t="s">
        <v>53</v>
      </c>
      <c r="F3017" t="s">
        <v>114</v>
      </c>
      <c r="G3017">
        <v>119598</v>
      </c>
      <c r="H3017" s="75">
        <v>45249</v>
      </c>
      <c r="I3017" t="s">
        <v>115</v>
      </c>
      <c r="J3017">
        <v>5000</v>
      </c>
      <c r="K3017">
        <v>112.44199999999999</v>
      </c>
      <c r="L3017">
        <v>44.467300000000002</v>
      </c>
      <c r="M3017">
        <v>17188.601999999999</v>
      </c>
      <c r="N3017" t="s">
        <v>15</v>
      </c>
    </row>
    <row r="3018" spans="1:14" x14ac:dyDescent="0.2">
      <c r="A3018" t="s">
        <v>56</v>
      </c>
      <c r="B3018" t="s">
        <v>138</v>
      </c>
      <c r="C3018" t="s">
        <v>136</v>
      </c>
      <c r="D3018" t="s">
        <v>57</v>
      </c>
      <c r="E3018" t="s">
        <v>53</v>
      </c>
      <c r="F3018" t="s">
        <v>114</v>
      </c>
      <c r="G3018">
        <v>119598</v>
      </c>
      <c r="H3018" s="75">
        <v>45279</v>
      </c>
      <c r="I3018" t="s">
        <v>115</v>
      </c>
      <c r="J3018">
        <v>5000</v>
      </c>
      <c r="K3018">
        <v>112.907</v>
      </c>
      <c r="L3018">
        <v>44.284100000000002</v>
      </c>
      <c r="M3018">
        <v>17301.508999999998</v>
      </c>
      <c r="N3018" t="s">
        <v>15</v>
      </c>
    </row>
    <row r="3019" spans="1:14" x14ac:dyDescent="0.2">
      <c r="A3019" t="s">
        <v>56</v>
      </c>
      <c r="B3019" t="s">
        <v>138</v>
      </c>
      <c r="C3019" t="s">
        <v>136</v>
      </c>
      <c r="D3019" t="s">
        <v>57</v>
      </c>
      <c r="E3019" t="s">
        <v>53</v>
      </c>
      <c r="F3019" t="s">
        <v>114</v>
      </c>
      <c r="G3019">
        <v>119598</v>
      </c>
      <c r="H3019" s="75">
        <v>45309</v>
      </c>
      <c r="I3019" t="s">
        <v>115</v>
      </c>
      <c r="J3019">
        <v>5000</v>
      </c>
      <c r="K3019">
        <v>112.03</v>
      </c>
      <c r="L3019">
        <v>44.630899999999997</v>
      </c>
      <c r="M3019">
        <v>17413.539000000001</v>
      </c>
      <c r="N3019" t="s">
        <v>15</v>
      </c>
    </row>
    <row r="3020" spans="1:14" x14ac:dyDescent="0.2">
      <c r="A3020" t="s">
        <v>56</v>
      </c>
      <c r="B3020" t="s">
        <v>138</v>
      </c>
      <c r="C3020" t="s">
        <v>136</v>
      </c>
      <c r="D3020" t="s">
        <v>57</v>
      </c>
      <c r="E3020" t="s">
        <v>53</v>
      </c>
      <c r="F3020" t="s">
        <v>114</v>
      </c>
      <c r="G3020">
        <v>119598</v>
      </c>
      <c r="H3020" s="75">
        <v>45339</v>
      </c>
      <c r="I3020" t="s">
        <v>115</v>
      </c>
      <c r="J3020">
        <v>5000</v>
      </c>
      <c r="K3020">
        <v>108.77</v>
      </c>
      <c r="L3020">
        <v>45.968400000000003</v>
      </c>
      <c r="M3020">
        <v>17522.309000000001</v>
      </c>
      <c r="N3020" t="s">
        <v>15</v>
      </c>
    </row>
    <row r="3021" spans="1:14" x14ac:dyDescent="0.2">
      <c r="A3021" t="s">
        <v>56</v>
      </c>
      <c r="B3021" t="s">
        <v>138</v>
      </c>
      <c r="C3021" t="s">
        <v>136</v>
      </c>
      <c r="D3021" t="s">
        <v>57</v>
      </c>
      <c r="E3021" t="s">
        <v>53</v>
      </c>
      <c r="F3021" t="s">
        <v>114</v>
      </c>
      <c r="G3021">
        <v>119598</v>
      </c>
      <c r="H3021" s="75">
        <v>45369</v>
      </c>
      <c r="I3021" t="s">
        <v>115</v>
      </c>
      <c r="J3021">
        <v>5000</v>
      </c>
      <c r="K3021">
        <v>110.30500000000001</v>
      </c>
      <c r="L3021">
        <v>45.329000000000001</v>
      </c>
      <c r="M3021">
        <v>17632.614000000001</v>
      </c>
      <c r="N3021" t="s">
        <v>15</v>
      </c>
    </row>
    <row r="3022" spans="1:14" x14ac:dyDescent="0.2">
      <c r="A3022" t="s">
        <v>56</v>
      </c>
      <c r="B3022" t="s">
        <v>138</v>
      </c>
      <c r="C3022" t="s">
        <v>136</v>
      </c>
      <c r="D3022" t="s">
        <v>57</v>
      </c>
      <c r="E3022" t="s">
        <v>53</v>
      </c>
      <c r="F3022" t="s">
        <v>114</v>
      </c>
      <c r="G3022">
        <v>119598</v>
      </c>
      <c r="H3022" s="75">
        <v>45399</v>
      </c>
      <c r="I3022" t="s">
        <v>115</v>
      </c>
      <c r="J3022">
        <v>5000</v>
      </c>
      <c r="K3022">
        <v>110.235</v>
      </c>
      <c r="L3022">
        <v>45.357799999999997</v>
      </c>
      <c r="M3022">
        <v>17742.848999999998</v>
      </c>
      <c r="N3022" t="s">
        <v>15</v>
      </c>
    </row>
    <row r="3023" spans="1:14" x14ac:dyDescent="0.2">
      <c r="A3023" t="s">
        <v>56</v>
      </c>
      <c r="B3023" t="s">
        <v>138</v>
      </c>
      <c r="C3023" t="s">
        <v>136</v>
      </c>
      <c r="D3023" t="s">
        <v>57</v>
      </c>
      <c r="E3023" t="s">
        <v>53</v>
      </c>
      <c r="F3023" t="s">
        <v>114</v>
      </c>
      <c r="G3023">
        <v>119598</v>
      </c>
      <c r="H3023" s="75">
        <v>45429</v>
      </c>
      <c r="I3023" t="s">
        <v>115</v>
      </c>
      <c r="J3023">
        <v>5000</v>
      </c>
      <c r="K3023">
        <v>110.548</v>
      </c>
      <c r="L3023">
        <v>45.229300000000002</v>
      </c>
      <c r="M3023">
        <v>17853.397000000001</v>
      </c>
      <c r="N3023" t="s">
        <v>15</v>
      </c>
    </row>
    <row r="3024" spans="1:14" x14ac:dyDescent="0.2">
      <c r="A3024" t="s">
        <v>56</v>
      </c>
      <c r="B3024" t="s">
        <v>138</v>
      </c>
      <c r="C3024" t="s">
        <v>136</v>
      </c>
      <c r="D3024" t="s">
        <v>57</v>
      </c>
      <c r="E3024" t="s">
        <v>53</v>
      </c>
      <c r="F3024" t="s">
        <v>114</v>
      </c>
      <c r="G3024">
        <v>119598</v>
      </c>
      <c r="H3024" s="75">
        <v>45459</v>
      </c>
      <c r="I3024" t="s">
        <v>115</v>
      </c>
      <c r="J3024">
        <v>5000</v>
      </c>
      <c r="K3024">
        <v>109.111</v>
      </c>
      <c r="L3024">
        <v>45.824800000000003</v>
      </c>
      <c r="M3024">
        <v>17962.508000000002</v>
      </c>
      <c r="N3024" t="s">
        <v>15</v>
      </c>
    </row>
    <row r="3025" spans="1:14" x14ac:dyDescent="0.2">
      <c r="A3025" t="s">
        <v>56</v>
      </c>
      <c r="B3025" t="s">
        <v>138</v>
      </c>
      <c r="C3025" t="s">
        <v>136</v>
      </c>
      <c r="D3025" t="s">
        <v>57</v>
      </c>
      <c r="E3025" t="s">
        <v>53</v>
      </c>
      <c r="F3025" t="s">
        <v>114</v>
      </c>
      <c r="G3025">
        <v>119598</v>
      </c>
      <c r="H3025" s="75">
        <v>45489</v>
      </c>
      <c r="I3025" t="s">
        <v>115</v>
      </c>
      <c r="J3025">
        <v>5000</v>
      </c>
      <c r="K3025">
        <v>106.054</v>
      </c>
      <c r="L3025">
        <v>47.145600000000002</v>
      </c>
      <c r="M3025">
        <v>18068.562000000002</v>
      </c>
      <c r="N3025" t="s">
        <v>15</v>
      </c>
    </row>
    <row r="3026" spans="1:14" x14ac:dyDescent="0.2">
      <c r="A3026" t="s">
        <v>56</v>
      </c>
      <c r="B3026" t="s">
        <v>138</v>
      </c>
      <c r="C3026" t="s">
        <v>136</v>
      </c>
      <c r="D3026" t="s">
        <v>57</v>
      </c>
      <c r="E3026" t="s">
        <v>53</v>
      </c>
      <c r="F3026" t="s">
        <v>114</v>
      </c>
      <c r="G3026">
        <v>119598</v>
      </c>
      <c r="H3026" s="75">
        <v>45519</v>
      </c>
      <c r="I3026" t="s">
        <v>115</v>
      </c>
      <c r="J3026">
        <v>5000</v>
      </c>
      <c r="K3026">
        <v>103.932</v>
      </c>
      <c r="L3026">
        <v>48.1083</v>
      </c>
      <c r="M3026">
        <v>18172.493999999999</v>
      </c>
      <c r="N3026" t="s">
        <v>15</v>
      </c>
    </row>
    <row r="3027" spans="1:14" x14ac:dyDescent="0.2">
      <c r="A3027" t="s">
        <v>56</v>
      </c>
      <c r="B3027" t="s">
        <v>138</v>
      </c>
      <c r="C3027" t="s">
        <v>136</v>
      </c>
      <c r="D3027" t="s">
        <v>57</v>
      </c>
      <c r="E3027" t="s">
        <v>53</v>
      </c>
      <c r="F3027" t="s">
        <v>114</v>
      </c>
      <c r="G3027">
        <v>119598</v>
      </c>
      <c r="H3027" s="75">
        <v>45519</v>
      </c>
      <c r="I3027" t="s">
        <v>117</v>
      </c>
      <c r="J3027">
        <v>2.5</v>
      </c>
      <c r="K3027">
        <v>0</v>
      </c>
      <c r="M3027">
        <v>18172.493999999999</v>
      </c>
      <c r="N3027" t="s">
        <v>46</v>
      </c>
    </row>
    <row r="3028" spans="1:14" x14ac:dyDescent="0.2">
      <c r="A3028" t="s">
        <v>56</v>
      </c>
      <c r="B3028" t="s">
        <v>138</v>
      </c>
      <c r="C3028" t="s">
        <v>136</v>
      </c>
      <c r="D3028" t="s">
        <v>57</v>
      </c>
      <c r="E3028" t="s">
        <v>53</v>
      </c>
      <c r="F3028" t="s">
        <v>114</v>
      </c>
      <c r="G3028">
        <v>119598</v>
      </c>
      <c r="H3028" s="75">
        <v>45549</v>
      </c>
      <c r="I3028" t="s">
        <v>115</v>
      </c>
      <c r="J3028">
        <v>5000</v>
      </c>
      <c r="K3028">
        <v>104.351</v>
      </c>
      <c r="L3028">
        <v>47.915300000000002</v>
      </c>
      <c r="M3028">
        <v>18276.845000000001</v>
      </c>
      <c r="N3028" t="s">
        <v>15</v>
      </c>
    </row>
    <row r="3029" spans="1:14" x14ac:dyDescent="0.2">
      <c r="A3029" t="s">
        <v>56</v>
      </c>
      <c r="B3029" t="s">
        <v>138</v>
      </c>
      <c r="C3029" t="s">
        <v>136</v>
      </c>
      <c r="D3029" t="s">
        <v>57</v>
      </c>
      <c r="E3029" t="s">
        <v>53</v>
      </c>
      <c r="F3029" t="s">
        <v>114</v>
      </c>
      <c r="G3029">
        <v>119598</v>
      </c>
      <c r="H3029" s="75">
        <v>45579</v>
      </c>
      <c r="I3029" t="s">
        <v>115</v>
      </c>
      <c r="J3029">
        <v>5000</v>
      </c>
      <c r="K3029">
        <v>103.238</v>
      </c>
      <c r="L3029">
        <v>48.431600000000003</v>
      </c>
      <c r="M3029">
        <v>18380.083999999999</v>
      </c>
      <c r="N3029" t="s">
        <v>15</v>
      </c>
    </row>
    <row r="3030" spans="1:14" x14ac:dyDescent="0.2">
      <c r="A3030" t="s">
        <v>56</v>
      </c>
      <c r="B3030" t="s">
        <v>138</v>
      </c>
      <c r="C3030" t="s">
        <v>136</v>
      </c>
      <c r="D3030" t="s">
        <v>57</v>
      </c>
      <c r="E3030" t="s">
        <v>53</v>
      </c>
      <c r="F3030" t="s">
        <v>114</v>
      </c>
      <c r="G3030">
        <v>119598</v>
      </c>
      <c r="H3030" s="75">
        <v>45579</v>
      </c>
      <c r="I3030" t="s">
        <v>117</v>
      </c>
      <c r="J3030">
        <v>2.5</v>
      </c>
      <c r="K3030">
        <v>0</v>
      </c>
      <c r="M3030">
        <v>18380.083999999999</v>
      </c>
      <c r="N3030" t="s">
        <v>46</v>
      </c>
    </row>
    <row r="3031" spans="1:14" x14ac:dyDescent="0.2">
      <c r="A3031" t="s">
        <v>56</v>
      </c>
      <c r="B3031" t="s">
        <v>138</v>
      </c>
      <c r="C3031" t="s">
        <v>136</v>
      </c>
      <c r="D3031" t="s">
        <v>57</v>
      </c>
      <c r="E3031" t="s">
        <v>53</v>
      </c>
      <c r="F3031" t="s">
        <v>114</v>
      </c>
      <c r="G3031">
        <v>119598</v>
      </c>
      <c r="H3031" s="75">
        <v>45609</v>
      </c>
      <c r="I3031" t="s">
        <v>115</v>
      </c>
      <c r="J3031">
        <v>5000</v>
      </c>
      <c r="K3031">
        <v>103.99299999999999</v>
      </c>
      <c r="L3031">
        <v>48.080199999999998</v>
      </c>
      <c r="M3031">
        <v>18484.077000000001</v>
      </c>
      <c r="N3031" t="s">
        <v>15</v>
      </c>
    </row>
    <row r="3032" spans="1:14" x14ac:dyDescent="0.2">
      <c r="A3032" t="s">
        <v>56</v>
      </c>
      <c r="B3032" t="s">
        <v>138</v>
      </c>
      <c r="C3032" t="s">
        <v>136</v>
      </c>
      <c r="D3032" t="s">
        <v>57</v>
      </c>
      <c r="E3032" t="s">
        <v>53</v>
      </c>
      <c r="F3032" t="s">
        <v>114</v>
      </c>
      <c r="G3032">
        <v>119598</v>
      </c>
      <c r="H3032" s="75">
        <v>45639</v>
      </c>
      <c r="I3032" t="s">
        <v>115</v>
      </c>
      <c r="J3032">
        <v>5000</v>
      </c>
      <c r="K3032">
        <v>101.392</v>
      </c>
      <c r="L3032">
        <v>49.313600000000001</v>
      </c>
      <c r="M3032">
        <v>18585.469000000001</v>
      </c>
      <c r="N3032" t="s">
        <v>15</v>
      </c>
    </row>
    <row r="3033" spans="1:14" x14ac:dyDescent="0.2">
      <c r="A3033" t="s">
        <v>56</v>
      </c>
      <c r="B3033" t="s">
        <v>138</v>
      </c>
      <c r="C3033" t="s">
        <v>136</v>
      </c>
      <c r="D3033" t="s">
        <v>57</v>
      </c>
      <c r="E3033" t="s">
        <v>53</v>
      </c>
      <c r="F3033" t="s">
        <v>114</v>
      </c>
      <c r="G3033">
        <v>119598</v>
      </c>
      <c r="H3033" s="75">
        <v>45639</v>
      </c>
      <c r="I3033" t="s">
        <v>116</v>
      </c>
      <c r="J3033">
        <v>2.5</v>
      </c>
      <c r="K3033">
        <v>0</v>
      </c>
      <c r="M3033">
        <v>18585.469000000001</v>
      </c>
      <c r="N3033" t="s">
        <v>17</v>
      </c>
    </row>
    <row r="3034" spans="1:14" x14ac:dyDescent="0.2">
      <c r="A3034" t="s">
        <v>56</v>
      </c>
      <c r="B3034" t="s">
        <v>138</v>
      </c>
      <c r="C3034" t="s">
        <v>136</v>
      </c>
      <c r="D3034" t="s">
        <v>57</v>
      </c>
      <c r="E3034" t="s">
        <v>53</v>
      </c>
      <c r="F3034" t="s">
        <v>114</v>
      </c>
      <c r="G3034">
        <v>119598</v>
      </c>
      <c r="H3034" s="75">
        <v>45669</v>
      </c>
      <c r="I3034" t="s">
        <v>115</v>
      </c>
      <c r="J3034">
        <v>5000</v>
      </c>
      <c r="K3034">
        <v>98.478999999999999</v>
      </c>
      <c r="L3034">
        <v>50.771999999999998</v>
      </c>
      <c r="M3034">
        <v>18683.948</v>
      </c>
      <c r="N3034" t="s">
        <v>15</v>
      </c>
    </row>
    <row r="3035" spans="1:14" x14ac:dyDescent="0.2">
      <c r="A3035" t="s">
        <v>56</v>
      </c>
      <c r="B3035" t="s">
        <v>138</v>
      </c>
      <c r="C3035" t="s">
        <v>136</v>
      </c>
      <c r="D3035" t="s">
        <v>57</v>
      </c>
      <c r="E3035" t="s">
        <v>53</v>
      </c>
      <c r="F3035" t="s">
        <v>114</v>
      </c>
      <c r="G3035">
        <v>119598</v>
      </c>
      <c r="H3035" s="75">
        <v>45699</v>
      </c>
      <c r="I3035" t="s">
        <v>115</v>
      </c>
      <c r="J3035">
        <v>5000</v>
      </c>
      <c r="K3035">
        <v>100.327</v>
      </c>
      <c r="L3035">
        <v>49.837200000000003</v>
      </c>
      <c r="M3035">
        <v>18784.275000000001</v>
      </c>
      <c r="N3035" t="s">
        <v>15</v>
      </c>
    </row>
    <row r="3036" spans="1:14" x14ac:dyDescent="0.2">
      <c r="A3036" t="s">
        <v>56</v>
      </c>
      <c r="B3036" t="s">
        <v>138</v>
      </c>
      <c r="C3036" t="s">
        <v>136</v>
      </c>
      <c r="D3036" t="s">
        <v>57</v>
      </c>
      <c r="E3036" t="s">
        <v>53</v>
      </c>
      <c r="F3036" t="s">
        <v>114</v>
      </c>
      <c r="G3036">
        <v>119598</v>
      </c>
      <c r="H3036" s="75">
        <v>45729</v>
      </c>
      <c r="I3036" t="s">
        <v>115</v>
      </c>
      <c r="J3036">
        <v>5000</v>
      </c>
      <c r="K3036">
        <v>99.314999999999998</v>
      </c>
      <c r="L3036">
        <v>50.344900000000003</v>
      </c>
      <c r="M3036">
        <v>18883.59</v>
      </c>
      <c r="N3036" t="s">
        <v>15</v>
      </c>
    </row>
    <row r="3037" spans="1:14" x14ac:dyDescent="0.2">
      <c r="A3037" t="s">
        <v>56</v>
      </c>
      <c r="B3037" t="s">
        <v>138</v>
      </c>
      <c r="C3037" t="s">
        <v>136</v>
      </c>
      <c r="D3037" t="s">
        <v>57</v>
      </c>
      <c r="E3037" t="s">
        <v>53</v>
      </c>
      <c r="F3037" t="s">
        <v>114</v>
      </c>
      <c r="G3037">
        <v>119598</v>
      </c>
      <c r="H3037" s="75">
        <v>45759</v>
      </c>
      <c r="I3037" t="s">
        <v>115</v>
      </c>
      <c r="J3037">
        <v>5000</v>
      </c>
      <c r="K3037">
        <v>98.823999999999998</v>
      </c>
      <c r="L3037">
        <v>50.595199999999998</v>
      </c>
      <c r="M3037">
        <v>18982.413</v>
      </c>
      <c r="N3037" t="s">
        <v>15</v>
      </c>
    </row>
    <row r="3038" spans="1:14" x14ac:dyDescent="0.2">
      <c r="A3038" t="s">
        <v>56</v>
      </c>
      <c r="B3038" t="s">
        <v>138</v>
      </c>
      <c r="C3038" t="s">
        <v>136</v>
      </c>
      <c r="D3038" t="s">
        <v>57</v>
      </c>
      <c r="E3038" t="s">
        <v>53</v>
      </c>
      <c r="F3038" t="s">
        <v>114</v>
      </c>
      <c r="G3038">
        <v>119598</v>
      </c>
      <c r="H3038" s="75">
        <v>45789</v>
      </c>
      <c r="I3038" t="s">
        <v>115</v>
      </c>
      <c r="J3038">
        <v>5000</v>
      </c>
      <c r="K3038">
        <v>95.947000000000003</v>
      </c>
      <c r="L3038">
        <v>52.112299999999998</v>
      </c>
      <c r="M3038">
        <v>19078.36</v>
      </c>
      <c r="N3038" t="s">
        <v>15</v>
      </c>
    </row>
    <row r="3039" spans="1:14" x14ac:dyDescent="0.2">
      <c r="A3039" t="s">
        <v>56</v>
      </c>
      <c r="B3039" t="s">
        <v>138</v>
      </c>
      <c r="C3039" t="s">
        <v>136</v>
      </c>
      <c r="D3039" t="s">
        <v>57</v>
      </c>
      <c r="E3039" t="s">
        <v>53</v>
      </c>
      <c r="F3039" t="s">
        <v>114</v>
      </c>
      <c r="G3039">
        <v>119598</v>
      </c>
      <c r="H3039" s="75">
        <v>45819</v>
      </c>
      <c r="I3039" t="s">
        <v>115</v>
      </c>
      <c r="J3039">
        <v>5000</v>
      </c>
      <c r="K3039">
        <v>96.572999999999993</v>
      </c>
      <c r="L3039">
        <v>51.774099999999997</v>
      </c>
      <c r="M3039">
        <v>19174.933000000001</v>
      </c>
      <c r="N3039" t="s">
        <v>15</v>
      </c>
    </row>
    <row r="3040" spans="1:14" x14ac:dyDescent="0.2">
      <c r="A3040" t="s">
        <v>56</v>
      </c>
      <c r="B3040" t="s">
        <v>138</v>
      </c>
      <c r="C3040" t="s">
        <v>136</v>
      </c>
      <c r="D3040" t="s">
        <v>57</v>
      </c>
      <c r="E3040" t="s">
        <v>53</v>
      </c>
      <c r="F3040" t="s">
        <v>114</v>
      </c>
      <c r="G3040">
        <v>119598</v>
      </c>
      <c r="H3040" s="75">
        <v>45849</v>
      </c>
      <c r="I3040" t="s">
        <v>115</v>
      </c>
      <c r="J3040">
        <v>5000</v>
      </c>
      <c r="K3040">
        <v>95.77</v>
      </c>
      <c r="L3040">
        <v>52.208599999999997</v>
      </c>
      <c r="M3040">
        <v>19270.703000000001</v>
      </c>
      <c r="N3040" t="s">
        <v>15</v>
      </c>
    </row>
    <row r="3041" spans="1:14" x14ac:dyDescent="0.2">
      <c r="A3041" t="s">
        <v>56</v>
      </c>
      <c r="B3041" t="s">
        <v>138</v>
      </c>
      <c r="C3041" t="s">
        <v>136</v>
      </c>
      <c r="D3041" t="s">
        <v>57</v>
      </c>
      <c r="E3041" t="s">
        <v>53</v>
      </c>
      <c r="F3041" t="s">
        <v>114</v>
      </c>
      <c r="G3041">
        <v>119598</v>
      </c>
      <c r="H3041" s="75">
        <v>45849</v>
      </c>
      <c r="I3041" t="s">
        <v>117</v>
      </c>
      <c r="J3041">
        <v>2.5</v>
      </c>
      <c r="K3041">
        <v>0</v>
      </c>
      <c r="M3041">
        <v>19270.703000000001</v>
      </c>
      <c r="N3041" t="s">
        <v>46</v>
      </c>
    </row>
    <row r="3042" spans="1:14" x14ac:dyDescent="0.2">
      <c r="A3042" t="s">
        <v>56</v>
      </c>
      <c r="B3042" t="s">
        <v>138</v>
      </c>
      <c r="C3042" t="s">
        <v>136</v>
      </c>
      <c r="D3042" t="s">
        <v>57</v>
      </c>
      <c r="E3042" t="s">
        <v>53</v>
      </c>
      <c r="F3042" t="s">
        <v>114</v>
      </c>
      <c r="G3042">
        <v>119598</v>
      </c>
      <c r="H3042" s="75">
        <v>45879</v>
      </c>
      <c r="I3042" t="s">
        <v>115</v>
      </c>
      <c r="J3042">
        <v>5000</v>
      </c>
      <c r="K3042">
        <v>97.376999999999995</v>
      </c>
      <c r="L3042">
        <v>51.346699999999998</v>
      </c>
      <c r="M3042">
        <v>19368.080000000002</v>
      </c>
      <c r="N3042" t="s">
        <v>15</v>
      </c>
    </row>
    <row r="3043" spans="1:14" x14ac:dyDescent="0.2">
      <c r="A3043" t="s">
        <v>56</v>
      </c>
      <c r="B3043" t="s">
        <v>138</v>
      </c>
      <c r="C3043" t="s">
        <v>136</v>
      </c>
      <c r="D3043" t="s">
        <v>57</v>
      </c>
      <c r="E3043" t="s">
        <v>53</v>
      </c>
      <c r="F3043" t="s">
        <v>114</v>
      </c>
      <c r="G3043">
        <v>119598</v>
      </c>
      <c r="H3043" s="75">
        <v>45909</v>
      </c>
      <c r="I3043" t="s">
        <v>115</v>
      </c>
      <c r="J3043">
        <v>5000</v>
      </c>
      <c r="K3043">
        <v>98.013000000000005</v>
      </c>
      <c r="L3043">
        <v>51.013399999999997</v>
      </c>
      <c r="M3043">
        <v>19466.093000000001</v>
      </c>
      <c r="N3043" t="s">
        <v>15</v>
      </c>
    </row>
    <row r="3044" spans="1:14" x14ac:dyDescent="0.2">
      <c r="A3044" t="s">
        <v>56</v>
      </c>
      <c r="B3044" t="s">
        <v>138</v>
      </c>
      <c r="C3044" t="s">
        <v>136</v>
      </c>
      <c r="D3044" t="s">
        <v>57</v>
      </c>
      <c r="E3044" t="s">
        <v>53</v>
      </c>
      <c r="F3044" t="s">
        <v>114</v>
      </c>
      <c r="G3044">
        <v>119598</v>
      </c>
      <c r="H3044" s="75">
        <v>45939</v>
      </c>
      <c r="I3044" t="s">
        <v>115</v>
      </c>
      <c r="J3044">
        <v>5000</v>
      </c>
      <c r="K3044">
        <v>96.134</v>
      </c>
      <c r="L3044">
        <v>52.010800000000003</v>
      </c>
      <c r="M3044">
        <v>19562.226999999999</v>
      </c>
      <c r="N3044" t="s">
        <v>15</v>
      </c>
    </row>
    <row r="3045" spans="1:14" x14ac:dyDescent="0.2">
      <c r="A3045" t="s">
        <v>56</v>
      </c>
      <c r="B3045" t="s">
        <v>138</v>
      </c>
      <c r="C3045" t="s">
        <v>136</v>
      </c>
      <c r="D3045" t="s">
        <v>57</v>
      </c>
      <c r="E3045" t="s">
        <v>53</v>
      </c>
      <c r="F3045" t="s">
        <v>114</v>
      </c>
      <c r="G3045">
        <v>119598</v>
      </c>
      <c r="H3045" s="75">
        <v>45969</v>
      </c>
      <c r="I3045" t="s">
        <v>115</v>
      </c>
      <c r="J3045">
        <v>5000</v>
      </c>
      <c r="K3045">
        <v>94.611999999999995</v>
      </c>
      <c r="L3045">
        <v>52.8476</v>
      </c>
      <c r="M3045">
        <v>19656.839</v>
      </c>
      <c r="N3045" t="s">
        <v>15</v>
      </c>
    </row>
    <row r="3046" spans="1:14" x14ac:dyDescent="0.2">
      <c r="A3046" t="s">
        <v>56</v>
      </c>
      <c r="B3046" t="s">
        <v>138</v>
      </c>
      <c r="C3046" t="s">
        <v>136</v>
      </c>
      <c r="D3046" t="s">
        <v>57</v>
      </c>
      <c r="E3046" t="s">
        <v>53</v>
      </c>
      <c r="F3046" t="s">
        <v>114</v>
      </c>
      <c r="G3046">
        <v>119598</v>
      </c>
      <c r="H3046" s="75">
        <v>45999</v>
      </c>
      <c r="I3046" t="s">
        <v>115</v>
      </c>
      <c r="J3046">
        <v>5000</v>
      </c>
      <c r="K3046">
        <v>96.093999999999994</v>
      </c>
      <c r="L3046">
        <v>52.032600000000002</v>
      </c>
      <c r="M3046">
        <v>19752.933000000001</v>
      </c>
      <c r="N3046" t="s">
        <v>15</v>
      </c>
    </row>
    <row r="3047" spans="1:14" x14ac:dyDescent="0.2">
      <c r="A3047" t="s">
        <v>56</v>
      </c>
      <c r="B3047" t="s">
        <v>138</v>
      </c>
      <c r="C3047" t="s">
        <v>136</v>
      </c>
      <c r="D3047" t="s">
        <v>57</v>
      </c>
      <c r="E3047" t="s">
        <v>53</v>
      </c>
      <c r="F3047" t="s">
        <v>114</v>
      </c>
      <c r="G3047">
        <v>119598</v>
      </c>
      <c r="H3047" s="75">
        <v>46029</v>
      </c>
      <c r="I3047" t="s">
        <v>115</v>
      </c>
      <c r="J3047">
        <v>5000</v>
      </c>
      <c r="K3047">
        <v>97.43</v>
      </c>
      <c r="L3047">
        <v>51.318800000000003</v>
      </c>
      <c r="M3047">
        <v>19850.363000000001</v>
      </c>
      <c r="N3047" t="s">
        <v>15</v>
      </c>
    </row>
    <row r="3048" spans="1:14" x14ac:dyDescent="0.2">
      <c r="A3048" t="s">
        <v>56</v>
      </c>
      <c r="B3048" t="s">
        <v>138</v>
      </c>
      <c r="C3048" t="s">
        <v>136</v>
      </c>
      <c r="D3048" t="s">
        <v>57</v>
      </c>
      <c r="E3048" t="s">
        <v>53</v>
      </c>
      <c r="F3048" t="s">
        <v>114</v>
      </c>
      <c r="G3048">
        <v>119598</v>
      </c>
      <c r="H3048" s="75">
        <v>46059</v>
      </c>
      <c r="I3048" t="s">
        <v>115</v>
      </c>
      <c r="J3048">
        <v>5000</v>
      </c>
      <c r="K3048">
        <v>96.266999999999996</v>
      </c>
      <c r="L3048">
        <v>51.939100000000003</v>
      </c>
      <c r="M3048">
        <v>19946.629000000001</v>
      </c>
      <c r="N3048" t="s">
        <v>15</v>
      </c>
    </row>
    <row r="3049" spans="1:14" x14ac:dyDescent="0.2">
      <c r="A3049" t="s">
        <v>56</v>
      </c>
      <c r="B3049" t="s">
        <v>138</v>
      </c>
      <c r="C3049" t="s">
        <v>136</v>
      </c>
      <c r="D3049" t="s">
        <v>57</v>
      </c>
      <c r="E3049" t="s">
        <v>53</v>
      </c>
      <c r="F3049" t="s">
        <v>114</v>
      </c>
      <c r="G3049">
        <v>119598</v>
      </c>
      <c r="H3049" s="75">
        <v>46059</v>
      </c>
      <c r="I3049" t="s">
        <v>117</v>
      </c>
      <c r="J3049">
        <v>2.5</v>
      </c>
      <c r="K3049">
        <v>0</v>
      </c>
      <c r="M3049">
        <v>19946.629000000001</v>
      </c>
      <c r="N3049" t="s">
        <v>46</v>
      </c>
    </row>
    <row r="3050" spans="1:14" x14ac:dyDescent="0.2">
      <c r="A3050" t="s">
        <v>56</v>
      </c>
      <c r="B3050" t="s">
        <v>138</v>
      </c>
      <c r="C3050" t="s">
        <v>136</v>
      </c>
      <c r="D3050" t="s">
        <v>57</v>
      </c>
      <c r="E3050" t="s">
        <v>53</v>
      </c>
      <c r="F3050" t="s">
        <v>114</v>
      </c>
      <c r="G3050">
        <v>119598</v>
      </c>
      <c r="H3050" s="75">
        <v>46089</v>
      </c>
      <c r="I3050" t="s">
        <v>115</v>
      </c>
      <c r="J3050">
        <v>5000</v>
      </c>
      <c r="K3050">
        <v>96.346999999999994</v>
      </c>
      <c r="L3050">
        <v>51.895800000000001</v>
      </c>
      <c r="M3050">
        <v>20042.975999999999</v>
      </c>
      <c r="N3050" t="s">
        <v>15</v>
      </c>
    </row>
    <row r="3051" spans="1:14" x14ac:dyDescent="0.2">
      <c r="A3051" t="s">
        <v>56</v>
      </c>
      <c r="B3051" t="s">
        <v>138</v>
      </c>
      <c r="C3051" t="s">
        <v>136</v>
      </c>
      <c r="D3051" t="s">
        <v>57</v>
      </c>
      <c r="E3051" t="s">
        <v>53</v>
      </c>
      <c r="F3051" t="s">
        <v>114</v>
      </c>
      <c r="G3051">
        <v>119598</v>
      </c>
      <c r="H3051" s="75">
        <v>46089</v>
      </c>
      <c r="I3051" t="s">
        <v>116</v>
      </c>
      <c r="J3051">
        <v>2.5</v>
      </c>
      <c r="K3051">
        <v>0</v>
      </c>
      <c r="M3051">
        <v>20042.975999999999</v>
      </c>
      <c r="N3051" t="s">
        <v>17</v>
      </c>
    </row>
    <row r="3052" spans="1:14" x14ac:dyDescent="0.2">
      <c r="A3052" t="s">
        <v>56</v>
      </c>
      <c r="B3052" t="s">
        <v>138</v>
      </c>
      <c r="C3052" t="s">
        <v>136</v>
      </c>
      <c r="D3052" t="s">
        <v>57</v>
      </c>
      <c r="E3052" t="s">
        <v>53</v>
      </c>
      <c r="F3052" t="s">
        <v>114</v>
      </c>
      <c r="G3052">
        <v>119598</v>
      </c>
      <c r="H3052" s="75">
        <v>46119</v>
      </c>
      <c r="I3052" t="s">
        <v>115</v>
      </c>
      <c r="J3052">
        <v>5000</v>
      </c>
      <c r="K3052">
        <v>93.933999999999997</v>
      </c>
      <c r="L3052">
        <v>53.229100000000003</v>
      </c>
      <c r="M3052">
        <v>20136.91</v>
      </c>
      <c r="N3052" t="s">
        <v>15</v>
      </c>
    </row>
    <row r="3053" spans="1:14" x14ac:dyDescent="0.2">
      <c r="A3053" t="s">
        <v>56</v>
      </c>
      <c r="B3053" t="s">
        <v>138</v>
      </c>
      <c r="C3053" t="s">
        <v>136</v>
      </c>
      <c r="D3053" t="s">
        <v>57</v>
      </c>
      <c r="E3053" t="s">
        <v>53</v>
      </c>
      <c r="F3053" t="s">
        <v>114</v>
      </c>
      <c r="G3053">
        <v>119598</v>
      </c>
      <c r="H3053" s="75">
        <v>46149</v>
      </c>
      <c r="I3053" t="s">
        <v>115</v>
      </c>
      <c r="J3053">
        <v>5000</v>
      </c>
      <c r="K3053">
        <v>95.320999999999998</v>
      </c>
      <c r="L3053">
        <v>52.454500000000003</v>
      </c>
      <c r="M3053">
        <v>20232.231</v>
      </c>
      <c r="N3053" t="s">
        <v>15</v>
      </c>
    </row>
    <row r="3054" spans="1:14" x14ac:dyDescent="0.2">
      <c r="A3054" t="s">
        <v>56</v>
      </c>
      <c r="B3054" t="s">
        <v>138</v>
      </c>
      <c r="C3054" t="s">
        <v>136</v>
      </c>
      <c r="D3054" t="s">
        <v>57</v>
      </c>
      <c r="E3054" t="s">
        <v>53</v>
      </c>
      <c r="F3054" t="s">
        <v>114</v>
      </c>
      <c r="G3054">
        <v>119598</v>
      </c>
      <c r="H3054" s="75">
        <v>46179</v>
      </c>
      <c r="I3054" t="s">
        <v>115</v>
      </c>
      <c r="J3054">
        <v>5000</v>
      </c>
      <c r="K3054">
        <v>95.6</v>
      </c>
      <c r="L3054">
        <v>52.301400000000001</v>
      </c>
      <c r="M3054">
        <v>20327.830000000002</v>
      </c>
      <c r="N3054" t="s">
        <v>15</v>
      </c>
    </row>
    <row r="3055" spans="1:14" x14ac:dyDescent="0.2">
      <c r="A3055" t="s">
        <v>23</v>
      </c>
      <c r="B3055" t="s">
        <v>139</v>
      </c>
      <c r="C3055" t="s">
        <v>136</v>
      </c>
      <c r="D3055" t="s">
        <v>124</v>
      </c>
      <c r="E3055" t="s">
        <v>53</v>
      </c>
      <c r="F3055" t="s">
        <v>114</v>
      </c>
      <c r="G3055">
        <v>120664</v>
      </c>
      <c r="H3055" s="75">
        <v>40201</v>
      </c>
      <c r="I3055" t="s">
        <v>115</v>
      </c>
      <c r="J3055">
        <v>5000</v>
      </c>
      <c r="K3055">
        <v>244.05699999999999</v>
      </c>
      <c r="L3055">
        <v>20.486999999999998</v>
      </c>
      <c r="M3055">
        <v>244.05699999999999</v>
      </c>
      <c r="N3055" t="s">
        <v>15</v>
      </c>
    </row>
    <row r="3056" spans="1:14" x14ac:dyDescent="0.2">
      <c r="A3056" t="s">
        <v>23</v>
      </c>
      <c r="B3056" t="s">
        <v>139</v>
      </c>
      <c r="C3056" t="s">
        <v>136</v>
      </c>
      <c r="D3056" t="s">
        <v>124</v>
      </c>
      <c r="E3056" t="s">
        <v>53</v>
      </c>
      <c r="F3056" t="s">
        <v>114</v>
      </c>
      <c r="G3056">
        <v>120664</v>
      </c>
      <c r="H3056" s="75">
        <v>40231</v>
      </c>
      <c r="I3056" t="s">
        <v>115</v>
      </c>
      <c r="J3056">
        <v>5000</v>
      </c>
      <c r="K3056">
        <v>237.12299999999999</v>
      </c>
      <c r="L3056">
        <v>21.086099999999998</v>
      </c>
      <c r="M3056">
        <v>481.18099999999998</v>
      </c>
      <c r="N3056" t="s">
        <v>15</v>
      </c>
    </row>
    <row r="3057" spans="1:15" x14ac:dyDescent="0.2">
      <c r="A3057" t="s">
        <v>23</v>
      </c>
      <c r="B3057" t="s">
        <v>139</v>
      </c>
      <c r="C3057" t="s">
        <v>136</v>
      </c>
      <c r="D3057" t="s">
        <v>124</v>
      </c>
      <c r="E3057" t="s">
        <v>53</v>
      </c>
      <c r="F3057" t="s">
        <v>114</v>
      </c>
      <c r="G3057">
        <v>120664</v>
      </c>
      <c r="H3057" s="75">
        <v>40261</v>
      </c>
      <c r="I3057" t="s">
        <v>115</v>
      </c>
      <c r="J3057">
        <v>5000</v>
      </c>
      <c r="K3057">
        <v>233.92099999999999</v>
      </c>
      <c r="L3057">
        <v>21.3748</v>
      </c>
      <c r="M3057">
        <v>715.101</v>
      </c>
      <c r="N3057" t="s">
        <v>15</v>
      </c>
    </row>
    <row r="3058" spans="1:15" x14ac:dyDescent="0.2">
      <c r="A3058" t="s">
        <v>23</v>
      </c>
      <c r="B3058" t="s">
        <v>139</v>
      </c>
      <c r="C3058" t="s">
        <v>136</v>
      </c>
      <c r="D3058" t="s">
        <v>124</v>
      </c>
      <c r="E3058" t="s">
        <v>53</v>
      </c>
      <c r="F3058" t="s">
        <v>114</v>
      </c>
      <c r="G3058">
        <v>120664</v>
      </c>
      <c r="H3058" s="75">
        <v>40291</v>
      </c>
      <c r="I3058" t="s">
        <v>115</v>
      </c>
      <c r="J3058">
        <v>5000</v>
      </c>
      <c r="K3058">
        <v>234.18100000000001</v>
      </c>
      <c r="L3058">
        <v>21.350999999999999</v>
      </c>
      <c r="M3058">
        <v>949.28300000000002</v>
      </c>
      <c r="N3058" t="s">
        <v>15</v>
      </c>
    </row>
    <row r="3059" spans="1:15" x14ac:dyDescent="0.2">
      <c r="A3059" t="s">
        <v>23</v>
      </c>
      <c r="B3059" t="s">
        <v>139</v>
      </c>
      <c r="C3059" t="s">
        <v>136</v>
      </c>
      <c r="D3059" t="s">
        <v>124</v>
      </c>
      <c r="E3059" t="s">
        <v>53</v>
      </c>
      <c r="F3059" t="s">
        <v>114</v>
      </c>
      <c r="G3059">
        <v>120664</v>
      </c>
      <c r="H3059" s="75">
        <v>40291</v>
      </c>
      <c r="I3059" t="s">
        <v>25</v>
      </c>
      <c r="J3059">
        <v>-4053.62</v>
      </c>
      <c r="K3059">
        <v>-189.857</v>
      </c>
      <c r="L3059">
        <v>21.350999999999999</v>
      </c>
      <c r="M3059">
        <v>759.42600000000004</v>
      </c>
      <c r="N3059" t="s">
        <v>16</v>
      </c>
    </row>
    <row r="3060" spans="1:15" x14ac:dyDescent="0.2">
      <c r="A3060" t="s">
        <v>23</v>
      </c>
      <c r="B3060" t="s">
        <v>139</v>
      </c>
      <c r="C3060" t="s">
        <v>136</v>
      </c>
      <c r="D3060" t="s">
        <v>124</v>
      </c>
      <c r="E3060" t="s">
        <v>53</v>
      </c>
      <c r="F3060" t="s">
        <v>114</v>
      </c>
      <c r="G3060">
        <v>120664</v>
      </c>
      <c r="H3060" s="75">
        <v>40321</v>
      </c>
      <c r="I3060" t="s">
        <v>115</v>
      </c>
      <c r="J3060">
        <v>5000</v>
      </c>
      <c r="K3060">
        <v>237.185</v>
      </c>
      <c r="L3060">
        <v>21.0806</v>
      </c>
      <c r="M3060">
        <v>996.61099999999999</v>
      </c>
      <c r="N3060" t="s">
        <v>15</v>
      </c>
    </row>
    <row r="3061" spans="1:15" x14ac:dyDescent="0.2">
      <c r="A3061" t="s">
        <v>23</v>
      </c>
      <c r="B3061" t="s">
        <v>139</v>
      </c>
      <c r="C3061" t="s">
        <v>136</v>
      </c>
      <c r="D3061" t="s">
        <v>124</v>
      </c>
      <c r="E3061" t="s">
        <v>53</v>
      </c>
      <c r="F3061" t="s">
        <v>114</v>
      </c>
      <c r="G3061">
        <v>120664</v>
      </c>
      <c r="H3061" s="75">
        <v>40351</v>
      </c>
      <c r="I3061" t="s">
        <v>115</v>
      </c>
      <c r="J3061">
        <v>5000</v>
      </c>
      <c r="K3061">
        <v>232.14</v>
      </c>
      <c r="L3061">
        <v>21.538699999999999</v>
      </c>
      <c r="M3061">
        <v>1228.751</v>
      </c>
      <c r="N3061" t="s">
        <v>15</v>
      </c>
    </row>
    <row r="3062" spans="1:15" x14ac:dyDescent="0.2">
      <c r="A3062" t="s">
        <v>23</v>
      </c>
      <c r="B3062" t="s">
        <v>139</v>
      </c>
      <c r="C3062" t="s">
        <v>136</v>
      </c>
      <c r="D3062" t="s">
        <v>124</v>
      </c>
      <c r="E3062" t="s">
        <v>53</v>
      </c>
      <c r="F3062" t="s">
        <v>114</v>
      </c>
      <c r="G3062">
        <v>120664</v>
      </c>
      <c r="H3062" s="75">
        <v>40351</v>
      </c>
      <c r="I3062" t="s">
        <v>117</v>
      </c>
      <c r="J3062">
        <v>2.5</v>
      </c>
      <c r="K3062">
        <v>0</v>
      </c>
      <c r="M3062">
        <v>1228.751</v>
      </c>
      <c r="N3062" t="s">
        <v>46</v>
      </c>
    </row>
    <row r="3063" spans="1:15" x14ac:dyDescent="0.2">
      <c r="A3063" t="s">
        <v>23</v>
      </c>
      <c r="B3063" t="s">
        <v>139</v>
      </c>
      <c r="C3063" t="s">
        <v>136</v>
      </c>
      <c r="D3063" t="s">
        <v>124</v>
      </c>
      <c r="E3063" t="s">
        <v>53</v>
      </c>
      <c r="F3063" t="s">
        <v>114</v>
      </c>
      <c r="G3063">
        <v>120664</v>
      </c>
      <c r="H3063" s="75">
        <v>40381</v>
      </c>
      <c r="I3063" t="s">
        <v>115</v>
      </c>
      <c r="J3063">
        <v>5000</v>
      </c>
      <c r="K3063">
        <v>233.768</v>
      </c>
      <c r="L3063">
        <v>21.3887</v>
      </c>
      <c r="M3063">
        <v>1462.519</v>
      </c>
      <c r="N3063" t="s">
        <v>15</v>
      </c>
    </row>
    <row r="3064" spans="1:15" x14ac:dyDescent="0.2">
      <c r="A3064" t="s">
        <v>23</v>
      </c>
      <c r="B3064" t="s">
        <v>139</v>
      </c>
      <c r="C3064" t="s">
        <v>136</v>
      </c>
      <c r="D3064" t="s">
        <v>124</v>
      </c>
      <c r="E3064" t="s">
        <v>53</v>
      </c>
      <c r="F3064" t="s">
        <v>114</v>
      </c>
      <c r="G3064">
        <v>120664</v>
      </c>
      <c r="H3064" s="75">
        <v>40381</v>
      </c>
      <c r="I3064" t="s">
        <v>116</v>
      </c>
      <c r="J3064">
        <v>2.5</v>
      </c>
      <c r="K3064">
        <v>0</v>
      </c>
      <c r="M3064">
        <v>1462.519</v>
      </c>
      <c r="N3064" t="s">
        <v>17</v>
      </c>
    </row>
    <row r="3065" spans="1:15" x14ac:dyDescent="0.2">
      <c r="A3065" t="s">
        <v>23</v>
      </c>
      <c r="B3065" t="s">
        <v>139</v>
      </c>
      <c r="C3065" t="s">
        <v>136</v>
      </c>
      <c r="D3065" t="s">
        <v>124</v>
      </c>
      <c r="E3065" t="s">
        <v>53</v>
      </c>
      <c r="F3065" t="s">
        <v>114</v>
      </c>
      <c r="G3065">
        <v>120664</v>
      </c>
      <c r="H3065" s="75">
        <v>40411</v>
      </c>
      <c r="I3065" t="s">
        <v>115</v>
      </c>
      <c r="J3065">
        <v>5000</v>
      </c>
      <c r="K3065">
        <v>230.524</v>
      </c>
      <c r="L3065">
        <v>21.689699999999998</v>
      </c>
      <c r="M3065">
        <v>1693.0419999999999</v>
      </c>
      <c r="N3065" t="s">
        <v>15</v>
      </c>
    </row>
    <row r="3066" spans="1:15" x14ac:dyDescent="0.2">
      <c r="A3066" t="s">
        <v>23</v>
      </c>
      <c r="B3066" t="s">
        <v>139</v>
      </c>
      <c r="C3066" t="s">
        <v>136</v>
      </c>
      <c r="D3066" t="s">
        <v>124</v>
      </c>
      <c r="E3066" t="s">
        <v>53</v>
      </c>
      <c r="F3066" t="s">
        <v>114</v>
      </c>
      <c r="G3066">
        <v>120664</v>
      </c>
      <c r="H3066" s="75">
        <v>40441</v>
      </c>
      <c r="I3066" t="s">
        <v>115</v>
      </c>
      <c r="J3066">
        <v>5000</v>
      </c>
      <c r="K3066">
        <v>230.511</v>
      </c>
      <c r="L3066">
        <v>21.690899999999999</v>
      </c>
      <c r="M3066">
        <v>1923.5540000000001</v>
      </c>
      <c r="N3066" t="s">
        <v>15</v>
      </c>
    </row>
    <row r="3067" spans="1:15" x14ac:dyDescent="0.2">
      <c r="A3067" t="s">
        <v>23</v>
      </c>
      <c r="B3067" t="s">
        <v>139</v>
      </c>
      <c r="C3067" t="s">
        <v>136</v>
      </c>
      <c r="D3067" t="s">
        <v>124</v>
      </c>
      <c r="E3067" t="s">
        <v>53</v>
      </c>
      <c r="F3067" t="s">
        <v>114</v>
      </c>
      <c r="G3067">
        <v>120664</v>
      </c>
      <c r="H3067" s="75">
        <v>40441</v>
      </c>
      <c r="I3067" t="s">
        <v>116</v>
      </c>
      <c r="J3067">
        <v>2.5</v>
      </c>
      <c r="K3067">
        <v>0</v>
      </c>
      <c r="M3067">
        <v>1923.5540000000001</v>
      </c>
      <c r="N3067" t="s">
        <v>17</v>
      </c>
    </row>
    <row r="3068" spans="1:15" x14ac:dyDescent="0.2">
      <c r="A3068" t="s">
        <v>23</v>
      </c>
      <c r="B3068" t="s">
        <v>139</v>
      </c>
      <c r="C3068" t="s">
        <v>136</v>
      </c>
      <c r="D3068" t="s">
        <v>124</v>
      </c>
      <c r="E3068" t="s">
        <v>53</v>
      </c>
      <c r="F3068" t="s">
        <v>114</v>
      </c>
      <c r="G3068">
        <v>120664</v>
      </c>
      <c r="H3068" s="75">
        <v>40471</v>
      </c>
      <c r="I3068" t="s">
        <v>115</v>
      </c>
      <c r="J3068">
        <v>5000</v>
      </c>
      <c r="K3068">
        <v>230.18899999999999</v>
      </c>
      <c r="L3068">
        <v>21.721299999999999</v>
      </c>
      <c r="M3068">
        <v>2153.7420000000002</v>
      </c>
      <c r="N3068" t="s">
        <v>15</v>
      </c>
    </row>
    <row r="3069" spans="1:15" x14ac:dyDescent="0.2">
      <c r="A3069" t="s">
        <v>23</v>
      </c>
      <c r="B3069" t="s">
        <v>139</v>
      </c>
      <c r="C3069" t="s">
        <v>136</v>
      </c>
      <c r="D3069" t="s">
        <v>124</v>
      </c>
      <c r="E3069" t="s">
        <v>53</v>
      </c>
      <c r="F3069" t="s">
        <v>114</v>
      </c>
      <c r="G3069">
        <v>120664</v>
      </c>
      <c r="H3069" s="75">
        <v>40501</v>
      </c>
      <c r="I3069" t="s">
        <v>115</v>
      </c>
      <c r="J3069">
        <v>5000</v>
      </c>
      <c r="K3069">
        <v>225.66</v>
      </c>
      <c r="L3069">
        <v>22.1572</v>
      </c>
      <c r="M3069">
        <v>2379.4029999999998</v>
      </c>
      <c r="N3069" t="s">
        <v>15</v>
      </c>
    </row>
    <row r="3070" spans="1:15" x14ac:dyDescent="0.2">
      <c r="A3070" t="s">
        <v>23</v>
      </c>
      <c r="B3070" t="s">
        <v>139</v>
      </c>
      <c r="C3070" t="s">
        <v>136</v>
      </c>
      <c r="D3070" t="s">
        <v>124</v>
      </c>
      <c r="E3070" t="s">
        <v>53</v>
      </c>
      <c r="F3070" t="s">
        <v>114</v>
      </c>
      <c r="G3070">
        <v>120664</v>
      </c>
      <c r="H3070" s="75">
        <v>40531</v>
      </c>
      <c r="I3070" t="s">
        <v>115</v>
      </c>
      <c r="J3070">
        <v>5000</v>
      </c>
      <c r="K3070">
        <v>224.43899999999999</v>
      </c>
      <c r="L3070">
        <v>22.277799999999999</v>
      </c>
      <c r="M3070">
        <v>2603.8420000000001</v>
      </c>
      <c r="N3070" t="s">
        <v>15</v>
      </c>
    </row>
    <row r="3071" spans="1:15" x14ac:dyDescent="0.2">
      <c r="A3071" t="s">
        <v>23</v>
      </c>
      <c r="B3071" t="s">
        <v>139</v>
      </c>
      <c r="C3071" t="s">
        <v>136</v>
      </c>
      <c r="D3071" t="s">
        <v>124</v>
      </c>
      <c r="E3071" t="s">
        <v>53</v>
      </c>
      <c r="F3071" t="s">
        <v>114</v>
      </c>
      <c r="G3071">
        <v>120664</v>
      </c>
      <c r="H3071" s="75">
        <v>40531</v>
      </c>
      <c r="I3071" t="s">
        <v>118</v>
      </c>
      <c r="J3071">
        <v>1301.92</v>
      </c>
      <c r="K3071">
        <v>0</v>
      </c>
      <c r="M3071">
        <v>2603.8420000000001</v>
      </c>
      <c r="N3071" t="s">
        <v>19</v>
      </c>
      <c r="O3071">
        <v>1301.92</v>
      </c>
    </row>
    <row r="3072" spans="1:15" x14ac:dyDescent="0.2">
      <c r="A3072" t="s">
        <v>23</v>
      </c>
      <c r="B3072" t="s">
        <v>139</v>
      </c>
      <c r="C3072" t="s">
        <v>136</v>
      </c>
      <c r="D3072" t="s">
        <v>124</v>
      </c>
      <c r="E3072" t="s">
        <v>53</v>
      </c>
      <c r="F3072" t="s">
        <v>114</v>
      </c>
      <c r="G3072">
        <v>120664</v>
      </c>
      <c r="H3072" s="75">
        <v>40561</v>
      </c>
      <c r="I3072" t="s">
        <v>115</v>
      </c>
      <c r="J3072">
        <v>5000</v>
      </c>
      <c r="K3072">
        <v>225.292</v>
      </c>
      <c r="L3072">
        <v>22.1934</v>
      </c>
      <c r="M3072">
        <v>2829.134</v>
      </c>
      <c r="N3072" t="s">
        <v>15</v>
      </c>
    </row>
    <row r="3073" spans="1:14" x14ac:dyDescent="0.2">
      <c r="A3073" t="s">
        <v>23</v>
      </c>
      <c r="B3073" t="s">
        <v>139</v>
      </c>
      <c r="C3073" t="s">
        <v>136</v>
      </c>
      <c r="D3073" t="s">
        <v>124</v>
      </c>
      <c r="E3073" t="s">
        <v>53</v>
      </c>
      <c r="F3073" t="s">
        <v>114</v>
      </c>
      <c r="G3073">
        <v>120664</v>
      </c>
      <c r="H3073" s="75">
        <v>40591</v>
      </c>
      <c r="I3073" t="s">
        <v>115</v>
      </c>
      <c r="J3073">
        <v>5000</v>
      </c>
      <c r="K3073">
        <v>219.023</v>
      </c>
      <c r="L3073">
        <v>22.828600000000002</v>
      </c>
      <c r="M3073">
        <v>3048.1570000000002</v>
      </c>
      <c r="N3073" t="s">
        <v>15</v>
      </c>
    </row>
    <row r="3074" spans="1:14" x14ac:dyDescent="0.2">
      <c r="A3074" t="s">
        <v>23</v>
      </c>
      <c r="B3074" t="s">
        <v>139</v>
      </c>
      <c r="C3074" t="s">
        <v>136</v>
      </c>
      <c r="D3074" t="s">
        <v>124</v>
      </c>
      <c r="E3074" t="s">
        <v>53</v>
      </c>
      <c r="F3074" t="s">
        <v>114</v>
      </c>
      <c r="G3074">
        <v>120664</v>
      </c>
      <c r="H3074" s="75">
        <v>40621</v>
      </c>
      <c r="I3074" t="s">
        <v>115</v>
      </c>
      <c r="J3074">
        <v>5000</v>
      </c>
      <c r="K3074">
        <v>219.21700000000001</v>
      </c>
      <c r="L3074">
        <v>22.808399999999999</v>
      </c>
      <c r="M3074">
        <v>3267.3739999999998</v>
      </c>
      <c r="N3074" t="s">
        <v>15</v>
      </c>
    </row>
    <row r="3075" spans="1:14" x14ac:dyDescent="0.2">
      <c r="A3075" t="s">
        <v>23</v>
      </c>
      <c r="B3075" t="s">
        <v>139</v>
      </c>
      <c r="C3075" t="s">
        <v>136</v>
      </c>
      <c r="D3075" t="s">
        <v>124</v>
      </c>
      <c r="E3075" t="s">
        <v>53</v>
      </c>
      <c r="F3075" t="s">
        <v>114</v>
      </c>
      <c r="G3075">
        <v>120664</v>
      </c>
      <c r="H3075" s="75">
        <v>40651</v>
      </c>
      <c r="I3075" t="s">
        <v>115</v>
      </c>
      <c r="J3075">
        <v>5000</v>
      </c>
      <c r="K3075">
        <v>214.92500000000001</v>
      </c>
      <c r="L3075">
        <v>23.263999999999999</v>
      </c>
      <c r="M3075">
        <v>3482.299</v>
      </c>
      <c r="N3075" t="s">
        <v>15</v>
      </c>
    </row>
    <row r="3076" spans="1:14" x14ac:dyDescent="0.2">
      <c r="A3076" t="s">
        <v>23</v>
      </c>
      <c r="B3076" t="s">
        <v>139</v>
      </c>
      <c r="C3076" t="s">
        <v>136</v>
      </c>
      <c r="D3076" t="s">
        <v>124</v>
      </c>
      <c r="E3076" t="s">
        <v>53</v>
      </c>
      <c r="F3076" t="s">
        <v>114</v>
      </c>
      <c r="G3076">
        <v>120664</v>
      </c>
      <c r="H3076" s="75">
        <v>40681</v>
      </c>
      <c r="I3076" t="s">
        <v>115</v>
      </c>
      <c r="J3076">
        <v>5000</v>
      </c>
      <c r="K3076">
        <v>213.39599999999999</v>
      </c>
      <c r="L3076">
        <v>23.430599999999998</v>
      </c>
      <c r="M3076">
        <v>3695.6950000000002</v>
      </c>
      <c r="N3076" t="s">
        <v>15</v>
      </c>
    </row>
    <row r="3077" spans="1:14" x14ac:dyDescent="0.2">
      <c r="A3077" t="s">
        <v>23</v>
      </c>
      <c r="B3077" t="s">
        <v>139</v>
      </c>
      <c r="C3077" t="s">
        <v>136</v>
      </c>
      <c r="D3077" t="s">
        <v>124</v>
      </c>
      <c r="E3077" t="s">
        <v>53</v>
      </c>
      <c r="F3077" t="s">
        <v>114</v>
      </c>
      <c r="G3077">
        <v>120664</v>
      </c>
      <c r="H3077" s="75">
        <v>40681</v>
      </c>
      <c r="I3077" t="s">
        <v>116</v>
      </c>
      <c r="J3077">
        <v>2.5</v>
      </c>
      <c r="K3077">
        <v>0</v>
      </c>
      <c r="M3077">
        <v>3695.6950000000002</v>
      </c>
      <c r="N3077" t="s">
        <v>17</v>
      </c>
    </row>
    <row r="3078" spans="1:14" x14ac:dyDescent="0.2">
      <c r="A3078" t="s">
        <v>23</v>
      </c>
      <c r="B3078" t="s">
        <v>139</v>
      </c>
      <c r="C3078" t="s">
        <v>136</v>
      </c>
      <c r="D3078" t="s">
        <v>124</v>
      </c>
      <c r="E3078" t="s">
        <v>53</v>
      </c>
      <c r="F3078" t="s">
        <v>114</v>
      </c>
      <c r="G3078">
        <v>120664</v>
      </c>
      <c r="H3078" s="75">
        <v>40711</v>
      </c>
      <c r="I3078" t="s">
        <v>115</v>
      </c>
      <c r="J3078">
        <v>5000</v>
      </c>
      <c r="K3078">
        <v>211.036</v>
      </c>
      <c r="L3078">
        <v>23.692699999999999</v>
      </c>
      <c r="M3078">
        <v>3906.7310000000002</v>
      </c>
      <c r="N3078" t="s">
        <v>15</v>
      </c>
    </row>
    <row r="3079" spans="1:14" x14ac:dyDescent="0.2">
      <c r="A3079" t="s">
        <v>23</v>
      </c>
      <c r="B3079" t="s">
        <v>139</v>
      </c>
      <c r="C3079" t="s">
        <v>136</v>
      </c>
      <c r="D3079" t="s">
        <v>124</v>
      </c>
      <c r="E3079" t="s">
        <v>53</v>
      </c>
      <c r="F3079" t="s">
        <v>114</v>
      </c>
      <c r="G3079">
        <v>120664</v>
      </c>
      <c r="H3079" s="75">
        <v>40741</v>
      </c>
      <c r="I3079" t="s">
        <v>115</v>
      </c>
      <c r="J3079">
        <v>5000</v>
      </c>
      <c r="K3079">
        <v>205.57300000000001</v>
      </c>
      <c r="L3079">
        <v>24.322299999999998</v>
      </c>
      <c r="M3079">
        <v>4112.3029999999999</v>
      </c>
      <c r="N3079" t="s">
        <v>15</v>
      </c>
    </row>
    <row r="3080" spans="1:14" x14ac:dyDescent="0.2">
      <c r="A3080" t="s">
        <v>23</v>
      </c>
      <c r="B3080" t="s">
        <v>139</v>
      </c>
      <c r="C3080" t="s">
        <v>136</v>
      </c>
      <c r="D3080" t="s">
        <v>124</v>
      </c>
      <c r="E3080" t="s">
        <v>53</v>
      </c>
      <c r="F3080" t="s">
        <v>114</v>
      </c>
      <c r="G3080">
        <v>120664</v>
      </c>
      <c r="H3080" s="75">
        <v>40771</v>
      </c>
      <c r="I3080" t="s">
        <v>115</v>
      </c>
      <c r="J3080">
        <v>5000</v>
      </c>
      <c r="K3080">
        <v>201.477</v>
      </c>
      <c r="L3080">
        <v>24.816800000000001</v>
      </c>
      <c r="M3080">
        <v>4313.78</v>
      </c>
      <c r="N3080" t="s">
        <v>15</v>
      </c>
    </row>
    <row r="3081" spans="1:14" x14ac:dyDescent="0.2">
      <c r="A3081" t="s">
        <v>23</v>
      </c>
      <c r="B3081" t="s">
        <v>139</v>
      </c>
      <c r="C3081" t="s">
        <v>136</v>
      </c>
      <c r="D3081" t="s">
        <v>124</v>
      </c>
      <c r="E3081" t="s">
        <v>53</v>
      </c>
      <c r="F3081" t="s">
        <v>114</v>
      </c>
      <c r="G3081">
        <v>120664</v>
      </c>
      <c r="H3081" s="75">
        <v>40801</v>
      </c>
      <c r="I3081" t="s">
        <v>115</v>
      </c>
      <c r="J3081">
        <v>5000</v>
      </c>
      <c r="K3081">
        <v>203.001</v>
      </c>
      <c r="L3081">
        <v>24.630500000000001</v>
      </c>
      <c r="M3081">
        <v>4516.7809999999999</v>
      </c>
      <c r="N3081" t="s">
        <v>15</v>
      </c>
    </row>
    <row r="3082" spans="1:14" x14ac:dyDescent="0.2">
      <c r="A3082" t="s">
        <v>23</v>
      </c>
      <c r="B3082" t="s">
        <v>139</v>
      </c>
      <c r="C3082" t="s">
        <v>136</v>
      </c>
      <c r="D3082" t="s">
        <v>124</v>
      </c>
      <c r="E3082" t="s">
        <v>53</v>
      </c>
      <c r="F3082" t="s">
        <v>114</v>
      </c>
      <c r="G3082">
        <v>120664</v>
      </c>
      <c r="H3082" s="75">
        <v>40831</v>
      </c>
      <c r="I3082" t="s">
        <v>115</v>
      </c>
      <c r="J3082">
        <v>5000</v>
      </c>
      <c r="K3082">
        <v>199.79</v>
      </c>
      <c r="L3082">
        <v>25.026199999999999</v>
      </c>
      <c r="M3082">
        <v>4716.5709999999999</v>
      </c>
      <c r="N3082" t="s">
        <v>15</v>
      </c>
    </row>
    <row r="3083" spans="1:14" x14ac:dyDescent="0.2">
      <c r="A3083" t="s">
        <v>23</v>
      </c>
      <c r="B3083" t="s">
        <v>139</v>
      </c>
      <c r="C3083" t="s">
        <v>136</v>
      </c>
      <c r="D3083" t="s">
        <v>124</v>
      </c>
      <c r="E3083" t="s">
        <v>53</v>
      </c>
      <c r="F3083" t="s">
        <v>114</v>
      </c>
      <c r="G3083">
        <v>120664</v>
      </c>
      <c r="H3083" s="75">
        <v>40861</v>
      </c>
      <c r="I3083" t="s">
        <v>115</v>
      </c>
      <c r="J3083">
        <v>5000</v>
      </c>
      <c r="K3083">
        <v>194.56700000000001</v>
      </c>
      <c r="L3083">
        <v>25.6981</v>
      </c>
      <c r="M3083">
        <v>4911.1379999999999</v>
      </c>
      <c r="N3083" t="s">
        <v>15</v>
      </c>
    </row>
    <row r="3084" spans="1:14" x14ac:dyDescent="0.2">
      <c r="A3084" t="s">
        <v>23</v>
      </c>
      <c r="B3084" t="s">
        <v>139</v>
      </c>
      <c r="C3084" t="s">
        <v>136</v>
      </c>
      <c r="D3084" t="s">
        <v>124</v>
      </c>
      <c r="E3084" t="s">
        <v>53</v>
      </c>
      <c r="F3084" t="s">
        <v>114</v>
      </c>
      <c r="G3084">
        <v>120664</v>
      </c>
      <c r="H3084" s="75">
        <v>40891</v>
      </c>
      <c r="I3084" t="s">
        <v>115</v>
      </c>
      <c r="J3084">
        <v>5000</v>
      </c>
      <c r="K3084">
        <v>192.041</v>
      </c>
      <c r="L3084">
        <v>26.036100000000001</v>
      </c>
      <c r="M3084">
        <v>5103.1790000000001</v>
      </c>
      <c r="N3084" t="s">
        <v>15</v>
      </c>
    </row>
    <row r="3085" spans="1:14" x14ac:dyDescent="0.2">
      <c r="A3085" t="s">
        <v>23</v>
      </c>
      <c r="B3085" t="s">
        <v>139</v>
      </c>
      <c r="C3085" t="s">
        <v>136</v>
      </c>
      <c r="D3085" t="s">
        <v>124</v>
      </c>
      <c r="E3085" t="s">
        <v>53</v>
      </c>
      <c r="F3085" t="s">
        <v>114</v>
      </c>
      <c r="G3085">
        <v>120664</v>
      </c>
      <c r="H3085" s="75">
        <v>40921</v>
      </c>
      <c r="I3085" t="s">
        <v>115</v>
      </c>
      <c r="J3085">
        <v>5000</v>
      </c>
      <c r="K3085">
        <v>194.214</v>
      </c>
      <c r="L3085">
        <v>25.744800000000001</v>
      </c>
      <c r="M3085">
        <v>5297.393</v>
      </c>
      <c r="N3085" t="s">
        <v>15</v>
      </c>
    </row>
    <row r="3086" spans="1:14" x14ac:dyDescent="0.2">
      <c r="A3086" t="s">
        <v>23</v>
      </c>
      <c r="B3086" t="s">
        <v>139</v>
      </c>
      <c r="C3086" t="s">
        <v>136</v>
      </c>
      <c r="D3086" t="s">
        <v>124</v>
      </c>
      <c r="E3086" t="s">
        <v>53</v>
      </c>
      <c r="F3086" t="s">
        <v>114</v>
      </c>
      <c r="G3086">
        <v>120664</v>
      </c>
      <c r="H3086" s="75">
        <v>40921</v>
      </c>
      <c r="I3086" t="s">
        <v>116</v>
      </c>
      <c r="J3086">
        <v>2.5</v>
      </c>
      <c r="K3086">
        <v>0</v>
      </c>
      <c r="M3086">
        <v>5297.393</v>
      </c>
      <c r="N3086" t="s">
        <v>17</v>
      </c>
    </row>
    <row r="3087" spans="1:14" x14ac:dyDescent="0.2">
      <c r="A3087" t="s">
        <v>23</v>
      </c>
      <c r="B3087" t="s">
        <v>139</v>
      </c>
      <c r="C3087" t="s">
        <v>136</v>
      </c>
      <c r="D3087" t="s">
        <v>124</v>
      </c>
      <c r="E3087" t="s">
        <v>53</v>
      </c>
      <c r="F3087" t="s">
        <v>114</v>
      </c>
      <c r="G3087">
        <v>120664</v>
      </c>
      <c r="H3087" s="75">
        <v>40921</v>
      </c>
      <c r="I3087" t="s">
        <v>25</v>
      </c>
      <c r="J3087">
        <v>-27276.05</v>
      </c>
      <c r="K3087">
        <v>-1059.479</v>
      </c>
      <c r="L3087">
        <v>25.744800000000001</v>
      </c>
      <c r="M3087">
        <v>4237.9139999999998</v>
      </c>
      <c r="N3087" t="s">
        <v>16</v>
      </c>
    </row>
    <row r="3088" spans="1:14" x14ac:dyDescent="0.2">
      <c r="A3088" t="s">
        <v>23</v>
      </c>
      <c r="B3088" t="s">
        <v>139</v>
      </c>
      <c r="C3088" t="s">
        <v>136</v>
      </c>
      <c r="D3088" t="s">
        <v>124</v>
      </c>
      <c r="E3088" t="s">
        <v>53</v>
      </c>
      <c r="F3088" t="s">
        <v>114</v>
      </c>
      <c r="G3088">
        <v>120664</v>
      </c>
      <c r="H3088" s="75">
        <v>40951</v>
      </c>
      <c r="I3088" t="s">
        <v>115</v>
      </c>
      <c r="J3088">
        <v>5000</v>
      </c>
      <c r="K3088">
        <v>192.14500000000001</v>
      </c>
      <c r="L3088">
        <v>26.021999999999998</v>
      </c>
      <c r="M3088">
        <v>4430.0590000000002</v>
      </c>
      <c r="N3088" t="s">
        <v>15</v>
      </c>
    </row>
    <row r="3089" spans="1:14" x14ac:dyDescent="0.2">
      <c r="A3089" t="s">
        <v>23</v>
      </c>
      <c r="B3089" t="s">
        <v>139</v>
      </c>
      <c r="C3089" t="s">
        <v>136</v>
      </c>
      <c r="D3089" t="s">
        <v>124</v>
      </c>
      <c r="E3089" t="s">
        <v>53</v>
      </c>
      <c r="F3089" t="s">
        <v>114</v>
      </c>
      <c r="G3089">
        <v>120664</v>
      </c>
      <c r="H3089" s="75">
        <v>40981</v>
      </c>
      <c r="I3089" t="s">
        <v>115</v>
      </c>
      <c r="J3089">
        <v>5000</v>
      </c>
      <c r="K3089">
        <v>194.535</v>
      </c>
      <c r="L3089">
        <v>25.702300000000001</v>
      </c>
      <c r="M3089">
        <v>4624.5940000000001</v>
      </c>
      <c r="N3089" t="s">
        <v>15</v>
      </c>
    </row>
    <row r="3090" spans="1:14" x14ac:dyDescent="0.2">
      <c r="A3090" t="s">
        <v>23</v>
      </c>
      <c r="B3090" t="s">
        <v>139</v>
      </c>
      <c r="C3090" t="s">
        <v>136</v>
      </c>
      <c r="D3090" t="s">
        <v>124</v>
      </c>
      <c r="E3090" t="s">
        <v>53</v>
      </c>
      <c r="F3090" t="s">
        <v>114</v>
      </c>
      <c r="G3090">
        <v>120664</v>
      </c>
      <c r="H3090" s="75">
        <v>41011</v>
      </c>
      <c r="I3090" t="s">
        <v>115</v>
      </c>
      <c r="J3090">
        <v>5000</v>
      </c>
      <c r="K3090">
        <v>190.726</v>
      </c>
      <c r="L3090">
        <v>26.215599999999998</v>
      </c>
      <c r="M3090">
        <v>4815.32</v>
      </c>
      <c r="N3090" t="s">
        <v>15</v>
      </c>
    </row>
    <row r="3091" spans="1:14" x14ac:dyDescent="0.2">
      <c r="A3091" t="s">
        <v>23</v>
      </c>
      <c r="B3091" t="s">
        <v>139</v>
      </c>
      <c r="C3091" t="s">
        <v>136</v>
      </c>
      <c r="D3091" t="s">
        <v>124</v>
      </c>
      <c r="E3091" t="s">
        <v>53</v>
      </c>
      <c r="F3091" t="s">
        <v>114</v>
      </c>
      <c r="G3091">
        <v>120664</v>
      </c>
      <c r="H3091" s="75">
        <v>41041</v>
      </c>
      <c r="I3091" t="s">
        <v>115</v>
      </c>
      <c r="J3091">
        <v>5000</v>
      </c>
      <c r="K3091">
        <v>190.09100000000001</v>
      </c>
      <c r="L3091">
        <v>26.303100000000001</v>
      </c>
      <c r="M3091">
        <v>5005.4120000000003</v>
      </c>
      <c r="N3091" t="s">
        <v>15</v>
      </c>
    </row>
    <row r="3092" spans="1:14" x14ac:dyDescent="0.2">
      <c r="A3092" t="s">
        <v>23</v>
      </c>
      <c r="B3092" t="s">
        <v>139</v>
      </c>
      <c r="C3092" t="s">
        <v>136</v>
      </c>
      <c r="D3092" t="s">
        <v>124</v>
      </c>
      <c r="E3092" t="s">
        <v>53</v>
      </c>
      <c r="F3092" t="s">
        <v>114</v>
      </c>
      <c r="G3092">
        <v>120664</v>
      </c>
      <c r="H3092" s="75">
        <v>41071</v>
      </c>
      <c r="I3092" t="s">
        <v>115</v>
      </c>
      <c r="J3092">
        <v>5000</v>
      </c>
      <c r="K3092">
        <v>188</v>
      </c>
      <c r="L3092">
        <v>26.595700000000001</v>
      </c>
      <c r="M3092">
        <v>5193.4120000000003</v>
      </c>
      <c r="N3092" t="s">
        <v>15</v>
      </c>
    </row>
    <row r="3093" spans="1:14" x14ac:dyDescent="0.2">
      <c r="A3093" t="s">
        <v>23</v>
      </c>
      <c r="B3093" t="s">
        <v>139</v>
      </c>
      <c r="C3093" t="s">
        <v>136</v>
      </c>
      <c r="D3093" t="s">
        <v>124</v>
      </c>
      <c r="E3093" t="s">
        <v>53</v>
      </c>
      <c r="F3093" t="s">
        <v>114</v>
      </c>
      <c r="G3093">
        <v>120664</v>
      </c>
      <c r="H3093" s="75">
        <v>41101</v>
      </c>
      <c r="I3093" t="s">
        <v>115</v>
      </c>
      <c r="J3093">
        <v>5000</v>
      </c>
      <c r="K3093">
        <v>184.624</v>
      </c>
      <c r="L3093">
        <v>27.082000000000001</v>
      </c>
      <c r="M3093">
        <v>5378.0360000000001</v>
      </c>
      <c r="N3093" t="s">
        <v>15</v>
      </c>
    </row>
    <row r="3094" spans="1:14" x14ac:dyDescent="0.2">
      <c r="A3094" t="s">
        <v>23</v>
      </c>
      <c r="B3094" t="s">
        <v>139</v>
      </c>
      <c r="C3094" t="s">
        <v>136</v>
      </c>
      <c r="D3094" t="s">
        <v>124</v>
      </c>
      <c r="E3094" t="s">
        <v>53</v>
      </c>
      <c r="F3094" t="s">
        <v>114</v>
      </c>
      <c r="G3094">
        <v>120664</v>
      </c>
      <c r="H3094" s="75">
        <v>41131</v>
      </c>
      <c r="I3094" t="s">
        <v>115</v>
      </c>
      <c r="J3094">
        <v>5000</v>
      </c>
      <c r="K3094">
        <v>185.291</v>
      </c>
      <c r="L3094">
        <v>26.9847</v>
      </c>
      <c r="M3094">
        <v>5563.3270000000002</v>
      </c>
      <c r="N3094" t="s">
        <v>15</v>
      </c>
    </row>
    <row r="3095" spans="1:14" x14ac:dyDescent="0.2">
      <c r="A3095" t="s">
        <v>23</v>
      </c>
      <c r="B3095" t="s">
        <v>139</v>
      </c>
      <c r="C3095" t="s">
        <v>136</v>
      </c>
      <c r="D3095" t="s">
        <v>124</v>
      </c>
      <c r="E3095" t="s">
        <v>53</v>
      </c>
      <c r="F3095" t="s">
        <v>114</v>
      </c>
      <c r="G3095">
        <v>120664</v>
      </c>
      <c r="H3095" s="75">
        <v>41161</v>
      </c>
      <c r="I3095" t="s">
        <v>115</v>
      </c>
      <c r="J3095">
        <v>5000</v>
      </c>
      <c r="K3095">
        <v>187.82300000000001</v>
      </c>
      <c r="L3095">
        <v>26.620799999999999</v>
      </c>
      <c r="M3095">
        <v>5751.15</v>
      </c>
      <c r="N3095" t="s">
        <v>15</v>
      </c>
    </row>
    <row r="3096" spans="1:14" x14ac:dyDescent="0.2">
      <c r="A3096" t="s">
        <v>23</v>
      </c>
      <c r="B3096" t="s">
        <v>139</v>
      </c>
      <c r="C3096" t="s">
        <v>136</v>
      </c>
      <c r="D3096" t="s">
        <v>124</v>
      </c>
      <c r="E3096" t="s">
        <v>53</v>
      </c>
      <c r="F3096" t="s">
        <v>114</v>
      </c>
      <c r="G3096">
        <v>120664</v>
      </c>
      <c r="H3096" s="75">
        <v>41191</v>
      </c>
      <c r="I3096" t="s">
        <v>115</v>
      </c>
      <c r="J3096">
        <v>5000</v>
      </c>
      <c r="K3096">
        <v>185.49600000000001</v>
      </c>
      <c r="L3096">
        <v>26.954799999999999</v>
      </c>
      <c r="M3096">
        <v>5936.6459999999997</v>
      </c>
      <c r="N3096" t="s">
        <v>15</v>
      </c>
    </row>
    <row r="3097" spans="1:14" x14ac:dyDescent="0.2">
      <c r="A3097" t="s">
        <v>23</v>
      </c>
      <c r="B3097" t="s">
        <v>139</v>
      </c>
      <c r="C3097" t="s">
        <v>136</v>
      </c>
      <c r="D3097" t="s">
        <v>124</v>
      </c>
      <c r="E3097" t="s">
        <v>53</v>
      </c>
      <c r="F3097" t="s">
        <v>114</v>
      </c>
      <c r="G3097">
        <v>120664</v>
      </c>
      <c r="H3097" s="75">
        <v>41191</v>
      </c>
      <c r="I3097" t="s">
        <v>117</v>
      </c>
      <c r="J3097">
        <v>2.5</v>
      </c>
      <c r="K3097">
        <v>0</v>
      </c>
      <c r="M3097">
        <v>5936.6459999999997</v>
      </c>
      <c r="N3097" t="s">
        <v>46</v>
      </c>
    </row>
    <row r="3098" spans="1:14" x14ac:dyDescent="0.2">
      <c r="A3098" t="s">
        <v>23</v>
      </c>
      <c r="B3098" t="s">
        <v>139</v>
      </c>
      <c r="C3098" t="s">
        <v>136</v>
      </c>
      <c r="D3098" t="s">
        <v>124</v>
      </c>
      <c r="E3098" t="s">
        <v>53</v>
      </c>
      <c r="F3098" t="s">
        <v>114</v>
      </c>
      <c r="G3098">
        <v>120664</v>
      </c>
      <c r="H3098" s="75">
        <v>41221</v>
      </c>
      <c r="I3098" t="s">
        <v>115</v>
      </c>
      <c r="J3098">
        <v>5000</v>
      </c>
      <c r="K3098">
        <v>184.697</v>
      </c>
      <c r="L3098">
        <v>27.071400000000001</v>
      </c>
      <c r="M3098">
        <v>6121.3429999999998</v>
      </c>
      <c r="N3098" t="s">
        <v>15</v>
      </c>
    </row>
    <row r="3099" spans="1:14" x14ac:dyDescent="0.2">
      <c r="A3099" t="s">
        <v>23</v>
      </c>
      <c r="B3099" t="s">
        <v>139</v>
      </c>
      <c r="C3099" t="s">
        <v>136</v>
      </c>
      <c r="D3099" t="s">
        <v>124</v>
      </c>
      <c r="E3099" t="s">
        <v>53</v>
      </c>
      <c r="F3099" t="s">
        <v>114</v>
      </c>
      <c r="G3099">
        <v>120664</v>
      </c>
      <c r="H3099" s="75">
        <v>41251</v>
      </c>
      <c r="I3099" t="s">
        <v>115</v>
      </c>
      <c r="J3099">
        <v>5000</v>
      </c>
      <c r="K3099">
        <v>180.81800000000001</v>
      </c>
      <c r="L3099">
        <v>27.652100000000001</v>
      </c>
      <c r="M3099">
        <v>6302.16</v>
      </c>
      <c r="N3099" t="s">
        <v>15</v>
      </c>
    </row>
    <row r="3100" spans="1:14" x14ac:dyDescent="0.2">
      <c r="A3100" t="s">
        <v>23</v>
      </c>
      <c r="B3100" t="s">
        <v>139</v>
      </c>
      <c r="C3100" t="s">
        <v>136</v>
      </c>
      <c r="D3100" t="s">
        <v>124</v>
      </c>
      <c r="E3100" t="s">
        <v>53</v>
      </c>
      <c r="F3100" t="s">
        <v>114</v>
      </c>
      <c r="G3100">
        <v>120664</v>
      </c>
      <c r="H3100" s="75">
        <v>41281</v>
      </c>
      <c r="I3100" t="s">
        <v>115</v>
      </c>
      <c r="J3100">
        <v>5000</v>
      </c>
      <c r="K3100">
        <v>184.32599999999999</v>
      </c>
      <c r="L3100">
        <v>27.125800000000002</v>
      </c>
      <c r="M3100">
        <v>6486.4859999999999</v>
      </c>
      <c r="N3100" t="s">
        <v>15</v>
      </c>
    </row>
    <row r="3101" spans="1:14" x14ac:dyDescent="0.2">
      <c r="A3101" t="s">
        <v>23</v>
      </c>
      <c r="B3101" t="s">
        <v>139</v>
      </c>
      <c r="C3101" t="s">
        <v>136</v>
      </c>
      <c r="D3101" t="s">
        <v>124</v>
      </c>
      <c r="E3101" t="s">
        <v>53</v>
      </c>
      <c r="F3101" t="s">
        <v>114</v>
      </c>
      <c r="G3101">
        <v>120664</v>
      </c>
      <c r="H3101" s="75">
        <v>41311</v>
      </c>
      <c r="I3101" t="s">
        <v>115</v>
      </c>
      <c r="J3101">
        <v>5000</v>
      </c>
      <c r="K3101">
        <v>185.17099999999999</v>
      </c>
      <c r="L3101">
        <v>27.001999999999999</v>
      </c>
      <c r="M3101">
        <v>6671.6580000000004</v>
      </c>
      <c r="N3101" t="s">
        <v>15</v>
      </c>
    </row>
    <row r="3102" spans="1:14" x14ac:dyDescent="0.2">
      <c r="A3102" t="s">
        <v>23</v>
      </c>
      <c r="B3102" t="s">
        <v>139</v>
      </c>
      <c r="C3102" t="s">
        <v>136</v>
      </c>
      <c r="D3102" t="s">
        <v>124</v>
      </c>
      <c r="E3102" t="s">
        <v>53</v>
      </c>
      <c r="F3102" t="s">
        <v>114</v>
      </c>
      <c r="G3102">
        <v>120664</v>
      </c>
      <c r="H3102" s="75">
        <v>41341</v>
      </c>
      <c r="I3102" t="s">
        <v>115</v>
      </c>
      <c r="J3102">
        <v>5000</v>
      </c>
      <c r="K3102">
        <v>180.19</v>
      </c>
      <c r="L3102">
        <v>27.7485</v>
      </c>
      <c r="M3102">
        <v>6851.8469999999998</v>
      </c>
      <c r="N3102" t="s">
        <v>15</v>
      </c>
    </row>
    <row r="3103" spans="1:14" x14ac:dyDescent="0.2">
      <c r="A3103" t="s">
        <v>23</v>
      </c>
      <c r="B3103" t="s">
        <v>139</v>
      </c>
      <c r="C3103" t="s">
        <v>136</v>
      </c>
      <c r="D3103" t="s">
        <v>124</v>
      </c>
      <c r="E3103" t="s">
        <v>53</v>
      </c>
      <c r="F3103" t="s">
        <v>114</v>
      </c>
      <c r="G3103">
        <v>120664</v>
      </c>
      <c r="H3103" s="75">
        <v>41371</v>
      </c>
      <c r="I3103" t="s">
        <v>115</v>
      </c>
      <c r="J3103">
        <v>5000</v>
      </c>
      <c r="K3103">
        <v>181.26400000000001</v>
      </c>
      <c r="L3103">
        <v>27.584099999999999</v>
      </c>
      <c r="M3103">
        <v>7033.1120000000001</v>
      </c>
      <c r="N3103" t="s">
        <v>15</v>
      </c>
    </row>
    <row r="3104" spans="1:14" x14ac:dyDescent="0.2">
      <c r="A3104" t="s">
        <v>23</v>
      </c>
      <c r="B3104" t="s">
        <v>139</v>
      </c>
      <c r="C3104" t="s">
        <v>136</v>
      </c>
      <c r="D3104" t="s">
        <v>124</v>
      </c>
      <c r="E3104" t="s">
        <v>53</v>
      </c>
      <c r="F3104" t="s">
        <v>114</v>
      </c>
      <c r="G3104">
        <v>120664</v>
      </c>
      <c r="H3104" s="75">
        <v>41401</v>
      </c>
      <c r="I3104" t="s">
        <v>115</v>
      </c>
      <c r="J3104">
        <v>5000</v>
      </c>
      <c r="K3104">
        <v>177.554</v>
      </c>
      <c r="L3104">
        <v>28.160499999999999</v>
      </c>
      <c r="M3104">
        <v>7210.665</v>
      </c>
      <c r="N3104" t="s">
        <v>15</v>
      </c>
    </row>
    <row r="3105" spans="1:14" x14ac:dyDescent="0.2">
      <c r="A3105" t="s">
        <v>23</v>
      </c>
      <c r="B3105" t="s">
        <v>139</v>
      </c>
      <c r="C3105" t="s">
        <v>136</v>
      </c>
      <c r="D3105" t="s">
        <v>124</v>
      </c>
      <c r="E3105" t="s">
        <v>53</v>
      </c>
      <c r="F3105" t="s">
        <v>114</v>
      </c>
      <c r="G3105">
        <v>120664</v>
      </c>
      <c r="H3105" s="75">
        <v>41401</v>
      </c>
      <c r="I3105" t="s">
        <v>116</v>
      </c>
      <c r="J3105">
        <v>2.5</v>
      </c>
      <c r="K3105">
        <v>0</v>
      </c>
      <c r="M3105">
        <v>7210.665</v>
      </c>
      <c r="N3105" t="s">
        <v>17</v>
      </c>
    </row>
    <row r="3106" spans="1:14" x14ac:dyDescent="0.2">
      <c r="A3106" t="s">
        <v>23</v>
      </c>
      <c r="B3106" t="s">
        <v>139</v>
      </c>
      <c r="C3106" t="s">
        <v>136</v>
      </c>
      <c r="D3106" t="s">
        <v>124</v>
      </c>
      <c r="E3106" t="s">
        <v>53</v>
      </c>
      <c r="F3106" t="s">
        <v>114</v>
      </c>
      <c r="G3106">
        <v>120664</v>
      </c>
      <c r="H3106" s="75">
        <v>41431</v>
      </c>
      <c r="I3106" t="s">
        <v>115</v>
      </c>
      <c r="J3106">
        <v>5000</v>
      </c>
      <c r="K3106">
        <v>175.34800000000001</v>
      </c>
      <c r="L3106">
        <v>28.514800000000001</v>
      </c>
      <c r="M3106">
        <v>7386.0129999999999</v>
      </c>
      <c r="N3106" t="s">
        <v>15</v>
      </c>
    </row>
    <row r="3107" spans="1:14" x14ac:dyDescent="0.2">
      <c r="A3107" t="s">
        <v>23</v>
      </c>
      <c r="B3107" t="s">
        <v>139</v>
      </c>
      <c r="C3107" t="s">
        <v>136</v>
      </c>
      <c r="D3107" t="s">
        <v>124</v>
      </c>
      <c r="E3107" t="s">
        <v>53</v>
      </c>
      <c r="F3107" t="s">
        <v>114</v>
      </c>
      <c r="G3107">
        <v>120664</v>
      </c>
      <c r="H3107" s="75">
        <v>41431</v>
      </c>
      <c r="I3107" t="s">
        <v>116</v>
      </c>
      <c r="J3107">
        <v>2.5</v>
      </c>
      <c r="K3107">
        <v>0</v>
      </c>
      <c r="M3107">
        <v>7386.0129999999999</v>
      </c>
      <c r="N3107" t="s">
        <v>17</v>
      </c>
    </row>
    <row r="3108" spans="1:14" x14ac:dyDescent="0.2">
      <c r="A3108" t="s">
        <v>23</v>
      </c>
      <c r="B3108" t="s">
        <v>139</v>
      </c>
      <c r="C3108" t="s">
        <v>136</v>
      </c>
      <c r="D3108" t="s">
        <v>124</v>
      </c>
      <c r="E3108" t="s">
        <v>53</v>
      </c>
      <c r="F3108" t="s">
        <v>114</v>
      </c>
      <c r="G3108">
        <v>120664</v>
      </c>
      <c r="H3108" s="75">
        <v>41461</v>
      </c>
      <c r="I3108" t="s">
        <v>115</v>
      </c>
      <c r="J3108">
        <v>5000</v>
      </c>
      <c r="K3108">
        <v>172.024</v>
      </c>
      <c r="L3108">
        <v>29.0657</v>
      </c>
      <c r="M3108">
        <v>7558.0370000000003</v>
      </c>
      <c r="N3108" t="s">
        <v>15</v>
      </c>
    </row>
    <row r="3109" spans="1:14" x14ac:dyDescent="0.2">
      <c r="A3109" t="s">
        <v>23</v>
      </c>
      <c r="B3109" t="s">
        <v>139</v>
      </c>
      <c r="C3109" t="s">
        <v>136</v>
      </c>
      <c r="D3109" t="s">
        <v>124</v>
      </c>
      <c r="E3109" t="s">
        <v>53</v>
      </c>
      <c r="F3109" t="s">
        <v>114</v>
      </c>
      <c r="G3109">
        <v>120664</v>
      </c>
      <c r="H3109" s="75">
        <v>41491</v>
      </c>
      <c r="I3109" t="s">
        <v>115</v>
      </c>
      <c r="J3109">
        <v>5000</v>
      </c>
      <c r="K3109">
        <v>172.93299999999999</v>
      </c>
      <c r="L3109">
        <v>28.9129</v>
      </c>
      <c r="M3109">
        <v>7730.97</v>
      </c>
      <c r="N3109" t="s">
        <v>15</v>
      </c>
    </row>
    <row r="3110" spans="1:14" x14ac:dyDescent="0.2">
      <c r="A3110" t="s">
        <v>23</v>
      </c>
      <c r="B3110" t="s">
        <v>139</v>
      </c>
      <c r="C3110" t="s">
        <v>136</v>
      </c>
      <c r="D3110" t="s">
        <v>124</v>
      </c>
      <c r="E3110" t="s">
        <v>53</v>
      </c>
      <c r="F3110" t="s">
        <v>114</v>
      </c>
      <c r="G3110">
        <v>120664</v>
      </c>
      <c r="H3110" s="75">
        <v>41521</v>
      </c>
      <c r="I3110" t="s">
        <v>115</v>
      </c>
      <c r="J3110">
        <v>5000</v>
      </c>
      <c r="K3110">
        <v>171.87799999999999</v>
      </c>
      <c r="L3110">
        <v>29.090299999999999</v>
      </c>
      <c r="M3110">
        <v>7902.8490000000002</v>
      </c>
      <c r="N3110" t="s">
        <v>15</v>
      </c>
    </row>
    <row r="3111" spans="1:14" x14ac:dyDescent="0.2">
      <c r="A3111" t="s">
        <v>23</v>
      </c>
      <c r="B3111" t="s">
        <v>139</v>
      </c>
      <c r="C3111" t="s">
        <v>136</v>
      </c>
      <c r="D3111" t="s">
        <v>124</v>
      </c>
      <c r="E3111" t="s">
        <v>53</v>
      </c>
      <c r="F3111" t="s">
        <v>114</v>
      </c>
      <c r="G3111">
        <v>120664</v>
      </c>
      <c r="H3111" s="75">
        <v>41551</v>
      </c>
      <c r="I3111" t="s">
        <v>115</v>
      </c>
      <c r="J3111">
        <v>5000</v>
      </c>
      <c r="K3111">
        <v>174.37</v>
      </c>
      <c r="L3111">
        <v>28.674700000000001</v>
      </c>
      <c r="M3111">
        <v>8077.2190000000001</v>
      </c>
      <c r="N3111" t="s">
        <v>15</v>
      </c>
    </row>
    <row r="3112" spans="1:14" x14ac:dyDescent="0.2">
      <c r="A3112" t="s">
        <v>23</v>
      </c>
      <c r="B3112" t="s">
        <v>139</v>
      </c>
      <c r="C3112" t="s">
        <v>136</v>
      </c>
      <c r="D3112" t="s">
        <v>124</v>
      </c>
      <c r="E3112" t="s">
        <v>53</v>
      </c>
      <c r="F3112" t="s">
        <v>114</v>
      </c>
      <c r="G3112">
        <v>120664</v>
      </c>
      <c r="H3112" s="75">
        <v>41581</v>
      </c>
      <c r="I3112" t="s">
        <v>115</v>
      </c>
      <c r="J3112">
        <v>5000</v>
      </c>
      <c r="K3112">
        <v>169.50299999999999</v>
      </c>
      <c r="L3112">
        <v>29.497900000000001</v>
      </c>
      <c r="M3112">
        <v>8246.7219999999998</v>
      </c>
      <c r="N3112" t="s">
        <v>15</v>
      </c>
    </row>
    <row r="3113" spans="1:14" x14ac:dyDescent="0.2">
      <c r="A3113" t="s">
        <v>23</v>
      </c>
      <c r="B3113" t="s">
        <v>139</v>
      </c>
      <c r="C3113" t="s">
        <v>136</v>
      </c>
      <c r="D3113" t="s">
        <v>124</v>
      </c>
      <c r="E3113" t="s">
        <v>53</v>
      </c>
      <c r="F3113" t="s">
        <v>114</v>
      </c>
      <c r="G3113">
        <v>120664</v>
      </c>
      <c r="H3113" s="75">
        <v>41611</v>
      </c>
      <c r="I3113" t="s">
        <v>115</v>
      </c>
      <c r="J3113">
        <v>5000</v>
      </c>
      <c r="K3113">
        <v>167.642</v>
      </c>
      <c r="L3113">
        <v>29.825399999999998</v>
      </c>
      <c r="M3113">
        <v>8414.3649999999998</v>
      </c>
      <c r="N3113" t="s">
        <v>15</v>
      </c>
    </row>
    <row r="3114" spans="1:14" x14ac:dyDescent="0.2">
      <c r="A3114" t="s">
        <v>23</v>
      </c>
      <c r="B3114" t="s">
        <v>139</v>
      </c>
      <c r="C3114" t="s">
        <v>136</v>
      </c>
      <c r="D3114" t="s">
        <v>124</v>
      </c>
      <c r="E3114" t="s">
        <v>53</v>
      </c>
      <c r="F3114" t="s">
        <v>114</v>
      </c>
      <c r="G3114">
        <v>120664</v>
      </c>
      <c r="H3114" s="75">
        <v>41611</v>
      </c>
      <c r="I3114" t="s">
        <v>25</v>
      </c>
      <c r="J3114">
        <v>-50192.32</v>
      </c>
      <c r="K3114">
        <v>-1682.873</v>
      </c>
      <c r="L3114">
        <v>29.825399999999998</v>
      </c>
      <c r="M3114">
        <v>6731.4920000000002</v>
      </c>
      <c r="N3114" t="s">
        <v>16</v>
      </c>
    </row>
    <row r="3115" spans="1:14" x14ac:dyDescent="0.2">
      <c r="A3115" t="s">
        <v>23</v>
      </c>
      <c r="B3115" t="s">
        <v>139</v>
      </c>
      <c r="C3115" t="s">
        <v>136</v>
      </c>
      <c r="D3115" t="s">
        <v>124</v>
      </c>
      <c r="E3115" t="s">
        <v>53</v>
      </c>
      <c r="F3115" t="s">
        <v>114</v>
      </c>
      <c r="G3115">
        <v>120664</v>
      </c>
      <c r="H3115" s="75">
        <v>41641</v>
      </c>
      <c r="I3115" t="s">
        <v>115</v>
      </c>
      <c r="J3115">
        <v>5000</v>
      </c>
      <c r="K3115">
        <v>165.626</v>
      </c>
      <c r="L3115">
        <v>30.188500000000001</v>
      </c>
      <c r="M3115">
        <v>6897.1180000000004</v>
      </c>
      <c r="N3115" t="s">
        <v>15</v>
      </c>
    </row>
    <row r="3116" spans="1:14" x14ac:dyDescent="0.2">
      <c r="A3116" t="s">
        <v>23</v>
      </c>
      <c r="B3116" t="s">
        <v>139</v>
      </c>
      <c r="C3116" t="s">
        <v>136</v>
      </c>
      <c r="D3116" t="s">
        <v>124</v>
      </c>
      <c r="E3116" t="s">
        <v>53</v>
      </c>
      <c r="F3116" t="s">
        <v>114</v>
      </c>
      <c r="G3116">
        <v>120664</v>
      </c>
      <c r="H3116" s="75">
        <v>41671</v>
      </c>
      <c r="I3116" t="s">
        <v>115</v>
      </c>
      <c r="J3116">
        <v>5000</v>
      </c>
      <c r="K3116">
        <v>161.50700000000001</v>
      </c>
      <c r="L3116">
        <v>30.958300000000001</v>
      </c>
      <c r="M3116">
        <v>7058.625</v>
      </c>
      <c r="N3116" t="s">
        <v>15</v>
      </c>
    </row>
    <row r="3117" spans="1:14" x14ac:dyDescent="0.2">
      <c r="A3117" t="s">
        <v>23</v>
      </c>
      <c r="B3117" t="s">
        <v>139</v>
      </c>
      <c r="C3117" t="s">
        <v>136</v>
      </c>
      <c r="D3117" t="s">
        <v>124</v>
      </c>
      <c r="E3117" t="s">
        <v>53</v>
      </c>
      <c r="F3117" t="s">
        <v>114</v>
      </c>
      <c r="G3117">
        <v>120664</v>
      </c>
      <c r="H3117" s="75">
        <v>41701</v>
      </c>
      <c r="I3117" t="s">
        <v>115</v>
      </c>
      <c r="J3117">
        <v>5000</v>
      </c>
      <c r="K3117">
        <v>157.239</v>
      </c>
      <c r="L3117">
        <v>31.7987</v>
      </c>
      <c r="M3117">
        <v>7215.8639999999996</v>
      </c>
      <c r="N3117" t="s">
        <v>15</v>
      </c>
    </row>
    <row r="3118" spans="1:14" x14ac:dyDescent="0.2">
      <c r="A3118" t="s">
        <v>23</v>
      </c>
      <c r="B3118" t="s">
        <v>139</v>
      </c>
      <c r="C3118" t="s">
        <v>136</v>
      </c>
      <c r="D3118" t="s">
        <v>124</v>
      </c>
      <c r="E3118" t="s">
        <v>53</v>
      </c>
      <c r="F3118" t="s">
        <v>114</v>
      </c>
      <c r="G3118">
        <v>120664</v>
      </c>
      <c r="H3118" s="75">
        <v>41731</v>
      </c>
      <c r="I3118" t="s">
        <v>115</v>
      </c>
      <c r="J3118">
        <v>5000</v>
      </c>
      <c r="K3118">
        <v>157.232</v>
      </c>
      <c r="L3118">
        <v>31.8001</v>
      </c>
      <c r="M3118">
        <v>7373.0959999999995</v>
      </c>
      <c r="N3118" t="s">
        <v>15</v>
      </c>
    </row>
    <row r="3119" spans="1:14" x14ac:dyDescent="0.2">
      <c r="A3119" t="s">
        <v>23</v>
      </c>
      <c r="B3119" t="s">
        <v>139</v>
      </c>
      <c r="C3119" t="s">
        <v>136</v>
      </c>
      <c r="D3119" t="s">
        <v>124</v>
      </c>
      <c r="E3119" t="s">
        <v>53</v>
      </c>
      <c r="F3119" t="s">
        <v>114</v>
      </c>
      <c r="G3119">
        <v>120664</v>
      </c>
      <c r="H3119" s="75">
        <v>41761</v>
      </c>
      <c r="I3119" t="s">
        <v>115</v>
      </c>
      <c r="J3119">
        <v>5000</v>
      </c>
      <c r="K3119">
        <v>153.42699999999999</v>
      </c>
      <c r="L3119">
        <v>32.588799999999999</v>
      </c>
      <c r="M3119">
        <v>7526.5240000000003</v>
      </c>
      <c r="N3119" t="s">
        <v>15</v>
      </c>
    </row>
    <row r="3120" spans="1:14" x14ac:dyDescent="0.2">
      <c r="A3120" t="s">
        <v>23</v>
      </c>
      <c r="B3120" t="s">
        <v>139</v>
      </c>
      <c r="C3120" t="s">
        <v>136</v>
      </c>
      <c r="D3120" t="s">
        <v>124</v>
      </c>
      <c r="E3120" t="s">
        <v>53</v>
      </c>
      <c r="F3120" t="s">
        <v>114</v>
      </c>
      <c r="G3120">
        <v>120664</v>
      </c>
      <c r="H3120" s="75">
        <v>41791</v>
      </c>
      <c r="I3120" t="s">
        <v>115</v>
      </c>
      <c r="J3120">
        <v>5000</v>
      </c>
      <c r="K3120">
        <v>151.673</v>
      </c>
      <c r="L3120">
        <v>32.965699999999998</v>
      </c>
      <c r="M3120">
        <v>7678.1959999999999</v>
      </c>
      <c r="N3120" t="s">
        <v>15</v>
      </c>
    </row>
    <row r="3121" spans="1:15" x14ac:dyDescent="0.2">
      <c r="A3121" t="s">
        <v>23</v>
      </c>
      <c r="B3121" t="s">
        <v>139</v>
      </c>
      <c r="C3121" t="s">
        <v>136</v>
      </c>
      <c r="D3121" t="s">
        <v>124</v>
      </c>
      <c r="E3121" t="s">
        <v>53</v>
      </c>
      <c r="F3121" t="s">
        <v>114</v>
      </c>
      <c r="G3121">
        <v>120664</v>
      </c>
      <c r="H3121" s="75">
        <v>41821</v>
      </c>
      <c r="I3121" t="s">
        <v>115</v>
      </c>
      <c r="J3121">
        <v>5000</v>
      </c>
      <c r="K3121">
        <v>154.67699999999999</v>
      </c>
      <c r="L3121">
        <v>32.325499999999998</v>
      </c>
      <c r="M3121">
        <v>7832.8729999999996</v>
      </c>
      <c r="N3121" t="s">
        <v>15</v>
      </c>
    </row>
    <row r="3122" spans="1:15" x14ac:dyDescent="0.2">
      <c r="A3122" t="s">
        <v>23</v>
      </c>
      <c r="B3122" t="s">
        <v>139</v>
      </c>
      <c r="C3122" t="s">
        <v>136</v>
      </c>
      <c r="D3122" t="s">
        <v>124</v>
      </c>
      <c r="E3122" t="s">
        <v>53</v>
      </c>
      <c r="F3122" t="s">
        <v>114</v>
      </c>
      <c r="G3122">
        <v>120664</v>
      </c>
      <c r="H3122" s="75">
        <v>41821</v>
      </c>
      <c r="I3122" t="s">
        <v>118</v>
      </c>
      <c r="J3122">
        <v>3916.44</v>
      </c>
      <c r="K3122">
        <v>0</v>
      </c>
      <c r="M3122">
        <v>7832.8729999999996</v>
      </c>
      <c r="N3122" t="s">
        <v>19</v>
      </c>
      <c r="O3122">
        <v>3916.44</v>
      </c>
    </row>
    <row r="3123" spans="1:15" x14ac:dyDescent="0.2">
      <c r="A3123" t="s">
        <v>23</v>
      </c>
      <c r="B3123" t="s">
        <v>139</v>
      </c>
      <c r="C3123" t="s">
        <v>136</v>
      </c>
      <c r="D3123" t="s">
        <v>124</v>
      </c>
      <c r="E3123" t="s">
        <v>53</v>
      </c>
      <c r="F3123" t="s">
        <v>114</v>
      </c>
      <c r="G3123">
        <v>120664</v>
      </c>
      <c r="H3123" s="75">
        <v>41851</v>
      </c>
      <c r="I3123" t="s">
        <v>115</v>
      </c>
      <c r="J3123">
        <v>5000</v>
      </c>
      <c r="K3123">
        <v>153.239</v>
      </c>
      <c r="L3123">
        <v>32.628700000000002</v>
      </c>
      <c r="M3123">
        <v>7986.1120000000001</v>
      </c>
      <c r="N3123" t="s">
        <v>15</v>
      </c>
    </row>
    <row r="3124" spans="1:15" x14ac:dyDescent="0.2">
      <c r="A3124" t="s">
        <v>23</v>
      </c>
      <c r="B3124" t="s">
        <v>139</v>
      </c>
      <c r="C3124" t="s">
        <v>136</v>
      </c>
      <c r="D3124" t="s">
        <v>124</v>
      </c>
      <c r="E3124" t="s">
        <v>53</v>
      </c>
      <c r="F3124" t="s">
        <v>114</v>
      </c>
      <c r="G3124">
        <v>120664</v>
      </c>
      <c r="H3124" s="75">
        <v>41881</v>
      </c>
      <c r="I3124" t="s">
        <v>115</v>
      </c>
      <c r="J3124">
        <v>5000</v>
      </c>
      <c r="K3124">
        <v>151.667</v>
      </c>
      <c r="L3124">
        <v>32.966900000000003</v>
      </c>
      <c r="M3124">
        <v>8137.78</v>
      </c>
      <c r="N3124" t="s">
        <v>15</v>
      </c>
    </row>
    <row r="3125" spans="1:15" x14ac:dyDescent="0.2">
      <c r="A3125" t="s">
        <v>23</v>
      </c>
      <c r="B3125" t="s">
        <v>139</v>
      </c>
      <c r="C3125" t="s">
        <v>136</v>
      </c>
      <c r="D3125" t="s">
        <v>124</v>
      </c>
      <c r="E3125" t="s">
        <v>53</v>
      </c>
      <c r="F3125" t="s">
        <v>114</v>
      </c>
      <c r="G3125">
        <v>120664</v>
      </c>
      <c r="H3125" s="75">
        <v>41881</v>
      </c>
      <c r="I3125" t="s">
        <v>116</v>
      </c>
      <c r="J3125">
        <v>2.5</v>
      </c>
      <c r="K3125">
        <v>0</v>
      </c>
      <c r="M3125">
        <v>8137.78</v>
      </c>
      <c r="N3125" t="s">
        <v>17</v>
      </c>
    </row>
    <row r="3126" spans="1:15" x14ac:dyDescent="0.2">
      <c r="A3126" t="s">
        <v>23</v>
      </c>
      <c r="B3126" t="s">
        <v>139</v>
      </c>
      <c r="C3126" t="s">
        <v>136</v>
      </c>
      <c r="D3126" t="s">
        <v>124</v>
      </c>
      <c r="E3126" t="s">
        <v>53</v>
      </c>
      <c r="F3126" t="s">
        <v>114</v>
      </c>
      <c r="G3126">
        <v>120664</v>
      </c>
      <c r="H3126" s="75">
        <v>41911</v>
      </c>
      <c r="I3126" t="s">
        <v>115</v>
      </c>
      <c r="J3126">
        <v>5000</v>
      </c>
      <c r="K3126">
        <v>148.012</v>
      </c>
      <c r="L3126">
        <v>33.781100000000002</v>
      </c>
      <c r="M3126">
        <v>8285.7909999999993</v>
      </c>
      <c r="N3126" t="s">
        <v>15</v>
      </c>
    </row>
    <row r="3127" spans="1:15" x14ac:dyDescent="0.2">
      <c r="A3127" t="s">
        <v>23</v>
      </c>
      <c r="B3127" t="s">
        <v>139</v>
      </c>
      <c r="C3127" t="s">
        <v>136</v>
      </c>
      <c r="D3127" t="s">
        <v>124</v>
      </c>
      <c r="E3127" t="s">
        <v>53</v>
      </c>
      <c r="F3127" t="s">
        <v>114</v>
      </c>
      <c r="G3127">
        <v>120664</v>
      </c>
      <c r="H3127" s="75">
        <v>41941</v>
      </c>
      <c r="I3127" t="s">
        <v>115</v>
      </c>
      <c r="J3127">
        <v>5000</v>
      </c>
      <c r="K3127">
        <v>147.541</v>
      </c>
      <c r="L3127">
        <v>33.888800000000003</v>
      </c>
      <c r="M3127">
        <v>8433.3320000000003</v>
      </c>
      <c r="N3127" t="s">
        <v>15</v>
      </c>
    </row>
    <row r="3128" spans="1:15" x14ac:dyDescent="0.2">
      <c r="A3128" t="s">
        <v>23</v>
      </c>
      <c r="B3128" t="s">
        <v>139</v>
      </c>
      <c r="C3128" t="s">
        <v>136</v>
      </c>
      <c r="D3128" t="s">
        <v>124</v>
      </c>
      <c r="E3128" t="s">
        <v>53</v>
      </c>
      <c r="F3128" t="s">
        <v>114</v>
      </c>
      <c r="G3128">
        <v>120664</v>
      </c>
      <c r="H3128" s="75">
        <v>41941</v>
      </c>
      <c r="I3128" t="s">
        <v>116</v>
      </c>
      <c r="J3128">
        <v>2.5</v>
      </c>
      <c r="K3128">
        <v>0</v>
      </c>
      <c r="M3128">
        <v>8433.3320000000003</v>
      </c>
      <c r="N3128" t="s">
        <v>17</v>
      </c>
    </row>
    <row r="3129" spans="1:15" x14ac:dyDescent="0.2">
      <c r="A3129" t="s">
        <v>23</v>
      </c>
      <c r="B3129" t="s">
        <v>139</v>
      </c>
      <c r="C3129" t="s">
        <v>136</v>
      </c>
      <c r="D3129" t="s">
        <v>124</v>
      </c>
      <c r="E3129" t="s">
        <v>53</v>
      </c>
      <c r="F3129" t="s">
        <v>114</v>
      </c>
      <c r="G3129">
        <v>120664</v>
      </c>
      <c r="H3129" s="75">
        <v>41971</v>
      </c>
      <c r="I3129" t="s">
        <v>115</v>
      </c>
      <c r="J3129">
        <v>5000</v>
      </c>
      <c r="K3129">
        <v>144.077</v>
      </c>
      <c r="L3129">
        <v>34.703600000000002</v>
      </c>
      <c r="M3129">
        <v>8577.41</v>
      </c>
      <c r="N3129" t="s">
        <v>15</v>
      </c>
    </row>
    <row r="3130" spans="1:15" x14ac:dyDescent="0.2">
      <c r="A3130" t="s">
        <v>23</v>
      </c>
      <c r="B3130" t="s">
        <v>139</v>
      </c>
      <c r="C3130" t="s">
        <v>136</v>
      </c>
      <c r="D3130" t="s">
        <v>124</v>
      </c>
      <c r="E3130" t="s">
        <v>53</v>
      </c>
      <c r="F3130" t="s">
        <v>114</v>
      </c>
      <c r="G3130">
        <v>120664</v>
      </c>
      <c r="H3130" s="75">
        <v>42001</v>
      </c>
      <c r="I3130" t="s">
        <v>115</v>
      </c>
      <c r="J3130">
        <v>5000</v>
      </c>
      <c r="K3130">
        <v>144.18</v>
      </c>
      <c r="L3130">
        <v>34.678899999999999</v>
      </c>
      <c r="M3130">
        <v>8721.59</v>
      </c>
      <c r="N3130" t="s">
        <v>15</v>
      </c>
    </row>
    <row r="3131" spans="1:15" x14ac:dyDescent="0.2">
      <c r="A3131" t="s">
        <v>23</v>
      </c>
      <c r="B3131" t="s">
        <v>139</v>
      </c>
      <c r="C3131" t="s">
        <v>136</v>
      </c>
      <c r="D3131" t="s">
        <v>124</v>
      </c>
      <c r="E3131" t="s">
        <v>53</v>
      </c>
      <c r="F3131" t="s">
        <v>114</v>
      </c>
      <c r="G3131">
        <v>120664</v>
      </c>
      <c r="H3131" s="75">
        <v>42001</v>
      </c>
      <c r="I3131" t="s">
        <v>116</v>
      </c>
      <c r="J3131">
        <v>2.5</v>
      </c>
      <c r="K3131">
        <v>0</v>
      </c>
      <c r="M3131">
        <v>8721.59</v>
      </c>
      <c r="N3131" t="s">
        <v>17</v>
      </c>
    </row>
    <row r="3132" spans="1:15" x14ac:dyDescent="0.2">
      <c r="A3132" t="s">
        <v>23</v>
      </c>
      <c r="B3132" t="s">
        <v>139</v>
      </c>
      <c r="C3132" t="s">
        <v>136</v>
      </c>
      <c r="D3132" t="s">
        <v>124</v>
      </c>
      <c r="E3132" t="s">
        <v>53</v>
      </c>
      <c r="F3132" t="s">
        <v>114</v>
      </c>
      <c r="G3132">
        <v>120664</v>
      </c>
      <c r="H3132" s="75">
        <v>42031</v>
      </c>
      <c r="I3132" t="s">
        <v>115</v>
      </c>
      <c r="J3132">
        <v>5000</v>
      </c>
      <c r="K3132">
        <v>144.02500000000001</v>
      </c>
      <c r="L3132">
        <v>34.716099999999997</v>
      </c>
      <c r="M3132">
        <v>8865.6149999999998</v>
      </c>
      <c r="N3132" t="s">
        <v>15</v>
      </c>
    </row>
    <row r="3133" spans="1:15" x14ac:dyDescent="0.2">
      <c r="A3133" t="s">
        <v>23</v>
      </c>
      <c r="B3133" t="s">
        <v>139</v>
      </c>
      <c r="C3133" t="s">
        <v>136</v>
      </c>
      <c r="D3133" t="s">
        <v>124</v>
      </c>
      <c r="E3133" t="s">
        <v>53</v>
      </c>
      <c r="F3133" t="s">
        <v>114</v>
      </c>
      <c r="G3133">
        <v>120664</v>
      </c>
      <c r="H3133" s="75">
        <v>42061</v>
      </c>
      <c r="I3133" t="s">
        <v>115</v>
      </c>
      <c r="J3133">
        <v>5000</v>
      </c>
      <c r="K3133">
        <v>143.851</v>
      </c>
      <c r="L3133">
        <v>34.758200000000002</v>
      </c>
      <c r="M3133">
        <v>9009.4660000000003</v>
      </c>
      <c r="N3133" t="s">
        <v>15</v>
      </c>
    </row>
    <row r="3134" spans="1:15" x14ac:dyDescent="0.2">
      <c r="A3134" t="s">
        <v>23</v>
      </c>
      <c r="B3134" t="s">
        <v>139</v>
      </c>
      <c r="C3134" t="s">
        <v>136</v>
      </c>
      <c r="D3134" t="s">
        <v>124</v>
      </c>
      <c r="E3134" t="s">
        <v>53</v>
      </c>
      <c r="F3134" t="s">
        <v>114</v>
      </c>
      <c r="G3134">
        <v>120664</v>
      </c>
      <c r="H3134" s="75">
        <v>42091</v>
      </c>
      <c r="I3134" t="s">
        <v>115</v>
      </c>
      <c r="J3134">
        <v>5000</v>
      </c>
      <c r="K3134">
        <v>141.97999999999999</v>
      </c>
      <c r="L3134">
        <v>35.216200000000001</v>
      </c>
      <c r="M3134">
        <v>9151.4459999999999</v>
      </c>
      <c r="N3134" t="s">
        <v>15</v>
      </c>
    </row>
    <row r="3135" spans="1:15" x14ac:dyDescent="0.2">
      <c r="A3135" t="s">
        <v>23</v>
      </c>
      <c r="B3135" t="s">
        <v>139</v>
      </c>
      <c r="C3135" t="s">
        <v>136</v>
      </c>
      <c r="D3135" t="s">
        <v>124</v>
      </c>
      <c r="E3135" t="s">
        <v>53</v>
      </c>
      <c r="F3135" t="s">
        <v>114</v>
      </c>
      <c r="G3135">
        <v>120664</v>
      </c>
      <c r="H3135" s="75">
        <v>42121</v>
      </c>
      <c r="I3135" t="s">
        <v>115</v>
      </c>
      <c r="J3135">
        <v>5000</v>
      </c>
      <c r="K3135">
        <v>140.672</v>
      </c>
      <c r="L3135">
        <v>35.543799999999997</v>
      </c>
      <c r="M3135">
        <v>9292.1180000000004</v>
      </c>
      <c r="N3135" t="s">
        <v>15</v>
      </c>
    </row>
    <row r="3136" spans="1:15" x14ac:dyDescent="0.2">
      <c r="A3136" t="s">
        <v>23</v>
      </c>
      <c r="B3136" t="s">
        <v>139</v>
      </c>
      <c r="C3136" t="s">
        <v>136</v>
      </c>
      <c r="D3136" t="s">
        <v>124</v>
      </c>
      <c r="E3136" t="s">
        <v>53</v>
      </c>
      <c r="F3136" t="s">
        <v>114</v>
      </c>
      <c r="G3136">
        <v>120664</v>
      </c>
      <c r="H3136" s="75">
        <v>42151</v>
      </c>
      <c r="I3136" t="s">
        <v>115</v>
      </c>
      <c r="J3136">
        <v>5000</v>
      </c>
      <c r="K3136">
        <v>139.066</v>
      </c>
      <c r="L3136">
        <v>35.954300000000003</v>
      </c>
      <c r="M3136">
        <v>9431.1839999999993</v>
      </c>
      <c r="N3136" t="s">
        <v>15</v>
      </c>
    </row>
    <row r="3137" spans="1:14" x14ac:dyDescent="0.2">
      <c r="A3137" t="s">
        <v>23</v>
      </c>
      <c r="B3137" t="s">
        <v>139</v>
      </c>
      <c r="C3137" t="s">
        <v>136</v>
      </c>
      <c r="D3137" t="s">
        <v>124</v>
      </c>
      <c r="E3137" t="s">
        <v>53</v>
      </c>
      <c r="F3137" t="s">
        <v>114</v>
      </c>
      <c r="G3137">
        <v>120664</v>
      </c>
      <c r="H3137" s="75">
        <v>42181</v>
      </c>
      <c r="I3137" t="s">
        <v>115</v>
      </c>
      <c r="J3137">
        <v>5000</v>
      </c>
      <c r="K3137">
        <v>135.40799999999999</v>
      </c>
      <c r="L3137">
        <v>36.9255</v>
      </c>
      <c r="M3137">
        <v>9566.5910000000003</v>
      </c>
      <c r="N3137" t="s">
        <v>15</v>
      </c>
    </row>
    <row r="3138" spans="1:14" x14ac:dyDescent="0.2">
      <c r="A3138" t="s">
        <v>23</v>
      </c>
      <c r="B3138" t="s">
        <v>139</v>
      </c>
      <c r="C3138" t="s">
        <v>136</v>
      </c>
      <c r="D3138" t="s">
        <v>124</v>
      </c>
      <c r="E3138" t="s">
        <v>53</v>
      </c>
      <c r="F3138" t="s">
        <v>114</v>
      </c>
      <c r="G3138">
        <v>120664</v>
      </c>
      <c r="H3138" s="75">
        <v>42211</v>
      </c>
      <c r="I3138" t="s">
        <v>115</v>
      </c>
      <c r="J3138">
        <v>5000</v>
      </c>
      <c r="K3138">
        <v>134.25</v>
      </c>
      <c r="L3138">
        <v>37.243899999999996</v>
      </c>
      <c r="M3138">
        <v>9700.8420000000006</v>
      </c>
      <c r="N3138" t="s">
        <v>15</v>
      </c>
    </row>
    <row r="3139" spans="1:14" x14ac:dyDescent="0.2">
      <c r="A3139" t="s">
        <v>23</v>
      </c>
      <c r="B3139" t="s">
        <v>139</v>
      </c>
      <c r="C3139" t="s">
        <v>136</v>
      </c>
      <c r="D3139" t="s">
        <v>124</v>
      </c>
      <c r="E3139" t="s">
        <v>53</v>
      </c>
      <c r="F3139" t="s">
        <v>114</v>
      </c>
      <c r="G3139">
        <v>120664</v>
      </c>
      <c r="H3139" s="75">
        <v>42211</v>
      </c>
      <c r="I3139" t="s">
        <v>116</v>
      </c>
      <c r="J3139">
        <v>2.5</v>
      </c>
      <c r="K3139">
        <v>0</v>
      </c>
      <c r="M3139">
        <v>9700.8420000000006</v>
      </c>
      <c r="N3139" t="s">
        <v>17</v>
      </c>
    </row>
    <row r="3140" spans="1:14" x14ac:dyDescent="0.2">
      <c r="A3140" t="s">
        <v>23</v>
      </c>
      <c r="B3140" t="s">
        <v>139</v>
      </c>
      <c r="C3140" t="s">
        <v>136</v>
      </c>
      <c r="D3140" t="s">
        <v>124</v>
      </c>
      <c r="E3140" t="s">
        <v>53</v>
      </c>
      <c r="F3140" t="s">
        <v>114</v>
      </c>
      <c r="G3140">
        <v>120664</v>
      </c>
      <c r="H3140" s="75">
        <v>42211</v>
      </c>
      <c r="I3140" t="s">
        <v>25</v>
      </c>
      <c r="J3140">
        <v>-72259.350000000006</v>
      </c>
      <c r="K3140">
        <v>-1940.1679999999999</v>
      </c>
      <c r="L3140">
        <v>37.243899999999996</v>
      </c>
      <c r="M3140">
        <v>7760.6729999999998</v>
      </c>
      <c r="N3140" t="s">
        <v>16</v>
      </c>
    </row>
    <row r="3141" spans="1:14" x14ac:dyDescent="0.2">
      <c r="A3141" t="s">
        <v>23</v>
      </c>
      <c r="B3141" t="s">
        <v>139</v>
      </c>
      <c r="C3141" t="s">
        <v>136</v>
      </c>
      <c r="D3141" t="s">
        <v>124</v>
      </c>
      <c r="E3141" t="s">
        <v>53</v>
      </c>
      <c r="F3141" t="s">
        <v>114</v>
      </c>
      <c r="G3141">
        <v>120664</v>
      </c>
      <c r="H3141" s="75">
        <v>42241</v>
      </c>
      <c r="I3141" t="s">
        <v>115</v>
      </c>
      <c r="J3141">
        <v>5000</v>
      </c>
      <c r="K3141">
        <v>135.381</v>
      </c>
      <c r="L3141">
        <v>36.932899999999997</v>
      </c>
      <c r="M3141">
        <v>7896.0540000000001</v>
      </c>
      <c r="N3141" t="s">
        <v>15</v>
      </c>
    </row>
    <row r="3142" spans="1:14" x14ac:dyDescent="0.2">
      <c r="A3142" t="s">
        <v>23</v>
      </c>
      <c r="B3142" t="s">
        <v>139</v>
      </c>
      <c r="C3142" t="s">
        <v>136</v>
      </c>
      <c r="D3142" t="s">
        <v>124</v>
      </c>
      <c r="E3142" t="s">
        <v>53</v>
      </c>
      <c r="F3142" t="s">
        <v>114</v>
      </c>
      <c r="G3142">
        <v>120664</v>
      </c>
      <c r="H3142" s="75">
        <v>42271</v>
      </c>
      <c r="I3142" t="s">
        <v>115</v>
      </c>
      <c r="J3142">
        <v>5000</v>
      </c>
      <c r="K3142">
        <v>135.79499999999999</v>
      </c>
      <c r="L3142">
        <v>36.820300000000003</v>
      </c>
      <c r="M3142">
        <v>8031.8490000000002</v>
      </c>
      <c r="N3142" t="s">
        <v>15</v>
      </c>
    </row>
    <row r="3143" spans="1:14" x14ac:dyDescent="0.2">
      <c r="A3143" t="s">
        <v>23</v>
      </c>
      <c r="B3143" t="s">
        <v>139</v>
      </c>
      <c r="C3143" t="s">
        <v>136</v>
      </c>
      <c r="D3143" t="s">
        <v>124</v>
      </c>
      <c r="E3143" t="s">
        <v>53</v>
      </c>
      <c r="F3143" t="s">
        <v>114</v>
      </c>
      <c r="G3143">
        <v>120664</v>
      </c>
      <c r="H3143" s="75">
        <v>42301</v>
      </c>
      <c r="I3143" t="s">
        <v>115</v>
      </c>
      <c r="J3143">
        <v>5000</v>
      </c>
      <c r="K3143">
        <v>137.89099999999999</v>
      </c>
      <c r="L3143">
        <v>36.2605</v>
      </c>
      <c r="M3143">
        <v>8169.74</v>
      </c>
      <c r="N3143" t="s">
        <v>15</v>
      </c>
    </row>
    <row r="3144" spans="1:14" x14ac:dyDescent="0.2">
      <c r="A3144" t="s">
        <v>23</v>
      </c>
      <c r="B3144" t="s">
        <v>139</v>
      </c>
      <c r="C3144" t="s">
        <v>136</v>
      </c>
      <c r="D3144" t="s">
        <v>124</v>
      </c>
      <c r="E3144" t="s">
        <v>53</v>
      </c>
      <c r="F3144" t="s">
        <v>114</v>
      </c>
      <c r="G3144">
        <v>120664</v>
      </c>
      <c r="H3144" s="75">
        <v>42331</v>
      </c>
      <c r="I3144" t="s">
        <v>115</v>
      </c>
      <c r="J3144">
        <v>5000</v>
      </c>
      <c r="K3144">
        <v>136.91300000000001</v>
      </c>
      <c r="L3144">
        <v>36.519599999999997</v>
      </c>
      <c r="M3144">
        <v>8306.6530000000002</v>
      </c>
      <c r="N3144" t="s">
        <v>15</v>
      </c>
    </row>
    <row r="3145" spans="1:14" x14ac:dyDescent="0.2">
      <c r="A3145" t="s">
        <v>23</v>
      </c>
      <c r="B3145" t="s">
        <v>139</v>
      </c>
      <c r="C3145" t="s">
        <v>136</v>
      </c>
      <c r="D3145" t="s">
        <v>124</v>
      </c>
      <c r="E3145" t="s">
        <v>53</v>
      </c>
      <c r="F3145" t="s">
        <v>114</v>
      </c>
      <c r="G3145">
        <v>120664</v>
      </c>
      <c r="H3145" s="75">
        <v>42331</v>
      </c>
      <c r="I3145" t="s">
        <v>25</v>
      </c>
      <c r="J3145">
        <v>-60671.05</v>
      </c>
      <c r="K3145">
        <v>-1661.3309999999999</v>
      </c>
      <c r="L3145">
        <v>36.519599999999997</v>
      </c>
      <c r="M3145">
        <v>6645.3220000000001</v>
      </c>
      <c r="N3145" t="s">
        <v>16</v>
      </c>
    </row>
    <row r="3146" spans="1:14" x14ac:dyDescent="0.2">
      <c r="A3146" t="s">
        <v>23</v>
      </c>
      <c r="B3146" t="s">
        <v>139</v>
      </c>
      <c r="C3146" t="s">
        <v>136</v>
      </c>
      <c r="D3146" t="s">
        <v>124</v>
      </c>
      <c r="E3146" t="s">
        <v>53</v>
      </c>
      <c r="F3146" t="s">
        <v>114</v>
      </c>
      <c r="G3146">
        <v>120664</v>
      </c>
      <c r="H3146" s="75">
        <v>42361</v>
      </c>
      <c r="I3146" t="s">
        <v>115</v>
      </c>
      <c r="J3146">
        <v>5000</v>
      </c>
      <c r="K3146">
        <v>139.08600000000001</v>
      </c>
      <c r="L3146">
        <v>35.948900000000002</v>
      </c>
      <c r="M3146">
        <v>6784.4089999999997</v>
      </c>
      <c r="N3146" t="s">
        <v>15</v>
      </c>
    </row>
    <row r="3147" spans="1:14" x14ac:dyDescent="0.2">
      <c r="A3147" t="s">
        <v>23</v>
      </c>
      <c r="B3147" t="s">
        <v>139</v>
      </c>
      <c r="C3147" t="s">
        <v>136</v>
      </c>
      <c r="D3147" t="s">
        <v>124</v>
      </c>
      <c r="E3147" t="s">
        <v>53</v>
      </c>
      <c r="F3147" t="s">
        <v>114</v>
      </c>
      <c r="G3147">
        <v>120664</v>
      </c>
      <c r="H3147" s="75">
        <v>42361</v>
      </c>
      <c r="I3147" t="s">
        <v>117</v>
      </c>
      <c r="J3147">
        <v>2.5</v>
      </c>
      <c r="K3147">
        <v>0</v>
      </c>
      <c r="M3147">
        <v>6784.4089999999997</v>
      </c>
      <c r="N3147" t="s">
        <v>46</v>
      </c>
    </row>
    <row r="3148" spans="1:14" x14ac:dyDescent="0.2">
      <c r="A3148" t="s">
        <v>23</v>
      </c>
      <c r="B3148" t="s">
        <v>139</v>
      </c>
      <c r="C3148" t="s">
        <v>136</v>
      </c>
      <c r="D3148" t="s">
        <v>124</v>
      </c>
      <c r="E3148" t="s">
        <v>53</v>
      </c>
      <c r="F3148" t="s">
        <v>114</v>
      </c>
      <c r="G3148">
        <v>120664</v>
      </c>
      <c r="H3148" s="75">
        <v>42391</v>
      </c>
      <c r="I3148" t="s">
        <v>115</v>
      </c>
      <c r="J3148">
        <v>5000</v>
      </c>
      <c r="K3148">
        <v>139.19499999999999</v>
      </c>
      <c r="L3148">
        <v>35.920900000000003</v>
      </c>
      <c r="M3148">
        <v>6923.6040000000003</v>
      </c>
      <c r="N3148" t="s">
        <v>15</v>
      </c>
    </row>
    <row r="3149" spans="1:14" x14ac:dyDescent="0.2">
      <c r="A3149" t="s">
        <v>23</v>
      </c>
      <c r="B3149" t="s">
        <v>139</v>
      </c>
      <c r="C3149" t="s">
        <v>136</v>
      </c>
      <c r="D3149" t="s">
        <v>124</v>
      </c>
      <c r="E3149" t="s">
        <v>53</v>
      </c>
      <c r="F3149" t="s">
        <v>114</v>
      </c>
      <c r="G3149">
        <v>120664</v>
      </c>
      <c r="H3149" s="75">
        <v>42421</v>
      </c>
      <c r="I3149" t="s">
        <v>115</v>
      </c>
      <c r="J3149">
        <v>5000</v>
      </c>
      <c r="K3149">
        <v>138.99199999999999</v>
      </c>
      <c r="L3149">
        <v>35.973300000000002</v>
      </c>
      <c r="M3149">
        <v>7062.5950000000003</v>
      </c>
      <c r="N3149" t="s">
        <v>15</v>
      </c>
    </row>
    <row r="3150" spans="1:14" x14ac:dyDescent="0.2">
      <c r="A3150" t="s">
        <v>23</v>
      </c>
      <c r="B3150" t="s">
        <v>139</v>
      </c>
      <c r="C3150" t="s">
        <v>136</v>
      </c>
      <c r="D3150" t="s">
        <v>124</v>
      </c>
      <c r="E3150" t="s">
        <v>53</v>
      </c>
      <c r="F3150" t="s">
        <v>114</v>
      </c>
      <c r="G3150">
        <v>120664</v>
      </c>
      <c r="H3150" s="75">
        <v>42451</v>
      </c>
      <c r="I3150" t="s">
        <v>115</v>
      </c>
      <c r="J3150">
        <v>5000</v>
      </c>
      <c r="K3150">
        <v>138.23599999999999</v>
      </c>
      <c r="L3150">
        <v>36.170099999999998</v>
      </c>
      <c r="M3150">
        <v>7200.8310000000001</v>
      </c>
      <c r="N3150" t="s">
        <v>15</v>
      </c>
    </row>
    <row r="3151" spans="1:14" x14ac:dyDescent="0.2">
      <c r="A3151" t="s">
        <v>23</v>
      </c>
      <c r="B3151" t="s">
        <v>139</v>
      </c>
      <c r="C3151" t="s">
        <v>136</v>
      </c>
      <c r="D3151" t="s">
        <v>124</v>
      </c>
      <c r="E3151" t="s">
        <v>53</v>
      </c>
      <c r="F3151" t="s">
        <v>114</v>
      </c>
      <c r="G3151">
        <v>120664</v>
      </c>
      <c r="H3151" s="75">
        <v>42481</v>
      </c>
      <c r="I3151" t="s">
        <v>115</v>
      </c>
      <c r="J3151">
        <v>5000</v>
      </c>
      <c r="K3151">
        <v>136.73099999999999</v>
      </c>
      <c r="L3151">
        <v>36.567999999999998</v>
      </c>
      <c r="M3151">
        <v>7337.5630000000001</v>
      </c>
      <c r="N3151" t="s">
        <v>15</v>
      </c>
    </row>
    <row r="3152" spans="1:14" x14ac:dyDescent="0.2">
      <c r="A3152" t="s">
        <v>23</v>
      </c>
      <c r="B3152" t="s">
        <v>139</v>
      </c>
      <c r="C3152" t="s">
        <v>136</v>
      </c>
      <c r="D3152" t="s">
        <v>124</v>
      </c>
      <c r="E3152" t="s">
        <v>53</v>
      </c>
      <c r="F3152" t="s">
        <v>114</v>
      </c>
      <c r="G3152">
        <v>120664</v>
      </c>
      <c r="H3152" s="75">
        <v>42511</v>
      </c>
      <c r="I3152" t="s">
        <v>115</v>
      </c>
      <c r="J3152">
        <v>5000</v>
      </c>
      <c r="K3152">
        <v>136.696</v>
      </c>
      <c r="L3152">
        <v>36.577599999999997</v>
      </c>
      <c r="M3152">
        <v>7474.2579999999998</v>
      </c>
      <c r="N3152" t="s">
        <v>15</v>
      </c>
    </row>
    <row r="3153" spans="1:15" x14ac:dyDescent="0.2">
      <c r="A3153" t="s">
        <v>23</v>
      </c>
      <c r="B3153" t="s">
        <v>139</v>
      </c>
      <c r="C3153" t="s">
        <v>136</v>
      </c>
      <c r="D3153" t="s">
        <v>124</v>
      </c>
      <c r="E3153" t="s">
        <v>53</v>
      </c>
      <c r="F3153" t="s">
        <v>114</v>
      </c>
      <c r="G3153">
        <v>120664</v>
      </c>
      <c r="H3153" s="75">
        <v>42541</v>
      </c>
      <c r="I3153" t="s">
        <v>115</v>
      </c>
      <c r="J3153">
        <v>5000</v>
      </c>
      <c r="K3153">
        <v>133.148</v>
      </c>
      <c r="L3153">
        <v>37.552100000000003</v>
      </c>
      <c r="M3153">
        <v>7607.4070000000002</v>
      </c>
      <c r="N3153" t="s">
        <v>15</v>
      </c>
    </row>
    <row r="3154" spans="1:15" x14ac:dyDescent="0.2">
      <c r="A3154" t="s">
        <v>23</v>
      </c>
      <c r="B3154" t="s">
        <v>139</v>
      </c>
      <c r="C3154" t="s">
        <v>136</v>
      </c>
      <c r="D3154" t="s">
        <v>124</v>
      </c>
      <c r="E3154" t="s">
        <v>53</v>
      </c>
      <c r="F3154" t="s">
        <v>114</v>
      </c>
      <c r="G3154">
        <v>120664</v>
      </c>
      <c r="H3154" s="75">
        <v>42541</v>
      </c>
      <c r="I3154" t="s">
        <v>118</v>
      </c>
      <c r="J3154">
        <v>3803.7</v>
      </c>
      <c r="K3154">
        <v>0</v>
      </c>
      <c r="M3154">
        <v>7607.4070000000002</v>
      </c>
      <c r="N3154" t="s">
        <v>19</v>
      </c>
      <c r="O3154">
        <v>3803.7</v>
      </c>
    </row>
    <row r="3155" spans="1:15" x14ac:dyDescent="0.2">
      <c r="A3155" t="s">
        <v>23</v>
      </c>
      <c r="B3155" t="s">
        <v>139</v>
      </c>
      <c r="C3155" t="s">
        <v>136</v>
      </c>
      <c r="D3155" t="s">
        <v>124</v>
      </c>
      <c r="E3155" t="s">
        <v>53</v>
      </c>
      <c r="F3155" t="s">
        <v>114</v>
      </c>
      <c r="G3155">
        <v>120664</v>
      </c>
      <c r="H3155" s="75">
        <v>42571</v>
      </c>
      <c r="I3155" t="s">
        <v>115</v>
      </c>
      <c r="J3155">
        <v>5000</v>
      </c>
      <c r="K3155">
        <v>131.40899999999999</v>
      </c>
      <c r="L3155">
        <v>38.049300000000002</v>
      </c>
      <c r="M3155">
        <v>7738.8149999999996</v>
      </c>
      <c r="N3155" t="s">
        <v>15</v>
      </c>
    </row>
    <row r="3156" spans="1:15" x14ac:dyDescent="0.2">
      <c r="A3156" t="s">
        <v>23</v>
      </c>
      <c r="B3156" t="s">
        <v>139</v>
      </c>
      <c r="C3156" t="s">
        <v>136</v>
      </c>
      <c r="D3156" t="s">
        <v>124</v>
      </c>
      <c r="E3156" t="s">
        <v>53</v>
      </c>
      <c r="F3156" t="s">
        <v>114</v>
      </c>
      <c r="G3156">
        <v>120664</v>
      </c>
      <c r="H3156" s="75">
        <v>42601</v>
      </c>
      <c r="I3156" t="s">
        <v>115</v>
      </c>
      <c r="J3156">
        <v>5000</v>
      </c>
      <c r="K3156">
        <v>134.00299999999999</v>
      </c>
      <c r="L3156">
        <v>37.3125</v>
      </c>
      <c r="M3156">
        <v>7872.8190000000004</v>
      </c>
      <c r="N3156" t="s">
        <v>15</v>
      </c>
    </row>
    <row r="3157" spans="1:15" x14ac:dyDescent="0.2">
      <c r="A3157" t="s">
        <v>23</v>
      </c>
      <c r="B3157" t="s">
        <v>139</v>
      </c>
      <c r="C3157" t="s">
        <v>136</v>
      </c>
      <c r="D3157" t="s">
        <v>124</v>
      </c>
      <c r="E3157" t="s">
        <v>53</v>
      </c>
      <c r="F3157" t="s">
        <v>114</v>
      </c>
      <c r="G3157">
        <v>120664</v>
      </c>
      <c r="H3157" s="75">
        <v>42631</v>
      </c>
      <c r="I3157" t="s">
        <v>115</v>
      </c>
      <c r="J3157">
        <v>5000</v>
      </c>
      <c r="K3157">
        <v>134.79499999999999</v>
      </c>
      <c r="L3157">
        <v>37.093299999999999</v>
      </c>
      <c r="M3157">
        <v>8007.6139999999996</v>
      </c>
      <c r="N3157" t="s">
        <v>15</v>
      </c>
    </row>
    <row r="3158" spans="1:15" x14ac:dyDescent="0.2">
      <c r="A3158" t="s">
        <v>23</v>
      </c>
      <c r="B3158" t="s">
        <v>139</v>
      </c>
      <c r="C3158" t="s">
        <v>136</v>
      </c>
      <c r="D3158" t="s">
        <v>124</v>
      </c>
      <c r="E3158" t="s">
        <v>53</v>
      </c>
      <c r="F3158" t="s">
        <v>114</v>
      </c>
      <c r="G3158">
        <v>120664</v>
      </c>
      <c r="H3158" s="75">
        <v>42661</v>
      </c>
      <c r="I3158" t="s">
        <v>115</v>
      </c>
      <c r="J3158">
        <v>5000</v>
      </c>
      <c r="K3158">
        <v>137.00299999999999</v>
      </c>
      <c r="L3158">
        <v>36.495600000000003</v>
      </c>
      <c r="M3158">
        <v>8144.6170000000002</v>
      </c>
      <c r="N3158" t="s">
        <v>15</v>
      </c>
    </row>
    <row r="3159" spans="1:15" x14ac:dyDescent="0.2">
      <c r="A3159" t="s">
        <v>23</v>
      </c>
      <c r="B3159" t="s">
        <v>139</v>
      </c>
      <c r="C3159" t="s">
        <v>136</v>
      </c>
      <c r="D3159" t="s">
        <v>124</v>
      </c>
      <c r="E3159" t="s">
        <v>53</v>
      </c>
      <c r="F3159" t="s">
        <v>114</v>
      </c>
      <c r="G3159">
        <v>120664</v>
      </c>
      <c r="H3159" s="75">
        <v>42691</v>
      </c>
      <c r="I3159" t="s">
        <v>115</v>
      </c>
      <c r="J3159">
        <v>5000</v>
      </c>
      <c r="K3159">
        <v>136.441</v>
      </c>
      <c r="L3159">
        <v>36.645899999999997</v>
      </c>
      <c r="M3159">
        <v>8281.0570000000007</v>
      </c>
      <c r="N3159" t="s">
        <v>15</v>
      </c>
    </row>
    <row r="3160" spans="1:15" x14ac:dyDescent="0.2">
      <c r="A3160" t="s">
        <v>23</v>
      </c>
      <c r="B3160" t="s">
        <v>139</v>
      </c>
      <c r="C3160" t="s">
        <v>136</v>
      </c>
      <c r="D3160" t="s">
        <v>124</v>
      </c>
      <c r="E3160" t="s">
        <v>53</v>
      </c>
      <c r="F3160" t="s">
        <v>114</v>
      </c>
      <c r="G3160">
        <v>120664</v>
      </c>
      <c r="H3160" s="75">
        <v>42721</v>
      </c>
      <c r="I3160" t="s">
        <v>115</v>
      </c>
      <c r="J3160">
        <v>5000</v>
      </c>
      <c r="K3160">
        <v>137.637</v>
      </c>
      <c r="L3160">
        <v>36.327399999999997</v>
      </c>
      <c r="M3160">
        <v>8418.6949999999997</v>
      </c>
      <c r="N3160" t="s">
        <v>15</v>
      </c>
    </row>
    <row r="3161" spans="1:15" x14ac:dyDescent="0.2">
      <c r="A3161" t="s">
        <v>23</v>
      </c>
      <c r="B3161" t="s">
        <v>139</v>
      </c>
      <c r="C3161" t="s">
        <v>136</v>
      </c>
      <c r="D3161" t="s">
        <v>124</v>
      </c>
      <c r="E3161" t="s">
        <v>53</v>
      </c>
      <c r="F3161" t="s">
        <v>114</v>
      </c>
      <c r="G3161">
        <v>120664</v>
      </c>
      <c r="H3161" s="75">
        <v>42751</v>
      </c>
      <c r="I3161" t="s">
        <v>115</v>
      </c>
      <c r="J3161">
        <v>5000</v>
      </c>
      <c r="K3161">
        <v>134.71799999999999</v>
      </c>
      <c r="L3161">
        <v>37.1145</v>
      </c>
      <c r="M3161">
        <v>8553.4130000000005</v>
      </c>
      <c r="N3161" t="s">
        <v>15</v>
      </c>
    </row>
    <row r="3162" spans="1:15" x14ac:dyDescent="0.2">
      <c r="A3162" t="s">
        <v>23</v>
      </c>
      <c r="B3162" t="s">
        <v>139</v>
      </c>
      <c r="C3162" t="s">
        <v>136</v>
      </c>
      <c r="D3162" t="s">
        <v>124</v>
      </c>
      <c r="E3162" t="s">
        <v>53</v>
      </c>
      <c r="F3162" t="s">
        <v>114</v>
      </c>
      <c r="G3162">
        <v>120664</v>
      </c>
      <c r="H3162" s="75">
        <v>42751</v>
      </c>
      <c r="I3162" t="s">
        <v>117</v>
      </c>
      <c r="J3162">
        <v>2.5</v>
      </c>
      <c r="K3162">
        <v>0</v>
      </c>
      <c r="M3162">
        <v>8553.4130000000005</v>
      </c>
      <c r="N3162" t="s">
        <v>46</v>
      </c>
    </row>
    <row r="3163" spans="1:15" x14ac:dyDescent="0.2">
      <c r="A3163" t="s">
        <v>23</v>
      </c>
      <c r="B3163" t="s">
        <v>139</v>
      </c>
      <c r="C3163" t="s">
        <v>136</v>
      </c>
      <c r="D3163" t="s">
        <v>124</v>
      </c>
      <c r="E3163" t="s">
        <v>53</v>
      </c>
      <c r="F3163" t="s">
        <v>114</v>
      </c>
      <c r="G3163">
        <v>120664</v>
      </c>
      <c r="H3163" s="75">
        <v>42781</v>
      </c>
      <c r="I3163" t="s">
        <v>115</v>
      </c>
      <c r="J3163">
        <v>5000</v>
      </c>
      <c r="K3163">
        <v>133.91900000000001</v>
      </c>
      <c r="L3163">
        <v>37.336100000000002</v>
      </c>
      <c r="M3163">
        <v>8687.3310000000001</v>
      </c>
      <c r="N3163" t="s">
        <v>15</v>
      </c>
    </row>
    <row r="3164" spans="1:15" x14ac:dyDescent="0.2">
      <c r="A3164" t="s">
        <v>23</v>
      </c>
      <c r="B3164" t="s">
        <v>139</v>
      </c>
      <c r="C3164" t="s">
        <v>136</v>
      </c>
      <c r="D3164" t="s">
        <v>124</v>
      </c>
      <c r="E3164" t="s">
        <v>53</v>
      </c>
      <c r="F3164" t="s">
        <v>114</v>
      </c>
      <c r="G3164">
        <v>120664</v>
      </c>
      <c r="H3164" s="75">
        <v>42811</v>
      </c>
      <c r="I3164" t="s">
        <v>115</v>
      </c>
      <c r="J3164">
        <v>5000</v>
      </c>
      <c r="K3164">
        <v>135.57</v>
      </c>
      <c r="L3164">
        <v>36.881399999999999</v>
      </c>
      <c r="M3164">
        <v>8822.9009999999998</v>
      </c>
      <c r="N3164" t="s">
        <v>15</v>
      </c>
    </row>
    <row r="3165" spans="1:15" x14ac:dyDescent="0.2">
      <c r="A3165" t="s">
        <v>23</v>
      </c>
      <c r="B3165" t="s">
        <v>139</v>
      </c>
      <c r="C3165" t="s">
        <v>136</v>
      </c>
      <c r="D3165" t="s">
        <v>124</v>
      </c>
      <c r="E3165" t="s">
        <v>53</v>
      </c>
      <c r="F3165" t="s">
        <v>114</v>
      </c>
      <c r="G3165">
        <v>120664</v>
      </c>
      <c r="H3165" s="75">
        <v>42841</v>
      </c>
      <c r="I3165" t="s">
        <v>115</v>
      </c>
      <c r="J3165">
        <v>5000</v>
      </c>
      <c r="K3165">
        <v>134.69</v>
      </c>
      <c r="L3165">
        <v>37.122199999999999</v>
      </c>
      <c r="M3165">
        <v>8957.5910000000003</v>
      </c>
      <c r="N3165" t="s">
        <v>15</v>
      </c>
    </row>
    <row r="3166" spans="1:15" x14ac:dyDescent="0.2">
      <c r="A3166" t="s">
        <v>23</v>
      </c>
      <c r="B3166" t="s">
        <v>139</v>
      </c>
      <c r="C3166" t="s">
        <v>136</v>
      </c>
      <c r="D3166" t="s">
        <v>124</v>
      </c>
      <c r="E3166" t="s">
        <v>53</v>
      </c>
      <c r="F3166" t="s">
        <v>114</v>
      </c>
      <c r="G3166">
        <v>120664</v>
      </c>
      <c r="H3166" s="75">
        <v>42871</v>
      </c>
      <c r="I3166" t="s">
        <v>115</v>
      </c>
      <c r="J3166">
        <v>5000</v>
      </c>
      <c r="K3166">
        <v>132.34200000000001</v>
      </c>
      <c r="L3166">
        <v>37.780900000000003</v>
      </c>
      <c r="M3166">
        <v>9089.9330000000009</v>
      </c>
      <c r="N3166" t="s">
        <v>15</v>
      </c>
    </row>
    <row r="3167" spans="1:15" x14ac:dyDescent="0.2">
      <c r="A3167" t="s">
        <v>23</v>
      </c>
      <c r="B3167" t="s">
        <v>139</v>
      </c>
      <c r="C3167" t="s">
        <v>136</v>
      </c>
      <c r="D3167" t="s">
        <v>124</v>
      </c>
      <c r="E3167" t="s">
        <v>53</v>
      </c>
      <c r="F3167" t="s">
        <v>114</v>
      </c>
      <c r="G3167">
        <v>120664</v>
      </c>
      <c r="H3167" s="75">
        <v>42901</v>
      </c>
      <c r="I3167" t="s">
        <v>115</v>
      </c>
      <c r="J3167">
        <v>5000</v>
      </c>
      <c r="K3167">
        <v>132.80500000000001</v>
      </c>
      <c r="L3167">
        <v>37.649000000000001</v>
      </c>
      <c r="M3167">
        <v>9222.7389999999996</v>
      </c>
      <c r="N3167" t="s">
        <v>15</v>
      </c>
    </row>
    <row r="3168" spans="1:15" x14ac:dyDescent="0.2">
      <c r="A3168" t="s">
        <v>23</v>
      </c>
      <c r="B3168" t="s">
        <v>139</v>
      </c>
      <c r="C3168" t="s">
        <v>136</v>
      </c>
      <c r="D3168" t="s">
        <v>124</v>
      </c>
      <c r="E3168" t="s">
        <v>53</v>
      </c>
      <c r="F3168" t="s">
        <v>114</v>
      </c>
      <c r="G3168">
        <v>120664</v>
      </c>
      <c r="H3168" s="75">
        <v>42931</v>
      </c>
      <c r="I3168" t="s">
        <v>115</v>
      </c>
      <c r="J3168">
        <v>5000</v>
      </c>
      <c r="K3168">
        <v>132.82</v>
      </c>
      <c r="L3168">
        <v>37.6449</v>
      </c>
      <c r="M3168">
        <v>9355.5589999999993</v>
      </c>
      <c r="N3168" t="s">
        <v>15</v>
      </c>
    </row>
    <row r="3169" spans="1:14" x14ac:dyDescent="0.2">
      <c r="A3169" t="s">
        <v>23</v>
      </c>
      <c r="B3169" t="s">
        <v>139</v>
      </c>
      <c r="C3169" t="s">
        <v>136</v>
      </c>
      <c r="D3169" t="s">
        <v>124</v>
      </c>
      <c r="E3169" t="s">
        <v>53</v>
      </c>
      <c r="F3169" t="s">
        <v>114</v>
      </c>
      <c r="G3169">
        <v>120664</v>
      </c>
      <c r="H3169" s="75">
        <v>42931</v>
      </c>
      <c r="I3169" t="s">
        <v>117</v>
      </c>
      <c r="J3169">
        <v>2.5</v>
      </c>
      <c r="K3169">
        <v>0</v>
      </c>
      <c r="M3169">
        <v>9355.5589999999993</v>
      </c>
      <c r="N3169" t="s">
        <v>46</v>
      </c>
    </row>
    <row r="3170" spans="1:14" x14ac:dyDescent="0.2">
      <c r="A3170" t="s">
        <v>23</v>
      </c>
      <c r="B3170" t="s">
        <v>139</v>
      </c>
      <c r="C3170" t="s">
        <v>136</v>
      </c>
      <c r="D3170" t="s">
        <v>124</v>
      </c>
      <c r="E3170" t="s">
        <v>53</v>
      </c>
      <c r="F3170" t="s">
        <v>114</v>
      </c>
      <c r="G3170">
        <v>120664</v>
      </c>
      <c r="H3170" s="75">
        <v>42961</v>
      </c>
      <c r="I3170" t="s">
        <v>115</v>
      </c>
      <c r="J3170">
        <v>5000</v>
      </c>
      <c r="K3170">
        <v>135.44300000000001</v>
      </c>
      <c r="L3170">
        <v>36.915999999999997</v>
      </c>
      <c r="M3170">
        <v>9491.0020000000004</v>
      </c>
      <c r="N3170" t="s">
        <v>15</v>
      </c>
    </row>
    <row r="3171" spans="1:14" x14ac:dyDescent="0.2">
      <c r="A3171" t="s">
        <v>23</v>
      </c>
      <c r="B3171" t="s">
        <v>139</v>
      </c>
      <c r="C3171" t="s">
        <v>136</v>
      </c>
      <c r="D3171" t="s">
        <v>124</v>
      </c>
      <c r="E3171" t="s">
        <v>53</v>
      </c>
      <c r="F3171" t="s">
        <v>114</v>
      </c>
      <c r="G3171">
        <v>120664</v>
      </c>
      <c r="H3171" s="75">
        <v>42991</v>
      </c>
      <c r="I3171" t="s">
        <v>115</v>
      </c>
      <c r="J3171">
        <v>5000</v>
      </c>
      <c r="K3171">
        <v>137.20400000000001</v>
      </c>
      <c r="L3171">
        <v>36.442</v>
      </c>
      <c r="M3171">
        <v>9628.2060000000001</v>
      </c>
      <c r="N3171" t="s">
        <v>15</v>
      </c>
    </row>
    <row r="3172" spans="1:14" x14ac:dyDescent="0.2">
      <c r="A3172" t="s">
        <v>23</v>
      </c>
      <c r="B3172" t="s">
        <v>139</v>
      </c>
      <c r="C3172" t="s">
        <v>136</v>
      </c>
      <c r="D3172" t="s">
        <v>124</v>
      </c>
      <c r="E3172" t="s">
        <v>53</v>
      </c>
      <c r="F3172" t="s">
        <v>114</v>
      </c>
      <c r="G3172">
        <v>120664</v>
      </c>
      <c r="H3172" s="75">
        <v>43021</v>
      </c>
      <c r="I3172" t="s">
        <v>115</v>
      </c>
      <c r="J3172">
        <v>5000</v>
      </c>
      <c r="K3172">
        <v>136.84200000000001</v>
      </c>
      <c r="L3172">
        <v>36.538499999999999</v>
      </c>
      <c r="M3172">
        <v>9765.0480000000007</v>
      </c>
      <c r="N3172" t="s">
        <v>15</v>
      </c>
    </row>
    <row r="3173" spans="1:14" x14ac:dyDescent="0.2">
      <c r="A3173" t="s">
        <v>23</v>
      </c>
      <c r="B3173" t="s">
        <v>139</v>
      </c>
      <c r="C3173" t="s">
        <v>136</v>
      </c>
      <c r="D3173" t="s">
        <v>124</v>
      </c>
      <c r="E3173" t="s">
        <v>53</v>
      </c>
      <c r="F3173" t="s">
        <v>114</v>
      </c>
      <c r="G3173">
        <v>120664</v>
      </c>
      <c r="H3173" s="75">
        <v>43051</v>
      </c>
      <c r="I3173" t="s">
        <v>115</v>
      </c>
      <c r="J3173">
        <v>5000</v>
      </c>
      <c r="K3173">
        <v>134.94300000000001</v>
      </c>
      <c r="L3173">
        <v>37.052700000000002</v>
      </c>
      <c r="M3173">
        <v>9899.991</v>
      </c>
      <c r="N3173" t="s">
        <v>15</v>
      </c>
    </row>
    <row r="3174" spans="1:14" x14ac:dyDescent="0.2">
      <c r="A3174" t="s">
        <v>23</v>
      </c>
      <c r="B3174" t="s">
        <v>139</v>
      </c>
      <c r="C3174" t="s">
        <v>136</v>
      </c>
      <c r="D3174" t="s">
        <v>124</v>
      </c>
      <c r="E3174" t="s">
        <v>53</v>
      </c>
      <c r="F3174" t="s">
        <v>114</v>
      </c>
      <c r="G3174">
        <v>120664</v>
      </c>
      <c r="H3174" s="75">
        <v>43081</v>
      </c>
      <c r="I3174" t="s">
        <v>115</v>
      </c>
      <c r="J3174">
        <v>5000</v>
      </c>
      <c r="K3174">
        <v>132.36500000000001</v>
      </c>
      <c r="L3174">
        <v>37.774500000000003</v>
      </c>
      <c r="M3174">
        <v>10032.356</v>
      </c>
      <c r="N3174" t="s">
        <v>15</v>
      </c>
    </row>
    <row r="3175" spans="1:14" x14ac:dyDescent="0.2">
      <c r="A3175" t="s">
        <v>23</v>
      </c>
      <c r="B3175" t="s">
        <v>139</v>
      </c>
      <c r="C3175" t="s">
        <v>136</v>
      </c>
      <c r="D3175" t="s">
        <v>124</v>
      </c>
      <c r="E3175" t="s">
        <v>53</v>
      </c>
      <c r="F3175" t="s">
        <v>114</v>
      </c>
      <c r="G3175">
        <v>120664</v>
      </c>
      <c r="H3175" s="75">
        <v>43111</v>
      </c>
      <c r="I3175" t="s">
        <v>115</v>
      </c>
      <c r="J3175">
        <v>5000</v>
      </c>
      <c r="K3175">
        <v>132.73099999999999</v>
      </c>
      <c r="L3175">
        <v>37.670200000000001</v>
      </c>
      <c r="M3175">
        <v>10165.085999999999</v>
      </c>
      <c r="N3175" t="s">
        <v>15</v>
      </c>
    </row>
    <row r="3176" spans="1:14" x14ac:dyDescent="0.2">
      <c r="A3176" t="s">
        <v>23</v>
      </c>
      <c r="B3176" t="s">
        <v>139</v>
      </c>
      <c r="C3176" t="s">
        <v>136</v>
      </c>
      <c r="D3176" t="s">
        <v>124</v>
      </c>
      <c r="E3176" t="s">
        <v>53</v>
      </c>
      <c r="F3176" t="s">
        <v>114</v>
      </c>
      <c r="G3176">
        <v>120664</v>
      </c>
      <c r="H3176" s="75">
        <v>43111</v>
      </c>
      <c r="I3176" t="s">
        <v>117</v>
      </c>
      <c r="J3176">
        <v>2.5</v>
      </c>
      <c r="K3176">
        <v>0</v>
      </c>
      <c r="M3176">
        <v>10165.085999999999</v>
      </c>
      <c r="N3176" t="s">
        <v>46</v>
      </c>
    </row>
    <row r="3177" spans="1:14" x14ac:dyDescent="0.2">
      <c r="A3177" t="s">
        <v>23</v>
      </c>
      <c r="B3177" t="s">
        <v>139</v>
      </c>
      <c r="C3177" t="s">
        <v>136</v>
      </c>
      <c r="D3177" t="s">
        <v>124</v>
      </c>
      <c r="E3177" t="s">
        <v>53</v>
      </c>
      <c r="F3177" t="s">
        <v>114</v>
      </c>
      <c r="G3177">
        <v>120664</v>
      </c>
      <c r="H3177" s="75">
        <v>43141</v>
      </c>
      <c r="I3177" t="s">
        <v>115</v>
      </c>
      <c r="J3177">
        <v>5000</v>
      </c>
      <c r="K3177">
        <v>131.47900000000001</v>
      </c>
      <c r="L3177">
        <v>38.029000000000003</v>
      </c>
      <c r="M3177">
        <v>10296.565000000001</v>
      </c>
      <c r="N3177" t="s">
        <v>15</v>
      </c>
    </row>
    <row r="3178" spans="1:14" x14ac:dyDescent="0.2">
      <c r="A3178" t="s">
        <v>23</v>
      </c>
      <c r="B3178" t="s">
        <v>139</v>
      </c>
      <c r="C3178" t="s">
        <v>136</v>
      </c>
      <c r="D3178" t="s">
        <v>124</v>
      </c>
      <c r="E3178" t="s">
        <v>53</v>
      </c>
      <c r="F3178" t="s">
        <v>114</v>
      </c>
      <c r="G3178">
        <v>120664</v>
      </c>
      <c r="H3178" s="75">
        <v>43171</v>
      </c>
      <c r="I3178" t="s">
        <v>115</v>
      </c>
      <c r="J3178">
        <v>5000</v>
      </c>
      <c r="K3178">
        <v>128.398</v>
      </c>
      <c r="L3178">
        <v>38.941400000000002</v>
      </c>
      <c r="M3178">
        <v>10424.963</v>
      </c>
      <c r="N3178" t="s">
        <v>15</v>
      </c>
    </row>
    <row r="3179" spans="1:14" x14ac:dyDescent="0.2">
      <c r="A3179" t="s">
        <v>23</v>
      </c>
      <c r="B3179" t="s">
        <v>139</v>
      </c>
      <c r="C3179" t="s">
        <v>136</v>
      </c>
      <c r="D3179" t="s">
        <v>124</v>
      </c>
      <c r="E3179" t="s">
        <v>53</v>
      </c>
      <c r="F3179" t="s">
        <v>114</v>
      </c>
      <c r="G3179">
        <v>120664</v>
      </c>
      <c r="H3179" s="75">
        <v>43201</v>
      </c>
      <c r="I3179" t="s">
        <v>115</v>
      </c>
      <c r="J3179">
        <v>5000</v>
      </c>
      <c r="K3179">
        <v>125.393</v>
      </c>
      <c r="L3179">
        <v>39.874699999999997</v>
      </c>
      <c r="M3179">
        <v>10550.356</v>
      </c>
      <c r="N3179" t="s">
        <v>15</v>
      </c>
    </row>
    <row r="3180" spans="1:14" x14ac:dyDescent="0.2">
      <c r="A3180" t="s">
        <v>23</v>
      </c>
      <c r="B3180" t="s">
        <v>139</v>
      </c>
      <c r="C3180" t="s">
        <v>136</v>
      </c>
      <c r="D3180" t="s">
        <v>124</v>
      </c>
      <c r="E3180" t="s">
        <v>53</v>
      </c>
      <c r="F3180" t="s">
        <v>114</v>
      </c>
      <c r="G3180">
        <v>120664</v>
      </c>
      <c r="H3180" s="75">
        <v>43231</v>
      </c>
      <c r="I3180" t="s">
        <v>115</v>
      </c>
      <c r="J3180">
        <v>5000</v>
      </c>
      <c r="K3180">
        <v>126.866</v>
      </c>
      <c r="L3180">
        <v>39.411700000000003</v>
      </c>
      <c r="M3180">
        <v>10677.222</v>
      </c>
      <c r="N3180" t="s">
        <v>15</v>
      </c>
    </row>
    <row r="3181" spans="1:14" x14ac:dyDescent="0.2">
      <c r="A3181" t="s">
        <v>23</v>
      </c>
      <c r="B3181" t="s">
        <v>139</v>
      </c>
      <c r="C3181" t="s">
        <v>136</v>
      </c>
      <c r="D3181" t="s">
        <v>124</v>
      </c>
      <c r="E3181" t="s">
        <v>53</v>
      </c>
      <c r="F3181" t="s">
        <v>114</v>
      </c>
      <c r="G3181">
        <v>120664</v>
      </c>
      <c r="H3181" s="75">
        <v>43261</v>
      </c>
      <c r="I3181" t="s">
        <v>115</v>
      </c>
      <c r="J3181">
        <v>5000</v>
      </c>
      <c r="K3181">
        <v>127.179</v>
      </c>
      <c r="L3181">
        <v>39.314700000000002</v>
      </c>
      <c r="M3181">
        <v>10804.401</v>
      </c>
      <c r="N3181" t="s">
        <v>15</v>
      </c>
    </row>
    <row r="3182" spans="1:14" x14ac:dyDescent="0.2">
      <c r="A3182" t="s">
        <v>23</v>
      </c>
      <c r="B3182" t="s">
        <v>139</v>
      </c>
      <c r="C3182" t="s">
        <v>136</v>
      </c>
      <c r="D3182" t="s">
        <v>124</v>
      </c>
      <c r="E3182" t="s">
        <v>53</v>
      </c>
      <c r="F3182" t="s">
        <v>114</v>
      </c>
      <c r="G3182">
        <v>120664</v>
      </c>
      <c r="H3182" s="75">
        <v>43291</v>
      </c>
      <c r="I3182" t="s">
        <v>115</v>
      </c>
      <c r="J3182">
        <v>5000</v>
      </c>
      <c r="K3182">
        <v>127.742</v>
      </c>
      <c r="L3182">
        <v>39.141399999999997</v>
      </c>
      <c r="M3182">
        <v>10932.143</v>
      </c>
      <c r="N3182" t="s">
        <v>15</v>
      </c>
    </row>
    <row r="3183" spans="1:14" x14ac:dyDescent="0.2">
      <c r="A3183" t="s">
        <v>23</v>
      </c>
      <c r="B3183" t="s">
        <v>139</v>
      </c>
      <c r="C3183" t="s">
        <v>136</v>
      </c>
      <c r="D3183" t="s">
        <v>124</v>
      </c>
      <c r="E3183" t="s">
        <v>53</v>
      </c>
      <c r="F3183" t="s">
        <v>114</v>
      </c>
      <c r="G3183">
        <v>120664</v>
      </c>
      <c r="H3183" s="75">
        <v>43321</v>
      </c>
      <c r="I3183" t="s">
        <v>115</v>
      </c>
      <c r="J3183">
        <v>5000</v>
      </c>
      <c r="K3183">
        <v>129.161</v>
      </c>
      <c r="L3183">
        <v>38.711300000000001</v>
      </c>
      <c r="M3183">
        <v>11061.304</v>
      </c>
      <c r="N3183" t="s">
        <v>15</v>
      </c>
    </row>
    <row r="3184" spans="1:14" x14ac:dyDescent="0.2">
      <c r="A3184" t="s">
        <v>23</v>
      </c>
      <c r="B3184" t="s">
        <v>139</v>
      </c>
      <c r="C3184" t="s">
        <v>136</v>
      </c>
      <c r="D3184" t="s">
        <v>124</v>
      </c>
      <c r="E3184" t="s">
        <v>53</v>
      </c>
      <c r="F3184" t="s">
        <v>114</v>
      </c>
      <c r="G3184">
        <v>120664</v>
      </c>
      <c r="H3184" s="75">
        <v>43351</v>
      </c>
      <c r="I3184" t="s">
        <v>115</v>
      </c>
      <c r="J3184">
        <v>5000</v>
      </c>
      <c r="K3184">
        <v>130.36699999999999</v>
      </c>
      <c r="L3184">
        <v>38.353200000000001</v>
      </c>
      <c r="M3184">
        <v>11191.671</v>
      </c>
      <c r="N3184" t="s">
        <v>15</v>
      </c>
    </row>
    <row r="3185" spans="1:15" x14ac:dyDescent="0.2">
      <c r="A3185" t="s">
        <v>23</v>
      </c>
      <c r="B3185" t="s">
        <v>139</v>
      </c>
      <c r="C3185" t="s">
        <v>136</v>
      </c>
      <c r="D3185" t="s">
        <v>124</v>
      </c>
      <c r="E3185" t="s">
        <v>53</v>
      </c>
      <c r="F3185" t="s">
        <v>114</v>
      </c>
      <c r="G3185">
        <v>120664</v>
      </c>
      <c r="H3185" s="75">
        <v>43381</v>
      </c>
      <c r="I3185" t="s">
        <v>115</v>
      </c>
      <c r="J3185">
        <v>5000</v>
      </c>
      <c r="K3185">
        <v>131.85499999999999</v>
      </c>
      <c r="L3185">
        <v>37.920299999999997</v>
      </c>
      <c r="M3185">
        <v>11323.527</v>
      </c>
      <c r="N3185" t="s">
        <v>15</v>
      </c>
    </row>
    <row r="3186" spans="1:15" x14ac:dyDescent="0.2">
      <c r="A3186" t="s">
        <v>23</v>
      </c>
      <c r="B3186" t="s">
        <v>139</v>
      </c>
      <c r="C3186" t="s">
        <v>136</v>
      </c>
      <c r="D3186" t="s">
        <v>124</v>
      </c>
      <c r="E3186" t="s">
        <v>53</v>
      </c>
      <c r="F3186" t="s">
        <v>114</v>
      </c>
      <c r="G3186">
        <v>120664</v>
      </c>
      <c r="H3186" s="75">
        <v>43411</v>
      </c>
      <c r="I3186" t="s">
        <v>115</v>
      </c>
      <c r="J3186">
        <v>5000</v>
      </c>
      <c r="K3186">
        <v>132.18600000000001</v>
      </c>
      <c r="L3186">
        <v>37.825400000000002</v>
      </c>
      <c r="M3186">
        <v>11455.713</v>
      </c>
      <c r="N3186" t="s">
        <v>15</v>
      </c>
    </row>
    <row r="3187" spans="1:15" x14ac:dyDescent="0.2">
      <c r="A3187" t="s">
        <v>23</v>
      </c>
      <c r="B3187" t="s">
        <v>139</v>
      </c>
      <c r="C3187" t="s">
        <v>136</v>
      </c>
      <c r="D3187" t="s">
        <v>124</v>
      </c>
      <c r="E3187" t="s">
        <v>53</v>
      </c>
      <c r="F3187" t="s">
        <v>114</v>
      </c>
      <c r="G3187">
        <v>120664</v>
      </c>
      <c r="H3187" s="75">
        <v>43411</v>
      </c>
      <c r="I3187" t="s">
        <v>116</v>
      </c>
      <c r="J3187">
        <v>2.5</v>
      </c>
      <c r="K3187">
        <v>0</v>
      </c>
      <c r="M3187">
        <v>11455.713</v>
      </c>
      <c r="N3187" t="s">
        <v>17</v>
      </c>
    </row>
    <row r="3188" spans="1:15" x14ac:dyDescent="0.2">
      <c r="A3188" t="s">
        <v>23</v>
      </c>
      <c r="B3188" t="s">
        <v>139</v>
      </c>
      <c r="C3188" t="s">
        <v>136</v>
      </c>
      <c r="D3188" t="s">
        <v>124</v>
      </c>
      <c r="E3188" t="s">
        <v>53</v>
      </c>
      <c r="F3188" t="s">
        <v>114</v>
      </c>
      <c r="G3188">
        <v>120664</v>
      </c>
      <c r="H3188" s="75">
        <v>43441</v>
      </c>
      <c r="I3188" t="s">
        <v>115</v>
      </c>
      <c r="J3188">
        <v>5000</v>
      </c>
      <c r="K3188">
        <v>133.29300000000001</v>
      </c>
      <c r="L3188">
        <v>37.511400000000002</v>
      </c>
      <c r="M3188">
        <v>11589.005999999999</v>
      </c>
      <c r="N3188" t="s">
        <v>15</v>
      </c>
    </row>
    <row r="3189" spans="1:15" x14ac:dyDescent="0.2">
      <c r="A3189" t="s">
        <v>23</v>
      </c>
      <c r="B3189" t="s">
        <v>139</v>
      </c>
      <c r="C3189" t="s">
        <v>136</v>
      </c>
      <c r="D3189" t="s">
        <v>124</v>
      </c>
      <c r="E3189" t="s">
        <v>53</v>
      </c>
      <c r="F3189" t="s">
        <v>114</v>
      </c>
      <c r="G3189">
        <v>120664</v>
      </c>
      <c r="H3189" s="75">
        <v>43471</v>
      </c>
      <c r="I3189" t="s">
        <v>115</v>
      </c>
      <c r="J3189">
        <v>5000</v>
      </c>
      <c r="K3189">
        <v>130.417</v>
      </c>
      <c r="L3189">
        <v>38.3386</v>
      </c>
      <c r="M3189">
        <v>11719.423000000001</v>
      </c>
      <c r="N3189" t="s">
        <v>15</v>
      </c>
    </row>
    <row r="3190" spans="1:15" x14ac:dyDescent="0.2">
      <c r="A3190" t="s">
        <v>23</v>
      </c>
      <c r="B3190" t="s">
        <v>139</v>
      </c>
      <c r="C3190" t="s">
        <v>136</v>
      </c>
      <c r="D3190" t="s">
        <v>124</v>
      </c>
      <c r="E3190" t="s">
        <v>53</v>
      </c>
      <c r="F3190" t="s">
        <v>114</v>
      </c>
      <c r="G3190">
        <v>120664</v>
      </c>
      <c r="H3190" s="75">
        <v>43501</v>
      </c>
      <c r="I3190" t="s">
        <v>115</v>
      </c>
      <c r="J3190">
        <v>5000</v>
      </c>
      <c r="K3190">
        <v>129.667</v>
      </c>
      <c r="L3190">
        <v>38.560200000000002</v>
      </c>
      <c r="M3190">
        <v>11849.09</v>
      </c>
      <c r="N3190" t="s">
        <v>15</v>
      </c>
    </row>
    <row r="3191" spans="1:15" x14ac:dyDescent="0.2">
      <c r="A3191" t="s">
        <v>23</v>
      </c>
      <c r="B3191" t="s">
        <v>139</v>
      </c>
      <c r="C3191" t="s">
        <v>136</v>
      </c>
      <c r="D3191" t="s">
        <v>124</v>
      </c>
      <c r="E3191" t="s">
        <v>53</v>
      </c>
      <c r="F3191" t="s">
        <v>114</v>
      </c>
      <c r="G3191">
        <v>120664</v>
      </c>
      <c r="H3191" s="75">
        <v>43531</v>
      </c>
      <c r="I3191" t="s">
        <v>115</v>
      </c>
      <c r="J3191">
        <v>5000</v>
      </c>
      <c r="K3191">
        <v>127.303</v>
      </c>
      <c r="L3191">
        <v>39.276400000000002</v>
      </c>
      <c r="M3191">
        <v>11976.393</v>
      </c>
      <c r="N3191" t="s">
        <v>15</v>
      </c>
    </row>
    <row r="3192" spans="1:15" x14ac:dyDescent="0.2">
      <c r="A3192" t="s">
        <v>23</v>
      </c>
      <c r="B3192" t="s">
        <v>139</v>
      </c>
      <c r="C3192" t="s">
        <v>136</v>
      </c>
      <c r="D3192" t="s">
        <v>124</v>
      </c>
      <c r="E3192" t="s">
        <v>53</v>
      </c>
      <c r="F3192" t="s">
        <v>114</v>
      </c>
      <c r="G3192">
        <v>120664</v>
      </c>
      <c r="H3192" s="75">
        <v>43531</v>
      </c>
      <c r="I3192" t="s">
        <v>117</v>
      </c>
      <c r="J3192">
        <v>2.5</v>
      </c>
      <c r="K3192">
        <v>0</v>
      </c>
      <c r="M3192">
        <v>11976.393</v>
      </c>
      <c r="N3192" t="s">
        <v>46</v>
      </c>
    </row>
    <row r="3193" spans="1:15" x14ac:dyDescent="0.2">
      <c r="A3193" t="s">
        <v>23</v>
      </c>
      <c r="B3193" t="s">
        <v>139</v>
      </c>
      <c r="C3193" t="s">
        <v>136</v>
      </c>
      <c r="D3193" t="s">
        <v>124</v>
      </c>
      <c r="E3193" t="s">
        <v>53</v>
      </c>
      <c r="F3193" t="s">
        <v>114</v>
      </c>
      <c r="G3193">
        <v>120664</v>
      </c>
      <c r="H3193" s="75">
        <v>43531</v>
      </c>
      <c r="I3193" t="s">
        <v>118</v>
      </c>
      <c r="J3193">
        <v>5988.2</v>
      </c>
      <c r="K3193">
        <v>0</v>
      </c>
      <c r="M3193">
        <v>11976.393</v>
      </c>
      <c r="N3193" t="s">
        <v>19</v>
      </c>
      <c r="O3193">
        <v>5988.2</v>
      </c>
    </row>
    <row r="3194" spans="1:15" x14ac:dyDescent="0.2">
      <c r="A3194" t="s">
        <v>23</v>
      </c>
      <c r="B3194" t="s">
        <v>139</v>
      </c>
      <c r="C3194" t="s">
        <v>136</v>
      </c>
      <c r="D3194" t="s">
        <v>124</v>
      </c>
      <c r="E3194" t="s">
        <v>53</v>
      </c>
      <c r="F3194" t="s">
        <v>114</v>
      </c>
      <c r="G3194">
        <v>120664</v>
      </c>
      <c r="H3194" s="75">
        <v>43561</v>
      </c>
      <c r="I3194" t="s">
        <v>115</v>
      </c>
      <c r="J3194">
        <v>5000</v>
      </c>
      <c r="K3194">
        <v>124.90300000000001</v>
      </c>
      <c r="L3194">
        <v>40.031199999999998</v>
      </c>
      <c r="M3194">
        <v>12101.295</v>
      </c>
      <c r="N3194" t="s">
        <v>15</v>
      </c>
    </row>
    <row r="3195" spans="1:15" x14ac:dyDescent="0.2">
      <c r="A3195" t="s">
        <v>23</v>
      </c>
      <c r="B3195" t="s">
        <v>139</v>
      </c>
      <c r="C3195" t="s">
        <v>136</v>
      </c>
      <c r="D3195" t="s">
        <v>124</v>
      </c>
      <c r="E3195" t="s">
        <v>53</v>
      </c>
      <c r="F3195" t="s">
        <v>114</v>
      </c>
      <c r="G3195">
        <v>120664</v>
      </c>
      <c r="H3195" s="75">
        <v>43591</v>
      </c>
      <c r="I3195" t="s">
        <v>115</v>
      </c>
      <c r="J3195">
        <v>5000</v>
      </c>
      <c r="K3195">
        <v>124.941</v>
      </c>
      <c r="L3195">
        <v>40.018999999999998</v>
      </c>
      <c r="M3195">
        <v>12226.236000000001</v>
      </c>
      <c r="N3195" t="s">
        <v>15</v>
      </c>
    </row>
    <row r="3196" spans="1:15" x14ac:dyDescent="0.2">
      <c r="A3196" t="s">
        <v>23</v>
      </c>
      <c r="B3196" t="s">
        <v>139</v>
      </c>
      <c r="C3196" t="s">
        <v>136</v>
      </c>
      <c r="D3196" t="s">
        <v>124</v>
      </c>
      <c r="E3196" t="s">
        <v>53</v>
      </c>
      <c r="F3196" t="s">
        <v>114</v>
      </c>
      <c r="G3196">
        <v>120664</v>
      </c>
      <c r="H3196" s="75">
        <v>43591</v>
      </c>
      <c r="I3196" t="s">
        <v>25</v>
      </c>
      <c r="J3196">
        <v>-97856.29</v>
      </c>
      <c r="K3196">
        <v>-2445.2469999999998</v>
      </c>
      <c r="L3196">
        <v>40.018999999999998</v>
      </c>
      <c r="M3196">
        <v>9780.9889999999996</v>
      </c>
      <c r="N3196" t="s">
        <v>16</v>
      </c>
    </row>
    <row r="3197" spans="1:15" x14ac:dyDescent="0.2">
      <c r="A3197" t="s">
        <v>23</v>
      </c>
      <c r="B3197" t="s">
        <v>139</v>
      </c>
      <c r="C3197" t="s">
        <v>136</v>
      </c>
      <c r="D3197" t="s">
        <v>124</v>
      </c>
      <c r="E3197" t="s">
        <v>53</v>
      </c>
      <c r="F3197" t="s">
        <v>114</v>
      </c>
      <c r="G3197">
        <v>120664</v>
      </c>
      <c r="H3197" s="75">
        <v>43621</v>
      </c>
      <c r="I3197" t="s">
        <v>115</v>
      </c>
      <c r="J3197">
        <v>5000</v>
      </c>
      <c r="K3197">
        <v>123.818</v>
      </c>
      <c r="L3197">
        <v>40.381700000000002</v>
      </c>
      <c r="M3197">
        <v>9904.8070000000007</v>
      </c>
      <c r="N3197" t="s">
        <v>15</v>
      </c>
    </row>
    <row r="3198" spans="1:15" x14ac:dyDescent="0.2">
      <c r="A3198" t="s">
        <v>23</v>
      </c>
      <c r="B3198" t="s">
        <v>139</v>
      </c>
      <c r="C3198" t="s">
        <v>136</v>
      </c>
      <c r="D3198" t="s">
        <v>124</v>
      </c>
      <c r="E3198" t="s">
        <v>53</v>
      </c>
      <c r="F3198" t="s">
        <v>114</v>
      </c>
      <c r="G3198">
        <v>120664</v>
      </c>
      <c r="H3198" s="75">
        <v>43651</v>
      </c>
      <c r="I3198" t="s">
        <v>115</v>
      </c>
      <c r="J3198">
        <v>5000</v>
      </c>
      <c r="K3198">
        <v>123.776</v>
      </c>
      <c r="L3198">
        <v>40.395499999999998</v>
      </c>
      <c r="M3198">
        <v>10028.583000000001</v>
      </c>
      <c r="N3198" t="s">
        <v>15</v>
      </c>
    </row>
    <row r="3199" spans="1:15" x14ac:dyDescent="0.2">
      <c r="A3199" t="s">
        <v>23</v>
      </c>
      <c r="B3199" t="s">
        <v>139</v>
      </c>
      <c r="C3199" t="s">
        <v>136</v>
      </c>
      <c r="D3199" t="s">
        <v>124</v>
      </c>
      <c r="E3199" t="s">
        <v>53</v>
      </c>
      <c r="F3199" t="s">
        <v>114</v>
      </c>
      <c r="G3199">
        <v>120664</v>
      </c>
      <c r="H3199" s="75">
        <v>43651</v>
      </c>
      <c r="I3199" t="s">
        <v>118</v>
      </c>
      <c r="J3199">
        <v>5014.29</v>
      </c>
      <c r="K3199">
        <v>0</v>
      </c>
      <c r="M3199">
        <v>10028.583000000001</v>
      </c>
      <c r="N3199" t="s">
        <v>19</v>
      </c>
      <c r="O3199">
        <v>5014.29</v>
      </c>
    </row>
    <row r="3200" spans="1:15" x14ac:dyDescent="0.2">
      <c r="A3200" t="s">
        <v>23</v>
      </c>
      <c r="B3200" t="s">
        <v>139</v>
      </c>
      <c r="C3200" t="s">
        <v>136</v>
      </c>
      <c r="D3200" t="s">
        <v>124</v>
      </c>
      <c r="E3200" t="s">
        <v>53</v>
      </c>
      <c r="F3200" t="s">
        <v>114</v>
      </c>
      <c r="G3200">
        <v>120664</v>
      </c>
      <c r="H3200" s="75">
        <v>43681</v>
      </c>
      <c r="I3200" t="s">
        <v>115</v>
      </c>
      <c r="J3200">
        <v>5000</v>
      </c>
      <c r="K3200">
        <v>124.509</v>
      </c>
      <c r="L3200">
        <v>40.157800000000002</v>
      </c>
      <c r="M3200">
        <v>10153.092000000001</v>
      </c>
      <c r="N3200" t="s">
        <v>15</v>
      </c>
    </row>
    <row r="3201" spans="1:15" x14ac:dyDescent="0.2">
      <c r="A3201" t="s">
        <v>23</v>
      </c>
      <c r="B3201" t="s">
        <v>139</v>
      </c>
      <c r="C3201" t="s">
        <v>136</v>
      </c>
      <c r="D3201" t="s">
        <v>124</v>
      </c>
      <c r="E3201" t="s">
        <v>53</v>
      </c>
      <c r="F3201" t="s">
        <v>114</v>
      </c>
      <c r="G3201">
        <v>120664</v>
      </c>
      <c r="H3201" s="75">
        <v>43711</v>
      </c>
      <c r="I3201" t="s">
        <v>115</v>
      </c>
      <c r="J3201">
        <v>5000</v>
      </c>
      <c r="K3201">
        <v>122.896</v>
      </c>
      <c r="L3201">
        <v>40.684899999999999</v>
      </c>
      <c r="M3201">
        <v>10275.987999999999</v>
      </c>
      <c r="N3201" t="s">
        <v>15</v>
      </c>
    </row>
    <row r="3202" spans="1:15" x14ac:dyDescent="0.2">
      <c r="A3202" t="s">
        <v>23</v>
      </c>
      <c r="B3202" t="s">
        <v>139</v>
      </c>
      <c r="C3202" t="s">
        <v>136</v>
      </c>
      <c r="D3202" t="s">
        <v>124</v>
      </c>
      <c r="E3202" t="s">
        <v>53</v>
      </c>
      <c r="F3202" t="s">
        <v>114</v>
      </c>
      <c r="G3202">
        <v>120664</v>
      </c>
      <c r="H3202" s="75">
        <v>43741</v>
      </c>
      <c r="I3202" t="s">
        <v>115</v>
      </c>
      <c r="J3202">
        <v>5000</v>
      </c>
      <c r="K3202">
        <v>120.80500000000001</v>
      </c>
      <c r="L3202">
        <v>41.389099999999999</v>
      </c>
      <c r="M3202">
        <v>10396.791999999999</v>
      </c>
      <c r="N3202" t="s">
        <v>15</v>
      </c>
    </row>
    <row r="3203" spans="1:15" x14ac:dyDescent="0.2">
      <c r="A3203" t="s">
        <v>23</v>
      </c>
      <c r="B3203" t="s">
        <v>139</v>
      </c>
      <c r="C3203" t="s">
        <v>136</v>
      </c>
      <c r="D3203" t="s">
        <v>124</v>
      </c>
      <c r="E3203" t="s">
        <v>53</v>
      </c>
      <c r="F3203" t="s">
        <v>114</v>
      </c>
      <c r="G3203">
        <v>120664</v>
      </c>
      <c r="H3203" s="75">
        <v>43771</v>
      </c>
      <c r="I3203" t="s">
        <v>115</v>
      </c>
      <c r="J3203">
        <v>5000</v>
      </c>
      <c r="K3203">
        <v>122.88200000000001</v>
      </c>
      <c r="L3203">
        <v>40.689599999999999</v>
      </c>
      <c r="M3203">
        <v>10519.674000000001</v>
      </c>
      <c r="N3203" t="s">
        <v>15</v>
      </c>
    </row>
    <row r="3204" spans="1:15" x14ac:dyDescent="0.2">
      <c r="A3204" t="s">
        <v>23</v>
      </c>
      <c r="B3204" t="s">
        <v>139</v>
      </c>
      <c r="C3204" t="s">
        <v>136</v>
      </c>
      <c r="D3204" t="s">
        <v>124</v>
      </c>
      <c r="E3204" t="s">
        <v>53</v>
      </c>
      <c r="F3204" t="s">
        <v>114</v>
      </c>
      <c r="G3204">
        <v>120664</v>
      </c>
      <c r="H3204" s="75">
        <v>43801</v>
      </c>
      <c r="I3204" t="s">
        <v>115</v>
      </c>
      <c r="J3204">
        <v>5000</v>
      </c>
      <c r="K3204">
        <v>122.86199999999999</v>
      </c>
      <c r="L3204">
        <v>40.696100000000001</v>
      </c>
      <c r="M3204">
        <v>10642.536</v>
      </c>
      <c r="N3204" t="s">
        <v>15</v>
      </c>
    </row>
    <row r="3205" spans="1:15" x14ac:dyDescent="0.2">
      <c r="A3205" t="s">
        <v>23</v>
      </c>
      <c r="B3205" t="s">
        <v>139</v>
      </c>
      <c r="C3205" t="s">
        <v>136</v>
      </c>
      <c r="D3205" t="s">
        <v>124</v>
      </c>
      <c r="E3205" t="s">
        <v>53</v>
      </c>
      <c r="F3205" t="s">
        <v>114</v>
      </c>
      <c r="G3205">
        <v>120664</v>
      </c>
      <c r="H3205" s="75">
        <v>43831</v>
      </c>
      <c r="I3205" t="s">
        <v>115</v>
      </c>
      <c r="J3205">
        <v>5000</v>
      </c>
      <c r="K3205">
        <v>122.791</v>
      </c>
      <c r="L3205">
        <v>40.7194</v>
      </c>
      <c r="M3205">
        <v>10765.326999999999</v>
      </c>
      <c r="N3205" t="s">
        <v>15</v>
      </c>
    </row>
    <row r="3206" spans="1:15" x14ac:dyDescent="0.2">
      <c r="A3206" t="s">
        <v>23</v>
      </c>
      <c r="B3206" t="s">
        <v>139</v>
      </c>
      <c r="C3206" t="s">
        <v>136</v>
      </c>
      <c r="D3206" t="s">
        <v>124</v>
      </c>
      <c r="E3206" t="s">
        <v>53</v>
      </c>
      <c r="F3206" t="s">
        <v>114</v>
      </c>
      <c r="G3206">
        <v>120664</v>
      </c>
      <c r="H3206" s="75">
        <v>43861</v>
      </c>
      <c r="I3206" t="s">
        <v>115</v>
      </c>
      <c r="J3206">
        <v>5000</v>
      </c>
      <c r="K3206">
        <v>120.295</v>
      </c>
      <c r="L3206">
        <v>41.564599999999999</v>
      </c>
      <c r="M3206">
        <v>10885.621999999999</v>
      </c>
      <c r="N3206" t="s">
        <v>15</v>
      </c>
    </row>
    <row r="3207" spans="1:15" x14ac:dyDescent="0.2">
      <c r="A3207" t="s">
        <v>23</v>
      </c>
      <c r="B3207" t="s">
        <v>139</v>
      </c>
      <c r="C3207" t="s">
        <v>136</v>
      </c>
      <c r="D3207" t="s">
        <v>124</v>
      </c>
      <c r="E3207" t="s">
        <v>53</v>
      </c>
      <c r="F3207" t="s">
        <v>114</v>
      </c>
      <c r="G3207">
        <v>120664</v>
      </c>
      <c r="H3207" s="75">
        <v>43891</v>
      </c>
      <c r="I3207" t="s">
        <v>115</v>
      </c>
      <c r="J3207">
        <v>5000</v>
      </c>
      <c r="K3207">
        <v>117.554</v>
      </c>
      <c r="L3207">
        <v>42.533499999999997</v>
      </c>
      <c r="M3207">
        <v>11003.175999999999</v>
      </c>
      <c r="N3207" t="s">
        <v>15</v>
      </c>
    </row>
    <row r="3208" spans="1:15" x14ac:dyDescent="0.2">
      <c r="A3208" t="s">
        <v>23</v>
      </c>
      <c r="B3208" t="s">
        <v>139</v>
      </c>
      <c r="C3208" t="s">
        <v>136</v>
      </c>
      <c r="D3208" t="s">
        <v>124</v>
      </c>
      <c r="E3208" t="s">
        <v>53</v>
      </c>
      <c r="F3208" t="s">
        <v>114</v>
      </c>
      <c r="G3208">
        <v>120664</v>
      </c>
      <c r="H3208" s="75">
        <v>43891</v>
      </c>
      <c r="I3208" t="s">
        <v>25</v>
      </c>
      <c r="J3208">
        <v>-93600.68</v>
      </c>
      <c r="K3208">
        <v>-2200.6350000000002</v>
      </c>
      <c r="L3208">
        <v>42.533499999999997</v>
      </c>
      <c r="M3208">
        <v>8802.5409999999993</v>
      </c>
      <c r="N3208" t="s">
        <v>16</v>
      </c>
    </row>
    <row r="3209" spans="1:15" x14ac:dyDescent="0.2">
      <c r="A3209" t="s">
        <v>23</v>
      </c>
      <c r="B3209" t="s">
        <v>139</v>
      </c>
      <c r="C3209" t="s">
        <v>136</v>
      </c>
      <c r="D3209" t="s">
        <v>124</v>
      </c>
      <c r="E3209" t="s">
        <v>53</v>
      </c>
      <c r="F3209" t="s">
        <v>114</v>
      </c>
      <c r="G3209">
        <v>120664</v>
      </c>
      <c r="H3209" s="75">
        <v>43921</v>
      </c>
      <c r="I3209" t="s">
        <v>115</v>
      </c>
      <c r="J3209">
        <v>5000</v>
      </c>
      <c r="K3209">
        <v>119.822</v>
      </c>
      <c r="L3209">
        <v>41.728499999999997</v>
      </c>
      <c r="M3209">
        <v>8922.3629999999994</v>
      </c>
      <c r="N3209" t="s">
        <v>15</v>
      </c>
    </row>
    <row r="3210" spans="1:15" x14ac:dyDescent="0.2">
      <c r="A3210" t="s">
        <v>23</v>
      </c>
      <c r="B3210" t="s">
        <v>139</v>
      </c>
      <c r="C3210" t="s">
        <v>136</v>
      </c>
      <c r="D3210" t="s">
        <v>124</v>
      </c>
      <c r="E3210" t="s">
        <v>53</v>
      </c>
      <c r="F3210" t="s">
        <v>114</v>
      </c>
      <c r="G3210">
        <v>120664</v>
      </c>
      <c r="H3210" s="75">
        <v>43951</v>
      </c>
      <c r="I3210" t="s">
        <v>115</v>
      </c>
      <c r="J3210">
        <v>5000</v>
      </c>
      <c r="K3210">
        <v>116.685</v>
      </c>
      <c r="L3210">
        <v>42.850299999999997</v>
      </c>
      <c r="M3210">
        <v>9039.0480000000007</v>
      </c>
      <c r="N3210" t="s">
        <v>15</v>
      </c>
    </row>
    <row r="3211" spans="1:15" x14ac:dyDescent="0.2">
      <c r="A3211" t="s">
        <v>23</v>
      </c>
      <c r="B3211" t="s">
        <v>139</v>
      </c>
      <c r="C3211" t="s">
        <v>136</v>
      </c>
      <c r="D3211" t="s">
        <v>124</v>
      </c>
      <c r="E3211" t="s">
        <v>53</v>
      </c>
      <c r="F3211" t="s">
        <v>114</v>
      </c>
      <c r="G3211">
        <v>120664</v>
      </c>
      <c r="H3211" s="75">
        <v>43951</v>
      </c>
      <c r="I3211" t="s">
        <v>118</v>
      </c>
      <c r="J3211">
        <v>4519.5200000000004</v>
      </c>
      <c r="K3211">
        <v>0</v>
      </c>
      <c r="M3211">
        <v>9039.0480000000007</v>
      </c>
      <c r="N3211" t="s">
        <v>19</v>
      </c>
      <c r="O3211">
        <v>4519.5200000000004</v>
      </c>
    </row>
    <row r="3212" spans="1:15" x14ac:dyDescent="0.2">
      <c r="A3212" t="s">
        <v>23</v>
      </c>
      <c r="B3212" t="s">
        <v>139</v>
      </c>
      <c r="C3212" t="s">
        <v>136</v>
      </c>
      <c r="D3212" t="s">
        <v>124</v>
      </c>
      <c r="E3212" t="s">
        <v>53</v>
      </c>
      <c r="F3212" t="s">
        <v>114</v>
      </c>
      <c r="G3212">
        <v>120664</v>
      </c>
      <c r="H3212" s="75">
        <v>43981</v>
      </c>
      <c r="I3212" t="s">
        <v>115</v>
      </c>
      <c r="J3212">
        <v>5000</v>
      </c>
      <c r="K3212">
        <v>118.81100000000001</v>
      </c>
      <c r="L3212">
        <v>42.083599999999997</v>
      </c>
      <c r="M3212">
        <v>9157.86</v>
      </c>
      <c r="N3212" t="s">
        <v>15</v>
      </c>
    </row>
    <row r="3213" spans="1:15" x14ac:dyDescent="0.2">
      <c r="A3213" t="s">
        <v>23</v>
      </c>
      <c r="B3213" t="s">
        <v>139</v>
      </c>
      <c r="C3213" t="s">
        <v>136</v>
      </c>
      <c r="D3213" t="s">
        <v>124</v>
      </c>
      <c r="E3213" t="s">
        <v>53</v>
      </c>
      <c r="F3213" t="s">
        <v>114</v>
      </c>
      <c r="G3213">
        <v>120664</v>
      </c>
      <c r="H3213" s="75">
        <v>43981</v>
      </c>
      <c r="I3213" t="s">
        <v>25</v>
      </c>
      <c r="J3213">
        <v>-77079.05</v>
      </c>
      <c r="K3213">
        <v>-1831.5719999999999</v>
      </c>
      <c r="L3213">
        <v>42.083599999999997</v>
      </c>
      <c r="M3213">
        <v>7326.2879999999996</v>
      </c>
      <c r="N3213" t="s">
        <v>16</v>
      </c>
    </row>
    <row r="3214" spans="1:15" x14ac:dyDescent="0.2">
      <c r="A3214" t="s">
        <v>23</v>
      </c>
      <c r="B3214" t="s">
        <v>139</v>
      </c>
      <c r="C3214" t="s">
        <v>136</v>
      </c>
      <c r="D3214" t="s">
        <v>124</v>
      </c>
      <c r="E3214" t="s">
        <v>53</v>
      </c>
      <c r="F3214" t="s">
        <v>114</v>
      </c>
      <c r="G3214">
        <v>120664</v>
      </c>
      <c r="H3214" s="75">
        <v>44011</v>
      </c>
      <c r="I3214" t="s">
        <v>115</v>
      </c>
      <c r="J3214">
        <v>5000</v>
      </c>
      <c r="K3214">
        <v>116.17700000000001</v>
      </c>
      <c r="L3214">
        <v>43.0379</v>
      </c>
      <c r="M3214">
        <v>7442.4639999999999</v>
      </c>
      <c r="N3214" t="s">
        <v>15</v>
      </c>
    </row>
    <row r="3215" spans="1:15" x14ac:dyDescent="0.2">
      <c r="A3215" t="s">
        <v>23</v>
      </c>
      <c r="B3215" t="s">
        <v>139</v>
      </c>
      <c r="C3215" t="s">
        <v>136</v>
      </c>
      <c r="D3215" t="s">
        <v>124</v>
      </c>
      <c r="E3215" t="s">
        <v>53</v>
      </c>
      <c r="F3215" t="s">
        <v>114</v>
      </c>
      <c r="G3215">
        <v>120664</v>
      </c>
      <c r="H3215" s="75">
        <v>44011</v>
      </c>
      <c r="I3215" t="s">
        <v>116</v>
      </c>
      <c r="J3215">
        <v>2.5</v>
      </c>
      <c r="K3215">
        <v>0</v>
      </c>
      <c r="M3215">
        <v>7442.4639999999999</v>
      </c>
      <c r="N3215" t="s">
        <v>17</v>
      </c>
    </row>
    <row r="3216" spans="1:15" x14ac:dyDescent="0.2">
      <c r="A3216" t="s">
        <v>23</v>
      </c>
      <c r="B3216" t="s">
        <v>139</v>
      </c>
      <c r="C3216" t="s">
        <v>136</v>
      </c>
      <c r="D3216" t="s">
        <v>124</v>
      </c>
      <c r="E3216" t="s">
        <v>53</v>
      </c>
      <c r="F3216" t="s">
        <v>114</v>
      </c>
      <c r="G3216">
        <v>120664</v>
      </c>
      <c r="H3216" s="75">
        <v>44041</v>
      </c>
      <c r="I3216" t="s">
        <v>115</v>
      </c>
      <c r="J3216">
        <v>5000</v>
      </c>
      <c r="K3216">
        <v>115.182</v>
      </c>
      <c r="L3216">
        <v>43.409700000000001</v>
      </c>
      <c r="M3216">
        <v>7557.6459999999997</v>
      </c>
      <c r="N3216" t="s">
        <v>15</v>
      </c>
    </row>
    <row r="3217" spans="1:14" x14ac:dyDescent="0.2">
      <c r="A3217" t="s">
        <v>23</v>
      </c>
      <c r="B3217" t="s">
        <v>139</v>
      </c>
      <c r="C3217" t="s">
        <v>136</v>
      </c>
      <c r="D3217" t="s">
        <v>124</v>
      </c>
      <c r="E3217" t="s">
        <v>53</v>
      </c>
      <c r="F3217" t="s">
        <v>114</v>
      </c>
      <c r="G3217">
        <v>120664</v>
      </c>
      <c r="H3217" s="75">
        <v>44041</v>
      </c>
      <c r="I3217" t="s">
        <v>116</v>
      </c>
      <c r="J3217">
        <v>2.5</v>
      </c>
      <c r="K3217">
        <v>0</v>
      </c>
      <c r="M3217">
        <v>7557.6459999999997</v>
      </c>
      <c r="N3217" t="s">
        <v>17</v>
      </c>
    </row>
    <row r="3218" spans="1:14" x14ac:dyDescent="0.2">
      <c r="A3218" t="s">
        <v>23</v>
      </c>
      <c r="B3218" t="s">
        <v>139</v>
      </c>
      <c r="C3218" t="s">
        <v>136</v>
      </c>
      <c r="D3218" t="s">
        <v>124</v>
      </c>
      <c r="E3218" t="s">
        <v>53</v>
      </c>
      <c r="F3218" t="s">
        <v>114</v>
      </c>
      <c r="G3218">
        <v>120664</v>
      </c>
      <c r="H3218" s="75">
        <v>44071</v>
      </c>
      <c r="I3218" t="s">
        <v>115</v>
      </c>
      <c r="J3218">
        <v>5000</v>
      </c>
      <c r="K3218">
        <v>114.32299999999999</v>
      </c>
      <c r="L3218">
        <v>43.735900000000001</v>
      </c>
      <c r="M3218">
        <v>7671.9679999999998</v>
      </c>
      <c r="N3218" t="s">
        <v>15</v>
      </c>
    </row>
    <row r="3219" spans="1:14" x14ac:dyDescent="0.2">
      <c r="A3219" t="s">
        <v>23</v>
      </c>
      <c r="B3219" t="s">
        <v>139</v>
      </c>
      <c r="C3219" t="s">
        <v>136</v>
      </c>
      <c r="D3219" t="s">
        <v>124</v>
      </c>
      <c r="E3219" t="s">
        <v>53</v>
      </c>
      <c r="F3219" t="s">
        <v>114</v>
      </c>
      <c r="G3219">
        <v>120664</v>
      </c>
      <c r="H3219" s="75">
        <v>44101</v>
      </c>
      <c r="I3219" t="s">
        <v>115</v>
      </c>
      <c r="J3219">
        <v>5000</v>
      </c>
      <c r="K3219">
        <v>115.568</v>
      </c>
      <c r="L3219">
        <v>43.264699999999998</v>
      </c>
      <c r="M3219">
        <v>7787.5360000000001</v>
      </c>
      <c r="N3219" t="s">
        <v>15</v>
      </c>
    </row>
    <row r="3220" spans="1:14" x14ac:dyDescent="0.2">
      <c r="A3220" t="s">
        <v>23</v>
      </c>
      <c r="B3220" t="s">
        <v>139</v>
      </c>
      <c r="C3220" t="s">
        <v>136</v>
      </c>
      <c r="D3220" t="s">
        <v>124</v>
      </c>
      <c r="E3220" t="s">
        <v>53</v>
      </c>
      <c r="F3220" t="s">
        <v>114</v>
      </c>
      <c r="G3220">
        <v>120664</v>
      </c>
      <c r="H3220" s="75">
        <v>44131</v>
      </c>
      <c r="I3220" t="s">
        <v>115</v>
      </c>
      <c r="J3220">
        <v>5000</v>
      </c>
      <c r="K3220">
        <v>117.65900000000001</v>
      </c>
      <c r="L3220">
        <v>42.495600000000003</v>
      </c>
      <c r="M3220">
        <v>7905.1949999999997</v>
      </c>
      <c r="N3220" t="s">
        <v>15</v>
      </c>
    </row>
    <row r="3221" spans="1:14" x14ac:dyDescent="0.2">
      <c r="A3221" t="s">
        <v>23</v>
      </c>
      <c r="B3221" t="s">
        <v>139</v>
      </c>
      <c r="C3221" t="s">
        <v>136</v>
      </c>
      <c r="D3221" t="s">
        <v>124</v>
      </c>
      <c r="E3221" t="s">
        <v>53</v>
      </c>
      <c r="F3221" t="s">
        <v>114</v>
      </c>
      <c r="G3221">
        <v>120664</v>
      </c>
      <c r="H3221" s="75">
        <v>44131</v>
      </c>
      <c r="I3221" t="s">
        <v>116</v>
      </c>
      <c r="J3221">
        <v>2.5</v>
      </c>
      <c r="K3221">
        <v>0</v>
      </c>
      <c r="M3221">
        <v>7905.1949999999997</v>
      </c>
      <c r="N3221" t="s">
        <v>17</v>
      </c>
    </row>
    <row r="3222" spans="1:14" x14ac:dyDescent="0.2">
      <c r="A3222" t="s">
        <v>23</v>
      </c>
      <c r="B3222" t="s">
        <v>139</v>
      </c>
      <c r="C3222" t="s">
        <v>136</v>
      </c>
      <c r="D3222" t="s">
        <v>124</v>
      </c>
      <c r="E3222" t="s">
        <v>53</v>
      </c>
      <c r="F3222" t="s">
        <v>114</v>
      </c>
      <c r="G3222">
        <v>120664</v>
      </c>
      <c r="H3222" s="75">
        <v>44161</v>
      </c>
      <c r="I3222" t="s">
        <v>115</v>
      </c>
      <c r="J3222">
        <v>5000</v>
      </c>
      <c r="K3222">
        <v>118.22499999999999</v>
      </c>
      <c r="L3222">
        <v>42.292099999999998</v>
      </c>
      <c r="M3222">
        <v>8023.4210000000003</v>
      </c>
      <c r="N3222" t="s">
        <v>15</v>
      </c>
    </row>
    <row r="3223" spans="1:14" x14ac:dyDescent="0.2">
      <c r="A3223" t="s">
        <v>23</v>
      </c>
      <c r="B3223" t="s">
        <v>139</v>
      </c>
      <c r="C3223" t="s">
        <v>136</v>
      </c>
      <c r="D3223" t="s">
        <v>124</v>
      </c>
      <c r="E3223" t="s">
        <v>53</v>
      </c>
      <c r="F3223" t="s">
        <v>114</v>
      </c>
      <c r="G3223">
        <v>120664</v>
      </c>
      <c r="H3223" s="75">
        <v>44161</v>
      </c>
      <c r="I3223" t="s">
        <v>117</v>
      </c>
      <c r="J3223">
        <v>2.5</v>
      </c>
      <c r="K3223">
        <v>0</v>
      </c>
      <c r="M3223">
        <v>8023.4210000000003</v>
      </c>
      <c r="N3223" t="s">
        <v>46</v>
      </c>
    </row>
    <row r="3224" spans="1:14" x14ac:dyDescent="0.2">
      <c r="A3224" t="s">
        <v>23</v>
      </c>
      <c r="B3224" t="s">
        <v>139</v>
      </c>
      <c r="C3224" t="s">
        <v>136</v>
      </c>
      <c r="D3224" t="s">
        <v>124</v>
      </c>
      <c r="E3224" t="s">
        <v>53</v>
      </c>
      <c r="F3224" t="s">
        <v>114</v>
      </c>
      <c r="G3224">
        <v>120664</v>
      </c>
      <c r="H3224" s="75">
        <v>44191</v>
      </c>
      <c r="I3224" t="s">
        <v>115</v>
      </c>
      <c r="J3224">
        <v>5000</v>
      </c>
      <c r="K3224">
        <v>117.38</v>
      </c>
      <c r="L3224">
        <v>42.596499999999999</v>
      </c>
      <c r="M3224">
        <v>8140.8010000000004</v>
      </c>
      <c r="N3224" t="s">
        <v>15</v>
      </c>
    </row>
    <row r="3225" spans="1:14" x14ac:dyDescent="0.2">
      <c r="A3225" t="s">
        <v>23</v>
      </c>
      <c r="B3225" t="s">
        <v>139</v>
      </c>
      <c r="C3225" t="s">
        <v>136</v>
      </c>
      <c r="D3225" t="s">
        <v>124</v>
      </c>
      <c r="E3225" t="s">
        <v>53</v>
      </c>
      <c r="F3225" t="s">
        <v>114</v>
      </c>
      <c r="G3225">
        <v>120664</v>
      </c>
      <c r="H3225" s="75">
        <v>44191</v>
      </c>
      <c r="I3225" t="s">
        <v>116</v>
      </c>
      <c r="J3225">
        <v>2.5</v>
      </c>
      <c r="K3225">
        <v>0</v>
      </c>
      <c r="M3225">
        <v>8140.8010000000004</v>
      </c>
      <c r="N3225" t="s">
        <v>17</v>
      </c>
    </row>
    <row r="3226" spans="1:14" x14ac:dyDescent="0.2">
      <c r="A3226" t="s">
        <v>23</v>
      </c>
      <c r="B3226" t="s">
        <v>139</v>
      </c>
      <c r="C3226" t="s">
        <v>136</v>
      </c>
      <c r="D3226" t="s">
        <v>124</v>
      </c>
      <c r="E3226" t="s">
        <v>53</v>
      </c>
      <c r="F3226" t="s">
        <v>114</v>
      </c>
      <c r="G3226">
        <v>120664</v>
      </c>
      <c r="H3226" s="75">
        <v>44221</v>
      </c>
      <c r="I3226" t="s">
        <v>115</v>
      </c>
      <c r="J3226">
        <v>5000</v>
      </c>
      <c r="K3226">
        <v>114.366</v>
      </c>
      <c r="L3226">
        <v>43.719099999999997</v>
      </c>
      <c r="M3226">
        <v>8255.1679999999997</v>
      </c>
      <c r="N3226" t="s">
        <v>15</v>
      </c>
    </row>
    <row r="3227" spans="1:14" x14ac:dyDescent="0.2">
      <c r="A3227" t="s">
        <v>23</v>
      </c>
      <c r="B3227" t="s">
        <v>139</v>
      </c>
      <c r="C3227" t="s">
        <v>136</v>
      </c>
      <c r="D3227" t="s">
        <v>124</v>
      </c>
      <c r="E3227" t="s">
        <v>53</v>
      </c>
      <c r="F3227" t="s">
        <v>114</v>
      </c>
      <c r="G3227">
        <v>120664</v>
      </c>
      <c r="H3227" s="75">
        <v>44251</v>
      </c>
      <c r="I3227" t="s">
        <v>115</v>
      </c>
      <c r="J3227">
        <v>5000</v>
      </c>
      <c r="K3227">
        <v>115.746</v>
      </c>
      <c r="L3227">
        <v>43.1982</v>
      </c>
      <c r="M3227">
        <v>8370.9130000000005</v>
      </c>
      <c r="N3227" t="s">
        <v>15</v>
      </c>
    </row>
    <row r="3228" spans="1:14" x14ac:dyDescent="0.2">
      <c r="A3228" t="s">
        <v>23</v>
      </c>
      <c r="B3228" t="s">
        <v>139</v>
      </c>
      <c r="C3228" t="s">
        <v>136</v>
      </c>
      <c r="D3228" t="s">
        <v>124</v>
      </c>
      <c r="E3228" t="s">
        <v>53</v>
      </c>
      <c r="F3228" t="s">
        <v>114</v>
      </c>
      <c r="G3228">
        <v>120664</v>
      </c>
      <c r="H3228" s="75">
        <v>44281</v>
      </c>
      <c r="I3228" t="s">
        <v>115</v>
      </c>
      <c r="J3228">
        <v>5000</v>
      </c>
      <c r="K3228">
        <v>117.36</v>
      </c>
      <c r="L3228">
        <v>42.603999999999999</v>
      </c>
      <c r="M3228">
        <v>8488.2729999999992</v>
      </c>
      <c r="N3228" t="s">
        <v>15</v>
      </c>
    </row>
    <row r="3229" spans="1:14" x14ac:dyDescent="0.2">
      <c r="A3229" t="s">
        <v>23</v>
      </c>
      <c r="B3229" t="s">
        <v>139</v>
      </c>
      <c r="C3229" t="s">
        <v>136</v>
      </c>
      <c r="D3229" t="s">
        <v>124</v>
      </c>
      <c r="E3229" t="s">
        <v>53</v>
      </c>
      <c r="F3229" t="s">
        <v>114</v>
      </c>
      <c r="G3229">
        <v>120664</v>
      </c>
      <c r="H3229" s="75">
        <v>44281</v>
      </c>
      <c r="I3229" t="s">
        <v>116</v>
      </c>
      <c r="J3229">
        <v>2.5</v>
      </c>
      <c r="K3229">
        <v>0</v>
      </c>
      <c r="M3229">
        <v>8488.2729999999992</v>
      </c>
      <c r="N3229" t="s">
        <v>17</v>
      </c>
    </row>
    <row r="3230" spans="1:14" x14ac:dyDescent="0.2">
      <c r="A3230" t="s">
        <v>23</v>
      </c>
      <c r="B3230" t="s">
        <v>139</v>
      </c>
      <c r="C3230" t="s">
        <v>136</v>
      </c>
      <c r="D3230" t="s">
        <v>124</v>
      </c>
      <c r="E3230" t="s">
        <v>53</v>
      </c>
      <c r="F3230" t="s">
        <v>114</v>
      </c>
      <c r="G3230">
        <v>120664</v>
      </c>
      <c r="H3230" s="75">
        <v>44281</v>
      </c>
      <c r="I3230" t="s">
        <v>25</v>
      </c>
      <c r="J3230">
        <v>-72326.880000000005</v>
      </c>
      <c r="K3230">
        <v>-1697.655</v>
      </c>
      <c r="L3230">
        <v>42.603999999999999</v>
      </c>
      <c r="M3230">
        <v>6790.6180000000004</v>
      </c>
      <c r="N3230" t="s">
        <v>16</v>
      </c>
    </row>
    <row r="3231" spans="1:14" x14ac:dyDescent="0.2">
      <c r="A3231" t="s">
        <v>23</v>
      </c>
      <c r="B3231" t="s">
        <v>139</v>
      </c>
      <c r="C3231" t="s">
        <v>136</v>
      </c>
      <c r="D3231" t="s">
        <v>124</v>
      </c>
      <c r="E3231" t="s">
        <v>53</v>
      </c>
      <c r="F3231" t="s">
        <v>114</v>
      </c>
      <c r="G3231">
        <v>120664</v>
      </c>
      <c r="H3231" s="75">
        <v>44311</v>
      </c>
      <c r="I3231" t="s">
        <v>115</v>
      </c>
      <c r="J3231">
        <v>5000</v>
      </c>
      <c r="K3231">
        <v>118.81</v>
      </c>
      <c r="L3231">
        <v>42.0839</v>
      </c>
      <c r="M3231">
        <v>6909.4290000000001</v>
      </c>
      <c r="N3231" t="s">
        <v>15</v>
      </c>
    </row>
    <row r="3232" spans="1:14" x14ac:dyDescent="0.2">
      <c r="A3232" t="s">
        <v>23</v>
      </c>
      <c r="B3232" t="s">
        <v>139</v>
      </c>
      <c r="C3232" t="s">
        <v>136</v>
      </c>
      <c r="D3232" t="s">
        <v>124</v>
      </c>
      <c r="E3232" t="s">
        <v>53</v>
      </c>
      <c r="F3232" t="s">
        <v>114</v>
      </c>
      <c r="G3232">
        <v>120664</v>
      </c>
      <c r="H3232" s="75">
        <v>44341</v>
      </c>
      <c r="I3232" t="s">
        <v>115</v>
      </c>
      <c r="J3232">
        <v>5000</v>
      </c>
      <c r="K3232">
        <v>118.30800000000001</v>
      </c>
      <c r="L3232">
        <v>42.262500000000003</v>
      </c>
      <c r="M3232">
        <v>7027.7370000000001</v>
      </c>
      <c r="N3232" t="s">
        <v>15</v>
      </c>
    </row>
    <row r="3233" spans="1:14" x14ac:dyDescent="0.2">
      <c r="A3233" t="s">
        <v>23</v>
      </c>
      <c r="B3233" t="s">
        <v>139</v>
      </c>
      <c r="C3233" t="s">
        <v>136</v>
      </c>
      <c r="D3233" t="s">
        <v>124</v>
      </c>
      <c r="E3233" t="s">
        <v>53</v>
      </c>
      <c r="F3233" t="s">
        <v>114</v>
      </c>
      <c r="G3233">
        <v>120664</v>
      </c>
      <c r="H3233" s="75">
        <v>44371</v>
      </c>
      <c r="I3233" t="s">
        <v>115</v>
      </c>
      <c r="J3233">
        <v>5000</v>
      </c>
      <c r="K3233">
        <v>119.874</v>
      </c>
      <c r="L3233">
        <v>41.7104</v>
      </c>
      <c r="M3233">
        <v>7147.6109999999999</v>
      </c>
      <c r="N3233" t="s">
        <v>15</v>
      </c>
    </row>
    <row r="3234" spans="1:14" x14ac:dyDescent="0.2">
      <c r="A3234" t="s">
        <v>23</v>
      </c>
      <c r="B3234" t="s">
        <v>139</v>
      </c>
      <c r="C3234" t="s">
        <v>136</v>
      </c>
      <c r="D3234" t="s">
        <v>124</v>
      </c>
      <c r="E3234" t="s">
        <v>53</v>
      </c>
      <c r="F3234" t="s">
        <v>114</v>
      </c>
      <c r="G3234">
        <v>120664</v>
      </c>
      <c r="H3234" s="75">
        <v>44371</v>
      </c>
      <c r="I3234" t="s">
        <v>117</v>
      </c>
      <c r="J3234">
        <v>2.5</v>
      </c>
      <c r="K3234">
        <v>0</v>
      </c>
      <c r="M3234">
        <v>7147.6109999999999</v>
      </c>
      <c r="N3234" t="s">
        <v>46</v>
      </c>
    </row>
    <row r="3235" spans="1:14" x14ac:dyDescent="0.2">
      <c r="A3235" t="s">
        <v>23</v>
      </c>
      <c r="B3235" t="s">
        <v>139</v>
      </c>
      <c r="C3235" t="s">
        <v>136</v>
      </c>
      <c r="D3235" t="s">
        <v>124</v>
      </c>
      <c r="E3235" t="s">
        <v>53</v>
      </c>
      <c r="F3235" t="s">
        <v>114</v>
      </c>
      <c r="G3235">
        <v>120664</v>
      </c>
      <c r="H3235" s="75">
        <v>44371</v>
      </c>
      <c r="I3235" t="s">
        <v>25</v>
      </c>
      <c r="J3235">
        <v>-59625.91</v>
      </c>
      <c r="K3235">
        <v>-1429.5219999999999</v>
      </c>
      <c r="L3235">
        <v>41.7104</v>
      </c>
      <c r="M3235">
        <v>5718.0889999999999</v>
      </c>
      <c r="N3235" t="s">
        <v>16</v>
      </c>
    </row>
    <row r="3236" spans="1:14" x14ac:dyDescent="0.2">
      <c r="A3236" t="s">
        <v>23</v>
      </c>
      <c r="B3236" t="s">
        <v>139</v>
      </c>
      <c r="C3236" t="s">
        <v>136</v>
      </c>
      <c r="D3236" t="s">
        <v>124</v>
      </c>
      <c r="E3236" t="s">
        <v>53</v>
      </c>
      <c r="F3236" t="s">
        <v>114</v>
      </c>
      <c r="G3236">
        <v>120664</v>
      </c>
      <c r="H3236" s="75">
        <v>44401</v>
      </c>
      <c r="I3236" t="s">
        <v>115</v>
      </c>
      <c r="J3236">
        <v>5000</v>
      </c>
      <c r="K3236">
        <v>118.91200000000001</v>
      </c>
      <c r="L3236">
        <v>42.048099999999998</v>
      </c>
      <c r="M3236">
        <v>5837.0010000000002</v>
      </c>
      <c r="N3236" t="s">
        <v>15</v>
      </c>
    </row>
    <row r="3237" spans="1:14" x14ac:dyDescent="0.2">
      <c r="A3237" t="s">
        <v>23</v>
      </c>
      <c r="B3237" t="s">
        <v>139</v>
      </c>
      <c r="C3237" t="s">
        <v>136</v>
      </c>
      <c r="D3237" t="s">
        <v>124</v>
      </c>
      <c r="E3237" t="s">
        <v>53</v>
      </c>
      <c r="F3237" t="s">
        <v>114</v>
      </c>
      <c r="G3237">
        <v>120664</v>
      </c>
      <c r="H3237" s="75">
        <v>44431</v>
      </c>
      <c r="I3237" t="s">
        <v>115</v>
      </c>
      <c r="J3237">
        <v>5000</v>
      </c>
      <c r="K3237">
        <v>117.44</v>
      </c>
      <c r="L3237">
        <v>42.575099999999999</v>
      </c>
      <c r="M3237">
        <v>5954.44</v>
      </c>
      <c r="N3237" t="s">
        <v>15</v>
      </c>
    </row>
    <row r="3238" spans="1:14" x14ac:dyDescent="0.2">
      <c r="A3238" t="s">
        <v>23</v>
      </c>
      <c r="B3238" t="s">
        <v>139</v>
      </c>
      <c r="C3238" t="s">
        <v>136</v>
      </c>
      <c r="D3238" t="s">
        <v>124</v>
      </c>
      <c r="E3238" t="s">
        <v>53</v>
      </c>
      <c r="F3238" t="s">
        <v>114</v>
      </c>
      <c r="G3238">
        <v>120664</v>
      </c>
      <c r="H3238" s="75">
        <v>44461</v>
      </c>
      <c r="I3238" t="s">
        <v>115</v>
      </c>
      <c r="J3238">
        <v>5000</v>
      </c>
      <c r="K3238">
        <v>116.98</v>
      </c>
      <c r="L3238">
        <v>42.742199999999997</v>
      </c>
      <c r="M3238">
        <v>6071.4210000000003</v>
      </c>
      <c r="N3238" t="s">
        <v>15</v>
      </c>
    </row>
    <row r="3239" spans="1:14" x14ac:dyDescent="0.2">
      <c r="A3239" t="s">
        <v>23</v>
      </c>
      <c r="B3239" t="s">
        <v>139</v>
      </c>
      <c r="C3239" t="s">
        <v>136</v>
      </c>
      <c r="D3239" t="s">
        <v>124</v>
      </c>
      <c r="E3239" t="s">
        <v>53</v>
      </c>
      <c r="F3239" t="s">
        <v>114</v>
      </c>
      <c r="G3239">
        <v>120664</v>
      </c>
      <c r="H3239" s="75">
        <v>44491</v>
      </c>
      <c r="I3239" t="s">
        <v>115</v>
      </c>
      <c r="J3239">
        <v>5000</v>
      </c>
      <c r="K3239">
        <v>114.946</v>
      </c>
      <c r="L3239">
        <v>43.498800000000003</v>
      </c>
      <c r="M3239">
        <v>6186.366</v>
      </c>
      <c r="N3239" t="s">
        <v>15</v>
      </c>
    </row>
    <row r="3240" spans="1:14" x14ac:dyDescent="0.2">
      <c r="A3240" t="s">
        <v>23</v>
      </c>
      <c r="B3240" t="s">
        <v>139</v>
      </c>
      <c r="C3240" t="s">
        <v>136</v>
      </c>
      <c r="D3240" t="s">
        <v>124</v>
      </c>
      <c r="E3240" t="s">
        <v>53</v>
      </c>
      <c r="F3240" t="s">
        <v>114</v>
      </c>
      <c r="G3240">
        <v>120664</v>
      </c>
      <c r="H3240" s="75">
        <v>44521</v>
      </c>
      <c r="I3240" t="s">
        <v>115</v>
      </c>
      <c r="J3240">
        <v>5000</v>
      </c>
      <c r="K3240">
        <v>114.533</v>
      </c>
      <c r="L3240">
        <v>43.6556</v>
      </c>
      <c r="M3240">
        <v>6300.8990000000003</v>
      </c>
      <c r="N3240" t="s">
        <v>15</v>
      </c>
    </row>
    <row r="3241" spans="1:14" x14ac:dyDescent="0.2">
      <c r="A3241" t="s">
        <v>23</v>
      </c>
      <c r="B3241" t="s">
        <v>139</v>
      </c>
      <c r="C3241" t="s">
        <v>136</v>
      </c>
      <c r="D3241" t="s">
        <v>124</v>
      </c>
      <c r="E3241" t="s">
        <v>53</v>
      </c>
      <c r="F3241" t="s">
        <v>114</v>
      </c>
      <c r="G3241">
        <v>120664</v>
      </c>
      <c r="H3241" s="75">
        <v>44521</v>
      </c>
      <c r="I3241" t="s">
        <v>117</v>
      </c>
      <c r="J3241">
        <v>2.5</v>
      </c>
      <c r="K3241">
        <v>0</v>
      </c>
      <c r="M3241">
        <v>6300.8990000000003</v>
      </c>
      <c r="N3241" t="s">
        <v>46</v>
      </c>
    </row>
    <row r="3242" spans="1:14" x14ac:dyDescent="0.2">
      <c r="A3242" t="s">
        <v>23</v>
      </c>
      <c r="B3242" t="s">
        <v>139</v>
      </c>
      <c r="C3242" t="s">
        <v>136</v>
      </c>
      <c r="D3242" t="s">
        <v>124</v>
      </c>
      <c r="E3242" t="s">
        <v>53</v>
      </c>
      <c r="F3242" t="s">
        <v>114</v>
      </c>
      <c r="G3242">
        <v>120664</v>
      </c>
      <c r="H3242" s="75">
        <v>44551</v>
      </c>
      <c r="I3242" t="s">
        <v>115</v>
      </c>
      <c r="J3242">
        <v>5000</v>
      </c>
      <c r="K3242">
        <v>114.703</v>
      </c>
      <c r="L3242">
        <v>43.590800000000002</v>
      </c>
      <c r="M3242">
        <v>6415.6019999999999</v>
      </c>
      <c r="N3242" t="s">
        <v>15</v>
      </c>
    </row>
    <row r="3243" spans="1:14" x14ac:dyDescent="0.2">
      <c r="A3243" t="s">
        <v>23</v>
      </c>
      <c r="B3243" t="s">
        <v>139</v>
      </c>
      <c r="C3243" t="s">
        <v>136</v>
      </c>
      <c r="D3243" t="s">
        <v>124</v>
      </c>
      <c r="E3243" t="s">
        <v>53</v>
      </c>
      <c r="F3243" t="s">
        <v>114</v>
      </c>
      <c r="G3243">
        <v>120664</v>
      </c>
      <c r="H3243" s="75">
        <v>44581</v>
      </c>
      <c r="I3243" t="s">
        <v>115</v>
      </c>
      <c r="J3243">
        <v>5000</v>
      </c>
      <c r="K3243">
        <v>113.154</v>
      </c>
      <c r="L3243">
        <v>44.187399999999997</v>
      </c>
      <c r="M3243">
        <v>6528.7569999999996</v>
      </c>
      <c r="N3243" t="s">
        <v>15</v>
      </c>
    </row>
    <row r="3244" spans="1:14" x14ac:dyDescent="0.2">
      <c r="A3244" t="s">
        <v>23</v>
      </c>
      <c r="B3244" t="s">
        <v>139</v>
      </c>
      <c r="C3244" t="s">
        <v>136</v>
      </c>
      <c r="D3244" t="s">
        <v>124</v>
      </c>
      <c r="E3244" t="s">
        <v>53</v>
      </c>
      <c r="F3244" t="s">
        <v>114</v>
      </c>
      <c r="G3244">
        <v>120664</v>
      </c>
      <c r="H3244" s="75">
        <v>44611</v>
      </c>
      <c r="I3244" t="s">
        <v>115</v>
      </c>
      <c r="J3244">
        <v>5000</v>
      </c>
      <c r="K3244">
        <v>113.32</v>
      </c>
      <c r="L3244">
        <v>44.122799999999998</v>
      </c>
      <c r="M3244">
        <v>6642.0770000000002</v>
      </c>
      <c r="N3244" t="s">
        <v>15</v>
      </c>
    </row>
    <row r="3245" spans="1:14" x14ac:dyDescent="0.2">
      <c r="A3245" t="s">
        <v>23</v>
      </c>
      <c r="B3245" t="s">
        <v>139</v>
      </c>
      <c r="C3245" t="s">
        <v>136</v>
      </c>
      <c r="D3245" t="s">
        <v>124</v>
      </c>
      <c r="E3245" t="s">
        <v>53</v>
      </c>
      <c r="F3245" t="s">
        <v>114</v>
      </c>
      <c r="G3245">
        <v>120664</v>
      </c>
      <c r="H3245" s="75">
        <v>44641</v>
      </c>
      <c r="I3245" t="s">
        <v>115</v>
      </c>
      <c r="J3245">
        <v>5000</v>
      </c>
      <c r="K3245">
        <v>110.687</v>
      </c>
      <c r="L3245">
        <v>45.172400000000003</v>
      </c>
      <c r="M3245">
        <v>6752.7640000000001</v>
      </c>
      <c r="N3245" t="s">
        <v>15</v>
      </c>
    </row>
    <row r="3246" spans="1:14" x14ac:dyDescent="0.2">
      <c r="A3246" t="s">
        <v>23</v>
      </c>
      <c r="B3246" t="s">
        <v>139</v>
      </c>
      <c r="C3246" t="s">
        <v>136</v>
      </c>
      <c r="D3246" t="s">
        <v>124</v>
      </c>
      <c r="E3246" t="s">
        <v>53</v>
      </c>
      <c r="F3246" t="s">
        <v>114</v>
      </c>
      <c r="G3246">
        <v>120664</v>
      </c>
      <c r="H3246" s="75">
        <v>44641</v>
      </c>
      <c r="I3246" t="s">
        <v>25</v>
      </c>
      <c r="J3246">
        <v>-61007.75</v>
      </c>
      <c r="K3246">
        <v>-1350.5530000000001</v>
      </c>
      <c r="L3246">
        <v>45.172400000000003</v>
      </c>
      <c r="M3246">
        <v>5402.2110000000002</v>
      </c>
      <c r="N3246" t="s">
        <v>16</v>
      </c>
    </row>
    <row r="3247" spans="1:14" x14ac:dyDescent="0.2">
      <c r="A3247" t="s">
        <v>23</v>
      </c>
      <c r="B3247" t="s">
        <v>139</v>
      </c>
      <c r="C3247" t="s">
        <v>136</v>
      </c>
      <c r="D3247" t="s">
        <v>124</v>
      </c>
      <c r="E3247" t="s">
        <v>53</v>
      </c>
      <c r="F3247" t="s">
        <v>114</v>
      </c>
      <c r="G3247">
        <v>120664</v>
      </c>
      <c r="H3247" s="75">
        <v>44671</v>
      </c>
      <c r="I3247" t="s">
        <v>115</v>
      </c>
      <c r="J3247">
        <v>5000</v>
      </c>
      <c r="K3247">
        <v>111.852</v>
      </c>
      <c r="L3247">
        <v>44.701999999999998</v>
      </c>
      <c r="M3247">
        <v>5514.0630000000001</v>
      </c>
      <c r="N3247" t="s">
        <v>15</v>
      </c>
    </row>
    <row r="3248" spans="1:14" x14ac:dyDescent="0.2">
      <c r="A3248" t="s">
        <v>23</v>
      </c>
      <c r="B3248" t="s">
        <v>139</v>
      </c>
      <c r="C3248" t="s">
        <v>136</v>
      </c>
      <c r="D3248" t="s">
        <v>124</v>
      </c>
      <c r="E3248" t="s">
        <v>53</v>
      </c>
      <c r="F3248" t="s">
        <v>114</v>
      </c>
      <c r="G3248">
        <v>120664</v>
      </c>
      <c r="H3248" s="75">
        <v>44701</v>
      </c>
      <c r="I3248" t="s">
        <v>115</v>
      </c>
      <c r="J3248">
        <v>5000</v>
      </c>
      <c r="K3248">
        <v>111.881</v>
      </c>
      <c r="L3248">
        <v>44.690300000000001</v>
      </c>
      <c r="M3248">
        <v>5625.9440000000004</v>
      </c>
      <c r="N3248" t="s">
        <v>15</v>
      </c>
    </row>
    <row r="3249" spans="1:15" x14ac:dyDescent="0.2">
      <c r="A3249" t="s">
        <v>23</v>
      </c>
      <c r="B3249" t="s">
        <v>139</v>
      </c>
      <c r="C3249" t="s">
        <v>136</v>
      </c>
      <c r="D3249" t="s">
        <v>124</v>
      </c>
      <c r="E3249" t="s">
        <v>53</v>
      </c>
      <c r="F3249" t="s">
        <v>114</v>
      </c>
      <c r="G3249">
        <v>120664</v>
      </c>
      <c r="H3249" s="75">
        <v>44701</v>
      </c>
      <c r="I3249" t="s">
        <v>117</v>
      </c>
      <c r="J3249">
        <v>2.5</v>
      </c>
      <c r="K3249">
        <v>0</v>
      </c>
      <c r="M3249">
        <v>5625.9440000000004</v>
      </c>
      <c r="N3249" t="s">
        <v>46</v>
      </c>
    </row>
    <row r="3250" spans="1:15" x14ac:dyDescent="0.2">
      <c r="A3250" t="s">
        <v>23</v>
      </c>
      <c r="B3250" t="s">
        <v>139</v>
      </c>
      <c r="C3250" t="s">
        <v>136</v>
      </c>
      <c r="D3250" t="s">
        <v>124</v>
      </c>
      <c r="E3250" t="s">
        <v>53</v>
      </c>
      <c r="F3250" t="s">
        <v>114</v>
      </c>
      <c r="G3250">
        <v>120664</v>
      </c>
      <c r="H3250" s="75">
        <v>44731</v>
      </c>
      <c r="I3250" t="s">
        <v>115</v>
      </c>
      <c r="J3250">
        <v>5000</v>
      </c>
      <c r="K3250">
        <v>108.669</v>
      </c>
      <c r="L3250">
        <v>46.011499999999998</v>
      </c>
      <c r="M3250">
        <v>5734.6120000000001</v>
      </c>
      <c r="N3250" t="s">
        <v>15</v>
      </c>
    </row>
    <row r="3251" spans="1:15" x14ac:dyDescent="0.2">
      <c r="A3251" t="s">
        <v>23</v>
      </c>
      <c r="B3251" t="s">
        <v>139</v>
      </c>
      <c r="C3251" t="s">
        <v>136</v>
      </c>
      <c r="D3251" t="s">
        <v>124</v>
      </c>
      <c r="E3251" t="s">
        <v>53</v>
      </c>
      <c r="F3251" t="s">
        <v>114</v>
      </c>
      <c r="G3251">
        <v>120664</v>
      </c>
      <c r="H3251" s="75">
        <v>44761</v>
      </c>
      <c r="I3251" t="s">
        <v>115</v>
      </c>
      <c r="J3251">
        <v>5000</v>
      </c>
      <c r="K3251">
        <v>109.506</v>
      </c>
      <c r="L3251">
        <v>45.659500000000001</v>
      </c>
      <c r="M3251">
        <v>5844.1189999999997</v>
      </c>
      <c r="N3251" t="s">
        <v>15</v>
      </c>
    </row>
    <row r="3252" spans="1:15" x14ac:dyDescent="0.2">
      <c r="A3252" t="s">
        <v>23</v>
      </c>
      <c r="B3252" t="s">
        <v>139</v>
      </c>
      <c r="C3252" t="s">
        <v>136</v>
      </c>
      <c r="D3252" t="s">
        <v>124</v>
      </c>
      <c r="E3252" t="s">
        <v>53</v>
      </c>
      <c r="F3252" t="s">
        <v>114</v>
      </c>
      <c r="G3252">
        <v>120664</v>
      </c>
      <c r="H3252" s="75">
        <v>44791</v>
      </c>
      <c r="I3252" t="s">
        <v>115</v>
      </c>
      <c r="J3252">
        <v>5000</v>
      </c>
      <c r="K3252">
        <v>109.008</v>
      </c>
      <c r="L3252">
        <v>45.868299999999998</v>
      </c>
      <c r="M3252">
        <v>5953.1260000000002</v>
      </c>
      <c r="N3252" t="s">
        <v>15</v>
      </c>
    </row>
    <row r="3253" spans="1:15" x14ac:dyDescent="0.2">
      <c r="A3253" t="s">
        <v>23</v>
      </c>
      <c r="B3253" t="s">
        <v>139</v>
      </c>
      <c r="C3253" t="s">
        <v>136</v>
      </c>
      <c r="D3253" t="s">
        <v>124</v>
      </c>
      <c r="E3253" t="s">
        <v>53</v>
      </c>
      <c r="F3253" t="s">
        <v>114</v>
      </c>
      <c r="G3253">
        <v>120664</v>
      </c>
      <c r="H3253" s="75">
        <v>44821</v>
      </c>
      <c r="I3253" t="s">
        <v>115</v>
      </c>
      <c r="J3253">
        <v>5000</v>
      </c>
      <c r="K3253">
        <v>105.99</v>
      </c>
      <c r="L3253">
        <v>47.174199999999999</v>
      </c>
      <c r="M3253">
        <v>6059.116</v>
      </c>
      <c r="N3253" t="s">
        <v>15</v>
      </c>
    </row>
    <row r="3254" spans="1:15" x14ac:dyDescent="0.2">
      <c r="A3254" t="s">
        <v>23</v>
      </c>
      <c r="B3254" t="s">
        <v>139</v>
      </c>
      <c r="C3254" t="s">
        <v>136</v>
      </c>
      <c r="D3254" t="s">
        <v>124</v>
      </c>
      <c r="E3254" t="s">
        <v>53</v>
      </c>
      <c r="F3254" t="s">
        <v>114</v>
      </c>
      <c r="G3254">
        <v>120664</v>
      </c>
      <c r="H3254" s="75">
        <v>44851</v>
      </c>
      <c r="I3254" t="s">
        <v>115</v>
      </c>
      <c r="J3254">
        <v>5000</v>
      </c>
      <c r="K3254">
        <v>104.53700000000001</v>
      </c>
      <c r="L3254">
        <v>47.829799999999999</v>
      </c>
      <c r="M3254">
        <v>6163.6540000000005</v>
      </c>
      <c r="N3254" t="s">
        <v>15</v>
      </c>
    </row>
    <row r="3255" spans="1:15" x14ac:dyDescent="0.2">
      <c r="A3255" t="s">
        <v>23</v>
      </c>
      <c r="B3255" t="s">
        <v>139</v>
      </c>
      <c r="C3255" t="s">
        <v>136</v>
      </c>
      <c r="D3255" t="s">
        <v>124</v>
      </c>
      <c r="E3255" t="s">
        <v>53</v>
      </c>
      <c r="F3255" t="s">
        <v>114</v>
      </c>
      <c r="G3255">
        <v>120664</v>
      </c>
      <c r="H3255" s="75">
        <v>44881</v>
      </c>
      <c r="I3255" t="s">
        <v>115</v>
      </c>
      <c r="J3255">
        <v>5000</v>
      </c>
      <c r="K3255">
        <v>103.10899999999999</v>
      </c>
      <c r="L3255">
        <v>48.492400000000004</v>
      </c>
      <c r="M3255">
        <v>6266.7629999999999</v>
      </c>
      <c r="N3255" t="s">
        <v>15</v>
      </c>
    </row>
    <row r="3256" spans="1:15" x14ac:dyDescent="0.2">
      <c r="A3256" t="s">
        <v>23</v>
      </c>
      <c r="B3256" t="s">
        <v>139</v>
      </c>
      <c r="C3256" t="s">
        <v>136</v>
      </c>
      <c r="D3256" t="s">
        <v>124</v>
      </c>
      <c r="E3256" t="s">
        <v>53</v>
      </c>
      <c r="F3256" t="s">
        <v>114</v>
      </c>
      <c r="G3256">
        <v>120664</v>
      </c>
      <c r="H3256" s="75">
        <v>44911</v>
      </c>
      <c r="I3256" t="s">
        <v>115</v>
      </c>
      <c r="J3256">
        <v>5000</v>
      </c>
      <c r="K3256">
        <v>100.17100000000001</v>
      </c>
      <c r="L3256">
        <v>49.914499999999997</v>
      </c>
      <c r="M3256">
        <v>6366.9340000000002</v>
      </c>
      <c r="N3256" t="s">
        <v>15</v>
      </c>
    </row>
    <row r="3257" spans="1:15" x14ac:dyDescent="0.2">
      <c r="A3257" t="s">
        <v>23</v>
      </c>
      <c r="B3257" t="s">
        <v>139</v>
      </c>
      <c r="C3257" t="s">
        <v>136</v>
      </c>
      <c r="D3257" t="s">
        <v>124</v>
      </c>
      <c r="E3257" t="s">
        <v>53</v>
      </c>
      <c r="F3257" t="s">
        <v>114</v>
      </c>
      <c r="G3257">
        <v>120664</v>
      </c>
      <c r="H3257" s="75">
        <v>44911</v>
      </c>
      <c r="I3257" t="s">
        <v>118</v>
      </c>
      <c r="J3257">
        <v>3183.47</v>
      </c>
      <c r="K3257">
        <v>0</v>
      </c>
      <c r="M3257">
        <v>6366.9340000000002</v>
      </c>
      <c r="N3257" t="s">
        <v>19</v>
      </c>
      <c r="O3257">
        <v>3183.47</v>
      </c>
    </row>
    <row r="3258" spans="1:15" x14ac:dyDescent="0.2">
      <c r="A3258" t="s">
        <v>23</v>
      </c>
      <c r="B3258" t="s">
        <v>139</v>
      </c>
      <c r="C3258" t="s">
        <v>136</v>
      </c>
      <c r="D3258" t="s">
        <v>124</v>
      </c>
      <c r="E3258" t="s">
        <v>53</v>
      </c>
      <c r="F3258" t="s">
        <v>114</v>
      </c>
      <c r="G3258">
        <v>120664</v>
      </c>
      <c r="H3258" s="75">
        <v>44941</v>
      </c>
      <c r="I3258" t="s">
        <v>115</v>
      </c>
      <c r="J3258">
        <v>5000</v>
      </c>
      <c r="K3258">
        <v>100.753</v>
      </c>
      <c r="L3258">
        <v>49.626399999999997</v>
      </c>
      <c r="M3258">
        <v>6467.6869999999999</v>
      </c>
      <c r="N3258" t="s">
        <v>15</v>
      </c>
    </row>
    <row r="3259" spans="1:15" x14ac:dyDescent="0.2">
      <c r="A3259" t="s">
        <v>23</v>
      </c>
      <c r="B3259" t="s">
        <v>139</v>
      </c>
      <c r="C3259" t="s">
        <v>136</v>
      </c>
      <c r="D3259" t="s">
        <v>124</v>
      </c>
      <c r="E3259" t="s">
        <v>53</v>
      </c>
      <c r="F3259" t="s">
        <v>114</v>
      </c>
      <c r="G3259">
        <v>120664</v>
      </c>
      <c r="H3259" s="75">
        <v>44971</v>
      </c>
      <c r="I3259" t="s">
        <v>115</v>
      </c>
      <c r="J3259">
        <v>5000</v>
      </c>
      <c r="K3259">
        <v>98.591999999999999</v>
      </c>
      <c r="L3259">
        <v>50.714100000000002</v>
      </c>
      <c r="M3259">
        <v>6566.2790000000005</v>
      </c>
      <c r="N3259" t="s">
        <v>15</v>
      </c>
    </row>
    <row r="3260" spans="1:15" x14ac:dyDescent="0.2">
      <c r="A3260" t="s">
        <v>23</v>
      </c>
      <c r="B3260" t="s">
        <v>139</v>
      </c>
      <c r="C3260" t="s">
        <v>136</v>
      </c>
      <c r="D3260" t="s">
        <v>124</v>
      </c>
      <c r="E3260" t="s">
        <v>53</v>
      </c>
      <c r="F3260" t="s">
        <v>114</v>
      </c>
      <c r="G3260">
        <v>120664</v>
      </c>
      <c r="H3260" s="75">
        <v>45001</v>
      </c>
      <c r="I3260" t="s">
        <v>115</v>
      </c>
      <c r="J3260">
        <v>5000</v>
      </c>
      <c r="K3260">
        <v>96.727999999999994</v>
      </c>
      <c r="L3260">
        <v>51.691499999999998</v>
      </c>
      <c r="M3260">
        <v>6663.0069999999996</v>
      </c>
      <c r="N3260" t="s">
        <v>15</v>
      </c>
    </row>
    <row r="3261" spans="1:15" x14ac:dyDescent="0.2">
      <c r="A3261" t="s">
        <v>23</v>
      </c>
      <c r="B3261" t="s">
        <v>139</v>
      </c>
      <c r="C3261" t="s">
        <v>136</v>
      </c>
      <c r="D3261" t="s">
        <v>124</v>
      </c>
      <c r="E3261" t="s">
        <v>53</v>
      </c>
      <c r="F3261" t="s">
        <v>114</v>
      </c>
      <c r="G3261">
        <v>120664</v>
      </c>
      <c r="H3261" s="75">
        <v>45031</v>
      </c>
      <c r="I3261" t="s">
        <v>115</v>
      </c>
      <c r="J3261">
        <v>5000</v>
      </c>
      <c r="K3261">
        <v>98.245000000000005</v>
      </c>
      <c r="L3261">
        <v>50.8934</v>
      </c>
      <c r="M3261">
        <v>6761.2510000000002</v>
      </c>
      <c r="N3261" t="s">
        <v>15</v>
      </c>
    </row>
    <row r="3262" spans="1:15" x14ac:dyDescent="0.2">
      <c r="A3262" t="s">
        <v>23</v>
      </c>
      <c r="B3262" t="s">
        <v>139</v>
      </c>
      <c r="C3262" t="s">
        <v>136</v>
      </c>
      <c r="D3262" t="s">
        <v>124</v>
      </c>
      <c r="E3262" t="s">
        <v>53</v>
      </c>
      <c r="F3262" t="s">
        <v>114</v>
      </c>
      <c r="G3262">
        <v>120664</v>
      </c>
      <c r="H3262" s="75">
        <v>45061</v>
      </c>
      <c r="I3262" t="s">
        <v>115</v>
      </c>
      <c r="J3262">
        <v>5000</v>
      </c>
      <c r="K3262">
        <v>99.605999999999995</v>
      </c>
      <c r="L3262">
        <v>50.197699999999998</v>
      </c>
      <c r="M3262">
        <v>6860.857</v>
      </c>
      <c r="N3262" t="s">
        <v>15</v>
      </c>
    </row>
    <row r="3263" spans="1:15" x14ac:dyDescent="0.2">
      <c r="A3263" t="s">
        <v>23</v>
      </c>
      <c r="B3263" t="s">
        <v>139</v>
      </c>
      <c r="C3263" t="s">
        <v>136</v>
      </c>
      <c r="D3263" t="s">
        <v>124</v>
      </c>
      <c r="E3263" t="s">
        <v>53</v>
      </c>
      <c r="F3263" t="s">
        <v>114</v>
      </c>
      <c r="G3263">
        <v>120664</v>
      </c>
      <c r="H3263" s="75">
        <v>45091</v>
      </c>
      <c r="I3263" t="s">
        <v>115</v>
      </c>
      <c r="J3263">
        <v>5000</v>
      </c>
      <c r="K3263">
        <v>101.605</v>
      </c>
      <c r="L3263">
        <v>49.210299999999997</v>
      </c>
      <c r="M3263">
        <v>6962.4620000000004</v>
      </c>
      <c r="N3263" t="s">
        <v>15</v>
      </c>
    </row>
    <row r="3264" spans="1:15" x14ac:dyDescent="0.2">
      <c r="A3264" t="s">
        <v>23</v>
      </c>
      <c r="B3264" t="s">
        <v>139</v>
      </c>
      <c r="C3264" t="s">
        <v>136</v>
      </c>
      <c r="D3264" t="s">
        <v>124</v>
      </c>
      <c r="E3264" t="s">
        <v>53</v>
      </c>
      <c r="F3264" t="s">
        <v>114</v>
      </c>
      <c r="G3264">
        <v>120664</v>
      </c>
      <c r="H3264" s="75">
        <v>45121</v>
      </c>
      <c r="I3264" t="s">
        <v>115</v>
      </c>
      <c r="J3264">
        <v>5000</v>
      </c>
      <c r="K3264">
        <v>98.661000000000001</v>
      </c>
      <c r="L3264">
        <v>50.6785</v>
      </c>
      <c r="M3264">
        <v>7061.1229999999996</v>
      </c>
      <c r="N3264" t="s">
        <v>15</v>
      </c>
    </row>
    <row r="3265" spans="1:15" x14ac:dyDescent="0.2">
      <c r="A3265" t="s">
        <v>23</v>
      </c>
      <c r="B3265" t="s">
        <v>139</v>
      </c>
      <c r="C3265" t="s">
        <v>136</v>
      </c>
      <c r="D3265" t="s">
        <v>124</v>
      </c>
      <c r="E3265" t="s">
        <v>53</v>
      </c>
      <c r="F3265" t="s">
        <v>114</v>
      </c>
      <c r="G3265">
        <v>120664</v>
      </c>
      <c r="H3265" s="75">
        <v>45151</v>
      </c>
      <c r="I3265" t="s">
        <v>115</v>
      </c>
      <c r="J3265">
        <v>5000</v>
      </c>
      <c r="K3265">
        <v>97.341999999999999</v>
      </c>
      <c r="L3265">
        <v>51.365400000000001</v>
      </c>
      <c r="M3265">
        <v>7158.4650000000001</v>
      </c>
      <c r="N3265" t="s">
        <v>15</v>
      </c>
    </row>
    <row r="3266" spans="1:15" x14ac:dyDescent="0.2">
      <c r="A3266" t="s">
        <v>23</v>
      </c>
      <c r="B3266" t="s">
        <v>139</v>
      </c>
      <c r="C3266" t="s">
        <v>136</v>
      </c>
      <c r="D3266" t="s">
        <v>124</v>
      </c>
      <c r="E3266" t="s">
        <v>53</v>
      </c>
      <c r="F3266" t="s">
        <v>114</v>
      </c>
      <c r="G3266">
        <v>120664</v>
      </c>
      <c r="H3266" s="75">
        <v>45181</v>
      </c>
      <c r="I3266" t="s">
        <v>115</v>
      </c>
      <c r="J3266">
        <v>5000</v>
      </c>
      <c r="K3266">
        <v>95.248000000000005</v>
      </c>
      <c r="L3266">
        <v>52.494799999999998</v>
      </c>
      <c r="M3266">
        <v>7253.7129999999997</v>
      </c>
      <c r="N3266" t="s">
        <v>15</v>
      </c>
    </row>
    <row r="3267" spans="1:15" x14ac:dyDescent="0.2">
      <c r="A3267" t="s">
        <v>23</v>
      </c>
      <c r="B3267" t="s">
        <v>139</v>
      </c>
      <c r="C3267" t="s">
        <v>136</v>
      </c>
      <c r="D3267" t="s">
        <v>124</v>
      </c>
      <c r="E3267" t="s">
        <v>53</v>
      </c>
      <c r="F3267" t="s">
        <v>114</v>
      </c>
      <c r="G3267">
        <v>120664</v>
      </c>
      <c r="H3267" s="75">
        <v>45211</v>
      </c>
      <c r="I3267" t="s">
        <v>115</v>
      </c>
      <c r="J3267">
        <v>5000</v>
      </c>
      <c r="K3267">
        <v>94.793000000000006</v>
      </c>
      <c r="L3267">
        <v>52.746699999999997</v>
      </c>
      <c r="M3267">
        <v>7348.5050000000001</v>
      </c>
      <c r="N3267" t="s">
        <v>15</v>
      </c>
    </row>
    <row r="3268" spans="1:15" x14ac:dyDescent="0.2">
      <c r="A3268" t="s">
        <v>23</v>
      </c>
      <c r="B3268" t="s">
        <v>139</v>
      </c>
      <c r="C3268" t="s">
        <v>136</v>
      </c>
      <c r="D3268" t="s">
        <v>124</v>
      </c>
      <c r="E3268" t="s">
        <v>53</v>
      </c>
      <c r="F3268" t="s">
        <v>114</v>
      </c>
      <c r="G3268">
        <v>120664</v>
      </c>
      <c r="H3268" s="75">
        <v>45241</v>
      </c>
      <c r="I3268" t="s">
        <v>115</v>
      </c>
      <c r="J3268">
        <v>5000</v>
      </c>
      <c r="K3268">
        <v>92.081000000000003</v>
      </c>
      <c r="L3268">
        <v>54.299799999999998</v>
      </c>
      <c r="M3268">
        <v>7440.5870000000004</v>
      </c>
      <c r="N3268" t="s">
        <v>15</v>
      </c>
    </row>
    <row r="3269" spans="1:15" x14ac:dyDescent="0.2">
      <c r="A3269" t="s">
        <v>23</v>
      </c>
      <c r="B3269" t="s">
        <v>139</v>
      </c>
      <c r="C3269" t="s">
        <v>136</v>
      </c>
      <c r="D3269" t="s">
        <v>124</v>
      </c>
      <c r="E3269" t="s">
        <v>53</v>
      </c>
      <c r="F3269" t="s">
        <v>114</v>
      </c>
      <c r="G3269">
        <v>120664</v>
      </c>
      <c r="H3269" s="75">
        <v>45271</v>
      </c>
      <c r="I3269" t="s">
        <v>115</v>
      </c>
      <c r="J3269">
        <v>5000</v>
      </c>
      <c r="K3269">
        <v>91.646000000000001</v>
      </c>
      <c r="L3269">
        <v>54.5578</v>
      </c>
      <c r="M3269">
        <v>7532.2330000000002</v>
      </c>
      <c r="N3269" t="s">
        <v>15</v>
      </c>
    </row>
    <row r="3270" spans="1:15" x14ac:dyDescent="0.2">
      <c r="A3270" t="s">
        <v>23</v>
      </c>
      <c r="B3270" t="s">
        <v>139</v>
      </c>
      <c r="C3270" t="s">
        <v>136</v>
      </c>
      <c r="D3270" t="s">
        <v>124</v>
      </c>
      <c r="E3270" t="s">
        <v>53</v>
      </c>
      <c r="F3270" t="s">
        <v>114</v>
      </c>
      <c r="G3270">
        <v>120664</v>
      </c>
      <c r="H3270" s="75">
        <v>45301</v>
      </c>
      <c r="I3270" t="s">
        <v>115</v>
      </c>
      <c r="J3270">
        <v>5000</v>
      </c>
      <c r="K3270">
        <v>90.671000000000006</v>
      </c>
      <c r="L3270">
        <v>55.144500000000001</v>
      </c>
      <c r="M3270">
        <v>7622.9040000000005</v>
      </c>
      <c r="N3270" t="s">
        <v>15</v>
      </c>
    </row>
    <row r="3271" spans="1:15" x14ac:dyDescent="0.2">
      <c r="A3271" t="s">
        <v>23</v>
      </c>
      <c r="B3271" t="s">
        <v>139</v>
      </c>
      <c r="C3271" t="s">
        <v>136</v>
      </c>
      <c r="D3271" t="s">
        <v>124</v>
      </c>
      <c r="E3271" t="s">
        <v>53</v>
      </c>
      <c r="F3271" t="s">
        <v>114</v>
      </c>
      <c r="G3271">
        <v>120664</v>
      </c>
      <c r="H3271" s="75">
        <v>45331</v>
      </c>
      <c r="I3271" t="s">
        <v>115</v>
      </c>
      <c r="J3271">
        <v>5000</v>
      </c>
      <c r="K3271">
        <v>90.667000000000002</v>
      </c>
      <c r="L3271">
        <v>55.146900000000002</v>
      </c>
      <c r="M3271">
        <v>7713.57</v>
      </c>
      <c r="N3271" t="s">
        <v>15</v>
      </c>
    </row>
    <row r="3272" spans="1:15" x14ac:dyDescent="0.2">
      <c r="A3272" t="s">
        <v>23</v>
      </c>
      <c r="B3272" t="s">
        <v>139</v>
      </c>
      <c r="C3272" t="s">
        <v>136</v>
      </c>
      <c r="D3272" t="s">
        <v>124</v>
      </c>
      <c r="E3272" t="s">
        <v>53</v>
      </c>
      <c r="F3272" t="s">
        <v>114</v>
      </c>
      <c r="G3272">
        <v>120664</v>
      </c>
      <c r="H3272" s="75">
        <v>45331</v>
      </c>
      <c r="I3272" t="s">
        <v>118</v>
      </c>
      <c r="J3272">
        <v>3856.79</v>
      </c>
      <c r="K3272">
        <v>0</v>
      </c>
      <c r="M3272">
        <v>7713.57</v>
      </c>
      <c r="N3272" t="s">
        <v>19</v>
      </c>
      <c r="O3272">
        <v>3856.79</v>
      </c>
    </row>
    <row r="3273" spans="1:15" x14ac:dyDescent="0.2">
      <c r="A3273" t="s">
        <v>23</v>
      </c>
      <c r="B3273" t="s">
        <v>139</v>
      </c>
      <c r="C3273" t="s">
        <v>136</v>
      </c>
      <c r="D3273" t="s">
        <v>124</v>
      </c>
      <c r="E3273" t="s">
        <v>53</v>
      </c>
      <c r="F3273" t="s">
        <v>114</v>
      </c>
      <c r="G3273">
        <v>120664</v>
      </c>
      <c r="H3273" s="75">
        <v>45361</v>
      </c>
      <c r="I3273" t="s">
        <v>115</v>
      </c>
      <c r="J3273">
        <v>5000</v>
      </c>
      <c r="K3273">
        <v>89.873000000000005</v>
      </c>
      <c r="L3273">
        <v>55.6342</v>
      </c>
      <c r="M3273">
        <v>7803.4430000000002</v>
      </c>
      <c r="N3273" t="s">
        <v>15</v>
      </c>
    </row>
    <row r="3274" spans="1:15" x14ac:dyDescent="0.2">
      <c r="A3274" t="s">
        <v>23</v>
      </c>
      <c r="B3274" t="s">
        <v>139</v>
      </c>
      <c r="C3274" t="s">
        <v>136</v>
      </c>
      <c r="D3274" t="s">
        <v>124</v>
      </c>
      <c r="E3274" t="s">
        <v>53</v>
      </c>
      <c r="F3274" t="s">
        <v>114</v>
      </c>
      <c r="G3274">
        <v>120664</v>
      </c>
      <c r="H3274" s="75">
        <v>45391</v>
      </c>
      <c r="I3274" t="s">
        <v>115</v>
      </c>
      <c r="J3274">
        <v>5000</v>
      </c>
      <c r="K3274">
        <v>88.896000000000001</v>
      </c>
      <c r="L3274">
        <v>56.245800000000003</v>
      </c>
      <c r="M3274">
        <v>7892.3389999999999</v>
      </c>
      <c r="N3274" t="s">
        <v>15</v>
      </c>
    </row>
    <row r="3275" spans="1:15" x14ac:dyDescent="0.2">
      <c r="A3275" t="s">
        <v>23</v>
      </c>
      <c r="B3275" t="s">
        <v>139</v>
      </c>
      <c r="C3275" t="s">
        <v>136</v>
      </c>
      <c r="D3275" t="s">
        <v>124</v>
      </c>
      <c r="E3275" t="s">
        <v>53</v>
      </c>
      <c r="F3275" t="s">
        <v>114</v>
      </c>
      <c r="G3275">
        <v>120664</v>
      </c>
      <c r="H3275" s="75">
        <v>45391</v>
      </c>
      <c r="I3275" t="s">
        <v>116</v>
      </c>
      <c r="J3275">
        <v>2.5</v>
      </c>
      <c r="K3275">
        <v>0</v>
      </c>
      <c r="M3275">
        <v>7892.3389999999999</v>
      </c>
      <c r="N3275" t="s">
        <v>17</v>
      </c>
    </row>
    <row r="3276" spans="1:15" x14ac:dyDescent="0.2">
      <c r="A3276" t="s">
        <v>23</v>
      </c>
      <c r="B3276" t="s">
        <v>139</v>
      </c>
      <c r="C3276" t="s">
        <v>136</v>
      </c>
      <c r="D3276" t="s">
        <v>124</v>
      </c>
      <c r="E3276" t="s">
        <v>53</v>
      </c>
      <c r="F3276" t="s">
        <v>114</v>
      </c>
      <c r="G3276">
        <v>120664</v>
      </c>
      <c r="H3276" s="75">
        <v>45421</v>
      </c>
      <c r="I3276" t="s">
        <v>115</v>
      </c>
      <c r="J3276">
        <v>5000</v>
      </c>
      <c r="K3276">
        <v>89.484999999999999</v>
      </c>
      <c r="L3276">
        <v>55.8752</v>
      </c>
      <c r="M3276">
        <v>7981.8239999999996</v>
      </c>
      <c r="N3276" t="s">
        <v>15</v>
      </c>
    </row>
    <row r="3277" spans="1:15" x14ac:dyDescent="0.2">
      <c r="A3277" t="s">
        <v>23</v>
      </c>
      <c r="B3277" t="s">
        <v>139</v>
      </c>
      <c r="C3277" t="s">
        <v>136</v>
      </c>
      <c r="D3277" t="s">
        <v>124</v>
      </c>
      <c r="E3277" t="s">
        <v>53</v>
      </c>
      <c r="F3277" t="s">
        <v>114</v>
      </c>
      <c r="G3277">
        <v>120664</v>
      </c>
      <c r="H3277" s="75">
        <v>45451</v>
      </c>
      <c r="I3277" t="s">
        <v>115</v>
      </c>
      <c r="J3277">
        <v>5000</v>
      </c>
      <c r="K3277">
        <v>89.16</v>
      </c>
      <c r="L3277">
        <v>56.078699999999998</v>
      </c>
      <c r="M3277">
        <v>8070.9840000000004</v>
      </c>
      <c r="N3277" t="s">
        <v>15</v>
      </c>
    </row>
    <row r="3278" spans="1:15" x14ac:dyDescent="0.2">
      <c r="A3278" t="s">
        <v>23</v>
      </c>
      <c r="B3278" t="s">
        <v>139</v>
      </c>
      <c r="C3278" t="s">
        <v>136</v>
      </c>
      <c r="D3278" t="s">
        <v>124</v>
      </c>
      <c r="E3278" t="s">
        <v>53</v>
      </c>
      <c r="F3278" t="s">
        <v>114</v>
      </c>
      <c r="G3278">
        <v>120664</v>
      </c>
      <c r="H3278" s="75">
        <v>45481</v>
      </c>
      <c r="I3278" t="s">
        <v>115</v>
      </c>
      <c r="J3278">
        <v>5000</v>
      </c>
      <c r="K3278">
        <v>87.692999999999998</v>
      </c>
      <c r="L3278">
        <v>57.017299999999999</v>
      </c>
      <c r="M3278">
        <v>8158.6769999999997</v>
      </c>
      <c r="N3278" t="s">
        <v>15</v>
      </c>
    </row>
    <row r="3279" spans="1:15" x14ac:dyDescent="0.2">
      <c r="A3279" t="s">
        <v>23</v>
      </c>
      <c r="B3279" t="s">
        <v>139</v>
      </c>
      <c r="C3279" t="s">
        <v>136</v>
      </c>
      <c r="D3279" t="s">
        <v>124</v>
      </c>
      <c r="E3279" t="s">
        <v>53</v>
      </c>
      <c r="F3279" t="s">
        <v>114</v>
      </c>
      <c r="G3279">
        <v>120664</v>
      </c>
      <c r="H3279" s="75">
        <v>45511</v>
      </c>
      <c r="I3279" t="s">
        <v>115</v>
      </c>
      <c r="J3279">
        <v>5000</v>
      </c>
      <c r="K3279">
        <v>87.292000000000002</v>
      </c>
      <c r="L3279">
        <v>57.278700000000001</v>
      </c>
      <c r="M3279">
        <v>8245.9689999999991</v>
      </c>
      <c r="N3279" t="s">
        <v>15</v>
      </c>
    </row>
    <row r="3280" spans="1:15" x14ac:dyDescent="0.2">
      <c r="A3280" t="s">
        <v>23</v>
      </c>
      <c r="B3280" t="s">
        <v>139</v>
      </c>
      <c r="C3280" t="s">
        <v>136</v>
      </c>
      <c r="D3280" t="s">
        <v>124</v>
      </c>
      <c r="E3280" t="s">
        <v>53</v>
      </c>
      <c r="F3280" t="s">
        <v>114</v>
      </c>
      <c r="G3280">
        <v>120664</v>
      </c>
      <c r="H3280" s="75">
        <v>45541</v>
      </c>
      <c r="I3280" t="s">
        <v>115</v>
      </c>
      <c r="J3280">
        <v>5000</v>
      </c>
      <c r="K3280">
        <v>87.9</v>
      </c>
      <c r="L3280">
        <v>56.882899999999999</v>
      </c>
      <c r="M3280">
        <v>8333.8690000000006</v>
      </c>
      <c r="N3280" t="s">
        <v>15</v>
      </c>
    </row>
    <row r="3281" spans="1:15" x14ac:dyDescent="0.2">
      <c r="A3281" t="s">
        <v>23</v>
      </c>
      <c r="B3281" t="s">
        <v>139</v>
      </c>
      <c r="C3281" t="s">
        <v>136</v>
      </c>
      <c r="D3281" t="s">
        <v>124</v>
      </c>
      <c r="E3281" t="s">
        <v>53</v>
      </c>
      <c r="F3281" t="s">
        <v>114</v>
      </c>
      <c r="G3281">
        <v>120664</v>
      </c>
      <c r="H3281" s="75">
        <v>45571</v>
      </c>
      <c r="I3281" t="s">
        <v>115</v>
      </c>
      <c r="J3281">
        <v>5000</v>
      </c>
      <c r="K3281">
        <v>88.325999999999993</v>
      </c>
      <c r="L3281">
        <v>56.608199999999997</v>
      </c>
      <c r="M3281">
        <v>8422.1959999999999</v>
      </c>
      <c r="N3281" t="s">
        <v>15</v>
      </c>
    </row>
    <row r="3282" spans="1:15" x14ac:dyDescent="0.2">
      <c r="A3282" t="s">
        <v>23</v>
      </c>
      <c r="B3282" t="s">
        <v>139</v>
      </c>
      <c r="C3282" t="s">
        <v>136</v>
      </c>
      <c r="D3282" t="s">
        <v>124</v>
      </c>
      <c r="E3282" t="s">
        <v>53</v>
      </c>
      <c r="F3282" t="s">
        <v>114</v>
      </c>
      <c r="G3282">
        <v>120664</v>
      </c>
      <c r="H3282" s="75">
        <v>45601</v>
      </c>
      <c r="I3282" t="s">
        <v>115</v>
      </c>
      <c r="J3282">
        <v>5000</v>
      </c>
      <c r="K3282">
        <v>88.075999999999993</v>
      </c>
      <c r="L3282">
        <v>56.769100000000002</v>
      </c>
      <c r="M3282">
        <v>8510.2720000000008</v>
      </c>
      <c r="N3282" t="s">
        <v>15</v>
      </c>
    </row>
    <row r="3283" spans="1:15" x14ac:dyDescent="0.2">
      <c r="A3283" t="s">
        <v>23</v>
      </c>
      <c r="B3283" t="s">
        <v>139</v>
      </c>
      <c r="C3283" t="s">
        <v>136</v>
      </c>
      <c r="D3283" t="s">
        <v>124</v>
      </c>
      <c r="E3283" t="s">
        <v>53</v>
      </c>
      <c r="F3283" t="s">
        <v>114</v>
      </c>
      <c r="G3283">
        <v>120664</v>
      </c>
      <c r="H3283" s="75">
        <v>45631</v>
      </c>
      <c r="I3283" t="s">
        <v>115</v>
      </c>
      <c r="J3283">
        <v>5000</v>
      </c>
      <c r="K3283">
        <v>88.534999999999997</v>
      </c>
      <c r="L3283">
        <v>56.475099999999998</v>
      </c>
      <c r="M3283">
        <v>8598.8060000000005</v>
      </c>
      <c r="N3283" t="s">
        <v>15</v>
      </c>
    </row>
    <row r="3284" spans="1:15" x14ac:dyDescent="0.2">
      <c r="A3284" t="s">
        <v>23</v>
      </c>
      <c r="B3284" t="s">
        <v>139</v>
      </c>
      <c r="C3284" t="s">
        <v>136</v>
      </c>
      <c r="D3284" t="s">
        <v>124</v>
      </c>
      <c r="E3284" t="s">
        <v>53</v>
      </c>
      <c r="F3284" t="s">
        <v>114</v>
      </c>
      <c r="G3284">
        <v>120664</v>
      </c>
      <c r="H3284" s="75">
        <v>45661</v>
      </c>
      <c r="I3284" t="s">
        <v>115</v>
      </c>
      <c r="J3284">
        <v>5000</v>
      </c>
      <c r="K3284">
        <v>87.216999999999999</v>
      </c>
      <c r="L3284">
        <v>57.328499999999998</v>
      </c>
      <c r="M3284">
        <v>8686.0229999999992</v>
      </c>
      <c r="N3284" t="s">
        <v>15</v>
      </c>
    </row>
    <row r="3285" spans="1:15" x14ac:dyDescent="0.2">
      <c r="A3285" t="s">
        <v>23</v>
      </c>
      <c r="B3285" t="s">
        <v>139</v>
      </c>
      <c r="C3285" t="s">
        <v>136</v>
      </c>
      <c r="D3285" t="s">
        <v>124</v>
      </c>
      <c r="E3285" t="s">
        <v>53</v>
      </c>
      <c r="F3285" t="s">
        <v>114</v>
      </c>
      <c r="G3285">
        <v>120664</v>
      </c>
      <c r="H3285" s="75">
        <v>45691</v>
      </c>
      <c r="I3285" t="s">
        <v>115</v>
      </c>
      <c r="J3285">
        <v>5000</v>
      </c>
      <c r="K3285">
        <v>86.28</v>
      </c>
      <c r="L3285">
        <v>57.950699999999998</v>
      </c>
      <c r="M3285">
        <v>8772.3029999999999</v>
      </c>
      <c r="N3285" t="s">
        <v>15</v>
      </c>
    </row>
    <row r="3286" spans="1:15" x14ac:dyDescent="0.2">
      <c r="A3286" t="s">
        <v>23</v>
      </c>
      <c r="B3286" t="s">
        <v>139</v>
      </c>
      <c r="C3286" t="s">
        <v>136</v>
      </c>
      <c r="D3286" t="s">
        <v>124</v>
      </c>
      <c r="E3286" t="s">
        <v>53</v>
      </c>
      <c r="F3286" t="s">
        <v>114</v>
      </c>
      <c r="G3286">
        <v>120664</v>
      </c>
      <c r="H3286" s="75">
        <v>45721</v>
      </c>
      <c r="I3286" t="s">
        <v>115</v>
      </c>
      <c r="J3286">
        <v>5000</v>
      </c>
      <c r="K3286">
        <v>84.704999999999998</v>
      </c>
      <c r="L3286">
        <v>59.028500000000001</v>
      </c>
      <c r="M3286">
        <v>8857.0079999999998</v>
      </c>
      <c r="N3286" t="s">
        <v>15</v>
      </c>
    </row>
    <row r="3287" spans="1:15" x14ac:dyDescent="0.2">
      <c r="A3287" t="s">
        <v>23</v>
      </c>
      <c r="B3287" t="s">
        <v>139</v>
      </c>
      <c r="C3287" t="s">
        <v>136</v>
      </c>
      <c r="D3287" t="s">
        <v>124</v>
      </c>
      <c r="E3287" t="s">
        <v>53</v>
      </c>
      <c r="F3287" t="s">
        <v>114</v>
      </c>
      <c r="G3287">
        <v>120664</v>
      </c>
      <c r="H3287" s="75">
        <v>45751</v>
      </c>
      <c r="I3287" t="s">
        <v>115</v>
      </c>
      <c r="J3287">
        <v>5000</v>
      </c>
      <c r="K3287">
        <v>86.414000000000001</v>
      </c>
      <c r="L3287">
        <v>57.8611</v>
      </c>
      <c r="M3287">
        <v>8943.4220000000005</v>
      </c>
      <c r="N3287" t="s">
        <v>15</v>
      </c>
    </row>
    <row r="3288" spans="1:15" x14ac:dyDescent="0.2">
      <c r="A3288" t="s">
        <v>23</v>
      </c>
      <c r="B3288" t="s">
        <v>139</v>
      </c>
      <c r="C3288" t="s">
        <v>136</v>
      </c>
      <c r="D3288" t="s">
        <v>124</v>
      </c>
      <c r="E3288" t="s">
        <v>53</v>
      </c>
      <c r="F3288" t="s">
        <v>114</v>
      </c>
      <c r="G3288">
        <v>120664</v>
      </c>
      <c r="H3288" s="75">
        <v>45751</v>
      </c>
      <c r="I3288" t="s">
        <v>117</v>
      </c>
      <c r="J3288">
        <v>2.5</v>
      </c>
      <c r="K3288">
        <v>0</v>
      </c>
      <c r="M3288">
        <v>8943.4220000000005</v>
      </c>
      <c r="N3288" t="s">
        <v>46</v>
      </c>
    </row>
    <row r="3289" spans="1:15" x14ac:dyDescent="0.2">
      <c r="A3289" t="s">
        <v>23</v>
      </c>
      <c r="B3289" t="s">
        <v>139</v>
      </c>
      <c r="C3289" t="s">
        <v>136</v>
      </c>
      <c r="D3289" t="s">
        <v>124</v>
      </c>
      <c r="E3289" t="s">
        <v>53</v>
      </c>
      <c r="F3289" t="s">
        <v>114</v>
      </c>
      <c r="G3289">
        <v>120664</v>
      </c>
      <c r="H3289" s="75">
        <v>45781</v>
      </c>
      <c r="I3289" t="s">
        <v>115</v>
      </c>
      <c r="J3289">
        <v>5000</v>
      </c>
      <c r="K3289">
        <v>85.400999999999996</v>
      </c>
      <c r="L3289">
        <v>58.547400000000003</v>
      </c>
      <c r="M3289">
        <v>9028.8230000000003</v>
      </c>
      <c r="N3289" t="s">
        <v>15</v>
      </c>
    </row>
    <row r="3290" spans="1:15" x14ac:dyDescent="0.2">
      <c r="A3290" t="s">
        <v>23</v>
      </c>
      <c r="B3290" t="s">
        <v>139</v>
      </c>
      <c r="C3290" t="s">
        <v>136</v>
      </c>
      <c r="D3290" t="s">
        <v>124</v>
      </c>
      <c r="E3290" t="s">
        <v>53</v>
      </c>
      <c r="F3290" t="s">
        <v>114</v>
      </c>
      <c r="G3290">
        <v>120664</v>
      </c>
      <c r="H3290" s="75">
        <v>45811</v>
      </c>
      <c r="I3290" t="s">
        <v>115</v>
      </c>
      <c r="J3290">
        <v>5000</v>
      </c>
      <c r="K3290">
        <v>85.903999999999996</v>
      </c>
      <c r="L3290">
        <v>58.204700000000003</v>
      </c>
      <c r="M3290">
        <v>9114.7260000000006</v>
      </c>
      <c r="N3290" t="s">
        <v>15</v>
      </c>
    </row>
    <row r="3291" spans="1:15" x14ac:dyDescent="0.2">
      <c r="A3291" t="s">
        <v>23</v>
      </c>
      <c r="B3291" t="s">
        <v>139</v>
      </c>
      <c r="C3291" t="s">
        <v>136</v>
      </c>
      <c r="D3291" t="s">
        <v>124</v>
      </c>
      <c r="E3291" t="s">
        <v>53</v>
      </c>
      <c r="F3291" t="s">
        <v>114</v>
      </c>
      <c r="G3291">
        <v>120664</v>
      </c>
      <c r="H3291" s="75">
        <v>45841</v>
      </c>
      <c r="I3291" t="s">
        <v>115</v>
      </c>
      <c r="J3291">
        <v>5000</v>
      </c>
      <c r="K3291">
        <v>86.872</v>
      </c>
      <c r="L3291">
        <v>57.555700000000002</v>
      </c>
      <c r="M3291">
        <v>9201.5990000000002</v>
      </c>
      <c r="N3291" t="s">
        <v>15</v>
      </c>
    </row>
    <row r="3292" spans="1:15" x14ac:dyDescent="0.2">
      <c r="A3292" t="s">
        <v>23</v>
      </c>
      <c r="B3292" t="s">
        <v>139</v>
      </c>
      <c r="C3292" t="s">
        <v>136</v>
      </c>
      <c r="D3292" t="s">
        <v>124</v>
      </c>
      <c r="E3292" t="s">
        <v>53</v>
      </c>
      <c r="F3292" t="s">
        <v>114</v>
      </c>
      <c r="G3292">
        <v>120664</v>
      </c>
      <c r="H3292" s="75">
        <v>45871</v>
      </c>
      <c r="I3292" t="s">
        <v>115</v>
      </c>
      <c r="J3292">
        <v>5000</v>
      </c>
      <c r="K3292">
        <v>85.5</v>
      </c>
      <c r="L3292">
        <v>58.479500000000002</v>
      </c>
      <c r="M3292">
        <v>9287.0990000000002</v>
      </c>
      <c r="N3292" t="s">
        <v>15</v>
      </c>
    </row>
    <row r="3293" spans="1:15" x14ac:dyDescent="0.2">
      <c r="A3293" t="s">
        <v>23</v>
      </c>
      <c r="B3293" t="s">
        <v>139</v>
      </c>
      <c r="C3293" t="s">
        <v>136</v>
      </c>
      <c r="D3293" t="s">
        <v>124</v>
      </c>
      <c r="E3293" t="s">
        <v>53</v>
      </c>
      <c r="F3293" t="s">
        <v>114</v>
      </c>
      <c r="G3293">
        <v>120664</v>
      </c>
      <c r="H3293" s="75">
        <v>45871</v>
      </c>
      <c r="I3293" t="s">
        <v>118</v>
      </c>
      <c r="J3293">
        <v>4643.55</v>
      </c>
      <c r="K3293">
        <v>0</v>
      </c>
      <c r="M3293">
        <v>9287.0990000000002</v>
      </c>
      <c r="N3293" t="s">
        <v>19</v>
      </c>
      <c r="O3293">
        <v>4643.55</v>
      </c>
    </row>
    <row r="3294" spans="1:15" x14ac:dyDescent="0.2">
      <c r="A3294" t="s">
        <v>23</v>
      </c>
      <c r="B3294" t="s">
        <v>139</v>
      </c>
      <c r="C3294" t="s">
        <v>136</v>
      </c>
      <c r="D3294" t="s">
        <v>124</v>
      </c>
      <c r="E3294" t="s">
        <v>53</v>
      </c>
      <c r="F3294" t="s">
        <v>114</v>
      </c>
      <c r="G3294">
        <v>120664</v>
      </c>
      <c r="H3294" s="75">
        <v>45901</v>
      </c>
      <c r="I3294" t="s">
        <v>115</v>
      </c>
      <c r="J3294">
        <v>5000</v>
      </c>
      <c r="K3294">
        <v>85.393000000000001</v>
      </c>
      <c r="L3294">
        <v>58.552700000000002</v>
      </c>
      <c r="M3294">
        <v>9372.4920000000002</v>
      </c>
      <c r="N3294" t="s">
        <v>15</v>
      </c>
    </row>
    <row r="3295" spans="1:15" x14ac:dyDescent="0.2">
      <c r="A3295" t="s">
        <v>23</v>
      </c>
      <c r="B3295" t="s">
        <v>139</v>
      </c>
      <c r="C3295" t="s">
        <v>136</v>
      </c>
      <c r="D3295" t="s">
        <v>124</v>
      </c>
      <c r="E3295" t="s">
        <v>53</v>
      </c>
      <c r="F3295" t="s">
        <v>114</v>
      </c>
      <c r="G3295">
        <v>120664</v>
      </c>
      <c r="H3295" s="75">
        <v>45931</v>
      </c>
      <c r="I3295" t="s">
        <v>115</v>
      </c>
      <c r="J3295">
        <v>5000</v>
      </c>
      <c r="K3295">
        <v>86.933000000000007</v>
      </c>
      <c r="L3295">
        <v>57.515700000000002</v>
      </c>
      <c r="M3295">
        <v>9459.4249999999993</v>
      </c>
      <c r="N3295" t="s">
        <v>15</v>
      </c>
    </row>
    <row r="3296" spans="1:15" x14ac:dyDescent="0.2">
      <c r="A3296" t="s">
        <v>23</v>
      </c>
      <c r="B3296" t="s">
        <v>139</v>
      </c>
      <c r="C3296" t="s">
        <v>136</v>
      </c>
      <c r="D3296" t="s">
        <v>124</v>
      </c>
      <c r="E3296" t="s">
        <v>53</v>
      </c>
      <c r="F3296" t="s">
        <v>114</v>
      </c>
      <c r="G3296">
        <v>120664</v>
      </c>
      <c r="H3296" s="75">
        <v>45961</v>
      </c>
      <c r="I3296" t="s">
        <v>115</v>
      </c>
      <c r="J3296">
        <v>5000</v>
      </c>
      <c r="K3296">
        <v>85.216999999999999</v>
      </c>
      <c r="L3296">
        <v>58.674100000000003</v>
      </c>
      <c r="M3296">
        <v>9544.6409999999996</v>
      </c>
      <c r="N3296" t="s">
        <v>15</v>
      </c>
    </row>
    <row r="3297" spans="1:14" x14ac:dyDescent="0.2">
      <c r="A3297" t="s">
        <v>23</v>
      </c>
      <c r="B3297" t="s">
        <v>139</v>
      </c>
      <c r="C3297" t="s">
        <v>136</v>
      </c>
      <c r="D3297" t="s">
        <v>124</v>
      </c>
      <c r="E3297" t="s">
        <v>53</v>
      </c>
      <c r="F3297" t="s">
        <v>114</v>
      </c>
      <c r="G3297">
        <v>120664</v>
      </c>
      <c r="H3297" s="75">
        <v>45991</v>
      </c>
      <c r="I3297" t="s">
        <v>115</v>
      </c>
      <c r="J3297">
        <v>5000</v>
      </c>
      <c r="K3297">
        <v>86.539000000000001</v>
      </c>
      <c r="L3297">
        <v>57.7776</v>
      </c>
      <c r="M3297">
        <v>9631.18</v>
      </c>
      <c r="N3297" t="s">
        <v>15</v>
      </c>
    </row>
    <row r="3298" spans="1:14" x14ac:dyDescent="0.2">
      <c r="A3298" t="s">
        <v>23</v>
      </c>
      <c r="B3298" t="s">
        <v>139</v>
      </c>
      <c r="C3298" t="s">
        <v>136</v>
      </c>
      <c r="D3298" t="s">
        <v>124</v>
      </c>
      <c r="E3298" t="s">
        <v>53</v>
      </c>
      <c r="F3298" t="s">
        <v>114</v>
      </c>
      <c r="G3298">
        <v>120664</v>
      </c>
      <c r="H3298" s="75">
        <v>46021</v>
      </c>
      <c r="I3298" t="s">
        <v>115</v>
      </c>
      <c r="J3298">
        <v>5000</v>
      </c>
      <c r="K3298">
        <v>85.903000000000006</v>
      </c>
      <c r="L3298">
        <v>58.205199999999998</v>
      </c>
      <c r="M3298">
        <v>9717.0830000000005</v>
      </c>
      <c r="N3298" t="s">
        <v>15</v>
      </c>
    </row>
    <row r="3299" spans="1:14" x14ac:dyDescent="0.2">
      <c r="A3299" t="s">
        <v>23</v>
      </c>
      <c r="B3299" t="s">
        <v>139</v>
      </c>
      <c r="C3299" t="s">
        <v>136</v>
      </c>
      <c r="D3299" t="s">
        <v>124</v>
      </c>
      <c r="E3299" t="s">
        <v>53</v>
      </c>
      <c r="F3299" t="s">
        <v>114</v>
      </c>
      <c r="G3299">
        <v>120664</v>
      </c>
      <c r="H3299" s="75">
        <v>46051</v>
      </c>
      <c r="I3299" t="s">
        <v>115</v>
      </c>
      <c r="J3299">
        <v>5000</v>
      </c>
      <c r="K3299">
        <v>87.619</v>
      </c>
      <c r="L3299">
        <v>57.065199999999997</v>
      </c>
      <c r="M3299">
        <v>9804.7019999999993</v>
      </c>
      <c r="N3299" t="s">
        <v>15</v>
      </c>
    </row>
    <row r="3300" spans="1:14" x14ac:dyDescent="0.2">
      <c r="A3300" t="s">
        <v>23</v>
      </c>
      <c r="B3300" t="s">
        <v>139</v>
      </c>
      <c r="C3300" t="s">
        <v>136</v>
      </c>
      <c r="D3300" t="s">
        <v>124</v>
      </c>
      <c r="E3300" t="s">
        <v>53</v>
      </c>
      <c r="F3300" t="s">
        <v>114</v>
      </c>
      <c r="G3300">
        <v>120664</v>
      </c>
      <c r="H3300" s="75">
        <v>46081</v>
      </c>
      <c r="I3300" t="s">
        <v>115</v>
      </c>
      <c r="J3300">
        <v>5000</v>
      </c>
      <c r="K3300">
        <v>87.019000000000005</v>
      </c>
      <c r="L3300">
        <v>57.4587</v>
      </c>
      <c r="M3300">
        <v>9891.7209999999995</v>
      </c>
      <c r="N3300" t="s">
        <v>15</v>
      </c>
    </row>
    <row r="3301" spans="1:14" x14ac:dyDescent="0.2">
      <c r="A3301" t="s">
        <v>23</v>
      </c>
      <c r="B3301" t="s">
        <v>139</v>
      </c>
      <c r="C3301" t="s">
        <v>136</v>
      </c>
      <c r="D3301" t="s">
        <v>124</v>
      </c>
      <c r="E3301" t="s">
        <v>53</v>
      </c>
      <c r="F3301" t="s">
        <v>114</v>
      </c>
      <c r="G3301">
        <v>120664</v>
      </c>
      <c r="H3301" s="75">
        <v>46111</v>
      </c>
      <c r="I3301" t="s">
        <v>115</v>
      </c>
      <c r="J3301">
        <v>5000</v>
      </c>
      <c r="K3301">
        <v>88.697999999999993</v>
      </c>
      <c r="L3301">
        <v>56.371000000000002</v>
      </c>
      <c r="M3301">
        <v>9980.4189999999999</v>
      </c>
      <c r="N3301" t="s">
        <v>15</v>
      </c>
    </row>
    <row r="3302" spans="1:14" x14ac:dyDescent="0.2">
      <c r="A3302" t="s">
        <v>23</v>
      </c>
      <c r="B3302" t="s">
        <v>139</v>
      </c>
      <c r="C3302" t="s">
        <v>136</v>
      </c>
      <c r="D3302" t="s">
        <v>124</v>
      </c>
      <c r="E3302" t="s">
        <v>53</v>
      </c>
      <c r="F3302" t="s">
        <v>114</v>
      </c>
      <c r="G3302">
        <v>120664</v>
      </c>
      <c r="H3302" s="75">
        <v>46141</v>
      </c>
      <c r="I3302" t="s">
        <v>115</v>
      </c>
      <c r="J3302">
        <v>5000</v>
      </c>
      <c r="K3302">
        <v>87.06</v>
      </c>
      <c r="L3302">
        <v>57.431699999999999</v>
      </c>
      <c r="M3302">
        <v>10067.478999999999</v>
      </c>
      <c r="N3302" t="s">
        <v>15</v>
      </c>
    </row>
    <row r="3303" spans="1:14" x14ac:dyDescent="0.2">
      <c r="A3303" t="s">
        <v>23</v>
      </c>
      <c r="B3303" t="s">
        <v>139</v>
      </c>
      <c r="C3303" t="s">
        <v>136</v>
      </c>
      <c r="D3303" t="s">
        <v>124</v>
      </c>
      <c r="E3303" t="s">
        <v>53</v>
      </c>
      <c r="F3303" t="s">
        <v>114</v>
      </c>
      <c r="G3303">
        <v>120664</v>
      </c>
      <c r="H3303" s="75">
        <v>46171</v>
      </c>
      <c r="I3303" t="s">
        <v>115</v>
      </c>
      <c r="J3303">
        <v>5000</v>
      </c>
      <c r="K3303">
        <v>88.432000000000002</v>
      </c>
      <c r="L3303">
        <v>56.540599999999998</v>
      </c>
      <c r="M3303">
        <v>10155.911</v>
      </c>
      <c r="N3303" t="s">
        <v>15</v>
      </c>
    </row>
    <row r="3304" spans="1:14" x14ac:dyDescent="0.2">
      <c r="A3304" t="s">
        <v>23</v>
      </c>
      <c r="B3304" t="s">
        <v>139</v>
      </c>
      <c r="C3304" t="s">
        <v>136</v>
      </c>
      <c r="D3304" t="s">
        <v>124</v>
      </c>
      <c r="E3304" t="s">
        <v>53</v>
      </c>
      <c r="F3304" t="s">
        <v>114</v>
      </c>
      <c r="G3304">
        <v>120664</v>
      </c>
      <c r="H3304" s="75">
        <v>46201</v>
      </c>
      <c r="I3304" t="s">
        <v>115</v>
      </c>
      <c r="J3304">
        <v>5000</v>
      </c>
      <c r="K3304">
        <v>87.483000000000004</v>
      </c>
      <c r="L3304">
        <v>57.1541</v>
      </c>
      <c r="M3304">
        <v>10243.394</v>
      </c>
      <c r="N3304" t="s">
        <v>15</v>
      </c>
    </row>
    <row r="3305" spans="1:14" x14ac:dyDescent="0.2">
      <c r="A3305" t="s">
        <v>125</v>
      </c>
      <c r="B3305" t="s">
        <v>140</v>
      </c>
      <c r="C3305" t="s">
        <v>136</v>
      </c>
      <c r="D3305" t="s">
        <v>127</v>
      </c>
      <c r="E3305" t="s">
        <v>53</v>
      </c>
      <c r="F3305" t="s">
        <v>114</v>
      </c>
      <c r="G3305">
        <v>112323</v>
      </c>
      <c r="H3305" s="75">
        <v>40536</v>
      </c>
      <c r="I3305" t="s">
        <v>115</v>
      </c>
      <c r="J3305">
        <v>5000</v>
      </c>
      <c r="K3305">
        <v>252.464</v>
      </c>
      <c r="L3305">
        <v>19.8048</v>
      </c>
      <c r="M3305">
        <v>252.464</v>
      </c>
      <c r="N3305" t="s">
        <v>15</v>
      </c>
    </row>
    <row r="3306" spans="1:14" x14ac:dyDescent="0.2">
      <c r="A3306" t="s">
        <v>125</v>
      </c>
      <c r="B3306" t="s">
        <v>140</v>
      </c>
      <c r="C3306" t="s">
        <v>136</v>
      </c>
      <c r="D3306" t="s">
        <v>127</v>
      </c>
      <c r="E3306" t="s">
        <v>53</v>
      </c>
      <c r="F3306" t="s">
        <v>114</v>
      </c>
      <c r="G3306">
        <v>112323</v>
      </c>
      <c r="H3306" s="75">
        <v>40566</v>
      </c>
      <c r="I3306" t="s">
        <v>115</v>
      </c>
      <c r="J3306">
        <v>5000</v>
      </c>
      <c r="K3306">
        <v>256.11900000000003</v>
      </c>
      <c r="L3306">
        <v>19.522200000000002</v>
      </c>
      <c r="M3306">
        <v>508.58300000000003</v>
      </c>
      <c r="N3306" t="s">
        <v>15</v>
      </c>
    </row>
    <row r="3307" spans="1:14" x14ac:dyDescent="0.2">
      <c r="A3307" t="s">
        <v>125</v>
      </c>
      <c r="B3307" t="s">
        <v>140</v>
      </c>
      <c r="C3307" t="s">
        <v>136</v>
      </c>
      <c r="D3307" t="s">
        <v>127</v>
      </c>
      <c r="E3307" t="s">
        <v>53</v>
      </c>
      <c r="F3307" t="s">
        <v>114</v>
      </c>
      <c r="G3307">
        <v>112323</v>
      </c>
      <c r="H3307" s="75">
        <v>40596</v>
      </c>
      <c r="I3307" t="s">
        <v>115</v>
      </c>
      <c r="J3307">
        <v>5000</v>
      </c>
      <c r="K3307">
        <v>256.64499999999998</v>
      </c>
      <c r="L3307">
        <v>19.482099999999999</v>
      </c>
      <c r="M3307">
        <v>765.22900000000004</v>
      </c>
      <c r="N3307" t="s">
        <v>15</v>
      </c>
    </row>
    <row r="3308" spans="1:14" x14ac:dyDescent="0.2">
      <c r="A3308" t="s">
        <v>125</v>
      </c>
      <c r="B3308" t="s">
        <v>140</v>
      </c>
      <c r="C3308" t="s">
        <v>136</v>
      </c>
      <c r="D3308" t="s">
        <v>127</v>
      </c>
      <c r="E3308" t="s">
        <v>53</v>
      </c>
      <c r="F3308" t="s">
        <v>114</v>
      </c>
      <c r="G3308">
        <v>112323</v>
      </c>
      <c r="H3308" s="75">
        <v>40626</v>
      </c>
      <c r="I3308" t="s">
        <v>115</v>
      </c>
      <c r="J3308">
        <v>5000</v>
      </c>
      <c r="K3308">
        <v>256.64100000000002</v>
      </c>
      <c r="L3308">
        <v>19.482500000000002</v>
      </c>
      <c r="M3308">
        <v>1021.87</v>
      </c>
      <c r="N3308" t="s">
        <v>15</v>
      </c>
    </row>
    <row r="3309" spans="1:14" x14ac:dyDescent="0.2">
      <c r="A3309" t="s">
        <v>125</v>
      </c>
      <c r="B3309" t="s">
        <v>140</v>
      </c>
      <c r="C3309" t="s">
        <v>136</v>
      </c>
      <c r="D3309" t="s">
        <v>127</v>
      </c>
      <c r="E3309" t="s">
        <v>53</v>
      </c>
      <c r="F3309" t="s">
        <v>114</v>
      </c>
      <c r="G3309">
        <v>112323</v>
      </c>
      <c r="H3309" s="75">
        <v>40656</v>
      </c>
      <c r="I3309" t="s">
        <v>115</v>
      </c>
      <c r="J3309">
        <v>5000</v>
      </c>
      <c r="K3309">
        <v>260.03399999999999</v>
      </c>
      <c r="L3309">
        <v>19.228300000000001</v>
      </c>
      <c r="M3309">
        <v>1281.904</v>
      </c>
      <c r="N3309" t="s">
        <v>15</v>
      </c>
    </row>
    <row r="3310" spans="1:14" x14ac:dyDescent="0.2">
      <c r="A3310" t="s">
        <v>125</v>
      </c>
      <c r="B3310" t="s">
        <v>140</v>
      </c>
      <c r="C3310" t="s">
        <v>136</v>
      </c>
      <c r="D3310" t="s">
        <v>127</v>
      </c>
      <c r="E3310" t="s">
        <v>53</v>
      </c>
      <c r="F3310" t="s">
        <v>114</v>
      </c>
      <c r="G3310">
        <v>112323</v>
      </c>
      <c r="H3310" s="75">
        <v>40656</v>
      </c>
      <c r="I3310" t="s">
        <v>116</v>
      </c>
      <c r="J3310">
        <v>2.5</v>
      </c>
      <c r="K3310">
        <v>0</v>
      </c>
      <c r="M3310">
        <v>1281.904</v>
      </c>
      <c r="N3310" t="s">
        <v>17</v>
      </c>
    </row>
    <row r="3311" spans="1:14" x14ac:dyDescent="0.2">
      <c r="A3311" t="s">
        <v>125</v>
      </c>
      <c r="B3311" t="s">
        <v>140</v>
      </c>
      <c r="C3311" t="s">
        <v>136</v>
      </c>
      <c r="D3311" t="s">
        <v>127</v>
      </c>
      <c r="E3311" t="s">
        <v>53</v>
      </c>
      <c r="F3311" t="s">
        <v>114</v>
      </c>
      <c r="G3311">
        <v>112323</v>
      </c>
      <c r="H3311" s="75">
        <v>40686</v>
      </c>
      <c r="I3311" t="s">
        <v>115</v>
      </c>
      <c r="J3311">
        <v>5000</v>
      </c>
      <c r="K3311">
        <v>260.01</v>
      </c>
      <c r="L3311">
        <v>19.23</v>
      </c>
      <c r="M3311">
        <v>1541.914</v>
      </c>
      <c r="N3311" t="s">
        <v>15</v>
      </c>
    </row>
    <row r="3312" spans="1:14" x14ac:dyDescent="0.2">
      <c r="A3312" t="s">
        <v>125</v>
      </c>
      <c r="B3312" t="s">
        <v>140</v>
      </c>
      <c r="C3312" t="s">
        <v>136</v>
      </c>
      <c r="D3312" t="s">
        <v>127</v>
      </c>
      <c r="E3312" t="s">
        <v>53</v>
      </c>
      <c r="F3312" t="s">
        <v>114</v>
      </c>
      <c r="G3312">
        <v>112323</v>
      </c>
      <c r="H3312" s="75">
        <v>40686</v>
      </c>
      <c r="I3312" t="s">
        <v>117</v>
      </c>
      <c r="J3312">
        <v>2.5</v>
      </c>
      <c r="K3312">
        <v>0</v>
      </c>
      <c r="M3312">
        <v>1541.914</v>
      </c>
      <c r="N3312" t="s">
        <v>46</v>
      </c>
    </row>
    <row r="3313" spans="1:15" x14ac:dyDescent="0.2">
      <c r="A3313" t="s">
        <v>125</v>
      </c>
      <c r="B3313" t="s">
        <v>140</v>
      </c>
      <c r="C3313" t="s">
        <v>136</v>
      </c>
      <c r="D3313" t="s">
        <v>127</v>
      </c>
      <c r="E3313" t="s">
        <v>53</v>
      </c>
      <c r="F3313" t="s">
        <v>114</v>
      </c>
      <c r="G3313">
        <v>112323</v>
      </c>
      <c r="H3313" s="75">
        <v>40716</v>
      </c>
      <c r="I3313" t="s">
        <v>115</v>
      </c>
      <c r="J3313">
        <v>5000</v>
      </c>
      <c r="K3313">
        <v>258.11700000000002</v>
      </c>
      <c r="L3313">
        <v>19.371099999999998</v>
      </c>
      <c r="M3313">
        <v>1800.0309999999999</v>
      </c>
      <c r="N3313" t="s">
        <v>15</v>
      </c>
    </row>
    <row r="3314" spans="1:15" x14ac:dyDescent="0.2">
      <c r="A3314" t="s">
        <v>125</v>
      </c>
      <c r="B3314" t="s">
        <v>140</v>
      </c>
      <c r="C3314" t="s">
        <v>136</v>
      </c>
      <c r="D3314" t="s">
        <v>127</v>
      </c>
      <c r="E3314" t="s">
        <v>53</v>
      </c>
      <c r="F3314" t="s">
        <v>114</v>
      </c>
      <c r="G3314">
        <v>112323</v>
      </c>
      <c r="H3314" s="75">
        <v>40746</v>
      </c>
      <c r="I3314" t="s">
        <v>115</v>
      </c>
      <c r="J3314">
        <v>5000</v>
      </c>
      <c r="K3314">
        <v>251.816</v>
      </c>
      <c r="L3314">
        <v>19.855799999999999</v>
      </c>
      <c r="M3314">
        <v>2051.8470000000002</v>
      </c>
      <c r="N3314" t="s">
        <v>15</v>
      </c>
    </row>
    <row r="3315" spans="1:15" x14ac:dyDescent="0.2">
      <c r="A3315" t="s">
        <v>125</v>
      </c>
      <c r="B3315" t="s">
        <v>140</v>
      </c>
      <c r="C3315" t="s">
        <v>136</v>
      </c>
      <c r="D3315" t="s">
        <v>127</v>
      </c>
      <c r="E3315" t="s">
        <v>53</v>
      </c>
      <c r="F3315" t="s">
        <v>114</v>
      </c>
      <c r="G3315">
        <v>112323</v>
      </c>
      <c r="H3315" s="75">
        <v>40746</v>
      </c>
      <c r="I3315" t="s">
        <v>116</v>
      </c>
      <c r="J3315">
        <v>2.5</v>
      </c>
      <c r="K3315">
        <v>0</v>
      </c>
      <c r="M3315">
        <v>2051.8470000000002</v>
      </c>
      <c r="N3315" t="s">
        <v>17</v>
      </c>
    </row>
    <row r="3316" spans="1:15" x14ac:dyDescent="0.2">
      <c r="A3316" t="s">
        <v>125</v>
      </c>
      <c r="B3316" t="s">
        <v>140</v>
      </c>
      <c r="C3316" t="s">
        <v>136</v>
      </c>
      <c r="D3316" t="s">
        <v>127</v>
      </c>
      <c r="E3316" t="s">
        <v>53</v>
      </c>
      <c r="F3316" t="s">
        <v>114</v>
      </c>
      <c r="G3316">
        <v>112323</v>
      </c>
      <c r="H3316" s="75">
        <v>40776</v>
      </c>
      <c r="I3316" t="s">
        <v>115</v>
      </c>
      <c r="J3316">
        <v>5000</v>
      </c>
      <c r="K3316">
        <v>254.108</v>
      </c>
      <c r="L3316">
        <v>19.676600000000001</v>
      </c>
      <c r="M3316">
        <v>2305.9549999999999</v>
      </c>
      <c r="N3316" t="s">
        <v>15</v>
      </c>
    </row>
    <row r="3317" spans="1:15" x14ac:dyDescent="0.2">
      <c r="A3317" t="s">
        <v>125</v>
      </c>
      <c r="B3317" t="s">
        <v>140</v>
      </c>
      <c r="C3317" t="s">
        <v>136</v>
      </c>
      <c r="D3317" t="s">
        <v>127</v>
      </c>
      <c r="E3317" t="s">
        <v>53</v>
      </c>
      <c r="F3317" t="s">
        <v>114</v>
      </c>
      <c r="G3317">
        <v>112323</v>
      </c>
      <c r="H3317" s="75">
        <v>40806</v>
      </c>
      <c r="I3317" t="s">
        <v>115</v>
      </c>
      <c r="J3317">
        <v>5000</v>
      </c>
      <c r="K3317">
        <v>253.583</v>
      </c>
      <c r="L3317">
        <v>19.717400000000001</v>
      </c>
      <c r="M3317">
        <v>2559.538</v>
      </c>
      <c r="N3317" t="s">
        <v>15</v>
      </c>
    </row>
    <row r="3318" spans="1:15" x14ac:dyDescent="0.2">
      <c r="A3318" t="s">
        <v>125</v>
      </c>
      <c r="B3318" t="s">
        <v>140</v>
      </c>
      <c r="C3318" t="s">
        <v>136</v>
      </c>
      <c r="D3318" t="s">
        <v>127</v>
      </c>
      <c r="E3318" t="s">
        <v>53</v>
      </c>
      <c r="F3318" t="s">
        <v>114</v>
      </c>
      <c r="G3318">
        <v>112323</v>
      </c>
      <c r="H3318" s="75">
        <v>40806</v>
      </c>
      <c r="I3318" t="s">
        <v>118</v>
      </c>
      <c r="J3318">
        <v>1279.77</v>
      </c>
      <c r="K3318">
        <v>0</v>
      </c>
      <c r="M3318">
        <v>2559.538</v>
      </c>
      <c r="N3318" t="s">
        <v>19</v>
      </c>
      <c r="O3318">
        <v>1279.77</v>
      </c>
    </row>
    <row r="3319" spans="1:15" x14ac:dyDescent="0.2">
      <c r="A3319" t="s">
        <v>125</v>
      </c>
      <c r="B3319" t="s">
        <v>140</v>
      </c>
      <c r="C3319" t="s">
        <v>136</v>
      </c>
      <c r="D3319" t="s">
        <v>127</v>
      </c>
      <c r="E3319" t="s">
        <v>53</v>
      </c>
      <c r="F3319" t="s">
        <v>114</v>
      </c>
      <c r="G3319">
        <v>112323</v>
      </c>
      <c r="H3319" s="75">
        <v>40836</v>
      </c>
      <c r="I3319" t="s">
        <v>115</v>
      </c>
      <c r="J3319">
        <v>5000</v>
      </c>
      <c r="K3319">
        <v>253.28299999999999</v>
      </c>
      <c r="L3319">
        <v>19.7408</v>
      </c>
      <c r="M3319">
        <v>2812.8209999999999</v>
      </c>
      <c r="N3319" t="s">
        <v>15</v>
      </c>
    </row>
    <row r="3320" spans="1:15" x14ac:dyDescent="0.2">
      <c r="A3320" t="s">
        <v>125</v>
      </c>
      <c r="B3320" t="s">
        <v>140</v>
      </c>
      <c r="C3320" t="s">
        <v>136</v>
      </c>
      <c r="D3320" t="s">
        <v>127</v>
      </c>
      <c r="E3320" t="s">
        <v>53</v>
      </c>
      <c r="F3320" t="s">
        <v>114</v>
      </c>
      <c r="G3320">
        <v>112323</v>
      </c>
      <c r="H3320" s="75">
        <v>40836</v>
      </c>
      <c r="I3320" t="s">
        <v>117</v>
      </c>
      <c r="J3320">
        <v>2.5</v>
      </c>
      <c r="K3320">
        <v>0</v>
      </c>
      <c r="M3320">
        <v>2812.8209999999999</v>
      </c>
      <c r="N3320" t="s">
        <v>46</v>
      </c>
    </row>
    <row r="3321" spans="1:15" x14ac:dyDescent="0.2">
      <c r="A3321" t="s">
        <v>125</v>
      </c>
      <c r="B3321" t="s">
        <v>140</v>
      </c>
      <c r="C3321" t="s">
        <v>136</v>
      </c>
      <c r="D3321" t="s">
        <v>127</v>
      </c>
      <c r="E3321" t="s">
        <v>53</v>
      </c>
      <c r="F3321" t="s">
        <v>114</v>
      </c>
      <c r="G3321">
        <v>112323</v>
      </c>
      <c r="H3321" s="75">
        <v>40866</v>
      </c>
      <c r="I3321" t="s">
        <v>115</v>
      </c>
      <c r="J3321">
        <v>5000</v>
      </c>
      <c r="K3321">
        <v>249.905</v>
      </c>
      <c r="L3321">
        <v>20.0076</v>
      </c>
      <c r="M3321">
        <v>3062.7260000000001</v>
      </c>
      <c r="N3321" t="s">
        <v>15</v>
      </c>
    </row>
    <row r="3322" spans="1:15" x14ac:dyDescent="0.2">
      <c r="A3322" t="s">
        <v>125</v>
      </c>
      <c r="B3322" t="s">
        <v>140</v>
      </c>
      <c r="C3322" t="s">
        <v>136</v>
      </c>
      <c r="D3322" t="s">
        <v>127</v>
      </c>
      <c r="E3322" t="s">
        <v>53</v>
      </c>
      <c r="F3322" t="s">
        <v>114</v>
      </c>
      <c r="G3322">
        <v>112323</v>
      </c>
      <c r="H3322" s="75">
        <v>40896</v>
      </c>
      <c r="I3322" t="s">
        <v>115</v>
      </c>
      <c r="J3322">
        <v>5000</v>
      </c>
      <c r="K3322">
        <v>245.154</v>
      </c>
      <c r="L3322">
        <v>20.395299999999999</v>
      </c>
      <c r="M3322">
        <v>3307.88</v>
      </c>
      <c r="N3322" t="s">
        <v>15</v>
      </c>
    </row>
    <row r="3323" spans="1:15" x14ac:dyDescent="0.2">
      <c r="A3323" t="s">
        <v>125</v>
      </c>
      <c r="B3323" t="s">
        <v>140</v>
      </c>
      <c r="C3323" t="s">
        <v>136</v>
      </c>
      <c r="D3323" t="s">
        <v>127</v>
      </c>
      <c r="E3323" t="s">
        <v>53</v>
      </c>
      <c r="F3323" t="s">
        <v>114</v>
      </c>
      <c r="G3323">
        <v>112323</v>
      </c>
      <c r="H3323" s="75">
        <v>40926</v>
      </c>
      <c r="I3323" t="s">
        <v>115</v>
      </c>
      <c r="J3323">
        <v>5000</v>
      </c>
      <c r="K3323">
        <v>246.149</v>
      </c>
      <c r="L3323">
        <v>20.312899999999999</v>
      </c>
      <c r="M3323">
        <v>3554.029</v>
      </c>
      <c r="N3323" t="s">
        <v>15</v>
      </c>
    </row>
    <row r="3324" spans="1:15" x14ac:dyDescent="0.2">
      <c r="A3324" t="s">
        <v>125</v>
      </c>
      <c r="B3324" t="s">
        <v>140</v>
      </c>
      <c r="C3324" t="s">
        <v>136</v>
      </c>
      <c r="D3324" t="s">
        <v>127</v>
      </c>
      <c r="E3324" t="s">
        <v>53</v>
      </c>
      <c r="F3324" t="s">
        <v>114</v>
      </c>
      <c r="G3324">
        <v>112323</v>
      </c>
      <c r="H3324" s="75">
        <v>40956</v>
      </c>
      <c r="I3324" t="s">
        <v>115</v>
      </c>
      <c r="J3324">
        <v>5000</v>
      </c>
      <c r="K3324">
        <v>250.65</v>
      </c>
      <c r="L3324">
        <v>19.9481</v>
      </c>
      <c r="M3324">
        <v>3804.6790000000001</v>
      </c>
      <c r="N3324" t="s">
        <v>15</v>
      </c>
    </row>
    <row r="3325" spans="1:15" x14ac:dyDescent="0.2">
      <c r="A3325" t="s">
        <v>125</v>
      </c>
      <c r="B3325" t="s">
        <v>140</v>
      </c>
      <c r="C3325" t="s">
        <v>136</v>
      </c>
      <c r="D3325" t="s">
        <v>127</v>
      </c>
      <c r="E3325" t="s">
        <v>53</v>
      </c>
      <c r="F3325" t="s">
        <v>114</v>
      </c>
      <c r="G3325">
        <v>112323</v>
      </c>
      <c r="H3325" s="75">
        <v>40986</v>
      </c>
      <c r="I3325" t="s">
        <v>115</v>
      </c>
      <c r="J3325">
        <v>5000</v>
      </c>
      <c r="K3325">
        <v>255.67500000000001</v>
      </c>
      <c r="L3325">
        <v>19.556000000000001</v>
      </c>
      <c r="M3325">
        <v>4060.355</v>
      </c>
      <c r="N3325" t="s">
        <v>15</v>
      </c>
    </row>
    <row r="3326" spans="1:15" x14ac:dyDescent="0.2">
      <c r="A3326" t="s">
        <v>125</v>
      </c>
      <c r="B3326" t="s">
        <v>140</v>
      </c>
      <c r="C3326" t="s">
        <v>136</v>
      </c>
      <c r="D3326" t="s">
        <v>127</v>
      </c>
      <c r="E3326" t="s">
        <v>53</v>
      </c>
      <c r="F3326" t="s">
        <v>114</v>
      </c>
      <c r="G3326">
        <v>112323</v>
      </c>
      <c r="H3326" s="75">
        <v>41016</v>
      </c>
      <c r="I3326" t="s">
        <v>115</v>
      </c>
      <c r="J3326">
        <v>5000</v>
      </c>
      <c r="K3326">
        <v>249.471</v>
      </c>
      <c r="L3326">
        <v>20.042400000000001</v>
      </c>
      <c r="M3326">
        <v>4309.826</v>
      </c>
      <c r="N3326" t="s">
        <v>15</v>
      </c>
    </row>
    <row r="3327" spans="1:15" x14ac:dyDescent="0.2">
      <c r="A3327" t="s">
        <v>125</v>
      </c>
      <c r="B3327" t="s">
        <v>140</v>
      </c>
      <c r="C3327" t="s">
        <v>136</v>
      </c>
      <c r="D3327" t="s">
        <v>127</v>
      </c>
      <c r="E3327" t="s">
        <v>53</v>
      </c>
      <c r="F3327" t="s">
        <v>114</v>
      </c>
      <c r="G3327">
        <v>112323</v>
      </c>
      <c r="H3327" s="75">
        <v>41046</v>
      </c>
      <c r="I3327" t="s">
        <v>115</v>
      </c>
      <c r="J3327">
        <v>5000</v>
      </c>
      <c r="K3327">
        <v>246.23400000000001</v>
      </c>
      <c r="L3327">
        <v>20.305900000000001</v>
      </c>
      <c r="M3327">
        <v>4556.0600000000004</v>
      </c>
      <c r="N3327" t="s">
        <v>15</v>
      </c>
    </row>
    <row r="3328" spans="1:15" x14ac:dyDescent="0.2">
      <c r="A3328" t="s">
        <v>125</v>
      </c>
      <c r="B3328" t="s">
        <v>140</v>
      </c>
      <c r="C3328" t="s">
        <v>136</v>
      </c>
      <c r="D3328" t="s">
        <v>127</v>
      </c>
      <c r="E3328" t="s">
        <v>53</v>
      </c>
      <c r="F3328" t="s">
        <v>114</v>
      </c>
      <c r="G3328">
        <v>112323</v>
      </c>
      <c r="H3328" s="75">
        <v>41076</v>
      </c>
      <c r="I3328" t="s">
        <v>115</v>
      </c>
      <c r="J3328">
        <v>5000</v>
      </c>
      <c r="K3328">
        <v>248.79</v>
      </c>
      <c r="L3328">
        <v>20.097300000000001</v>
      </c>
      <c r="M3328">
        <v>4804.8500000000004</v>
      </c>
      <c r="N3328" t="s">
        <v>15</v>
      </c>
    </row>
    <row r="3329" spans="1:14" x14ac:dyDescent="0.2">
      <c r="A3329" t="s">
        <v>125</v>
      </c>
      <c r="B3329" t="s">
        <v>140</v>
      </c>
      <c r="C3329" t="s">
        <v>136</v>
      </c>
      <c r="D3329" t="s">
        <v>127</v>
      </c>
      <c r="E3329" t="s">
        <v>53</v>
      </c>
      <c r="F3329" t="s">
        <v>114</v>
      </c>
      <c r="G3329">
        <v>112323</v>
      </c>
      <c r="H3329" s="75">
        <v>41076</v>
      </c>
      <c r="I3329" t="s">
        <v>116</v>
      </c>
      <c r="J3329">
        <v>2.5</v>
      </c>
      <c r="K3329">
        <v>0</v>
      </c>
      <c r="M3329">
        <v>4804.8500000000004</v>
      </c>
      <c r="N3329" t="s">
        <v>17</v>
      </c>
    </row>
    <row r="3330" spans="1:14" x14ac:dyDescent="0.2">
      <c r="A3330" t="s">
        <v>125</v>
      </c>
      <c r="B3330" t="s">
        <v>140</v>
      </c>
      <c r="C3330" t="s">
        <v>136</v>
      </c>
      <c r="D3330" t="s">
        <v>127</v>
      </c>
      <c r="E3330" t="s">
        <v>53</v>
      </c>
      <c r="F3330" t="s">
        <v>114</v>
      </c>
      <c r="G3330">
        <v>112323</v>
      </c>
      <c r="H3330" s="75">
        <v>41106</v>
      </c>
      <c r="I3330" t="s">
        <v>115</v>
      </c>
      <c r="J3330">
        <v>5000</v>
      </c>
      <c r="K3330">
        <v>250.83</v>
      </c>
      <c r="L3330">
        <v>19.933900000000001</v>
      </c>
      <c r="M3330">
        <v>5055.6790000000001</v>
      </c>
      <c r="N3330" t="s">
        <v>15</v>
      </c>
    </row>
    <row r="3331" spans="1:14" x14ac:dyDescent="0.2">
      <c r="A3331" t="s">
        <v>125</v>
      </c>
      <c r="B3331" t="s">
        <v>140</v>
      </c>
      <c r="C3331" t="s">
        <v>136</v>
      </c>
      <c r="D3331" t="s">
        <v>127</v>
      </c>
      <c r="E3331" t="s">
        <v>53</v>
      </c>
      <c r="F3331" t="s">
        <v>114</v>
      </c>
      <c r="G3331">
        <v>112323</v>
      </c>
      <c r="H3331" s="75">
        <v>41136</v>
      </c>
      <c r="I3331" t="s">
        <v>115</v>
      </c>
      <c r="J3331">
        <v>5000</v>
      </c>
      <c r="K3331">
        <v>249.35400000000001</v>
      </c>
      <c r="L3331">
        <v>20.0518</v>
      </c>
      <c r="M3331">
        <v>5305.0330000000004</v>
      </c>
      <c r="N3331" t="s">
        <v>15</v>
      </c>
    </row>
    <row r="3332" spans="1:14" x14ac:dyDescent="0.2">
      <c r="A3332" t="s">
        <v>125</v>
      </c>
      <c r="B3332" t="s">
        <v>140</v>
      </c>
      <c r="C3332" t="s">
        <v>136</v>
      </c>
      <c r="D3332" t="s">
        <v>127</v>
      </c>
      <c r="E3332" t="s">
        <v>53</v>
      </c>
      <c r="F3332" t="s">
        <v>114</v>
      </c>
      <c r="G3332">
        <v>112323</v>
      </c>
      <c r="H3332" s="75">
        <v>41166</v>
      </c>
      <c r="I3332" t="s">
        <v>115</v>
      </c>
      <c r="J3332">
        <v>5000</v>
      </c>
      <c r="K3332">
        <v>251.23099999999999</v>
      </c>
      <c r="L3332">
        <v>19.902000000000001</v>
      </c>
      <c r="M3332">
        <v>5556.2640000000001</v>
      </c>
      <c r="N3332" t="s">
        <v>15</v>
      </c>
    </row>
    <row r="3333" spans="1:14" x14ac:dyDescent="0.2">
      <c r="A3333" t="s">
        <v>125</v>
      </c>
      <c r="B3333" t="s">
        <v>140</v>
      </c>
      <c r="C3333" t="s">
        <v>136</v>
      </c>
      <c r="D3333" t="s">
        <v>127</v>
      </c>
      <c r="E3333" t="s">
        <v>53</v>
      </c>
      <c r="F3333" t="s">
        <v>114</v>
      </c>
      <c r="G3333">
        <v>112323</v>
      </c>
      <c r="H3333" s="75">
        <v>41196</v>
      </c>
      <c r="I3333" t="s">
        <v>115</v>
      </c>
      <c r="J3333">
        <v>5000</v>
      </c>
      <c r="K3333">
        <v>250.654</v>
      </c>
      <c r="L3333">
        <v>19.947800000000001</v>
      </c>
      <c r="M3333">
        <v>5806.9179999999997</v>
      </c>
      <c r="N3333" t="s">
        <v>15</v>
      </c>
    </row>
    <row r="3334" spans="1:14" x14ac:dyDescent="0.2">
      <c r="A3334" t="s">
        <v>125</v>
      </c>
      <c r="B3334" t="s">
        <v>140</v>
      </c>
      <c r="C3334" t="s">
        <v>136</v>
      </c>
      <c r="D3334" t="s">
        <v>127</v>
      </c>
      <c r="E3334" t="s">
        <v>53</v>
      </c>
      <c r="F3334" t="s">
        <v>114</v>
      </c>
      <c r="G3334">
        <v>112323</v>
      </c>
      <c r="H3334" s="75">
        <v>41226</v>
      </c>
      <c r="I3334" t="s">
        <v>115</v>
      </c>
      <c r="J3334">
        <v>5000</v>
      </c>
      <c r="K3334">
        <v>244.99199999999999</v>
      </c>
      <c r="L3334">
        <v>20.408799999999999</v>
      </c>
      <c r="M3334">
        <v>6051.9110000000001</v>
      </c>
      <c r="N3334" t="s">
        <v>15</v>
      </c>
    </row>
    <row r="3335" spans="1:14" x14ac:dyDescent="0.2">
      <c r="A3335" t="s">
        <v>125</v>
      </c>
      <c r="B3335" t="s">
        <v>140</v>
      </c>
      <c r="C3335" t="s">
        <v>136</v>
      </c>
      <c r="D3335" t="s">
        <v>127</v>
      </c>
      <c r="E3335" t="s">
        <v>53</v>
      </c>
      <c r="F3335" t="s">
        <v>114</v>
      </c>
      <c r="G3335">
        <v>112323</v>
      </c>
      <c r="H3335" s="75">
        <v>41226</v>
      </c>
      <c r="I3335" t="s">
        <v>117</v>
      </c>
      <c r="J3335">
        <v>2.5</v>
      </c>
      <c r="K3335">
        <v>0</v>
      </c>
      <c r="M3335">
        <v>6051.9110000000001</v>
      </c>
      <c r="N3335" t="s">
        <v>46</v>
      </c>
    </row>
    <row r="3336" spans="1:14" x14ac:dyDescent="0.2">
      <c r="A3336" t="s">
        <v>125</v>
      </c>
      <c r="B3336" t="s">
        <v>140</v>
      </c>
      <c r="C3336" t="s">
        <v>136</v>
      </c>
      <c r="D3336" t="s">
        <v>127</v>
      </c>
      <c r="E3336" t="s">
        <v>53</v>
      </c>
      <c r="F3336" t="s">
        <v>114</v>
      </c>
      <c r="G3336">
        <v>112323</v>
      </c>
      <c r="H3336" s="75">
        <v>41256</v>
      </c>
      <c r="I3336" t="s">
        <v>115</v>
      </c>
      <c r="J3336">
        <v>5000</v>
      </c>
      <c r="K3336">
        <v>244.35300000000001</v>
      </c>
      <c r="L3336">
        <v>20.462199999999999</v>
      </c>
      <c r="M3336">
        <v>6296.2640000000001</v>
      </c>
      <c r="N3336" t="s">
        <v>15</v>
      </c>
    </row>
    <row r="3337" spans="1:14" x14ac:dyDescent="0.2">
      <c r="A3337" t="s">
        <v>125</v>
      </c>
      <c r="B3337" t="s">
        <v>140</v>
      </c>
      <c r="C3337" t="s">
        <v>136</v>
      </c>
      <c r="D3337" t="s">
        <v>127</v>
      </c>
      <c r="E3337" t="s">
        <v>53</v>
      </c>
      <c r="F3337" t="s">
        <v>114</v>
      </c>
      <c r="G3337">
        <v>112323</v>
      </c>
      <c r="H3337" s="75">
        <v>41286</v>
      </c>
      <c r="I3337" t="s">
        <v>115</v>
      </c>
      <c r="J3337">
        <v>5000</v>
      </c>
      <c r="K3337">
        <v>242.91900000000001</v>
      </c>
      <c r="L3337">
        <v>20.582999999999998</v>
      </c>
      <c r="M3337">
        <v>6539.1819999999998</v>
      </c>
      <c r="N3337" t="s">
        <v>15</v>
      </c>
    </row>
    <row r="3338" spans="1:14" x14ac:dyDescent="0.2">
      <c r="A3338" t="s">
        <v>125</v>
      </c>
      <c r="B3338" t="s">
        <v>140</v>
      </c>
      <c r="C3338" t="s">
        <v>136</v>
      </c>
      <c r="D3338" t="s">
        <v>127</v>
      </c>
      <c r="E3338" t="s">
        <v>53</v>
      </c>
      <c r="F3338" t="s">
        <v>114</v>
      </c>
      <c r="G3338">
        <v>112323</v>
      </c>
      <c r="H3338" s="75">
        <v>41316</v>
      </c>
      <c r="I3338" t="s">
        <v>115</v>
      </c>
      <c r="J3338">
        <v>5000</v>
      </c>
      <c r="K3338">
        <v>245.71100000000001</v>
      </c>
      <c r="L3338">
        <v>20.3491</v>
      </c>
      <c r="M3338">
        <v>6784.8940000000002</v>
      </c>
      <c r="N3338" t="s">
        <v>15</v>
      </c>
    </row>
    <row r="3339" spans="1:14" x14ac:dyDescent="0.2">
      <c r="A3339" t="s">
        <v>125</v>
      </c>
      <c r="B3339" t="s">
        <v>140</v>
      </c>
      <c r="C3339" t="s">
        <v>136</v>
      </c>
      <c r="D3339" t="s">
        <v>127</v>
      </c>
      <c r="E3339" t="s">
        <v>53</v>
      </c>
      <c r="F3339" t="s">
        <v>114</v>
      </c>
      <c r="G3339">
        <v>112323</v>
      </c>
      <c r="H3339" s="75">
        <v>41346</v>
      </c>
      <c r="I3339" t="s">
        <v>115</v>
      </c>
      <c r="J3339">
        <v>5000</v>
      </c>
      <c r="K3339">
        <v>248.334</v>
      </c>
      <c r="L3339">
        <v>20.1342</v>
      </c>
      <c r="M3339">
        <v>7033.2269999999999</v>
      </c>
      <c r="N3339" t="s">
        <v>15</v>
      </c>
    </row>
    <row r="3340" spans="1:14" x14ac:dyDescent="0.2">
      <c r="A3340" t="s">
        <v>125</v>
      </c>
      <c r="B3340" t="s">
        <v>140</v>
      </c>
      <c r="C3340" t="s">
        <v>136</v>
      </c>
      <c r="D3340" t="s">
        <v>127</v>
      </c>
      <c r="E3340" t="s">
        <v>53</v>
      </c>
      <c r="F3340" t="s">
        <v>114</v>
      </c>
      <c r="G3340">
        <v>112323</v>
      </c>
      <c r="H3340" s="75">
        <v>41376</v>
      </c>
      <c r="I3340" t="s">
        <v>115</v>
      </c>
      <c r="J3340">
        <v>5000</v>
      </c>
      <c r="K3340">
        <v>249.83099999999999</v>
      </c>
      <c r="L3340">
        <v>20.013500000000001</v>
      </c>
      <c r="M3340">
        <v>7283.0590000000002</v>
      </c>
      <c r="N3340" t="s">
        <v>15</v>
      </c>
    </row>
    <row r="3341" spans="1:14" x14ac:dyDescent="0.2">
      <c r="A3341" t="s">
        <v>125</v>
      </c>
      <c r="B3341" t="s">
        <v>140</v>
      </c>
      <c r="C3341" t="s">
        <v>136</v>
      </c>
      <c r="D3341" t="s">
        <v>127</v>
      </c>
      <c r="E3341" t="s">
        <v>53</v>
      </c>
      <c r="F3341" t="s">
        <v>114</v>
      </c>
      <c r="G3341">
        <v>112323</v>
      </c>
      <c r="H3341" s="75">
        <v>41406</v>
      </c>
      <c r="I3341" t="s">
        <v>115</v>
      </c>
      <c r="J3341">
        <v>5000</v>
      </c>
      <c r="K3341">
        <v>249.43899999999999</v>
      </c>
      <c r="L3341">
        <v>20.045000000000002</v>
      </c>
      <c r="M3341">
        <v>7532.4979999999996</v>
      </c>
      <c r="N3341" t="s">
        <v>15</v>
      </c>
    </row>
    <row r="3342" spans="1:14" x14ac:dyDescent="0.2">
      <c r="A3342" t="s">
        <v>125</v>
      </c>
      <c r="B3342" t="s">
        <v>140</v>
      </c>
      <c r="C3342" t="s">
        <v>136</v>
      </c>
      <c r="D3342" t="s">
        <v>127</v>
      </c>
      <c r="E3342" t="s">
        <v>53</v>
      </c>
      <c r="F3342" t="s">
        <v>114</v>
      </c>
      <c r="G3342">
        <v>112323</v>
      </c>
      <c r="H3342" s="75">
        <v>41436</v>
      </c>
      <c r="I3342" t="s">
        <v>115</v>
      </c>
      <c r="J3342">
        <v>5000</v>
      </c>
      <c r="K3342">
        <v>243.12200000000001</v>
      </c>
      <c r="L3342">
        <v>20.565799999999999</v>
      </c>
      <c r="M3342">
        <v>7775.62</v>
      </c>
      <c r="N3342" t="s">
        <v>15</v>
      </c>
    </row>
    <row r="3343" spans="1:14" x14ac:dyDescent="0.2">
      <c r="A3343" t="s">
        <v>125</v>
      </c>
      <c r="B3343" t="s">
        <v>140</v>
      </c>
      <c r="C3343" t="s">
        <v>136</v>
      </c>
      <c r="D3343" t="s">
        <v>127</v>
      </c>
      <c r="E3343" t="s">
        <v>53</v>
      </c>
      <c r="F3343" t="s">
        <v>114</v>
      </c>
      <c r="G3343">
        <v>112323</v>
      </c>
      <c r="H3343" s="75">
        <v>41436</v>
      </c>
      <c r="I3343" t="s">
        <v>117</v>
      </c>
      <c r="J3343">
        <v>2.5</v>
      </c>
      <c r="K3343">
        <v>0</v>
      </c>
      <c r="M3343">
        <v>7775.62</v>
      </c>
      <c r="N3343" t="s">
        <v>46</v>
      </c>
    </row>
    <row r="3344" spans="1:14" x14ac:dyDescent="0.2">
      <c r="A3344" t="s">
        <v>125</v>
      </c>
      <c r="B3344" t="s">
        <v>140</v>
      </c>
      <c r="C3344" t="s">
        <v>136</v>
      </c>
      <c r="D3344" t="s">
        <v>127</v>
      </c>
      <c r="E3344" t="s">
        <v>53</v>
      </c>
      <c r="F3344" t="s">
        <v>114</v>
      </c>
      <c r="G3344">
        <v>112323</v>
      </c>
      <c r="H3344" s="75">
        <v>41466</v>
      </c>
      <c r="I3344" t="s">
        <v>115</v>
      </c>
      <c r="J3344">
        <v>5000</v>
      </c>
      <c r="K3344">
        <v>237.09100000000001</v>
      </c>
      <c r="L3344">
        <v>21.088999999999999</v>
      </c>
      <c r="M3344">
        <v>8012.7110000000002</v>
      </c>
      <c r="N3344" t="s">
        <v>15</v>
      </c>
    </row>
    <row r="3345" spans="1:14" x14ac:dyDescent="0.2">
      <c r="A3345" t="s">
        <v>125</v>
      </c>
      <c r="B3345" t="s">
        <v>140</v>
      </c>
      <c r="C3345" t="s">
        <v>136</v>
      </c>
      <c r="D3345" t="s">
        <v>127</v>
      </c>
      <c r="E3345" t="s">
        <v>53</v>
      </c>
      <c r="F3345" t="s">
        <v>114</v>
      </c>
      <c r="G3345">
        <v>112323</v>
      </c>
      <c r="H3345" s="75">
        <v>41496</v>
      </c>
      <c r="I3345" t="s">
        <v>115</v>
      </c>
      <c r="J3345">
        <v>5000</v>
      </c>
      <c r="K3345">
        <v>233.577</v>
      </c>
      <c r="L3345">
        <v>21.406199999999998</v>
      </c>
      <c r="M3345">
        <v>8246.2870000000003</v>
      </c>
      <c r="N3345" t="s">
        <v>15</v>
      </c>
    </row>
    <row r="3346" spans="1:14" x14ac:dyDescent="0.2">
      <c r="A3346" t="s">
        <v>125</v>
      </c>
      <c r="B3346" t="s">
        <v>140</v>
      </c>
      <c r="C3346" t="s">
        <v>136</v>
      </c>
      <c r="D3346" t="s">
        <v>127</v>
      </c>
      <c r="E3346" t="s">
        <v>53</v>
      </c>
      <c r="F3346" t="s">
        <v>114</v>
      </c>
      <c r="G3346">
        <v>112323</v>
      </c>
      <c r="H3346" s="75">
        <v>41526</v>
      </c>
      <c r="I3346" t="s">
        <v>115</v>
      </c>
      <c r="J3346">
        <v>5000</v>
      </c>
      <c r="K3346">
        <v>229.119</v>
      </c>
      <c r="L3346">
        <v>21.822700000000001</v>
      </c>
      <c r="M3346">
        <v>8475.4060000000009</v>
      </c>
      <c r="N3346" t="s">
        <v>15</v>
      </c>
    </row>
    <row r="3347" spans="1:14" x14ac:dyDescent="0.2">
      <c r="A3347" t="s">
        <v>125</v>
      </c>
      <c r="B3347" t="s">
        <v>140</v>
      </c>
      <c r="C3347" t="s">
        <v>136</v>
      </c>
      <c r="D3347" t="s">
        <v>127</v>
      </c>
      <c r="E3347" t="s">
        <v>53</v>
      </c>
      <c r="F3347" t="s">
        <v>114</v>
      </c>
      <c r="G3347">
        <v>112323</v>
      </c>
      <c r="H3347" s="75">
        <v>41526</v>
      </c>
      <c r="I3347" t="s">
        <v>116</v>
      </c>
      <c r="J3347">
        <v>2.5</v>
      </c>
      <c r="K3347">
        <v>0</v>
      </c>
      <c r="M3347">
        <v>8475.4060000000009</v>
      </c>
      <c r="N3347" t="s">
        <v>17</v>
      </c>
    </row>
    <row r="3348" spans="1:14" x14ac:dyDescent="0.2">
      <c r="A3348" t="s">
        <v>125</v>
      </c>
      <c r="B3348" t="s">
        <v>140</v>
      </c>
      <c r="C3348" t="s">
        <v>136</v>
      </c>
      <c r="D3348" t="s">
        <v>127</v>
      </c>
      <c r="E3348" t="s">
        <v>53</v>
      </c>
      <c r="F3348" t="s">
        <v>114</v>
      </c>
      <c r="G3348">
        <v>112323</v>
      </c>
      <c r="H3348" s="75">
        <v>41556</v>
      </c>
      <c r="I3348" t="s">
        <v>115</v>
      </c>
      <c r="J3348">
        <v>5000</v>
      </c>
      <c r="K3348">
        <v>224.13399999999999</v>
      </c>
      <c r="L3348">
        <v>22.3081</v>
      </c>
      <c r="M3348">
        <v>8699.5409999999993</v>
      </c>
      <c r="N3348" t="s">
        <v>15</v>
      </c>
    </row>
    <row r="3349" spans="1:14" x14ac:dyDescent="0.2">
      <c r="A3349" t="s">
        <v>125</v>
      </c>
      <c r="B3349" t="s">
        <v>140</v>
      </c>
      <c r="C3349" t="s">
        <v>136</v>
      </c>
      <c r="D3349" t="s">
        <v>127</v>
      </c>
      <c r="E3349" t="s">
        <v>53</v>
      </c>
      <c r="F3349" t="s">
        <v>114</v>
      </c>
      <c r="G3349">
        <v>112323</v>
      </c>
      <c r="H3349" s="75">
        <v>41586</v>
      </c>
      <c r="I3349" t="s">
        <v>115</v>
      </c>
      <c r="J3349">
        <v>5000</v>
      </c>
      <c r="K3349">
        <v>226.584</v>
      </c>
      <c r="L3349">
        <v>22.0669</v>
      </c>
      <c r="M3349">
        <v>8926.125</v>
      </c>
      <c r="N3349" t="s">
        <v>15</v>
      </c>
    </row>
    <row r="3350" spans="1:14" x14ac:dyDescent="0.2">
      <c r="A3350" t="s">
        <v>125</v>
      </c>
      <c r="B3350" t="s">
        <v>140</v>
      </c>
      <c r="C3350" t="s">
        <v>136</v>
      </c>
      <c r="D3350" t="s">
        <v>127</v>
      </c>
      <c r="E3350" t="s">
        <v>53</v>
      </c>
      <c r="F3350" t="s">
        <v>114</v>
      </c>
      <c r="G3350">
        <v>112323</v>
      </c>
      <c r="H3350" s="75">
        <v>41616</v>
      </c>
      <c r="I3350" t="s">
        <v>115</v>
      </c>
      <c r="J3350">
        <v>5000</v>
      </c>
      <c r="K3350">
        <v>220.935</v>
      </c>
      <c r="L3350">
        <v>22.6311</v>
      </c>
      <c r="M3350">
        <v>9147.06</v>
      </c>
      <c r="N3350" t="s">
        <v>15</v>
      </c>
    </row>
    <row r="3351" spans="1:14" x14ac:dyDescent="0.2">
      <c r="A3351" t="s">
        <v>125</v>
      </c>
      <c r="B3351" t="s">
        <v>140</v>
      </c>
      <c r="C3351" t="s">
        <v>136</v>
      </c>
      <c r="D3351" t="s">
        <v>127</v>
      </c>
      <c r="E3351" t="s">
        <v>53</v>
      </c>
      <c r="F3351" t="s">
        <v>114</v>
      </c>
      <c r="G3351">
        <v>112323</v>
      </c>
      <c r="H3351" s="75">
        <v>41616</v>
      </c>
      <c r="I3351" t="s">
        <v>117</v>
      </c>
      <c r="J3351">
        <v>2.5</v>
      </c>
      <c r="K3351">
        <v>0</v>
      </c>
      <c r="M3351">
        <v>9147.06</v>
      </c>
      <c r="N3351" t="s">
        <v>46</v>
      </c>
    </row>
    <row r="3352" spans="1:14" x14ac:dyDescent="0.2">
      <c r="A3352" t="s">
        <v>125</v>
      </c>
      <c r="B3352" t="s">
        <v>140</v>
      </c>
      <c r="C3352" t="s">
        <v>136</v>
      </c>
      <c r="D3352" t="s">
        <v>127</v>
      </c>
      <c r="E3352" t="s">
        <v>53</v>
      </c>
      <c r="F3352" t="s">
        <v>114</v>
      </c>
      <c r="G3352">
        <v>112323</v>
      </c>
      <c r="H3352" s="75">
        <v>41646</v>
      </c>
      <c r="I3352" t="s">
        <v>115</v>
      </c>
      <c r="J3352">
        <v>5000</v>
      </c>
      <c r="K3352">
        <v>221.56</v>
      </c>
      <c r="L3352">
        <v>22.567299999999999</v>
      </c>
      <c r="M3352">
        <v>9368.6190000000006</v>
      </c>
      <c r="N3352" t="s">
        <v>15</v>
      </c>
    </row>
    <row r="3353" spans="1:14" x14ac:dyDescent="0.2">
      <c r="A3353" t="s">
        <v>125</v>
      </c>
      <c r="B3353" t="s">
        <v>140</v>
      </c>
      <c r="C3353" t="s">
        <v>136</v>
      </c>
      <c r="D3353" t="s">
        <v>127</v>
      </c>
      <c r="E3353" t="s">
        <v>53</v>
      </c>
      <c r="F3353" t="s">
        <v>114</v>
      </c>
      <c r="G3353">
        <v>112323</v>
      </c>
      <c r="H3353" s="75">
        <v>41646</v>
      </c>
      <c r="I3353" t="s">
        <v>116</v>
      </c>
      <c r="J3353">
        <v>2.5</v>
      </c>
      <c r="K3353">
        <v>0</v>
      </c>
      <c r="M3353">
        <v>9368.6190000000006</v>
      </c>
      <c r="N3353" t="s">
        <v>17</v>
      </c>
    </row>
    <row r="3354" spans="1:14" x14ac:dyDescent="0.2">
      <c r="A3354" t="s">
        <v>125</v>
      </c>
      <c r="B3354" t="s">
        <v>140</v>
      </c>
      <c r="C3354" t="s">
        <v>136</v>
      </c>
      <c r="D3354" t="s">
        <v>127</v>
      </c>
      <c r="E3354" t="s">
        <v>53</v>
      </c>
      <c r="F3354" t="s">
        <v>114</v>
      </c>
      <c r="G3354">
        <v>112323</v>
      </c>
      <c r="H3354" s="75">
        <v>41676</v>
      </c>
      <c r="I3354" t="s">
        <v>115</v>
      </c>
      <c r="J3354">
        <v>5000</v>
      </c>
      <c r="K3354">
        <v>218.959</v>
      </c>
      <c r="L3354">
        <v>22.8353</v>
      </c>
      <c r="M3354">
        <v>9587.5779999999995</v>
      </c>
      <c r="N3354" t="s">
        <v>15</v>
      </c>
    </row>
    <row r="3355" spans="1:14" x14ac:dyDescent="0.2">
      <c r="A3355" t="s">
        <v>125</v>
      </c>
      <c r="B3355" t="s">
        <v>140</v>
      </c>
      <c r="C3355" t="s">
        <v>136</v>
      </c>
      <c r="D3355" t="s">
        <v>127</v>
      </c>
      <c r="E3355" t="s">
        <v>53</v>
      </c>
      <c r="F3355" t="s">
        <v>114</v>
      </c>
      <c r="G3355">
        <v>112323</v>
      </c>
      <c r="H3355" s="75">
        <v>41706</v>
      </c>
      <c r="I3355" t="s">
        <v>115</v>
      </c>
      <c r="J3355">
        <v>5000</v>
      </c>
      <c r="K3355">
        <v>215.40899999999999</v>
      </c>
      <c r="L3355">
        <v>23.2117</v>
      </c>
      <c r="M3355">
        <v>9802.9869999999992</v>
      </c>
      <c r="N3355" t="s">
        <v>15</v>
      </c>
    </row>
    <row r="3356" spans="1:14" x14ac:dyDescent="0.2">
      <c r="A3356" t="s">
        <v>125</v>
      </c>
      <c r="B3356" t="s">
        <v>140</v>
      </c>
      <c r="C3356" t="s">
        <v>136</v>
      </c>
      <c r="D3356" t="s">
        <v>127</v>
      </c>
      <c r="E3356" t="s">
        <v>53</v>
      </c>
      <c r="F3356" t="s">
        <v>114</v>
      </c>
      <c r="G3356">
        <v>112323</v>
      </c>
      <c r="H3356" s="75">
        <v>41736</v>
      </c>
      <c r="I3356" t="s">
        <v>115</v>
      </c>
      <c r="J3356">
        <v>5000</v>
      </c>
      <c r="K3356">
        <v>217.70599999999999</v>
      </c>
      <c r="L3356">
        <v>22.966699999999999</v>
      </c>
      <c r="M3356">
        <v>10020.692999999999</v>
      </c>
      <c r="N3356" t="s">
        <v>15</v>
      </c>
    </row>
    <row r="3357" spans="1:14" x14ac:dyDescent="0.2">
      <c r="A3357" t="s">
        <v>125</v>
      </c>
      <c r="B3357" t="s">
        <v>140</v>
      </c>
      <c r="C3357" t="s">
        <v>136</v>
      </c>
      <c r="D3357" t="s">
        <v>127</v>
      </c>
      <c r="E3357" t="s">
        <v>53</v>
      </c>
      <c r="F3357" t="s">
        <v>114</v>
      </c>
      <c r="G3357">
        <v>112323</v>
      </c>
      <c r="H3357" s="75">
        <v>41766</v>
      </c>
      <c r="I3357" t="s">
        <v>115</v>
      </c>
      <c r="J3357">
        <v>5000</v>
      </c>
      <c r="K3357">
        <v>216.42</v>
      </c>
      <c r="L3357">
        <v>23.103300000000001</v>
      </c>
      <c r="M3357">
        <v>10237.111999999999</v>
      </c>
      <c r="N3357" t="s">
        <v>15</v>
      </c>
    </row>
    <row r="3358" spans="1:14" x14ac:dyDescent="0.2">
      <c r="A3358" t="s">
        <v>125</v>
      </c>
      <c r="B3358" t="s">
        <v>140</v>
      </c>
      <c r="C3358" t="s">
        <v>136</v>
      </c>
      <c r="D3358" t="s">
        <v>127</v>
      </c>
      <c r="E3358" t="s">
        <v>53</v>
      </c>
      <c r="F3358" t="s">
        <v>114</v>
      </c>
      <c r="G3358">
        <v>112323</v>
      </c>
      <c r="H3358" s="75">
        <v>41796</v>
      </c>
      <c r="I3358" t="s">
        <v>115</v>
      </c>
      <c r="J3358">
        <v>5000</v>
      </c>
      <c r="K3358">
        <v>219.744</v>
      </c>
      <c r="L3358">
        <v>22.753799999999998</v>
      </c>
      <c r="M3358">
        <v>10456.856</v>
      </c>
      <c r="N3358" t="s">
        <v>15</v>
      </c>
    </row>
    <row r="3359" spans="1:14" x14ac:dyDescent="0.2">
      <c r="A3359" t="s">
        <v>125</v>
      </c>
      <c r="B3359" t="s">
        <v>140</v>
      </c>
      <c r="C3359" t="s">
        <v>136</v>
      </c>
      <c r="D3359" t="s">
        <v>127</v>
      </c>
      <c r="E3359" t="s">
        <v>53</v>
      </c>
      <c r="F3359" t="s">
        <v>114</v>
      </c>
      <c r="G3359">
        <v>112323</v>
      </c>
      <c r="H3359" s="75">
        <v>41826</v>
      </c>
      <c r="I3359" t="s">
        <v>115</v>
      </c>
      <c r="J3359">
        <v>5000</v>
      </c>
      <c r="K3359">
        <v>217.53399999999999</v>
      </c>
      <c r="L3359">
        <v>22.984999999999999</v>
      </c>
      <c r="M3359">
        <v>10674.388999999999</v>
      </c>
      <c r="N3359" t="s">
        <v>15</v>
      </c>
    </row>
    <row r="3360" spans="1:14" x14ac:dyDescent="0.2">
      <c r="A3360" t="s">
        <v>125</v>
      </c>
      <c r="B3360" t="s">
        <v>140</v>
      </c>
      <c r="C3360" t="s">
        <v>136</v>
      </c>
      <c r="D3360" t="s">
        <v>127</v>
      </c>
      <c r="E3360" t="s">
        <v>53</v>
      </c>
      <c r="F3360" t="s">
        <v>114</v>
      </c>
      <c r="G3360">
        <v>112323</v>
      </c>
      <c r="H3360" s="75">
        <v>41856</v>
      </c>
      <c r="I3360" t="s">
        <v>115</v>
      </c>
      <c r="J3360">
        <v>5000</v>
      </c>
      <c r="K3360">
        <v>221.36</v>
      </c>
      <c r="L3360">
        <v>22.587599999999998</v>
      </c>
      <c r="M3360">
        <v>10895.749</v>
      </c>
      <c r="N3360" t="s">
        <v>15</v>
      </c>
    </row>
    <row r="3361" spans="1:15" x14ac:dyDescent="0.2">
      <c r="A3361" t="s">
        <v>125</v>
      </c>
      <c r="B3361" t="s">
        <v>140</v>
      </c>
      <c r="C3361" t="s">
        <v>136</v>
      </c>
      <c r="D3361" t="s">
        <v>127</v>
      </c>
      <c r="E3361" t="s">
        <v>53</v>
      </c>
      <c r="F3361" t="s">
        <v>114</v>
      </c>
      <c r="G3361">
        <v>112323</v>
      </c>
      <c r="H3361" s="75">
        <v>41856</v>
      </c>
      <c r="I3361" t="s">
        <v>116</v>
      </c>
      <c r="J3361">
        <v>2.5</v>
      </c>
      <c r="K3361">
        <v>0</v>
      </c>
      <c r="M3361">
        <v>10895.749</v>
      </c>
      <c r="N3361" t="s">
        <v>17</v>
      </c>
    </row>
    <row r="3362" spans="1:15" x14ac:dyDescent="0.2">
      <c r="A3362" t="s">
        <v>125</v>
      </c>
      <c r="B3362" t="s">
        <v>140</v>
      </c>
      <c r="C3362" t="s">
        <v>136</v>
      </c>
      <c r="D3362" t="s">
        <v>127</v>
      </c>
      <c r="E3362" t="s">
        <v>53</v>
      </c>
      <c r="F3362" t="s">
        <v>114</v>
      </c>
      <c r="G3362">
        <v>112323</v>
      </c>
      <c r="H3362" s="75">
        <v>41856</v>
      </c>
      <c r="I3362" t="s">
        <v>25</v>
      </c>
      <c r="J3362">
        <v>-49221.85</v>
      </c>
      <c r="K3362">
        <v>-2179.15</v>
      </c>
      <c r="L3362">
        <v>22.587599999999998</v>
      </c>
      <c r="M3362">
        <v>8716.5990000000002</v>
      </c>
      <c r="N3362" t="s">
        <v>16</v>
      </c>
    </row>
    <row r="3363" spans="1:15" x14ac:dyDescent="0.2">
      <c r="A3363" t="s">
        <v>125</v>
      </c>
      <c r="B3363" t="s">
        <v>140</v>
      </c>
      <c r="C3363" t="s">
        <v>136</v>
      </c>
      <c r="D3363" t="s">
        <v>127</v>
      </c>
      <c r="E3363" t="s">
        <v>53</v>
      </c>
      <c r="F3363" t="s">
        <v>114</v>
      </c>
      <c r="G3363">
        <v>112323</v>
      </c>
      <c r="H3363" s="75">
        <v>41886</v>
      </c>
      <c r="I3363" t="s">
        <v>115</v>
      </c>
      <c r="J3363">
        <v>5000</v>
      </c>
      <c r="K3363">
        <v>224.97399999999999</v>
      </c>
      <c r="L3363">
        <v>22.224799999999998</v>
      </c>
      <c r="M3363">
        <v>8941.5740000000005</v>
      </c>
      <c r="N3363" t="s">
        <v>15</v>
      </c>
    </row>
    <row r="3364" spans="1:15" x14ac:dyDescent="0.2">
      <c r="A3364" t="s">
        <v>125</v>
      </c>
      <c r="B3364" t="s">
        <v>140</v>
      </c>
      <c r="C3364" t="s">
        <v>136</v>
      </c>
      <c r="D3364" t="s">
        <v>127</v>
      </c>
      <c r="E3364" t="s">
        <v>53</v>
      </c>
      <c r="F3364" t="s">
        <v>114</v>
      </c>
      <c r="G3364">
        <v>112323</v>
      </c>
      <c r="H3364" s="75">
        <v>41916</v>
      </c>
      <c r="I3364" t="s">
        <v>115</v>
      </c>
      <c r="J3364">
        <v>5000</v>
      </c>
      <c r="K3364">
        <v>221.9</v>
      </c>
      <c r="L3364">
        <v>22.532699999999998</v>
      </c>
      <c r="M3364">
        <v>9163.4740000000002</v>
      </c>
      <c r="N3364" t="s">
        <v>15</v>
      </c>
    </row>
    <row r="3365" spans="1:15" x14ac:dyDescent="0.2">
      <c r="A3365" t="s">
        <v>125</v>
      </c>
      <c r="B3365" t="s">
        <v>140</v>
      </c>
      <c r="C3365" t="s">
        <v>136</v>
      </c>
      <c r="D3365" t="s">
        <v>127</v>
      </c>
      <c r="E3365" t="s">
        <v>53</v>
      </c>
      <c r="F3365" t="s">
        <v>114</v>
      </c>
      <c r="G3365">
        <v>112323</v>
      </c>
      <c r="H3365" s="75">
        <v>41916</v>
      </c>
      <c r="I3365" t="s">
        <v>117</v>
      </c>
      <c r="J3365">
        <v>2.5</v>
      </c>
      <c r="K3365">
        <v>0</v>
      </c>
      <c r="M3365">
        <v>9163.4740000000002</v>
      </c>
      <c r="N3365" t="s">
        <v>46</v>
      </c>
    </row>
    <row r="3366" spans="1:15" x14ac:dyDescent="0.2">
      <c r="A3366" t="s">
        <v>125</v>
      </c>
      <c r="B3366" t="s">
        <v>140</v>
      </c>
      <c r="C3366" t="s">
        <v>136</v>
      </c>
      <c r="D3366" t="s">
        <v>127</v>
      </c>
      <c r="E3366" t="s">
        <v>53</v>
      </c>
      <c r="F3366" t="s">
        <v>114</v>
      </c>
      <c r="G3366">
        <v>112323</v>
      </c>
      <c r="H3366" s="75">
        <v>41946</v>
      </c>
      <c r="I3366" t="s">
        <v>115</v>
      </c>
      <c r="J3366">
        <v>5000</v>
      </c>
      <c r="K3366">
        <v>224.88399999999999</v>
      </c>
      <c r="L3366">
        <v>22.233699999999999</v>
      </c>
      <c r="M3366">
        <v>9388.3580000000002</v>
      </c>
      <c r="N3366" t="s">
        <v>15</v>
      </c>
    </row>
    <row r="3367" spans="1:15" x14ac:dyDescent="0.2">
      <c r="A3367" t="s">
        <v>125</v>
      </c>
      <c r="B3367" t="s">
        <v>140</v>
      </c>
      <c r="C3367" t="s">
        <v>136</v>
      </c>
      <c r="D3367" t="s">
        <v>127</v>
      </c>
      <c r="E3367" t="s">
        <v>53</v>
      </c>
      <c r="F3367" t="s">
        <v>114</v>
      </c>
      <c r="G3367">
        <v>112323</v>
      </c>
      <c r="H3367" s="75">
        <v>41946</v>
      </c>
      <c r="I3367" t="s">
        <v>117</v>
      </c>
      <c r="J3367">
        <v>2.5</v>
      </c>
      <c r="K3367">
        <v>0</v>
      </c>
      <c r="M3367">
        <v>9388.3580000000002</v>
      </c>
      <c r="N3367" t="s">
        <v>46</v>
      </c>
    </row>
    <row r="3368" spans="1:15" x14ac:dyDescent="0.2">
      <c r="A3368" t="s">
        <v>125</v>
      </c>
      <c r="B3368" t="s">
        <v>140</v>
      </c>
      <c r="C3368" t="s">
        <v>136</v>
      </c>
      <c r="D3368" t="s">
        <v>127</v>
      </c>
      <c r="E3368" t="s">
        <v>53</v>
      </c>
      <c r="F3368" t="s">
        <v>114</v>
      </c>
      <c r="G3368">
        <v>112323</v>
      </c>
      <c r="H3368" s="75">
        <v>41946</v>
      </c>
      <c r="I3368" t="s">
        <v>118</v>
      </c>
      <c r="J3368">
        <v>4694.18</v>
      </c>
      <c r="K3368">
        <v>0</v>
      </c>
      <c r="M3368">
        <v>9388.3580000000002</v>
      </c>
      <c r="N3368" t="s">
        <v>19</v>
      </c>
      <c r="O3368">
        <v>4694.18</v>
      </c>
    </row>
    <row r="3369" spans="1:15" x14ac:dyDescent="0.2">
      <c r="A3369" t="s">
        <v>125</v>
      </c>
      <c r="B3369" t="s">
        <v>140</v>
      </c>
      <c r="C3369" t="s">
        <v>136</v>
      </c>
      <c r="D3369" t="s">
        <v>127</v>
      </c>
      <c r="E3369" t="s">
        <v>53</v>
      </c>
      <c r="F3369" t="s">
        <v>114</v>
      </c>
      <c r="G3369">
        <v>112323</v>
      </c>
      <c r="H3369" s="75">
        <v>41976</v>
      </c>
      <c r="I3369" t="s">
        <v>115</v>
      </c>
      <c r="J3369">
        <v>5000</v>
      </c>
      <c r="K3369">
        <v>227.529</v>
      </c>
      <c r="L3369">
        <v>21.975200000000001</v>
      </c>
      <c r="M3369">
        <v>9615.8870000000006</v>
      </c>
      <c r="N3369" t="s">
        <v>15</v>
      </c>
    </row>
    <row r="3370" spans="1:15" x14ac:dyDescent="0.2">
      <c r="A3370" t="s">
        <v>125</v>
      </c>
      <c r="B3370" t="s">
        <v>140</v>
      </c>
      <c r="C3370" t="s">
        <v>136</v>
      </c>
      <c r="D3370" t="s">
        <v>127</v>
      </c>
      <c r="E3370" t="s">
        <v>53</v>
      </c>
      <c r="F3370" t="s">
        <v>114</v>
      </c>
      <c r="G3370">
        <v>112323</v>
      </c>
      <c r="H3370" s="75">
        <v>42006</v>
      </c>
      <c r="I3370" t="s">
        <v>115</v>
      </c>
      <c r="J3370">
        <v>5000</v>
      </c>
      <c r="K3370">
        <v>226.13399999999999</v>
      </c>
      <c r="L3370">
        <v>22.110800000000001</v>
      </c>
      <c r="M3370">
        <v>9842.0210000000006</v>
      </c>
      <c r="N3370" t="s">
        <v>15</v>
      </c>
    </row>
    <row r="3371" spans="1:15" x14ac:dyDescent="0.2">
      <c r="A3371" t="s">
        <v>125</v>
      </c>
      <c r="B3371" t="s">
        <v>140</v>
      </c>
      <c r="C3371" t="s">
        <v>136</v>
      </c>
      <c r="D3371" t="s">
        <v>127</v>
      </c>
      <c r="E3371" t="s">
        <v>53</v>
      </c>
      <c r="F3371" t="s">
        <v>114</v>
      </c>
      <c r="G3371">
        <v>112323</v>
      </c>
      <c r="H3371" s="75">
        <v>42036</v>
      </c>
      <c r="I3371" t="s">
        <v>115</v>
      </c>
      <c r="J3371">
        <v>5000</v>
      </c>
      <c r="K3371">
        <v>227.845</v>
      </c>
      <c r="L3371">
        <v>21.944800000000001</v>
      </c>
      <c r="M3371">
        <v>10069.866</v>
      </c>
      <c r="N3371" t="s">
        <v>15</v>
      </c>
    </row>
    <row r="3372" spans="1:15" x14ac:dyDescent="0.2">
      <c r="A3372" t="s">
        <v>125</v>
      </c>
      <c r="B3372" t="s">
        <v>140</v>
      </c>
      <c r="C3372" t="s">
        <v>136</v>
      </c>
      <c r="D3372" t="s">
        <v>127</v>
      </c>
      <c r="E3372" t="s">
        <v>53</v>
      </c>
      <c r="F3372" t="s">
        <v>114</v>
      </c>
      <c r="G3372">
        <v>112323</v>
      </c>
      <c r="H3372" s="75">
        <v>42066</v>
      </c>
      <c r="I3372" t="s">
        <v>115</v>
      </c>
      <c r="J3372">
        <v>5000</v>
      </c>
      <c r="K3372">
        <v>224.184</v>
      </c>
      <c r="L3372">
        <v>22.303100000000001</v>
      </c>
      <c r="M3372">
        <v>10294.049999999999</v>
      </c>
      <c r="N3372" t="s">
        <v>15</v>
      </c>
    </row>
    <row r="3373" spans="1:15" x14ac:dyDescent="0.2">
      <c r="A3373" t="s">
        <v>125</v>
      </c>
      <c r="B3373" t="s">
        <v>140</v>
      </c>
      <c r="C3373" t="s">
        <v>136</v>
      </c>
      <c r="D3373" t="s">
        <v>127</v>
      </c>
      <c r="E3373" t="s">
        <v>53</v>
      </c>
      <c r="F3373" t="s">
        <v>114</v>
      </c>
      <c r="G3373">
        <v>112323</v>
      </c>
      <c r="H3373" s="75">
        <v>42096</v>
      </c>
      <c r="I3373" t="s">
        <v>115</v>
      </c>
      <c r="J3373">
        <v>5000</v>
      </c>
      <c r="K3373">
        <v>221.98400000000001</v>
      </c>
      <c r="L3373">
        <v>22.524100000000001</v>
      </c>
      <c r="M3373">
        <v>10516.034</v>
      </c>
      <c r="N3373" t="s">
        <v>15</v>
      </c>
    </row>
    <row r="3374" spans="1:15" x14ac:dyDescent="0.2">
      <c r="A3374" t="s">
        <v>125</v>
      </c>
      <c r="B3374" t="s">
        <v>140</v>
      </c>
      <c r="C3374" t="s">
        <v>136</v>
      </c>
      <c r="D3374" t="s">
        <v>127</v>
      </c>
      <c r="E3374" t="s">
        <v>53</v>
      </c>
      <c r="F3374" t="s">
        <v>114</v>
      </c>
      <c r="G3374">
        <v>112323</v>
      </c>
      <c r="H3374" s="75">
        <v>42126</v>
      </c>
      <c r="I3374" t="s">
        <v>115</v>
      </c>
      <c r="J3374">
        <v>5000</v>
      </c>
      <c r="K3374">
        <v>222.751</v>
      </c>
      <c r="L3374">
        <v>22.4466</v>
      </c>
      <c r="M3374">
        <v>10738.785</v>
      </c>
      <c r="N3374" t="s">
        <v>15</v>
      </c>
    </row>
    <row r="3375" spans="1:15" x14ac:dyDescent="0.2">
      <c r="A3375" t="s">
        <v>125</v>
      </c>
      <c r="B3375" t="s">
        <v>140</v>
      </c>
      <c r="C3375" t="s">
        <v>136</v>
      </c>
      <c r="D3375" t="s">
        <v>127</v>
      </c>
      <c r="E3375" t="s">
        <v>53</v>
      </c>
      <c r="F3375" t="s">
        <v>114</v>
      </c>
      <c r="G3375">
        <v>112323</v>
      </c>
      <c r="H3375" s="75">
        <v>42156</v>
      </c>
      <c r="I3375" t="s">
        <v>115</v>
      </c>
      <c r="J3375">
        <v>5000</v>
      </c>
      <c r="K3375">
        <v>227</v>
      </c>
      <c r="L3375">
        <v>22.026399999999999</v>
      </c>
      <c r="M3375">
        <v>10965.785</v>
      </c>
      <c r="N3375" t="s">
        <v>15</v>
      </c>
    </row>
    <row r="3376" spans="1:15" x14ac:dyDescent="0.2">
      <c r="A3376" t="s">
        <v>125</v>
      </c>
      <c r="B3376" t="s">
        <v>140</v>
      </c>
      <c r="C3376" t="s">
        <v>136</v>
      </c>
      <c r="D3376" t="s">
        <v>127</v>
      </c>
      <c r="E3376" t="s">
        <v>53</v>
      </c>
      <c r="F3376" t="s">
        <v>114</v>
      </c>
      <c r="G3376">
        <v>112323</v>
      </c>
      <c r="H3376" s="75">
        <v>42186</v>
      </c>
      <c r="I3376" t="s">
        <v>115</v>
      </c>
      <c r="J3376">
        <v>5000</v>
      </c>
      <c r="K3376">
        <v>225.11500000000001</v>
      </c>
      <c r="L3376">
        <v>22.210899999999999</v>
      </c>
      <c r="M3376">
        <v>11190.9</v>
      </c>
      <c r="N3376" t="s">
        <v>15</v>
      </c>
    </row>
    <row r="3377" spans="1:15" x14ac:dyDescent="0.2">
      <c r="A3377" t="s">
        <v>125</v>
      </c>
      <c r="B3377" t="s">
        <v>140</v>
      </c>
      <c r="C3377" t="s">
        <v>136</v>
      </c>
      <c r="D3377" t="s">
        <v>127</v>
      </c>
      <c r="E3377" t="s">
        <v>53</v>
      </c>
      <c r="F3377" t="s">
        <v>114</v>
      </c>
      <c r="G3377">
        <v>112323</v>
      </c>
      <c r="H3377" s="75">
        <v>42216</v>
      </c>
      <c r="I3377" t="s">
        <v>115</v>
      </c>
      <c r="J3377">
        <v>5000</v>
      </c>
      <c r="K3377">
        <v>218.791</v>
      </c>
      <c r="L3377">
        <v>22.852900000000002</v>
      </c>
      <c r="M3377">
        <v>11409.691000000001</v>
      </c>
      <c r="N3377" t="s">
        <v>15</v>
      </c>
    </row>
    <row r="3378" spans="1:15" x14ac:dyDescent="0.2">
      <c r="A3378" t="s">
        <v>125</v>
      </c>
      <c r="B3378" t="s">
        <v>140</v>
      </c>
      <c r="C3378" t="s">
        <v>136</v>
      </c>
      <c r="D3378" t="s">
        <v>127</v>
      </c>
      <c r="E3378" t="s">
        <v>53</v>
      </c>
      <c r="F3378" t="s">
        <v>114</v>
      </c>
      <c r="G3378">
        <v>112323</v>
      </c>
      <c r="H3378" s="75">
        <v>42216</v>
      </c>
      <c r="I3378" t="s">
        <v>118</v>
      </c>
      <c r="J3378">
        <v>5704.85</v>
      </c>
      <c r="K3378">
        <v>0</v>
      </c>
      <c r="M3378">
        <v>11409.691000000001</v>
      </c>
      <c r="N3378" t="s">
        <v>19</v>
      </c>
      <c r="O3378">
        <v>5704.85</v>
      </c>
    </row>
    <row r="3379" spans="1:15" x14ac:dyDescent="0.2">
      <c r="A3379" t="s">
        <v>125</v>
      </c>
      <c r="B3379" t="s">
        <v>140</v>
      </c>
      <c r="C3379" t="s">
        <v>136</v>
      </c>
      <c r="D3379" t="s">
        <v>127</v>
      </c>
      <c r="E3379" t="s">
        <v>53</v>
      </c>
      <c r="F3379" t="s">
        <v>114</v>
      </c>
      <c r="G3379">
        <v>112323</v>
      </c>
      <c r="H3379" s="75">
        <v>42246</v>
      </c>
      <c r="I3379" t="s">
        <v>115</v>
      </c>
      <c r="J3379">
        <v>5000</v>
      </c>
      <c r="K3379">
        <v>215.67</v>
      </c>
      <c r="L3379">
        <v>23.183499999999999</v>
      </c>
      <c r="M3379">
        <v>11625.361999999999</v>
      </c>
      <c r="N3379" t="s">
        <v>15</v>
      </c>
    </row>
    <row r="3380" spans="1:15" x14ac:dyDescent="0.2">
      <c r="A3380" t="s">
        <v>125</v>
      </c>
      <c r="B3380" t="s">
        <v>140</v>
      </c>
      <c r="C3380" t="s">
        <v>136</v>
      </c>
      <c r="D3380" t="s">
        <v>127</v>
      </c>
      <c r="E3380" t="s">
        <v>53</v>
      </c>
      <c r="F3380" t="s">
        <v>114</v>
      </c>
      <c r="G3380">
        <v>112323</v>
      </c>
      <c r="H3380" s="75">
        <v>42276</v>
      </c>
      <c r="I3380" t="s">
        <v>115</v>
      </c>
      <c r="J3380">
        <v>5000</v>
      </c>
      <c r="K3380">
        <v>217.833</v>
      </c>
      <c r="L3380">
        <v>22.953299999999999</v>
      </c>
      <c r="M3380">
        <v>11843.195</v>
      </c>
      <c r="N3380" t="s">
        <v>15</v>
      </c>
    </row>
    <row r="3381" spans="1:15" x14ac:dyDescent="0.2">
      <c r="A3381" t="s">
        <v>125</v>
      </c>
      <c r="B3381" t="s">
        <v>140</v>
      </c>
      <c r="C3381" t="s">
        <v>136</v>
      </c>
      <c r="D3381" t="s">
        <v>127</v>
      </c>
      <c r="E3381" t="s">
        <v>53</v>
      </c>
      <c r="F3381" t="s">
        <v>114</v>
      </c>
      <c r="G3381">
        <v>112323</v>
      </c>
      <c r="H3381" s="75">
        <v>42276</v>
      </c>
      <c r="I3381" t="s">
        <v>117</v>
      </c>
      <c r="J3381">
        <v>2.5</v>
      </c>
      <c r="K3381">
        <v>0</v>
      </c>
      <c r="M3381">
        <v>11843.195</v>
      </c>
      <c r="N3381" t="s">
        <v>46</v>
      </c>
    </row>
    <row r="3382" spans="1:15" x14ac:dyDescent="0.2">
      <c r="A3382" t="s">
        <v>125</v>
      </c>
      <c r="B3382" t="s">
        <v>140</v>
      </c>
      <c r="C3382" t="s">
        <v>136</v>
      </c>
      <c r="D3382" t="s">
        <v>127</v>
      </c>
      <c r="E3382" t="s">
        <v>53</v>
      </c>
      <c r="F3382" t="s">
        <v>114</v>
      </c>
      <c r="G3382">
        <v>112323</v>
      </c>
      <c r="H3382" s="75">
        <v>42306</v>
      </c>
      <c r="I3382" t="s">
        <v>115</v>
      </c>
      <c r="J3382">
        <v>5000</v>
      </c>
      <c r="K3382">
        <v>213.24299999999999</v>
      </c>
      <c r="L3382">
        <v>23.447399999999998</v>
      </c>
      <c r="M3382">
        <v>12056.438</v>
      </c>
      <c r="N3382" t="s">
        <v>15</v>
      </c>
    </row>
    <row r="3383" spans="1:15" x14ac:dyDescent="0.2">
      <c r="A3383" t="s">
        <v>125</v>
      </c>
      <c r="B3383" t="s">
        <v>140</v>
      </c>
      <c r="C3383" t="s">
        <v>136</v>
      </c>
      <c r="D3383" t="s">
        <v>127</v>
      </c>
      <c r="E3383" t="s">
        <v>53</v>
      </c>
      <c r="F3383" t="s">
        <v>114</v>
      </c>
      <c r="G3383">
        <v>112323</v>
      </c>
      <c r="H3383" s="75">
        <v>42306</v>
      </c>
      <c r="I3383" t="s">
        <v>116</v>
      </c>
      <c r="J3383">
        <v>2.5</v>
      </c>
      <c r="K3383">
        <v>0</v>
      </c>
      <c r="M3383">
        <v>12056.438</v>
      </c>
      <c r="N3383" t="s">
        <v>17</v>
      </c>
    </row>
    <row r="3384" spans="1:15" x14ac:dyDescent="0.2">
      <c r="A3384" t="s">
        <v>125</v>
      </c>
      <c r="B3384" t="s">
        <v>140</v>
      </c>
      <c r="C3384" t="s">
        <v>136</v>
      </c>
      <c r="D3384" t="s">
        <v>127</v>
      </c>
      <c r="E3384" t="s">
        <v>53</v>
      </c>
      <c r="F3384" t="s">
        <v>114</v>
      </c>
      <c r="G3384">
        <v>112323</v>
      </c>
      <c r="H3384" s="75">
        <v>42336</v>
      </c>
      <c r="I3384" t="s">
        <v>115</v>
      </c>
      <c r="J3384">
        <v>5000</v>
      </c>
      <c r="K3384">
        <v>212.92500000000001</v>
      </c>
      <c r="L3384">
        <v>23.482399999999998</v>
      </c>
      <c r="M3384">
        <v>12269.362999999999</v>
      </c>
      <c r="N3384" t="s">
        <v>15</v>
      </c>
    </row>
    <row r="3385" spans="1:15" x14ac:dyDescent="0.2">
      <c r="A3385" t="s">
        <v>125</v>
      </c>
      <c r="B3385" t="s">
        <v>140</v>
      </c>
      <c r="C3385" t="s">
        <v>136</v>
      </c>
      <c r="D3385" t="s">
        <v>127</v>
      </c>
      <c r="E3385" t="s">
        <v>53</v>
      </c>
      <c r="F3385" t="s">
        <v>114</v>
      </c>
      <c r="G3385">
        <v>112323</v>
      </c>
      <c r="H3385" s="75">
        <v>42366</v>
      </c>
      <c r="I3385" t="s">
        <v>115</v>
      </c>
      <c r="J3385">
        <v>5000</v>
      </c>
      <c r="K3385">
        <v>207.68799999999999</v>
      </c>
      <c r="L3385">
        <v>24.0746</v>
      </c>
      <c r="M3385">
        <v>12477.050999999999</v>
      </c>
      <c r="N3385" t="s">
        <v>15</v>
      </c>
    </row>
    <row r="3386" spans="1:15" x14ac:dyDescent="0.2">
      <c r="A3386" t="s">
        <v>125</v>
      </c>
      <c r="B3386" t="s">
        <v>140</v>
      </c>
      <c r="C3386" t="s">
        <v>136</v>
      </c>
      <c r="D3386" t="s">
        <v>127</v>
      </c>
      <c r="E3386" t="s">
        <v>53</v>
      </c>
      <c r="F3386" t="s">
        <v>114</v>
      </c>
      <c r="G3386">
        <v>112323</v>
      </c>
      <c r="H3386" s="75">
        <v>42396</v>
      </c>
      <c r="I3386" t="s">
        <v>115</v>
      </c>
      <c r="J3386">
        <v>5000</v>
      </c>
      <c r="K3386">
        <v>206.23400000000001</v>
      </c>
      <c r="L3386">
        <v>24.244299999999999</v>
      </c>
      <c r="M3386">
        <v>12683.285</v>
      </c>
      <c r="N3386" t="s">
        <v>15</v>
      </c>
    </row>
    <row r="3387" spans="1:15" x14ac:dyDescent="0.2">
      <c r="A3387" t="s">
        <v>125</v>
      </c>
      <c r="B3387" t="s">
        <v>140</v>
      </c>
      <c r="C3387" t="s">
        <v>136</v>
      </c>
      <c r="D3387" t="s">
        <v>127</v>
      </c>
      <c r="E3387" t="s">
        <v>53</v>
      </c>
      <c r="F3387" t="s">
        <v>114</v>
      </c>
      <c r="G3387">
        <v>112323</v>
      </c>
      <c r="H3387" s="75">
        <v>42426</v>
      </c>
      <c r="I3387" t="s">
        <v>115</v>
      </c>
      <c r="J3387">
        <v>5000</v>
      </c>
      <c r="K3387">
        <v>210.17500000000001</v>
      </c>
      <c r="L3387">
        <v>23.7897</v>
      </c>
      <c r="M3387">
        <v>12893.46</v>
      </c>
      <c r="N3387" t="s">
        <v>15</v>
      </c>
    </row>
    <row r="3388" spans="1:15" x14ac:dyDescent="0.2">
      <c r="A3388" t="s">
        <v>125</v>
      </c>
      <c r="B3388" t="s">
        <v>140</v>
      </c>
      <c r="C3388" t="s">
        <v>136</v>
      </c>
      <c r="D3388" t="s">
        <v>127</v>
      </c>
      <c r="E3388" t="s">
        <v>53</v>
      </c>
      <c r="F3388" t="s">
        <v>114</v>
      </c>
      <c r="G3388">
        <v>112323</v>
      </c>
      <c r="H3388" s="75">
        <v>42456</v>
      </c>
      <c r="I3388" t="s">
        <v>115</v>
      </c>
      <c r="J3388">
        <v>5000</v>
      </c>
      <c r="K3388">
        <v>206.51</v>
      </c>
      <c r="L3388">
        <v>24.2119</v>
      </c>
      <c r="M3388">
        <v>13099.97</v>
      </c>
      <c r="N3388" t="s">
        <v>15</v>
      </c>
    </row>
    <row r="3389" spans="1:15" x14ac:dyDescent="0.2">
      <c r="A3389" t="s">
        <v>125</v>
      </c>
      <c r="B3389" t="s">
        <v>140</v>
      </c>
      <c r="C3389" t="s">
        <v>136</v>
      </c>
      <c r="D3389" t="s">
        <v>127</v>
      </c>
      <c r="E3389" t="s">
        <v>53</v>
      </c>
      <c r="F3389" t="s">
        <v>114</v>
      </c>
      <c r="G3389">
        <v>112323</v>
      </c>
      <c r="H3389" s="75">
        <v>42456</v>
      </c>
      <c r="I3389" t="s">
        <v>116</v>
      </c>
      <c r="J3389">
        <v>2.5</v>
      </c>
      <c r="K3389">
        <v>0</v>
      </c>
      <c r="M3389">
        <v>13099.97</v>
      </c>
      <c r="N3389" t="s">
        <v>17</v>
      </c>
    </row>
    <row r="3390" spans="1:15" x14ac:dyDescent="0.2">
      <c r="A3390" t="s">
        <v>125</v>
      </c>
      <c r="B3390" t="s">
        <v>140</v>
      </c>
      <c r="C3390" t="s">
        <v>136</v>
      </c>
      <c r="D3390" t="s">
        <v>127</v>
      </c>
      <c r="E3390" t="s">
        <v>53</v>
      </c>
      <c r="F3390" t="s">
        <v>114</v>
      </c>
      <c r="G3390">
        <v>112323</v>
      </c>
      <c r="H3390" s="75">
        <v>42486</v>
      </c>
      <c r="I3390" t="s">
        <v>115</v>
      </c>
      <c r="J3390">
        <v>5000</v>
      </c>
      <c r="K3390">
        <v>206.792</v>
      </c>
      <c r="L3390">
        <v>24.178899999999999</v>
      </c>
      <c r="M3390">
        <v>13306.762000000001</v>
      </c>
      <c r="N3390" t="s">
        <v>15</v>
      </c>
    </row>
    <row r="3391" spans="1:15" x14ac:dyDescent="0.2">
      <c r="A3391" t="s">
        <v>125</v>
      </c>
      <c r="B3391" t="s">
        <v>140</v>
      </c>
      <c r="C3391" t="s">
        <v>136</v>
      </c>
      <c r="D3391" t="s">
        <v>127</v>
      </c>
      <c r="E3391" t="s">
        <v>53</v>
      </c>
      <c r="F3391" t="s">
        <v>114</v>
      </c>
      <c r="G3391">
        <v>112323</v>
      </c>
      <c r="H3391" s="75">
        <v>42516</v>
      </c>
      <c r="I3391" t="s">
        <v>115</v>
      </c>
      <c r="J3391">
        <v>5000</v>
      </c>
      <c r="K3391">
        <v>201.61199999999999</v>
      </c>
      <c r="L3391">
        <v>24.8002</v>
      </c>
      <c r="M3391">
        <v>13508.374</v>
      </c>
      <c r="N3391" t="s">
        <v>15</v>
      </c>
    </row>
    <row r="3392" spans="1:15" x14ac:dyDescent="0.2">
      <c r="A3392" t="s">
        <v>125</v>
      </c>
      <c r="B3392" t="s">
        <v>140</v>
      </c>
      <c r="C3392" t="s">
        <v>136</v>
      </c>
      <c r="D3392" t="s">
        <v>127</v>
      </c>
      <c r="E3392" t="s">
        <v>53</v>
      </c>
      <c r="F3392" t="s">
        <v>114</v>
      </c>
      <c r="G3392">
        <v>112323</v>
      </c>
      <c r="H3392" s="75">
        <v>42546</v>
      </c>
      <c r="I3392" t="s">
        <v>115</v>
      </c>
      <c r="J3392">
        <v>5000</v>
      </c>
      <c r="K3392">
        <v>204.995</v>
      </c>
      <c r="L3392">
        <v>24.390799999999999</v>
      </c>
      <c r="M3392">
        <v>13713.369000000001</v>
      </c>
      <c r="N3392" t="s">
        <v>15</v>
      </c>
    </row>
    <row r="3393" spans="1:15" x14ac:dyDescent="0.2">
      <c r="A3393" t="s">
        <v>125</v>
      </c>
      <c r="B3393" t="s">
        <v>140</v>
      </c>
      <c r="C3393" t="s">
        <v>136</v>
      </c>
      <c r="D3393" t="s">
        <v>127</v>
      </c>
      <c r="E3393" t="s">
        <v>53</v>
      </c>
      <c r="F3393" t="s">
        <v>114</v>
      </c>
      <c r="G3393">
        <v>112323</v>
      </c>
      <c r="H3393" s="75">
        <v>42576</v>
      </c>
      <c r="I3393" t="s">
        <v>115</v>
      </c>
      <c r="J3393">
        <v>5000</v>
      </c>
      <c r="K3393">
        <v>206.31200000000001</v>
      </c>
      <c r="L3393">
        <v>24.235199999999999</v>
      </c>
      <c r="M3393">
        <v>13919.681</v>
      </c>
      <c r="N3393" t="s">
        <v>15</v>
      </c>
    </row>
    <row r="3394" spans="1:15" x14ac:dyDescent="0.2">
      <c r="A3394" t="s">
        <v>125</v>
      </c>
      <c r="B3394" t="s">
        <v>140</v>
      </c>
      <c r="C3394" t="s">
        <v>136</v>
      </c>
      <c r="D3394" t="s">
        <v>127</v>
      </c>
      <c r="E3394" t="s">
        <v>53</v>
      </c>
      <c r="F3394" t="s">
        <v>114</v>
      </c>
      <c r="G3394">
        <v>112323</v>
      </c>
      <c r="H3394" s="75">
        <v>42606</v>
      </c>
      <c r="I3394" t="s">
        <v>115</v>
      </c>
      <c r="J3394">
        <v>5000</v>
      </c>
      <c r="K3394">
        <v>202.69200000000001</v>
      </c>
      <c r="L3394">
        <v>24.667899999999999</v>
      </c>
      <c r="M3394">
        <v>14122.373</v>
      </c>
      <c r="N3394" t="s">
        <v>15</v>
      </c>
    </row>
    <row r="3395" spans="1:15" x14ac:dyDescent="0.2">
      <c r="A3395" t="s">
        <v>125</v>
      </c>
      <c r="B3395" t="s">
        <v>140</v>
      </c>
      <c r="C3395" t="s">
        <v>136</v>
      </c>
      <c r="D3395" t="s">
        <v>127</v>
      </c>
      <c r="E3395" t="s">
        <v>53</v>
      </c>
      <c r="F3395" t="s">
        <v>114</v>
      </c>
      <c r="G3395">
        <v>112323</v>
      </c>
      <c r="H3395" s="75">
        <v>42606</v>
      </c>
      <c r="I3395" t="s">
        <v>116</v>
      </c>
      <c r="J3395">
        <v>2.5</v>
      </c>
      <c r="K3395">
        <v>0</v>
      </c>
      <c r="M3395">
        <v>14122.373</v>
      </c>
      <c r="N3395" t="s">
        <v>17</v>
      </c>
    </row>
    <row r="3396" spans="1:15" x14ac:dyDescent="0.2">
      <c r="A3396" t="s">
        <v>125</v>
      </c>
      <c r="B3396" t="s">
        <v>140</v>
      </c>
      <c r="C3396" t="s">
        <v>136</v>
      </c>
      <c r="D3396" t="s">
        <v>127</v>
      </c>
      <c r="E3396" t="s">
        <v>53</v>
      </c>
      <c r="F3396" t="s">
        <v>114</v>
      </c>
      <c r="G3396">
        <v>112323</v>
      </c>
      <c r="H3396" s="75">
        <v>42636</v>
      </c>
      <c r="I3396" t="s">
        <v>115</v>
      </c>
      <c r="J3396">
        <v>5000</v>
      </c>
      <c r="K3396">
        <v>198.78700000000001</v>
      </c>
      <c r="L3396">
        <v>25.1525</v>
      </c>
      <c r="M3396">
        <v>14321.16</v>
      </c>
      <c r="N3396" t="s">
        <v>15</v>
      </c>
    </row>
    <row r="3397" spans="1:15" x14ac:dyDescent="0.2">
      <c r="A3397" t="s">
        <v>125</v>
      </c>
      <c r="B3397" t="s">
        <v>140</v>
      </c>
      <c r="C3397" t="s">
        <v>136</v>
      </c>
      <c r="D3397" t="s">
        <v>127</v>
      </c>
      <c r="E3397" t="s">
        <v>53</v>
      </c>
      <c r="F3397" t="s">
        <v>114</v>
      </c>
      <c r="G3397">
        <v>112323</v>
      </c>
      <c r="H3397" s="75">
        <v>42636</v>
      </c>
      <c r="I3397" t="s">
        <v>116</v>
      </c>
      <c r="J3397">
        <v>2.5</v>
      </c>
      <c r="K3397">
        <v>0</v>
      </c>
      <c r="M3397">
        <v>14321.16</v>
      </c>
      <c r="N3397" t="s">
        <v>17</v>
      </c>
    </row>
    <row r="3398" spans="1:15" x14ac:dyDescent="0.2">
      <c r="A3398" t="s">
        <v>125</v>
      </c>
      <c r="B3398" t="s">
        <v>140</v>
      </c>
      <c r="C3398" t="s">
        <v>136</v>
      </c>
      <c r="D3398" t="s">
        <v>127</v>
      </c>
      <c r="E3398" t="s">
        <v>53</v>
      </c>
      <c r="F3398" t="s">
        <v>114</v>
      </c>
      <c r="G3398">
        <v>112323</v>
      </c>
      <c r="H3398" s="75">
        <v>42666</v>
      </c>
      <c r="I3398" t="s">
        <v>115</v>
      </c>
      <c r="J3398">
        <v>5000</v>
      </c>
      <c r="K3398">
        <v>202.422</v>
      </c>
      <c r="L3398">
        <v>24.700900000000001</v>
      </c>
      <c r="M3398">
        <v>14523.582</v>
      </c>
      <c r="N3398" t="s">
        <v>15</v>
      </c>
    </row>
    <row r="3399" spans="1:15" x14ac:dyDescent="0.2">
      <c r="A3399" t="s">
        <v>125</v>
      </c>
      <c r="B3399" t="s">
        <v>140</v>
      </c>
      <c r="C3399" t="s">
        <v>136</v>
      </c>
      <c r="D3399" t="s">
        <v>127</v>
      </c>
      <c r="E3399" t="s">
        <v>53</v>
      </c>
      <c r="F3399" t="s">
        <v>114</v>
      </c>
      <c r="G3399">
        <v>112323</v>
      </c>
      <c r="H3399" s="75">
        <v>42666</v>
      </c>
      <c r="I3399" t="s">
        <v>116</v>
      </c>
      <c r="J3399">
        <v>2.5</v>
      </c>
      <c r="K3399">
        <v>0</v>
      </c>
      <c r="M3399">
        <v>14523.582</v>
      </c>
      <c r="N3399" t="s">
        <v>17</v>
      </c>
    </row>
    <row r="3400" spans="1:15" x14ac:dyDescent="0.2">
      <c r="A3400" t="s">
        <v>125</v>
      </c>
      <c r="B3400" t="s">
        <v>140</v>
      </c>
      <c r="C3400" t="s">
        <v>136</v>
      </c>
      <c r="D3400" t="s">
        <v>127</v>
      </c>
      <c r="E3400" t="s">
        <v>53</v>
      </c>
      <c r="F3400" t="s">
        <v>114</v>
      </c>
      <c r="G3400">
        <v>112323</v>
      </c>
      <c r="H3400" s="75">
        <v>42696</v>
      </c>
      <c r="I3400" t="s">
        <v>115</v>
      </c>
      <c r="J3400">
        <v>5000</v>
      </c>
      <c r="K3400">
        <v>199.63200000000001</v>
      </c>
      <c r="L3400">
        <v>25.046099999999999</v>
      </c>
      <c r="M3400">
        <v>14723.215</v>
      </c>
      <c r="N3400" t="s">
        <v>15</v>
      </c>
    </row>
    <row r="3401" spans="1:15" x14ac:dyDescent="0.2">
      <c r="A3401" t="s">
        <v>125</v>
      </c>
      <c r="B3401" t="s">
        <v>140</v>
      </c>
      <c r="C3401" t="s">
        <v>136</v>
      </c>
      <c r="D3401" t="s">
        <v>127</v>
      </c>
      <c r="E3401" t="s">
        <v>53</v>
      </c>
      <c r="F3401" t="s">
        <v>114</v>
      </c>
      <c r="G3401">
        <v>112323</v>
      </c>
      <c r="H3401" s="75">
        <v>42696</v>
      </c>
      <c r="I3401" t="s">
        <v>118</v>
      </c>
      <c r="J3401">
        <v>7361.61</v>
      </c>
      <c r="K3401">
        <v>0</v>
      </c>
      <c r="M3401">
        <v>14723.215</v>
      </c>
      <c r="N3401" t="s">
        <v>19</v>
      </c>
      <c r="O3401">
        <v>7361.61</v>
      </c>
    </row>
    <row r="3402" spans="1:15" x14ac:dyDescent="0.2">
      <c r="A3402" t="s">
        <v>125</v>
      </c>
      <c r="B3402" t="s">
        <v>140</v>
      </c>
      <c r="C3402" t="s">
        <v>136</v>
      </c>
      <c r="D3402" t="s">
        <v>127</v>
      </c>
      <c r="E3402" t="s">
        <v>53</v>
      </c>
      <c r="F3402" t="s">
        <v>114</v>
      </c>
      <c r="G3402">
        <v>112323</v>
      </c>
      <c r="H3402" s="75">
        <v>42726</v>
      </c>
      <c r="I3402" t="s">
        <v>115</v>
      </c>
      <c r="J3402">
        <v>5000</v>
      </c>
      <c r="K3402">
        <v>201.43700000000001</v>
      </c>
      <c r="L3402">
        <v>24.8217</v>
      </c>
      <c r="M3402">
        <v>14924.651</v>
      </c>
      <c r="N3402" t="s">
        <v>15</v>
      </c>
    </row>
    <row r="3403" spans="1:15" x14ac:dyDescent="0.2">
      <c r="A3403" t="s">
        <v>125</v>
      </c>
      <c r="B3403" t="s">
        <v>140</v>
      </c>
      <c r="C3403" t="s">
        <v>136</v>
      </c>
      <c r="D3403" t="s">
        <v>127</v>
      </c>
      <c r="E3403" t="s">
        <v>53</v>
      </c>
      <c r="F3403" t="s">
        <v>114</v>
      </c>
      <c r="G3403">
        <v>112323</v>
      </c>
      <c r="H3403" s="75">
        <v>42756</v>
      </c>
      <c r="I3403" t="s">
        <v>115</v>
      </c>
      <c r="J3403">
        <v>5000</v>
      </c>
      <c r="K3403">
        <v>198.82599999999999</v>
      </c>
      <c r="L3403">
        <v>25.147600000000001</v>
      </c>
      <c r="M3403">
        <v>15123.477000000001</v>
      </c>
      <c r="N3403" t="s">
        <v>15</v>
      </c>
    </row>
    <row r="3404" spans="1:15" x14ac:dyDescent="0.2">
      <c r="A3404" t="s">
        <v>125</v>
      </c>
      <c r="B3404" t="s">
        <v>140</v>
      </c>
      <c r="C3404" t="s">
        <v>136</v>
      </c>
      <c r="D3404" t="s">
        <v>127</v>
      </c>
      <c r="E3404" t="s">
        <v>53</v>
      </c>
      <c r="F3404" t="s">
        <v>114</v>
      </c>
      <c r="G3404">
        <v>112323</v>
      </c>
      <c r="H3404" s="75">
        <v>42786</v>
      </c>
      <c r="I3404" t="s">
        <v>115</v>
      </c>
      <c r="J3404">
        <v>5000</v>
      </c>
      <c r="K3404">
        <v>202.63200000000001</v>
      </c>
      <c r="L3404">
        <v>24.6752</v>
      </c>
      <c r="M3404">
        <v>15326.11</v>
      </c>
      <c r="N3404" t="s">
        <v>15</v>
      </c>
    </row>
    <row r="3405" spans="1:15" x14ac:dyDescent="0.2">
      <c r="A3405" t="s">
        <v>125</v>
      </c>
      <c r="B3405" t="s">
        <v>140</v>
      </c>
      <c r="C3405" t="s">
        <v>136</v>
      </c>
      <c r="D3405" t="s">
        <v>127</v>
      </c>
      <c r="E3405" t="s">
        <v>53</v>
      </c>
      <c r="F3405" t="s">
        <v>114</v>
      </c>
      <c r="G3405">
        <v>112323</v>
      </c>
      <c r="H3405" s="75">
        <v>42816</v>
      </c>
      <c r="I3405" t="s">
        <v>115</v>
      </c>
      <c r="J3405">
        <v>5000</v>
      </c>
      <c r="K3405">
        <v>197.583</v>
      </c>
      <c r="L3405">
        <v>25.305800000000001</v>
      </c>
      <c r="M3405">
        <v>15523.692999999999</v>
      </c>
      <c r="N3405" t="s">
        <v>15</v>
      </c>
    </row>
    <row r="3406" spans="1:15" x14ac:dyDescent="0.2">
      <c r="A3406" t="s">
        <v>125</v>
      </c>
      <c r="B3406" t="s">
        <v>140</v>
      </c>
      <c r="C3406" t="s">
        <v>136</v>
      </c>
      <c r="D3406" t="s">
        <v>127</v>
      </c>
      <c r="E3406" t="s">
        <v>53</v>
      </c>
      <c r="F3406" t="s">
        <v>114</v>
      </c>
      <c r="G3406">
        <v>112323</v>
      </c>
      <c r="H3406" s="75">
        <v>42816</v>
      </c>
      <c r="I3406" t="s">
        <v>116</v>
      </c>
      <c r="J3406">
        <v>2.5</v>
      </c>
      <c r="K3406">
        <v>0</v>
      </c>
      <c r="M3406">
        <v>15523.692999999999</v>
      </c>
      <c r="N3406" t="s">
        <v>17</v>
      </c>
    </row>
    <row r="3407" spans="1:15" x14ac:dyDescent="0.2">
      <c r="A3407" t="s">
        <v>125</v>
      </c>
      <c r="B3407" t="s">
        <v>140</v>
      </c>
      <c r="C3407" t="s">
        <v>136</v>
      </c>
      <c r="D3407" t="s">
        <v>127</v>
      </c>
      <c r="E3407" t="s">
        <v>53</v>
      </c>
      <c r="F3407" t="s">
        <v>114</v>
      </c>
      <c r="G3407">
        <v>112323</v>
      </c>
      <c r="H3407" s="75">
        <v>42846</v>
      </c>
      <c r="I3407" t="s">
        <v>115</v>
      </c>
      <c r="J3407">
        <v>5000</v>
      </c>
      <c r="K3407">
        <v>199.84899999999999</v>
      </c>
      <c r="L3407">
        <v>25.018799999999999</v>
      </c>
      <c r="M3407">
        <v>15723.541999999999</v>
      </c>
      <c r="N3407" t="s">
        <v>15</v>
      </c>
    </row>
    <row r="3408" spans="1:15" x14ac:dyDescent="0.2">
      <c r="A3408" t="s">
        <v>125</v>
      </c>
      <c r="B3408" t="s">
        <v>140</v>
      </c>
      <c r="C3408" t="s">
        <v>136</v>
      </c>
      <c r="D3408" t="s">
        <v>127</v>
      </c>
      <c r="E3408" t="s">
        <v>53</v>
      </c>
      <c r="F3408" t="s">
        <v>114</v>
      </c>
      <c r="G3408">
        <v>112323</v>
      </c>
      <c r="H3408" s="75">
        <v>42876</v>
      </c>
      <c r="I3408" t="s">
        <v>115</v>
      </c>
      <c r="J3408">
        <v>5000</v>
      </c>
      <c r="K3408">
        <v>202.755</v>
      </c>
      <c r="L3408">
        <v>24.660299999999999</v>
      </c>
      <c r="M3408">
        <v>15926.297</v>
      </c>
      <c r="N3408" t="s">
        <v>15</v>
      </c>
    </row>
    <row r="3409" spans="1:14" x14ac:dyDescent="0.2">
      <c r="A3409" t="s">
        <v>125</v>
      </c>
      <c r="B3409" t="s">
        <v>140</v>
      </c>
      <c r="C3409" t="s">
        <v>136</v>
      </c>
      <c r="D3409" t="s">
        <v>127</v>
      </c>
      <c r="E3409" t="s">
        <v>53</v>
      </c>
      <c r="F3409" t="s">
        <v>114</v>
      </c>
      <c r="G3409">
        <v>112323</v>
      </c>
      <c r="H3409" s="75">
        <v>42906</v>
      </c>
      <c r="I3409" t="s">
        <v>115</v>
      </c>
      <c r="J3409">
        <v>5000</v>
      </c>
      <c r="K3409">
        <v>201.17400000000001</v>
      </c>
      <c r="L3409">
        <v>24.854099999999999</v>
      </c>
      <c r="M3409">
        <v>16127.471</v>
      </c>
      <c r="N3409" t="s">
        <v>15</v>
      </c>
    </row>
    <row r="3410" spans="1:14" x14ac:dyDescent="0.2">
      <c r="A3410" t="s">
        <v>125</v>
      </c>
      <c r="B3410" t="s">
        <v>140</v>
      </c>
      <c r="C3410" t="s">
        <v>136</v>
      </c>
      <c r="D3410" t="s">
        <v>127</v>
      </c>
      <c r="E3410" t="s">
        <v>53</v>
      </c>
      <c r="F3410" t="s">
        <v>114</v>
      </c>
      <c r="G3410">
        <v>112323</v>
      </c>
      <c r="H3410" s="75">
        <v>42906</v>
      </c>
      <c r="I3410" t="s">
        <v>117</v>
      </c>
      <c r="J3410">
        <v>2.5</v>
      </c>
      <c r="K3410">
        <v>0</v>
      </c>
      <c r="M3410">
        <v>16127.471</v>
      </c>
      <c r="N3410" t="s">
        <v>46</v>
      </c>
    </row>
    <row r="3411" spans="1:14" x14ac:dyDescent="0.2">
      <c r="A3411" t="s">
        <v>125</v>
      </c>
      <c r="B3411" t="s">
        <v>140</v>
      </c>
      <c r="C3411" t="s">
        <v>136</v>
      </c>
      <c r="D3411" t="s">
        <v>127</v>
      </c>
      <c r="E3411" t="s">
        <v>53</v>
      </c>
      <c r="F3411" t="s">
        <v>114</v>
      </c>
      <c r="G3411">
        <v>112323</v>
      </c>
      <c r="H3411" s="75">
        <v>42936</v>
      </c>
      <c r="I3411" t="s">
        <v>115</v>
      </c>
      <c r="J3411">
        <v>5000</v>
      </c>
      <c r="K3411">
        <v>196.03899999999999</v>
      </c>
      <c r="L3411">
        <v>25.505099999999999</v>
      </c>
      <c r="M3411">
        <v>16323.511</v>
      </c>
      <c r="N3411" t="s">
        <v>15</v>
      </c>
    </row>
    <row r="3412" spans="1:14" x14ac:dyDescent="0.2">
      <c r="A3412" t="s">
        <v>125</v>
      </c>
      <c r="B3412" t="s">
        <v>140</v>
      </c>
      <c r="C3412" t="s">
        <v>136</v>
      </c>
      <c r="D3412" t="s">
        <v>127</v>
      </c>
      <c r="E3412" t="s">
        <v>53</v>
      </c>
      <c r="F3412" t="s">
        <v>114</v>
      </c>
      <c r="G3412">
        <v>112323</v>
      </c>
      <c r="H3412" s="75">
        <v>42936</v>
      </c>
      <c r="I3412" t="s">
        <v>117</v>
      </c>
      <c r="J3412">
        <v>2.5</v>
      </c>
      <c r="K3412">
        <v>0</v>
      </c>
      <c r="M3412">
        <v>16323.511</v>
      </c>
      <c r="N3412" t="s">
        <v>46</v>
      </c>
    </row>
    <row r="3413" spans="1:14" x14ac:dyDescent="0.2">
      <c r="A3413" t="s">
        <v>125</v>
      </c>
      <c r="B3413" t="s">
        <v>140</v>
      </c>
      <c r="C3413" t="s">
        <v>136</v>
      </c>
      <c r="D3413" t="s">
        <v>127</v>
      </c>
      <c r="E3413" t="s">
        <v>53</v>
      </c>
      <c r="F3413" t="s">
        <v>114</v>
      </c>
      <c r="G3413">
        <v>112323</v>
      </c>
      <c r="H3413" s="75">
        <v>42966</v>
      </c>
      <c r="I3413" t="s">
        <v>115</v>
      </c>
      <c r="J3413">
        <v>5000</v>
      </c>
      <c r="K3413">
        <v>197.84100000000001</v>
      </c>
      <c r="L3413">
        <v>25.2728</v>
      </c>
      <c r="M3413">
        <v>16521.350999999999</v>
      </c>
      <c r="N3413" t="s">
        <v>15</v>
      </c>
    </row>
    <row r="3414" spans="1:14" x14ac:dyDescent="0.2">
      <c r="A3414" t="s">
        <v>125</v>
      </c>
      <c r="B3414" t="s">
        <v>140</v>
      </c>
      <c r="C3414" t="s">
        <v>136</v>
      </c>
      <c r="D3414" t="s">
        <v>127</v>
      </c>
      <c r="E3414" t="s">
        <v>53</v>
      </c>
      <c r="F3414" t="s">
        <v>114</v>
      </c>
      <c r="G3414">
        <v>112323</v>
      </c>
      <c r="H3414" s="75">
        <v>42966</v>
      </c>
      <c r="I3414" t="s">
        <v>25</v>
      </c>
      <c r="J3414">
        <v>-83508.320000000007</v>
      </c>
      <c r="K3414">
        <v>-3304.27</v>
      </c>
      <c r="L3414">
        <v>25.2728</v>
      </c>
      <c r="M3414">
        <v>13217.081</v>
      </c>
      <c r="N3414" t="s">
        <v>16</v>
      </c>
    </row>
    <row r="3415" spans="1:14" x14ac:dyDescent="0.2">
      <c r="A3415" t="s">
        <v>125</v>
      </c>
      <c r="B3415" t="s">
        <v>140</v>
      </c>
      <c r="C3415" t="s">
        <v>136</v>
      </c>
      <c r="D3415" t="s">
        <v>127</v>
      </c>
      <c r="E3415" t="s">
        <v>53</v>
      </c>
      <c r="F3415" t="s">
        <v>114</v>
      </c>
      <c r="G3415">
        <v>112323</v>
      </c>
      <c r="H3415" s="75">
        <v>42996</v>
      </c>
      <c r="I3415" t="s">
        <v>115</v>
      </c>
      <c r="J3415">
        <v>5000</v>
      </c>
      <c r="K3415">
        <v>195.196</v>
      </c>
      <c r="L3415">
        <v>25.615300000000001</v>
      </c>
      <c r="M3415">
        <v>13412.277</v>
      </c>
      <c r="N3415" t="s">
        <v>15</v>
      </c>
    </row>
    <row r="3416" spans="1:14" x14ac:dyDescent="0.2">
      <c r="A3416" t="s">
        <v>125</v>
      </c>
      <c r="B3416" t="s">
        <v>140</v>
      </c>
      <c r="C3416" t="s">
        <v>136</v>
      </c>
      <c r="D3416" t="s">
        <v>127</v>
      </c>
      <c r="E3416" t="s">
        <v>53</v>
      </c>
      <c r="F3416" t="s">
        <v>114</v>
      </c>
      <c r="G3416">
        <v>112323</v>
      </c>
      <c r="H3416" s="75">
        <v>43026</v>
      </c>
      <c r="I3416" t="s">
        <v>115</v>
      </c>
      <c r="J3416">
        <v>5000</v>
      </c>
      <c r="K3416">
        <v>192.48500000000001</v>
      </c>
      <c r="L3416">
        <v>25.975999999999999</v>
      </c>
      <c r="M3416">
        <v>13604.762000000001</v>
      </c>
      <c r="N3416" t="s">
        <v>15</v>
      </c>
    </row>
    <row r="3417" spans="1:14" x14ac:dyDescent="0.2">
      <c r="A3417" t="s">
        <v>125</v>
      </c>
      <c r="B3417" t="s">
        <v>140</v>
      </c>
      <c r="C3417" t="s">
        <v>136</v>
      </c>
      <c r="D3417" t="s">
        <v>127</v>
      </c>
      <c r="E3417" t="s">
        <v>53</v>
      </c>
      <c r="F3417" t="s">
        <v>114</v>
      </c>
      <c r="G3417">
        <v>112323</v>
      </c>
      <c r="H3417" s="75">
        <v>43056</v>
      </c>
      <c r="I3417" t="s">
        <v>115</v>
      </c>
      <c r="J3417">
        <v>5000</v>
      </c>
      <c r="K3417">
        <v>195.04599999999999</v>
      </c>
      <c r="L3417">
        <v>25.635000000000002</v>
      </c>
      <c r="M3417">
        <v>13799.808000000001</v>
      </c>
      <c r="N3417" t="s">
        <v>15</v>
      </c>
    </row>
    <row r="3418" spans="1:14" x14ac:dyDescent="0.2">
      <c r="A3418" t="s">
        <v>125</v>
      </c>
      <c r="B3418" t="s">
        <v>140</v>
      </c>
      <c r="C3418" t="s">
        <v>136</v>
      </c>
      <c r="D3418" t="s">
        <v>127</v>
      </c>
      <c r="E3418" t="s">
        <v>53</v>
      </c>
      <c r="F3418" t="s">
        <v>114</v>
      </c>
      <c r="G3418">
        <v>112323</v>
      </c>
      <c r="H3418" s="75">
        <v>43056</v>
      </c>
      <c r="I3418" t="s">
        <v>117</v>
      </c>
      <c r="J3418">
        <v>2.5</v>
      </c>
      <c r="K3418">
        <v>0</v>
      </c>
      <c r="M3418">
        <v>13799.808000000001</v>
      </c>
      <c r="N3418" t="s">
        <v>46</v>
      </c>
    </row>
    <row r="3419" spans="1:14" x14ac:dyDescent="0.2">
      <c r="A3419" t="s">
        <v>125</v>
      </c>
      <c r="B3419" t="s">
        <v>140</v>
      </c>
      <c r="C3419" t="s">
        <v>136</v>
      </c>
      <c r="D3419" t="s">
        <v>127</v>
      </c>
      <c r="E3419" t="s">
        <v>53</v>
      </c>
      <c r="F3419" t="s">
        <v>114</v>
      </c>
      <c r="G3419">
        <v>112323</v>
      </c>
      <c r="H3419" s="75">
        <v>43086</v>
      </c>
      <c r="I3419" t="s">
        <v>115</v>
      </c>
      <c r="J3419">
        <v>5000</v>
      </c>
      <c r="K3419">
        <v>199.01599999999999</v>
      </c>
      <c r="L3419">
        <v>25.1236</v>
      </c>
      <c r="M3419">
        <v>13998.823</v>
      </c>
      <c r="N3419" t="s">
        <v>15</v>
      </c>
    </row>
    <row r="3420" spans="1:14" x14ac:dyDescent="0.2">
      <c r="A3420" t="s">
        <v>125</v>
      </c>
      <c r="B3420" t="s">
        <v>140</v>
      </c>
      <c r="C3420" t="s">
        <v>136</v>
      </c>
      <c r="D3420" t="s">
        <v>127</v>
      </c>
      <c r="E3420" t="s">
        <v>53</v>
      </c>
      <c r="F3420" t="s">
        <v>114</v>
      </c>
      <c r="G3420">
        <v>112323</v>
      </c>
      <c r="H3420" s="75">
        <v>43116</v>
      </c>
      <c r="I3420" t="s">
        <v>115</v>
      </c>
      <c r="J3420">
        <v>5000</v>
      </c>
      <c r="K3420">
        <v>193.833</v>
      </c>
      <c r="L3420">
        <v>25.795400000000001</v>
      </c>
      <c r="M3420">
        <v>14192.656999999999</v>
      </c>
      <c r="N3420" t="s">
        <v>15</v>
      </c>
    </row>
    <row r="3421" spans="1:14" x14ac:dyDescent="0.2">
      <c r="A3421" t="s">
        <v>125</v>
      </c>
      <c r="B3421" t="s">
        <v>140</v>
      </c>
      <c r="C3421" t="s">
        <v>136</v>
      </c>
      <c r="D3421" t="s">
        <v>127</v>
      </c>
      <c r="E3421" t="s">
        <v>53</v>
      </c>
      <c r="F3421" t="s">
        <v>114</v>
      </c>
      <c r="G3421">
        <v>112323</v>
      </c>
      <c r="H3421" s="75">
        <v>43146</v>
      </c>
      <c r="I3421" t="s">
        <v>115</v>
      </c>
      <c r="J3421">
        <v>5000</v>
      </c>
      <c r="K3421">
        <v>196.41800000000001</v>
      </c>
      <c r="L3421">
        <v>25.4559</v>
      </c>
      <c r="M3421">
        <v>14389.075000000001</v>
      </c>
      <c r="N3421" t="s">
        <v>15</v>
      </c>
    </row>
    <row r="3422" spans="1:14" x14ac:dyDescent="0.2">
      <c r="A3422" t="s">
        <v>125</v>
      </c>
      <c r="B3422" t="s">
        <v>140</v>
      </c>
      <c r="C3422" t="s">
        <v>136</v>
      </c>
      <c r="D3422" t="s">
        <v>127</v>
      </c>
      <c r="E3422" t="s">
        <v>53</v>
      </c>
      <c r="F3422" t="s">
        <v>114</v>
      </c>
      <c r="G3422">
        <v>112323</v>
      </c>
      <c r="H3422" s="75">
        <v>43176</v>
      </c>
      <c r="I3422" t="s">
        <v>115</v>
      </c>
      <c r="J3422">
        <v>5000</v>
      </c>
      <c r="K3422">
        <v>199.56299999999999</v>
      </c>
      <c r="L3422">
        <v>25.0547</v>
      </c>
      <c r="M3422">
        <v>14588.638000000001</v>
      </c>
      <c r="N3422" t="s">
        <v>15</v>
      </c>
    </row>
    <row r="3423" spans="1:14" x14ac:dyDescent="0.2">
      <c r="A3423" t="s">
        <v>125</v>
      </c>
      <c r="B3423" t="s">
        <v>140</v>
      </c>
      <c r="C3423" t="s">
        <v>136</v>
      </c>
      <c r="D3423" t="s">
        <v>127</v>
      </c>
      <c r="E3423" t="s">
        <v>53</v>
      </c>
      <c r="F3423" t="s">
        <v>114</v>
      </c>
      <c r="G3423">
        <v>112323</v>
      </c>
      <c r="H3423" s="75">
        <v>43176</v>
      </c>
      <c r="I3423" t="s">
        <v>116</v>
      </c>
      <c r="J3423">
        <v>2.5</v>
      </c>
      <c r="K3423">
        <v>0</v>
      </c>
      <c r="M3423">
        <v>14588.638000000001</v>
      </c>
      <c r="N3423" t="s">
        <v>17</v>
      </c>
    </row>
    <row r="3424" spans="1:14" x14ac:dyDescent="0.2">
      <c r="A3424" t="s">
        <v>125</v>
      </c>
      <c r="B3424" t="s">
        <v>140</v>
      </c>
      <c r="C3424" t="s">
        <v>136</v>
      </c>
      <c r="D3424" t="s">
        <v>127</v>
      </c>
      <c r="E3424" t="s">
        <v>53</v>
      </c>
      <c r="F3424" t="s">
        <v>114</v>
      </c>
      <c r="G3424">
        <v>112323</v>
      </c>
      <c r="H3424" s="75">
        <v>43206</v>
      </c>
      <c r="I3424" t="s">
        <v>115</v>
      </c>
      <c r="J3424">
        <v>5000</v>
      </c>
      <c r="K3424">
        <v>202.553</v>
      </c>
      <c r="L3424">
        <v>24.684899999999999</v>
      </c>
      <c r="M3424">
        <v>14791.191000000001</v>
      </c>
      <c r="N3424" t="s">
        <v>15</v>
      </c>
    </row>
    <row r="3425" spans="1:15" x14ac:dyDescent="0.2">
      <c r="A3425" t="s">
        <v>125</v>
      </c>
      <c r="B3425" t="s">
        <v>140</v>
      </c>
      <c r="C3425" t="s">
        <v>136</v>
      </c>
      <c r="D3425" t="s">
        <v>127</v>
      </c>
      <c r="E3425" t="s">
        <v>53</v>
      </c>
      <c r="F3425" t="s">
        <v>114</v>
      </c>
      <c r="G3425">
        <v>112323</v>
      </c>
      <c r="H3425" s="75">
        <v>43236</v>
      </c>
      <c r="I3425" t="s">
        <v>115</v>
      </c>
      <c r="J3425">
        <v>5000</v>
      </c>
      <c r="K3425">
        <v>200.16499999999999</v>
      </c>
      <c r="L3425">
        <v>24.979399999999998</v>
      </c>
      <c r="M3425">
        <v>14991.356</v>
      </c>
      <c r="N3425" t="s">
        <v>15</v>
      </c>
    </row>
    <row r="3426" spans="1:15" x14ac:dyDescent="0.2">
      <c r="A3426" t="s">
        <v>125</v>
      </c>
      <c r="B3426" t="s">
        <v>140</v>
      </c>
      <c r="C3426" t="s">
        <v>136</v>
      </c>
      <c r="D3426" t="s">
        <v>127</v>
      </c>
      <c r="E3426" t="s">
        <v>53</v>
      </c>
      <c r="F3426" t="s">
        <v>114</v>
      </c>
      <c r="G3426">
        <v>112323</v>
      </c>
      <c r="H3426" s="75">
        <v>43266</v>
      </c>
      <c r="I3426" t="s">
        <v>115</v>
      </c>
      <c r="J3426">
        <v>5000</v>
      </c>
      <c r="K3426">
        <v>195.29499999999999</v>
      </c>
      <c r="L3426">
        <v>25.6023</v>
      </c>
      <c r="M3426">
        <v>15186.651</v>
      </c>
      <c r="N3426" t="s">
        <v>15</v>
      </c>
    </row>
    <row r="3427" spans="1:15" x14ac:dyDescent="0.2">
      <c r="A3427" t="s">
        <v>125</v>
      </c>
      <c r="B3427" t="s">
        <v>140</v>
      </c>
      <c r="C3427" t="s">
        <v>136</v>
      </c>
      <c r="D3427" t="s">
        <v>127</v>
      </c>
      <c r="E3427" t="s">
        <v>53</v>
      </c>
      <c r="F3427" t="s">
        <v>114</v>
      </c>
      <c r="G3427">
        <v>112323</v>
      </c>
      <c r="H3427" s="75">
        <v>43266</v>
      </c>
      <c r="I3427" t="s">
        <v>116</v>
      </c>
      <c r="J3427">
        <v>2.5</v>
      </c>
      <c r="K3427">
        <v>0</v>
      </c>
      <c r="M3427">
        <v>15186.651</v>
      </c>
      <c r="N3427" t="s">
        <v>17</v>
      </c>
    </row>
    <row r="3428" spans="1:15" x14ac:dyDescent="0.2">
      <c r="A3428" t="s">
        <v>125</v>
      </c>
      <c r="B3428" t="s">
        <v>140</v>
      </c>
      <c r="C3428" t="s">
        <v>136</v>
      </c>
      <c r="D3428" t="s">
        <v>127</v>
      </c>
      <c r="E3428" t="s">
        <v>53</v>
      </c>
      <c r="F3428" t="s">
        <v>114</v>
      </c>
      <c r="G3428">
        <v>112323</v>
      </c>
      <c r="H3428" s="75">
        <v>43296</v>
      </c>
      <c r="I3428" t="s">
        <v>115</v>
      </c>
      <c r="J3428">
        <v>5000</v>
      </c>
      <c r="K3428">
        <v>194.67400000000001</v>
      </c>
      <c r="L3428">
        <v>25.683900000000001</v>
      </c>
      <c r="M3428">
        <v>15381.325000000001</v>
      </c>
      <c r="N3428" t="s">
        <v>15</v>
      </c>
    </row>
    <row r="3429" spans="1:15" x14ac:dyDescent="0.2">
      <c r="A3429" t="s">
        <v>125</v>
      </c>
      <c r="B3429" t="s">
        <v>140</v>
      </c>
      <c r="C3429" t="s">
        <v>136</v>
      </c>
      <c r="D3429" t="s">
        <v>127</v>
      </c>
      <c r="E3429" t="s">
        <v>53</v>
      </c>
      <c r="F3429" t="s">
        <v>114</v>
      </c>
      <c r="G3429">
        <v>112323</v>
      </c>
      <c r="H3429" s="75">
        <v>43326</v>
      </c>
      <c r="I3429" t="s">
        <v>115</v>
      </c>
      <c r="J3429">
        <v>5000</v>
      </c>
      <c r="K3429">
        <v>197.74100000000001</v>
      </c>
      <c r="L3429">
        <v>25.285499999999999</v>
      </c>
      <c r="M3429">
        <v>15579.066000000001</v>
      </c>
      <c r="N3429" t="s">
        <v>15</v>
      </c>
    </row>
    <row r="3430" spans="1:15" x14ac:dyDescent="0.2">
      <c r="A3430" t="s">
        <v>125</v>
      </c>
      <c r="B3430" t="s">
        <v>140</v>
      </c>
      <c r="C3430" t="s">
        <v>136</v>
      </c>
      <c r="D3430" t="s">
        <v>127</v>
      </c>
      <c r="E3430" t="s">
        <v>53</v>
      </c>
      <c r="F3430" t="s">
        <v>114</v>
      </c>
      <c r="G3430">
        <v>112323</v>
      </c>
      <c r="H3430" s="75">
        <v>43356</v>
      </c>
      <c r="I3430" t="s">
        <v>115</v>
      </c>
      <c r="J3430">
        <v>5000</v>
      </c>
      <c r="K3430">
        <v>192.685</v>
      </c>
      <c r="L3430">
        <v>25.949100000000001</v>
      </c>
      <c r="M3430">
        <v>15771.751</v>
      </c>
      <c r="N3430" t="s">
        <v>15</v>
      </c>
    </row>
    <row r="3431" spans="1:15" x14ac:dyDescent="0.2">
      <c r="A3431" t="s">
        <v>125</v>
      </c>
      <c r="B3431" t="s">
        <v>140</v>
      </c>
      <c r="C3431" t="s">
        <v>136</v>
      </c>
      <c r="D3431" t="s">
        <v>127</v>
      </c>
      <c r="E3431" t="s">
        <v>53</v>
      </c>
      <c r="F3431" t="s">
        <v>114</v>
      </c>
      <c r="G3431">
        <v>112323</v>
      </c>
      <c r="H3431" s="75">
        <v>43386</v>
      </c>
      <c r="I3431" t="s">
        <v>115</v>
      </c>
      <c r="J3431">
        <v>5000</v>
      </c>
      <c r="K3431">
        <v>194.68600000000001</v>
      </c>
      <c r="L3431">
        <v>25.682400000000001</v>
      </c>
      <c r="M3431">
        <v>15966.437</v>
      </c>
      <c r="N3431" t="s">
        <v>15</v>
      </c>
    </row>
    <row r="3432" spans="1:15" x14ac:dyDescent="0.2">
      <c r="A3432" t="s">
        <v>125</v>
      </c>
      <c r="B3432" t="s">
        <v>140</v>
      </c>
      <c r="C3432" t="s">
        <v>136</v>
      </c>
      <c r="D3432" t="s">
        <v>127</v>
      </c>
      <c r="E3432" t="s">
        <v>53</v>
      </c>
      <c r="F3432" t="s">
        <v>114</v>
      </c>
      <c r="G3432">
        <v>112323</v>
      </c>
      <c r="H3432" s="75">
        <v>43386</v>
      </c>
      <c r="I3432" t="s">
        <v>118</v>
      </c>
      <c r="J3432">
        <v>7983.22</v>
      </c>
      <c r="K3432">
        <v>0</v>
      </c>
      <c r="M3432">
        <v>15966.437</v>
      </c>
      <c r="N3432" t="s">
        <v>19</v>
      </c>
      <c r="O3432">
        <v>7983.22</v>
      </c>
    </row>
    <row r="3433" spans="1:15" x14ac:dyDescent="0.2">
      <c r="A3433" t="s">
        <v>125</v>
      </c>
      <c r="B3433" t="s">
        <v>140</v>
      </c>
      <c r="C3433" t="s">
        <v>136</v>
      </c>
      <c r="D3433" t="s">
        <v>127</v>
      </c>
      <c r="E3433" t="s">
        <v>53</v>
      </c>
      <c r="F3433" t="s">
        <v>114</v>
      </c>
      <c r="G3433">
        <v>112323</v>
      </c>
      <c r="H3433" s="75">
        <v>43416</v>
      </c>
      <c r="I3433" t="s">
        <v>115</v>
      </c>
      <c r="J3433">
        <v>5000</v>
      </c>
      <c r="K3433">
        <v>195.37700000000001</v>
      </c>
      <c r="L3433">
        <v>25.5916</v>
      </c>
      <c r="M3433">
        <v>16161.814</v>
      </c>
      <c r="N3433" t="s">
        <v>15</v>
      </c>
    </row>
    <row r="3434" spans="1:15" x14ac:dyDescent="0.2">
      <c r="A3434" t="s">
        <v>125</v>
      </c>
      <c r="B3434" t="s">
        <v>140</v>
      </c>
      <c r="C3434" t="s">
        <v>136</v>
      </c>
      <c r="D3434" t="s">
        <v>127</v>
      </c>
      <c r="E3434" t="s">
        <v>53</v>
      </c>
      <c r="F3434" t="s">
        <v>114</v>
      </c>
      <c r="G3434">
        <v>112323</v>
      </c>
      <c r="H3434" s="75">
        <v>43446</v>
      </c>
      <c r="I3434" t="s">
        <v>115</v>
      </c>
      <c r="J3434">
        <v>5000</v>
      </c>
      <c r="K3434">
        <v>191.11799999999999</v>
      </c>
      <c r="L3434">
        <v>26.161799999999999</v>
      </c>
      <c r="M3434">
        <v>16352.932000000001</v>
      </c>
      <c r="N3434" t="s">
        <v>15</v>
      </c>
    </row>
    <row r="3435" spans="1:15" x14ac:dyDescent="0.2">
      <c r="A3435" t="s">
        <v>125</v>
      </c>
      <c r="B3435" t="s">
        <v>140</v>
      </c>
      <c r="C3435" t="s">
        <v>136</v>
      </c>
      <c r="D3435" t="s">
        <v>127</v>
      </c>
      <c r="E3435" t="s">
        <v>53</v>
      </c>
      <c r="F3435" t="s">
        <v>114</v>
      </c>
      <c r="G3435">
        <v>112323</v>
      </c>
      <c r="H3435" s="75">
        <v>43476</v>
      </c>
      <c r="I3435" t="s">
        <v>115</v>
      </c>
      <c r="J3435">
        <v>5000</v>
      </c>
      <c r="K3435">
        <v>188.01300000000001</v>
      </c>
      <c r="L3435">
        <v>26.593900000000001</v>
      </c>
      <c r="M3435">
        <v>16540.945</v>
      </c>
      <c r="N3435" t="s">
        <v>15</v>
      </c>
    </row>
    <row r="3436" spans="1:15" x14ac:dyDescent="0.2">
      <c r="A3436" t="s">
        <v>125</v>
      </c>
      <c r="B3436" t="s">
        <v>140</v>
      </c>
      <c r="C3436" t="s">
        <v>136</v>
      </c>
      <c r="D3436" t="s">
        <v>127</v>
      </c>
      <c r="E3436" t="s">
        <v>53</v>
      </c>
      <c r="F3436" t="s">
        <v>114</v>
      </c>
      <c r="G3436">
        <v>112323</v>
      </c>
      <c r="H3436" s="75">
        <v>43506</v>
      </c>
      <c r="I3436" t="s">
        <v>115</v>
      </c>
      <c r="J3436">
        <v>5000</v>
      </c>
      <c r="K3436">
        <v>184.69499999999999</v>
      </c>
      <c r="L3436">
        <v>27.0716</v>
      </c>
      <c r="M3436">
        <v>16725.64</v>
      </c>
      <c r="N3436" t="s">
        <v>15</v>
      </c>
    </row>
    <row r="3437" spans="1:15" x14ac:dyDescent="0.2">
      <c r="A3437" t="s">
        <v>125</v>
      </c>
      <c r="B3437" t="s">
        <v>140</v>
      </c>
      <c r="C3437" t="s">
        <v>136</v>
      </c>
      <c r="D3437" t="s">
        <v>127</v>
      </c>
      <c r="E3437" t="s">
        <v>53</v>
      </c>
      <c r="F3437" t="s">
        <v>114</v>
      </c>
      <c r="G3437">
        <v>112323</v>
      </c>
      <c r="H3437" s="75">
        <v>43506</v>
      </c>
      <c r="I3437" t="s">
        <v>117</v>
      </c>
      <c r="J3437">
        <v>2.5</v>
      </c>
      <c r="K3437">
        <v>0</v>
      </c>
      <c r="M3437">
        <v>16725.64</v>
      </c>
      <c r="N3437" t="s">
        <v>46</v>
      </c>
    </row>
    <row r="3438" spans="1:15" x14ac:dyDescent="0.2">
      <c r="A3438" t="s">
        <v>125</v>
      </c>
      <c r="B3438" t="s">
        <v>140</v>
      </c>
      <c r="C3438" t="s">
        <v>136</v>
      </c>
      <c r="D3438" t="s">
        <v>127</v>
      </c>
      <c r="E3438" t="s">
        <v>53</v>
      </c>
      <c r="F3438" t="s">
        <v>114</v>
      </c>
      <c r="G3438">
        <v>112323</v>
      </c>
      <c r="H3438" s="75">
        <v>43536</v>
      </c>
      <c r="I3438" t="s">
        <v>115</v>
      </c>
      <c r="J3438">
        <v>5000</v>
      </c>
      <c r="K3438">
        <v>187.779</v>
      </c>
      <c r="L3438">
        <v>26.627099999999999</v>
      </c>
      <c r="M3438">
        <v>16913.419000000002</v>
      </c>
      <c r="N3438" t="s">
        <v>15</v>
      </c>
    </row>
    <row r="3439" spans="1:15" x14ac:dyDescent="0.2">
      <c r="A3439" t="s">
        <v>125</v>
      </c>
      <c r="B3439" t="s">
        <v>140</v>
      </c>
      <c r="C3439" t="s">
        <v>136</v>
      </c>
      <c r="D3439" t="s">
        <v>127</v>
      </c>
      <c r="E3439" t="s">
        <v>53</v>
      </c>
      <c r="F3439" t="s">
        <v>114</v>
      </c>
      <c r="G3439">
        <v>112323</v>
      </c>
      <c r="H3439" s="75">
        <v>43566</v>
      </c>
      <c r="I3439" t="s">
        <v>115</v>
      </c>
      <c r="J3439">
        <v>5000</v>
      </c>
      <c r="K3439">
        <v>187.74799999999999</v>
      </c>
      <c r="L3439">
        <v>26.631399999999999</v>
      </c>
      <c r="M3439">
        <v>17101.167000000001</v>
      </c>
      <c r="N3439" t="s">
        <v>15</v>
      </c>
    </row>
    <row r="3440" spans="1:15" x14ac:dyDescent="0.2">
      <c r="A3440" t="s">
        <v>125</v>
      </c>
      <c r="B3440" t="s">
        <v>140</v>
      </c>
      <c r="C3440" t="s">
        <v>136</v>
      </c>
      <c r="D3440" t="s">
        <v>127</v>
      </c>
      <c r="E3440" t="s">
        <v>53</v>
      </c>
      <c r="F3440" t="s">
        <v>114</v>
      </c>
      <c r="G3440">
        <v>112323</v>
      </c>
      <c r="H3440" s="75">
        <v>43596</v>
      </c>
      <c r="I3440" t="s">
        <v>115</v>
      </c>
      <c r="J3440">
        <v>5000</v>
      </c>
      <c r="K3440">
        <v>190.83699999999999</v>
      </c>
      <c r="L3440">
        <v>26.200399999999998</v>
      </c>
      <c r="M3440">
        <v>17292.004000000001</v>
      </c>
      <c r="N3440" t="s">
        <v>15</v>
      </c>
    </row>
    <row r="3441" spans="1:15" x14ac:dyDescent="0.2">
      <c r="A3441" t="s">
        <v>125</v>
      </c>
      <c r="B3441" t="s">
        <v>140</v>
      </c>
      <c r="C3441" t="s">
        <v>136</v>
      </c>
      <c r="D3441" t="s">
        <v>127</v>
      </c>
      <c r="E3441" t="s">
        <v>53</v>
      </c>
      <c r="F3441" t="s">
        <v>114</v>
      </c>
      <c r="G3441">
        <v>112323</v>
      </c>
      <c r="H3441" s="75">
        <v>43596</v>
      </c>
      <c r="I3441" t="s">
        <v>117</v>
      </c>
      <c r="J3441">
        <v>2.5</v>
      </c>
      <c r="K3441">
        <v>0</v>
      </c>
      <c r="M3441">
        <v>17292.004000000001</v>
      </c>
      <c r="N3441" t="s">
        <v>46</v>
      </c>
    </row>
    <row r="3442" spans="1:15" x14ac:dyDescent="0.2">
      <c r="A3442" t="s">
        <v>125</v>
      </c>
      <c r="B3442" t="s">
        <v>140</v>
      </c>
      <c r="C3442" t="s">
        <v>136</v>
      </c>
      <c r="D3442" t="s">
        <v>127</v>
      </c>
      <c r="E3442" t="s">
        <v>53</v>
      </c>
      <c r="F3442" t="s">
        <v>114</v>
      </c>
      <c r="G3442">
        <v>112323</v>
      </c>
      <c r="H3442" s="75">
        <v>43626</v>
      </c>
      <c r="I3442" t="s">
        <v>115</v>
      </c>
      <c r="J3442">
        <v>5000</v>
      </c>
      <c r="K3442">
        <v>190.59100000000001</v>
      </c>
      <c r="L3442">
        <v>26.234200000000001</v>
      </c>
      <c r="M3442">
        <v>17482.595000000001</v>
      </c>
      <c r="N3442" t="s">
        <v>15</v>
      </c>
    </row>
    <row r="3443" spans="1:15" x14ac:dyDescent="0.2">
      <c r="A3443" t="s">
        <v>125</v>
      </c>
      <c r="B3443" t="s">
        <v>140</v>
      </c>
      <c r="C3443" t="s">
        <v>136</v>
      </c>
      <c r="D3443" t="s">
        <v>127</v>
      </c>
      <c r="E3443" t="s">
        <v>53</v>
      </c>
      <c r="F3443" t="s">
        <v>114</v>
      </c>
      <c r="G3443">
        <v>112323</v>
      </c>
      <c r="H3443" s="75">
        <v>43626</v>
      </c>
      <c r="I3443" t="s">
        <v>118</v>
      </c>
      <c r="J3443">
        <v>8741.2999999999993</v>
      </c>
      <c r="K3443">
        <v>0</v>
      </c>
      <c r="M3443">
        <v>17482.595000000001</v>
      </c>
      <c r="N3443" t="s">
        <v>19</v>
      </c>
      <c r="O3443">
        <v>8741.2999999999993</v>
      </c>
    </row>
    <row r="3444" spans="1:15" x14ac:dyDescent="0.2">
      <c r="A3444" t="s">
        <v>125</v>
      </c>
      <c r="B3444" t="s">
        <v>140</v>
      </c>
      <c r="C3444" t="s">
        <v>136</v>
      </c>
      <c r="D3444" t="s">
        <v>127</v>
      </c>
      <c r="E3444" t="s">
        <v>53</v>
      </c>
      <c r="F3444" t="s">
        <v>114</v>
      </c>
      <c r="G3444">
        <v>112323</v>
      </c>
      <c r="H3444" s="75">
        <v>43626</v>
      </c>
      <c r="I3444" t="s">
        <v>25</v>
      </c>
      <c r="J3444">
        <v>-91728.320000000007</v>
      </c>
      <c r="K3444">
        <v>-3496.5189999999998</v>
      </c>
      <c r="L3444">
        <v>26.234200000000001</v>
      </c>
      <c r="M3444">
        <v>13986.075999999999</v>
      </c>
      <c r="N3444" t="s">
        <v>16</v>
      </c>
    </row>
    <row r="3445" spans="1:15" x14ac:dyDescent="0.2">
      <c r="A3445" t="s">
        <v>125</v>
      </c>
      <c r="B3445" t="s">
        <v>140</v>
      </c>
      <c r="C3445" t="s">
        <v>136</v>
      </c>
      <c r="D3445" t="s">
        <v>127</v>
      </c>
      <c r="E3445" t="s">
        <v>53</v>
      </c>
      <c r="F3445" t="s">
        <v>114</v>
      </c>
      <c r="G3445">
        <v>112323</v>
      </c>
      <c r="H3445" s="75">
        <v>43656</v>
      </c>
      <c r="I3445" t="s">
        <v>115</v>
      </c>
      <c r="J3445">
        <v>5000</v>
      </c>
      <c r="K3445">
        <v>192.77799999999999</v>
      </c>
      <c r="L3445">
        <v>25.936499999999999</v>
      </c>
      <c r="M3445">
        <v>14178.853999999999</v>
      </c>
      <c r="N3445" t="s">
        <v>15</v>
      </c>
    </row>
    <row r="3446" spans="1:15" x14ac:dyDescent="0.2">
      <c r="A3446" t="s">
        <v>125</v>
      </c>
      <c r="B3446" t="s">
        <v>140</v>
      </c>
      <c r="C3446" t="s">
        <v>136</v>
      </c>
      <c r="D3446" t="s">
        <v>127</v>
      </c>
      <c r="E3446" t="s">
        <v>53</v>
      </c>
      <c r="F3446" t="s">
        <v>114</v>
      </c>
      <c r="G3446">
        <v>112323</v>
      </c>
      <c r="H3446" s="75">
        <v>43686</v>
      </c>
      <c r="I3446" t="s">
        <v>115</v>
      </c>
      <c r="J3446">
        <v>5000</v>
      </c>
      <c r="K3446">
        <v>191.37799999999999</v>
      </c>
      <c r="L3446">
        <v>26.1264</v>
      </c>
      <c r="M3446">
        <v>14370.232</v>
      </c>
      <c r="N3446" t="s">
        <v>15</v>
      </c>
    </row>
    <row r="3447" spans="1:15" x14ac:dyDescent="0.2">
      <c r="A3447" t="s">
        <v>125</v>
      </c>
      <c r="B3447" t="s">
        <v>140</v>
      </c>
      <c r="C3447" t="s">
        <v>136</v>
      </c>
      <c r="D3447" t="s">
        <v>127</v>
      </c>
      <c r="E3447" t="s">
        <v>53</v>
      </c>
      <c r="F3447" t="s">
        <v>114</v>
      </c>
      <c r="G3447">
        <v>112323</v>
      </c>
      <c r="H3447" s="75">
        <v>43686</v>
      </c>
      <c r="I3447" t="s">
        <v>117</v>
      </c>
      <c r="J3447">
        <v>2.5</v>
      </c>
      <c r="K3447">
        <v>0</v>
      </c>
      <c r="M3447">
        <v>14370.232</v>
      </c>
      <c r="N3447" t="s">
        <v>46</v>
      </c>
    </row>
    <row r="3448" spans="1:15" x14ac:dyDescent="0.2">
      <c r="A3448" t="s">
        <v>125</v>
      </c>
      <c r="B3448" t="s">
        <v>140</v>
      </c>
      <c r="C3448" t="s">
        <v>136</v>
      </c>
      <c r="D3448" t="s">
        <v>127</v>
      </c>
      <c r="E3448" t="s">
        <v>53</v>
      </c>
      <c r="F3448" t="s">
        <v>114</v>
      </c>
      <c r="G3448">
        <v>112323</v>
      </c>
      <c r="H3448" s="75">
        <v>43686</v>
      </c>
      <c r="I3448" t="s">
        <v>118</v>
      </c>
      <c r="J3448">
        <v>7185.12</v>
      </c>
      <c r="K3448">
        <v>0</v>
      </c>
      <c r="M3448">
        <v>14370.232</v>
      </c>
      <c r="N3448" t="s">
        <v>19</v>
      </c>
      <c r="O3448">
        <v>7185.12</v>
      </c>
    </row>
    <row r="3449" spans="1:15" x14ac:dyDescent="0.2">
      <c r="A3449" t="s">
        <v>125</v>
      </c>
      <c r="B3449" t="s">
        <v>140</v>
      </c>
      <c r="C3449" t="s">
        <v>136</v>
      </c>
      <c r="D3449" t="s">
        <v>127</v>
      </c>
      <c r="E3449" t="s">
        <v>53</v>
      </c>
      <c r="F3449" t="s">
        <v>114</v>
      </c>
      <c r="G3449">
        <v>112323</v>
      </c>
      <c r="H3449" s="75">
        <v>43716</v>
      </c>
      <c r="I3449" t="s">
        <v>115</v>
      </c>
      <c r="J3449">
        <v>5000</v>
      </c>
      <c r="K3449">
        <v>186.46899999999999</v>
      </c>
      <c r="L3449">
        <v>26.8141</v>
      </c>
      <c r="M3449">
        <v>14556.700999999999</v>
      </c>
      <c r="N3449" t="s">
        <v>15</v>
      </c>
    </row>
    <row r="3450" spans="1:15" x14ac:dyDescent="0.2">
      <c r="A3450" t="s">
        <v>125</v>
      </c>
      <c r="B3450" t="s">
        <v>140</v>
      </c>
      <c r="C3450" t="s">
        <v>136</v>
      </c>
      <c r="D3450" t="s">
        <v>127</v>
      </c>
      <c r="E3450" t="s">
        <v>53</v>
      </c>
      <c r="F3450" t="s">
        <v>114</v>
      </c>
      <c r="G3450">
        <v>112323</v>
      </c>
      <c r="H3450" s="75">
        <v>43746</v>
      </c>
      <c r="I3450" t="s">
        <v>115</v>
      </c>
      <c r="J3450">
        <v>5000</v>
      </c>
      <c r="K3450">
        <v>185.54400000000001</v>
      </c>
      <c r="L3450">
        <v>26.947800000000001</v>
      </c>
      <c r="M3450">
        <v>14742.245000000001</v>
      </c>
      <c r="N3450" t="s">
        <v>15</v>
      </c>
    </row>
    <row r="3451" spans="1:15" x14ac:dyDescent="0.2">
      <c r="A3451" t="s">
        <v>125</v>
      </c>
      <c r="B3451" t="s">
        <v>140</v>
      </c>
      <c r="C3451" t="s">
        <v>136</v>
      </c>
      <c r="D3451" t="s">
        <v>127</v>
      </c>
      <c r="E3451" t="s">
        <v>53</v>
      </c>
      <c r="F3451" t="s">
        <v>114</v>
      </c>
      <c r="G3451">
        <v>112323</v>
      </c>
      <c r="H3451" s="75">
        <v>43776</v>
      </c>
      <c r="I3451" t="s">
        <v>115</v>
      </c>
      <c r="J3451">
        <v>5000</v>
      </c>
      <c r="K3451">
        <v>182.428</v>
      </c>
      <c r="L3451">
        <v>27.408000000000001</v>
      </c>
      <c r="M3451">
        <v>14924.673000000001</v>
      </c>
      <c r="N3451" t="s">
        <v>15</v>
      </c>
    </row>
    <row r="3452" spans="1:15" x14ac:dyDescent="0.2">
      <c r="A3452" t="s">
        <v>125</v>
      </c>
      <c r="B3452" t="s">
        <v>140</v>
      </c>
      <c r="C3452" t="s">
        <v>136</v>
      </c>
      <c r="D3452" t="s">
        <v>127</v>
      </c>
      <c r="E3452" t="s">
        <v>53</v>
      </c>
      <c r="F3452" t="s">
        <v>114</v>
      </c>
      <c r="G3452">
        <v>112323</v>
      </c>
      <c r="H3452" s="75">
        <v>43776</v>
      </c>
      <c r="I3452" t="s">
        <v>117</v>
      </c>
      <c r="J3452">
        <v>2.5</v>
      </c>
      <c r="K3452">
        <v>0</v>
      </c>
      <c r="M3452">
        <v>14924.673000000001</v>
      </c>
      <c r="N3452" t="s">
        <v>46</v>
      </c>
    </row>
    <row r="3453" spans="1:15" x14ac:dyDescent="0.2">
      <c r="A3453" t="s">
        <v>125</v>
      </c>
      <c r="B3453" t="s">
        <v>140</v>
      </c>
      <c r="C3453" t="s">
        <v>136</v>
      </c>
      <c r="D3453" t="s">
        <v>127</v>
      </c>
      <c r="E3453" t="s">
        <v>53</v>
      </c>
      <c r="F3453" t="s">
        <v>114</v>
      </c>
      <c r="G3453">
        <v>112323</v>
      </c>
      <c r="H3453" s="75">
        <v>43776</v>
      </c>
      <c r="I3453" t="s">
        <v>118</v>
      </c>
      <c r="J3453">
        <v>7462.34</v>
      </c>
      <c r="K3453">
        <v>0</v>
      </c>
      <c r="M3453">
        <v>14924.673000000001</v>
      </c>
      <c r="N3453" t="s">
        <v>19</v>
      </c>
      <c r="O3453">
        <v>7462.34</v>
      </c>
    </row>
    <row r="3454" spans="1:15" x14ac:dyDescent="0.2">
      <c r="A3454" t="s">
        <v>125</v>
      </c>
      <c r="B3454" t="s">
        <v>140</v>
      </c>
      <c r="C3454" t="s">
        <v>136</v>
      </c>
      <c r="D3454" t="s">
        <v>127</v>
      </c>
      <c r="E3454" t="s">
        <v>53</v>
      </c>
      <c r="F3454" t="s">
        <v>114</v>
      </c>
      <c r="G3454">
        <v>112323</v>
      </c>
      <c r="H3454" s="75">
        <v>43806</v>
      </c>
      <c r="I3454" t="s">
        <v>115</v>
      </c>
      <c r="J3454">
        <v>5000</v>
      </c>
      <c r="K3454">
        <v>180.822</v>
      </c>
      <c r="L3454">
        <v>27.651499999999999</v>
      </c>
      <c r="M3454">
        <v>15105.495000000001</v>
      </c>
      <c r="N3454" t="s">
        <v>15</v>
      </c>
    </row>
    <row r="3455" spans="1:15" x14ac:dyDescent="0.2">
      <c r="A3455" t="s">
        <v>125</v>
      </c>
      <c r="B3455" t="s">
        <v>140</v>
      </c>
      <c r="C3455" t="s">
        <v>136</v>
      </c>
      <c r="D3455" t="s">
        <v>127</v>
      </c>
      <c r="E3455" t="s">
        <v>53</v>
      </c>
      <c r="F3455" t="s">
        <v>114</v>
      </c>
      <c r="G3455">
        <v>112323</v>
      </c>
      <c r="H3455" s="75">
        <v>43836</v>
      </c>
      <c r="I3455" t="s">
        <v>115</v>
      </c>
      <c r="J3455">
        <v>5000</v>
      </c>
      <c r="K3455">
        <v>176.07599999999999</v>
      </c>
      <c r="L3455">
        <v>28.396899999999999</v>
      </c>
      <c r="M3455">
        <v>15281.571</v>
      </c>
      <c r="N3455" t="s">
        <v>15</v>
      </c>
    </row>
    <row r="3456" spans="1:15" x14ac:dyDescent="0.2">
      <c r="A3456" t="s">
        <v>125</v>
      </c>
      <c r="B3456" t="s">
        <v>140</v>
      </c>
      <c r="C3456" t="s">
        <v>136</v>
      </c>
      <c r="D3456" t="s">
        <v>127</v>
      </c>
      <c r="E3456" t="s">
        <v>53</v>
      </c>
      <c r="F3456" t="s">
        <v>114</v>
      </c>
      <c r="G3456">
        <v>112323</v>
      </c>
      <c r="H3456" s="75">
        <v>43866</v>
      </c>
      <c r="I3456" t="s">
        <v>115</v>
      </c>
      <c r="J3456">
        <v>5000</v>
      </c>
      <c r="K3456">
        <v>179.25200000000001</v>
      </c>
      <c r="L3456">
        <v>27.893699999999999</v>
      </c>
      <c r="M3456">
        <v>15460.823</v>
      </c>
      <c r="N3456" t="s">
        <v>15</v>
      </c>
    </row>
    <row r="3457" spans="1:15" x14ac:dyDescent="0.2">
      <c r="A3457" t="s">
        <v>125</v>
      </c>
      <c r="B3457" t="s">
        <v>140</v>
      </c>
      <c r="C3457" t="s">
        <v>136</v>
      </c>
      <c r="D3457" t="s">
        <v>127</v>
      </c>
      <c r="E3457" t="s">
        <v>53</v>
      </c>
      <c r="F3457" t="s">
        <v>114</v>
      </c>
      <c r="G3457">
        <v>112323</v>
      </c>
      <c r="H3457" s="75">
        <v>43896</v>
      </c>
      <c r="I3457" t="s">
        <v>115</v>
      </c>
      <c r="J3457">
        <v>5000</v>
      </c>
      <c r="K3457">
        <v>174.73099999999999</v>
      </c>
      <c r="L3457">
        <v>28.615300000000001</v>
      </c>
      <c r="M3457">
        <v>15635.554</v>
      </c>
      <c r="N3457" t="s">
        <v>15</v>
      </c>
    </row>
    <row r="3458" spans="1:15" x14ac:dyDescent="0.2">
      <c r="A3458" t="s">
        <v>125</v>
      </c>
      <c r="B3458" t="s">
        <v>140</v>
      </c>
      <c r="C3458" t="s">
        <v>136</v>
      </c>
      <c r="D3458" t="s">
        <v>127</v>
      </c>
      <c r="E3458" t="s">
        <v>53</v>
      </c>
      <c r="F3458" t="s">
        <v>114</v>
      </c>
      <c r="G3458">
        <v>112323</v>
      </c>
      <c r="H3458" s="75">
        <v>43926</v>
      </c>
      <c r="I3458" t="s">
        <v>115</v>
      </c>
      <c r="J3458">
        <v>5000</v>
      </c>
      <c r="K3458">
        <v>173.333</v>
      </c>
      <c r="L3458">
        <v>28.846299999999999</v>
      </c>
      <c r="M3458">
        <v>15808.887000000001</v>
      </c>
      <c r="N3458" t="s">
        <v>15</v>
      </c>
    </row>
    <row r="3459" spans="1:15" x14ac:dyDescent="0.2">
      <c r="A3459" t="s">
        <v>125</v>
      </c>
      <c r="B3459" t="s">
        <v>140</v>
      </c>
      <c r="C3459" t="s">
        <v>136</v>
      </c>
      <c r="D3459" t="s">
        <v>127</v>
      </c>
      <c r="E3459" t="s">
        <v>53</v>
      </c>
      <c r="F3459" t="s">
        <v>114</v>
      </c>
      <c r="G3459">
        <v>112323</v>
      </c>
      <c r="H3459" s="75">
        <v>43956</v>
      </c>
      <c r="I3459" t="s">
        <v>115</v>
      </c>
      <c r="J3459">
        <v>5000</v>
      </c>
      <c r="K3459">
        <v>169.2</v>
      </c>
      <c r="L3459">
        <v>29.550799999999999</v>
      </c>
      <c r="M3459">
        <v>15978.087</v>
      </c>
      <c r="N3459" t="s">
        <v>15</v>
      </c>
    </row>
    <row r="3460" spans="1:15" x14ac:dyDescent="0.2">
      <c r="A3460" t="s">
        <v>125</v>
      </c>
      <c r="B3460" t="s">
        <v>140</v>
      </c>
      <c r="C3460" t="s">
        <v>136</v>
      </c>
      <c r="D3460" t="s">
        <v>127</v>
      </c>
      <c r="E3460" t="s">
        <v>53</v>
      </c>
      <c r="F3460" t="s">
        <v>114</v>
      </c>
      <c r="G3460">
        <v>112323</v>
      </c>
      <c r="H3460" s="75">
        <v>43986</v>
      </c>
      <c r="I3460" t="s">
        <v>115</v>
      </c>
      <c r="J3460">
        <v>5000</v>
      </c>
      <c r="K3460">
        <v>169.74799999999999</v>
      </c>
      <c r="L3460">
        <v>29.455400000000001</v>
      </c>
      <c r="M3460">
        <v>16147.835999999999</v>
      </c>
      <c r="N3460" t="s">
        <v>15</v>
      </c>
    </row>
    <row r="3461" spans="1:15" x14ac:dyDescent="0.2">
      <c r="A3461" t="s">
        <v>125</v>
      </c>
      <c r="B3461" t="s">
        <v>140</v>
      </c>
      <c r="C3461" t="s">
        <v>136</v>
      </c>
      <c r="D3461" t="s">
        <v>127</v>
      </c>
      <c r="E3461" t="s">
        <v>53</v>
      </c>
      <c r="F3461" t="s">
        <v>114</v>
      </c>
      <c r="G3461">
        <v>112323</v>
      </c>
      <c r="H3461" s="75">
        <v>44016</v>
      </c>
      <c r="I3461" t="s">
        <v>115</v>
      </c>
      <c r="J3461">
        <v>5000</v>
      </c>
      <c r="K3461">
        <v>165.85</v>
      </c>
      <c r="L3461">
        <v>30.1478</v>
      </c>
      <c r="M3461">
        <v>16313.684999999999</v>
      </c>
      <c r="N3461" t="s">
        <v>15</v>
      </c>
    </row>
    <row r="3462" spans="1:15" x14ac:dyDescent="0.2">
      <c r="A3462" t="s">
        <v>125</v>
      </c>
      <c r="B3462" t="s">
        <v>140</v>
      </c>
      <c r="C3462" t="s">
        <v>136</v>
      </c>
      <c r="D3462" t="s">
        <v>127</v>
      </c>
      <c r="E3462" t="s">
        <v>53</v>
      </c>
      <c r="F3462" t="s">
        <v>114</v>
      </c>
      <c r="G3462">
        <v>112323</v>
      </c>
      <c r="H3462" s="75">
        <v>44046</v>
      </c>
      <c r="I3462" t="s">
        <v>115</v>
      </c>
      <c r="J3462">
        <v>5000</v>
      </c>
      <c r="K3462">
        <v>165.63499999999999</v>
      </c>
      <c r="L3462">
        <v>30.186900000000001</v>
      </c>
      <c r="M3462">
        <v>16479.32</v>
      </c>
      <c r="N3462" t="s">
        <v>15</v>
      </c>
    </row>
    <row r="3463" spans="1:15" x14ac:dyDescent="0.2">
      <c r="A3463" t="s">
        <v>125</v>
      </c>
      <c r="B3463" t="s">
        <v>140</v>
      </c>
      <c r="C3463" t="s">
        <v>136</v>
      </c>
      <c r="D3463" t="s">
        <v>127</v>
      </c>
      <c r="E3463" t="s">
        <v>53</v>
      </c>
      <c r="F3463" t="s">
        <v>114</v>
      </c>
      <c r="G3463">
        <v>112323</v>
      </c>
      <c r="H3463" s="75">
        <v>44076</v>
      </c>
      <c r="I3463" t="s">
        <v>115</v>
      </c>
      <c r="J3463">
        <v>5000</v>
      </c>
      <c r="K3463">
        <v>167.03800000000001</v>
      </c>
      <c r="L3463">
        <v>29.933299999999999</v>
      </c>
      <c r="M3463">
        <v>16646.358</v>
      </c>
      <c r="N3463" t="s">
        <v>15</v>
      </c>
    </row>
    <row r="3464" spans="1:15" x14ac:dyDescent="0.2">
      <c r="A3464" t="s">
        <v>125</v>
      </c>
      <c r="B3464" t="s">
        <v>140</v>
      </c>
      <c r="C3464" t="s">
        <v>136</v>
      </c>
      <c r="D3464" t="s">
        <v>127</v>
      </c>
      <c r="E3464" t="s">
        <v>53</v>
      </c>
      <c r="F3464" t="s">
        <v>114</v>
      </c>
      <c r="G3464">
        <v>112323</v>
      </c>
      <c r="H3464" s="75">
        <v>44076</v>
      </c>
      <c r="I3464" t="s">
        <v>118</v>
      </c>
      <c r="J3464">
        <v>8323.18</v>
      </c>
      <c r="K3464">
        <v>0</v>
      </c>
      <c r="M3464">
        <v>16646.358</v>
      </c>
      <c r="N3464" t="s">
        <v>19</v>
      </c>
      <c r="O3464">
        <v>8323.18</v>
      </c>
    </row>
    <row r="3465" spans="1:15" x14ac:dyDescent="0.2">
      <c r="A3465" t="s">
        <v>125</v>
      </c>
      <c r="B3465" t="s">
        <v>140</v>
      </c>
      <c r="C3465" t="s">
        <v>136</v>
      </c>
      <c r="D3465" t="s">
        <v>127</v>
      </c>
      <c r="E3465" t="s">
        <v>53</v>
      </c>
      <c r="F3465" t="s">
        <v>114</v>
      </c>
      <c r="G3465">
        <v>112323</v>
      </c>
      <c r="H3465" s="75">
        <v>44106</v>
      </c>
      <c r="I3465" t="s">
        <v>115</v>
      </c>
      <c r="J3465">
        <v>5000</v>
      </c>
      <c r="K3465">
        <v>167.815</v>
      </c>
      <c r="L3465">
        <v>29.794799999999999</v>
      </c>
      <c r="M3465">
        <v>16814.172999999999</v>
      </c>
      <c r="N3465" t="s">
        <v>15</v>
      </c>
    </row>
    <row r="3466" spans="1:15" x14ac:dyDescent="0.2">
      <c r="A3466" t="s">
        <v>125</v>
      </c>
      <c r="B3466" t="s">
        <v>140</v>
      </c>
      <c r="C3466" t="s">
        <v>136</v>
      </c>
      <c r="D3466" t="s">
        <v>127</v>
      </c>
      <c r="E3466" t="s">
        <v>53</v>
      </c>
      <c r="F3466" t="s">
        <v>114</v>
      </c>
      <c r="G3466">
        <v>112323</v>
      </c>
      <c r="H3466" s="75">
        <v>44136</v>
      </c>
      <c r="I3466" t="s">
        <v>115</v>
      </c>
      <c r="J3466">
        <v>5000</v>
      </c>
      <c r="K3466">
        <v>163.821</v>
      </c>
      <c r="L3466">
        <v>30.521000000000001</v>
      </c>
      <c r="M3466">
        <v>16977.993999999999</v>
      </c>
      <c r="N3466" t="s">
        <v>15</v>
      </c>
    </row>
    <row r="3467" spans="1:15" x14ac:dyDescent="0.2">
      <c r="A3467" t="s">
        <v>125</v>
      </c>
      <c r="B3467" t="s">
        <v>140</v>
      </c>
      <c r="C3467" t="s">
        <v>136</v>
      </c>
      <c r="D3467" t="s">
        <v>127</v>
      </c>
      <c r="E3467" t="s">
        <v>53</v>
      </c>
      <c r="F3467" t="s">
        <v>114</v>
      </c>
      <c r="G3467">
        <v>112323</v>
      </c>
      <c r="H3467" s="75">
        <v>44166</v>
      </c>
      <c r="I3467" t="s">
        <v>115</v>
      </c>
      <c r="J3467">
        <v>5000</v>
      </c>
      <c r="K3467">
        <v>159.75299999999999</v>
      </c>
      <c r="L3467">
        <v>31.298300000000001</v>
      </c>
      <c r="M3467">
        <v>17137.746999999999</v>
      </c>
      <c r="N3467" t="s">
        <v>15</v>
      </c>
    </row>
    <row r="3468" spans="1:15" x14ac:dyDescent="0.2">
      <c r="A3468" t="s">
        <v>125</v>
      </c>
      <c r="B3468" t="s">
        <v>140</v>
      </c>
      <c r="C3468" t="s">
        <v>136</v>
      </c>
      <c r="D3468" t="s">
        <v>127</v>
      </c>
      <c r="E3468" t="s">
        <v>53</v>
      </c>
      <c r="F3468" t="s">
        <v>114</v>
      </c>
      <c r="G3468">
        <v>112323</v>
      </c>
      <c r="H3468" s="75">
        <v>44166</v>
      </c>
      <c r="I3468" t="s">
        <v>117</v>
      </c>
      <c r="J3468">
        <v>2.5</v>
      </c>
      <c r="K3468">
        <v>0</v>
      </c>
      <c r="M3468">
        <v>17137.746999999999</v>
      </c>
      <c r="N3468" t="s">
        <v>46</v>
      </c>
    </row>
    <row r="3469" spans="1:15" x14ac:dyDescent="0.2">
      <c r="A3469" t="s">
        <v>125</v>
      </c>
      <c r="B3469" t="s">
        <v>140</v>
      </c>
      <c r="C3469" t="s">
        <v>136</v>
      </c>
      <c r="D3469" t="s">
        <v>127</v>
      </c>
      <c r="E3469" t="s">
        <v>53</v>
      </c>
      <c r="F3469" t="s">
        <v>114</v>
      </c>
      <c r="G3469">
        <v>112323</v>
      </c>
      <c r="H3469" s="75">
        <v>44196</v>
      </c>
      <c r="I3469" t="s">
        <v>115</v>
      </c>
      <c r="J3469">
        <v>5000</v>
      </c>
      <c r="K3469">
        <v>155.86099999999999</v>
      </c>
      <c r="L3469">
        <v>32.079900000000002</v>
      </c>
      <c r="M3469">
        <v>17293.608</v>
      </c>
      <c r="N3469" t="s">
        <v>15</v>
      </c>
    </row>
    <row r="3470" spans="1:15" x14ac:dyDescent="0.2">
      <c r="A3470" t="s">
        <v>125</v>
      </c>
      <c r="B3470" t="s">
        <v>140</v>
      </c>
      <c r="C3470" t="s">
        <v>136</v>
      </c>
      <c r="D3470" t="s">
        <v>127</v>
      </c>
      <c r="E3470" t="s">
        <v>53</v>
      </c>
      <c r="F3470" t="s">
        <v>114</v>
      </c>
      <c r="G3470">
        <v>112323</v>
      </c>
      <c r="H3470" s="75">
        <v>44226</v>
      </c>
      <c r="I3470" t="s">
        <v>115</v>
      </c>
      <c r="J3470">
        <v>5000</v>
      </c>
      <c r="K3470">
        <v>158.90799999999999</v>
      </c>
      <c r="L3470">
        <v>31.4648</v>
      </c>
      <c r="M3470">
        <v>17452.516</v>
      </c>
      <c r="N3470" t="s">
        <v>15</v>
      </c>
    </row>
    <row r="3471" spans="1:15" x14ac:dyDescent="0.2">
      <c r="A3471" t="s">
        <v>125</v>
      </c>
      <c r="B3471" t="s">
        <v>140</v>
      </c>
      <c r="C3471" t="s">
        <v>136</v>
      </c>
      <c r="D3471" t="s">
        <v>127</v>
      </c>
      <c r="E3471" t="s">
        <v>53</v>
      </c>
      <c r="F3471" t="s">
        <v>114</v>
      </c>
      <c r="G3471">
        <v>112323</v>
      </c>
      <c r="H3471" s="75">
        <v>44226</v>
      </c>
      <c r="I3471" t="s">
        <v>116</v>
      </c>
      <c r="J3471">
        <v>2.5</v>
      </c>
      <c r="K3471">
        <v>0</v>
      </c>
      <c r="M3471">
        <v>17452.516</v>
      </c>
      <c r="N3471" t="s">
        <v>17</v>
      </c>
    </row>
    <row r="3472" spans="1:15" x14ac:dyDescent="0.2">
      <c r="A3472" t="s">
        <v>125</v>
      </c>
      <c r="B3472" t="s">
        <v>140</v>
      </c>
      <c r="C3472" t="s">
        <v>136</v>
      </c>
      <c r="D3472" t="s">
        <v>127</v>
      </c>
      <c r="E3472" t="s">
        <v>53</v>
      </c>
      <c r="F3472" t="s">
        <v>114</v>
      </c>
      <c r="G3472">
        <v>112323</v>
      </c>
      <c r="H3472" s="75">
        <v>44256</v>
      </c>
      <c r="I3472" t="s">
        <v>115</v>
      </c>
      <c r="J3472">
        <v>5000</v>
      </c>
      <c r="K3472">
        <v>161.96799999999999</v>
      </c>
      <c r="L3472">
        <v>30.8703</v>
      </c>
      <c r="M3472">
        <v>17614.484</v>
      </c>
      <c r="N3472" t="s">
        <v>15</v>
      </c>
    </row>
    <row r="3473" spans="1:14" x14ac:dyDescent="0.2">
      <c r="A3473" t="s">
        <v>125</v>
      </c>
      <c r="B3473" t="s">
        <v>140</v>
      </c>
      <c r="C3473" t="s">
        <v>136</v>
      </c>
      <c r="D3473" t="s">
        <v>127</v>
      </c>
      <c r="E3473" t="s">
        <v>53</v>
      </c>
      <c r="F3473" t="s">
        <v>114</v>
      </c>
      <c r="G3473">
        <v>112323</v>
      </c>
      <c r="H3473" s="75">
        <v>44256</v>
      </c>
      <c r="I3473" t="s">
        <v>25</v>
      </c>
      <c r="J3473">
        <v>-108752.96000000001</v>
      </c>
      <c r="K3473">
        <v>-3522.8969999999999</v>
      </c>
      <c r="L3473">
        <v>30.8703</v>
      </c>
      <c r="M3473">
        <v>14091.587</v>
      </c>
      <c r="N3473" t="s">
        <v>16</v>
      </c>
    </row>
    <row r="3474" spans="1:14" x14ac:dyDescent="0.2">
      <c r="A3474" t="s">
        <v>125</v>
      </c>
      <c r="B3474" t="s">
        <v>140</v>
      </c>
      <c r="C3474" t="s">
        <v>136</v>
      </c>
      <c r="D3474" t="s">
        <v>127</v>
      </c>
      <c r="E3474" t="s">
        <v>53</v>
      </c>
      <c r="F3474" t="s">
        <v>114</v>
      </c>
      <c r="G3474">
        <v>112323</v>
      </c>
      <c r="H3474" s="75">
        <v>44286</v>
      </c>
      <c r="I3474" t="s">
        <v>115</v>
      </c>
      <c r="J3474">
        <v>5000</v>
      </c>
      <c r="K3474">
        <v>164.06299999999999</v>
      </c>
      <c r="L3474">
        <v>30.475999999999999</v>
      </c>
      <c r="M3474">
        <v>14255.651</v>
      </c>
      <c r="N3474" t="s">
        <v>15</v>
      </c>
    </row>
    <row r="3475" spans="1:14" x14ac:dyDescent="0.2">
      <c r="A3475" t="s">
        <v>125</v>
      </c>
      <c r="B3475" t="s">
        <v>140</v>
      </c>
      <c r="C3475" t="s">
        <v>136</v>
      </c>
      <c r="D3475" t="s">
        <v>127</v>
      </c>
      <c r="E3475" t="s">
        <v>53</v>
      </c>
      <c r="F3475" t="s">
        <v>114</v>
      </c>
      <c r="G3475">
        <v>112323</v>
      </c>
      <c r="H3475" s="75">
        <v>44316</v>
      </c>
      <c r="I3475" t="s">
        <v>115</v>
      </c>
      <c r="J3475">
        <v>5000</v>
      </c>
      <c r="K3475">
        <v>166.386</v>
      </c>
      <c r="L3475">
        <v>30.050599999999999</v>
      </c>
      <c r="M3475">
        <v>14422.037</v>
      </c>
      <c r="N3475" t="s">
        <v>15</v>
      </c>
    </row>
    <row r="3476" spans="1:14" x14ac:dyDescent="0.2">
      <c r="A3476" t="s">
        <v>125</v>
      </c>
      <c r="B3476" t="s">
        <v>140</v>
      </c>
      <c r="C3476" t="s">
        <v>136</v>
      </c>
      <c r="D3476" t="s">
        <v>127</v>
      </c>
      <c r="E3476" t="s">
        <v>53</v>
      </c>
      <c r="F3476" t="s">
        <v>114</v>
      </c>
      <c r="G3476">
        <v>112323</v>
      </c>
      <c r="H3476" s="75">
        <v>44346</v>
      </c>
      <c r="I3476" t="s">
        <v>115</v>
      </c>
      <c r="J3476">
        <v>5000</v>
      </c>
      <c r="K3476">
        <v>165.374</v>
      </c>
      <c r="L3476">
        <v>30.234500000000001</v>
      </c>
      <c r="M3476">
        <v>14587.411</v>
      </c>
      <c r="N3476" t="s">
        <v>15</v>
      </c>
    </row>
    <row r="3477" spans="1:14" x14ac:dyDescent="0.2">
      <c r="A3477" t="s">
        <v>125</v>
      </c>
      <c r="B3477" t="s">
        <v>140</v>
      </c>
      <c r="C3477" t="s">
        <v>136</v>
      </c>
      <c r="D3477" t="s">
        <v>127</v>
      </c>
      <c r="E3477" t="s">
        <v>53</v>
      </c>
      <c r="F3477" t="s">
        <v>114</v>
      </c>
      <c r="G3477">
        <v>112323</v>
      </c>
      <c r="H3477" s="75">
        <v>44346</v>
      </c>
      <c r="I3477" t="s">
        <v>116</v>
      </c>
      <c r="J3477">
        <v>2.5</v>
      </c>
      <c r="K3477">
        <v>0</v>
      </c>
      <c r="M3477">
        <v>14587.411</v>
      </c>
      <c r="N3477" t="s">
        <v>17</v>
      </c>
    </row>
    <row r="3478" spans="1:14" x14ac:dyDescent="0.2">
      <c r="A3478" t="s">
        <v>125</v>
      </c>
      <c r="B3478" t="s">
        <v>140</v>
      </c>
      <c r="C3478" t="s">
        <v>136</v>
      </c>
      <c r="D3478" t="s">
        <v>127</v>
      </c>
      <c r="E3478" t="s">
        <v>53</v>
      </c>
      <c r="F3478" t="s">
        <v>114</v>
      </c>
      <c r="G3478">
        <v>112323</v>
      </c>
      <c r="H3478" s="75">
        <v>44376</v>
      </c>
      <c r="I3478" t="s">
        <v>115</v>
      </c>
      <c r="J3478">
        <v>5000</v>
      </c>
      <c r="K3478">
        <v>163.03800000000001</v>
      </c>
      <c r="L3478">
        <v>30.6677</v>
      </c>
      <c r="M3478">
        <v>14750.449000000001</v>
      </c>
      <c r="N3478" t="s">
        <v>15</v>
      </c>
    </row>
    <row r="3479" spans="1:14" x14ac:dyDescent="0.2">
      <c r="A3479" t="s">
        <v>125</v>
      </c>
      <c r="B3479" t="s">
        <v>140</v>
      </c>
      <c r="C3479" t="s">
        <v>136</v>
      </c>
      <c r="D3479" t="s">
        <v>127</v>
      </c>
      <c r="E3479" t="s">
        <v>53</v>
      </c>
      <c r="F3479" t="s">
        <v>114</v>
      </c>
      <c r="G3479">
        <v>112323</v>
      </c>
      <c r="H3479" s="75">
        <v>44406</v>
      </c>
      <c r="I3479" t="s">
        <v>115</v>
      </c>
      <c r="J3479">
        <v>5000</v>
      </c>
      <c r="K3479">
        <v>159.48500000000001</v>
      </c>
      <c r="L3479">
        <v>31.350899999999999</v>
      </c>
      <c r="M3479">
        <v>14909.933000000001</v>
      </c>
      <c r="N3479" t="s">
        <v>15</v>
      </c>
    </row>
    <row r="3480" spans="1:14" x14ac:dyDescent="0.2">
      <c r="A3480" t="s">
        <v>125</v>
      </c>
      <c r="B3480" t="s">
        <v>140</v>
      </c>
      <c r="C3480" t="s">
        <v>136</v>
      </c>
      <c r="D3480" t="s">
        <v>127</v>
      </c>
      <c r="E3480" t="s">
        <v>53</v>
      </c>
      <c r="F3480" t="s">
        <v>114</v>
      </c>
      <c r="G3480">
        <v>112323</v>
      </c>
      <c r="H3480" s="75">
        <v>44436</v>
      </c>
      <c r="I3480" t="s">
        <v>115</v>
      </c>
      <c r="J3480">
        <v>5000</v>
      </c>
      <c r="K3480">
        <v>158.86500000000001</v>
      </c>
      <c r="L3480">
        <v>31.473299999999998</v>
      </c>
      <c r="M3480">
        <v>15068.798000000001</v>
      </c>
      <c r="N3480" t="s">
        <v>15</v>
      </c>
    </row>
    <row r="3481" spans="1:14" x14ac:dyDescent="0.2">
      <c r="A3481" t="s">
        <v>125</v>
      </c>
      <c r="B3481" t="s">
        <v>140</v>
      </c>
      <c r="C3481" t="s">
        <v>136</v>
      </c>
      <c r="D3481" t="s">
        <v>127</v>
      </c>
      <c r="E3481" t="s">
        <v>53</v>
      </c>
      <c r="F3481" t="s">
        <v>114</v>
      </c>
      <c r="G3481">
        <v>112323</v>
      </c>
      <c r="H3481" s="75">
        <v>44466</v>
      </c>
      <c r="I3481" t="s">
        <v>115</v>
      </c>
      <c r="J3481">
        <v>5000</v>
      </c>
      <c r="K3481">
        <v>161.23099999999999</v>
      </c>
      <c r="L3481">
        <v>31.011399999999998</v>
      </c>
      <c r="M3481">
        <v>15230.029</v>
      </c>
      <c r="N3481" t="s">
        <v>15</v>
      </c>
    </row>
    <row r="3482" spans="1:14" x14ac:dyDescent="0.2">
      <c r="A3482" t="s">
        <v>125</v>
      </c>
      <c r="B3482" t="s">
        <v>140</v>
      </c>
      <c r="C3482" t="s">
        <v>136</v>
      </c>
      <c r="D3482" t="s">
        <v>127</v>
      </c>
      <c r="E3482" t="s">
        <v>53</v>
      </c>
      <c r="F3482" t="s">
        <v>114</v>
      </c>
      <c r="G3482">
        <v>112323</v>
      </c>
      <c r="H3482" s="75">
        <v>44496</v>
      </c>
      <c r="I3482" t="s">
        <v>115</v>
      </c>
      <c r="J3482">
        <v>5000</v>
      </c>
      <c r="K3482">
        <v>160.75200000000001</v>
      </c>
      <c r="L3482">
        <v>31.103899999999999</v>
      </c>
      <c r="M3482">
        <v>15390.781000000001</v>
      </c>
      <c r="N3482" t="s">
        <v>15</v>
      </c>
    </row>
    <row r="3483" spans="1:14" x14ac:dyDescent="0.2">
      <c r="A3483" t="s">
        <v>125</v>
      </c>
      <c r="B3483" t="s">
        <v>140</v>
      </c>
      <c r="C3483" t="s">
        <v>136</v>
      </c>
      <c r="D3483" t="s">
        <v>127</v>
      </c>
      <c r="E3483" t="s">
        <v>53</v>
      </c>
      <c r="F3483" t="s">
        <v>114</v>
      </c>
      <c r="G3483">
        <v>112323</v>
      </c>
      <c r="H3483" s="75">
        <v>44526</v>
      </c>
      <c r="I3483" t="s">
        <v>115</v>
      </c>
      <c r="J3483">
        <v>5000</v>
      </c>
      <c r="K3483">
        <v>156.185</v>
      </c>
      <c r="L3483">
        <v>32.013199999999998</v>
      </c>
      <c r="M3483">
        <v>15546.966</v>
      </c>
      <c r="N3483" t="s">
        <v>15</v>
      </c>
    </row>
    <row r="3484" spans="1:14" x14ac:dyDescent="0.2">
      <c r="A3484" t="s">
        <v>125</v>
      </c>
      <c r="B3484" t="s">
        <v>140</v>
      </c>
      <c r="C3484" t="s">
        <v>136</v>
      </c>
      <c r="D3484" t="s">
        <v>127</v>
      </c>
      <c r="E3484" t="s">
        <v>53</v>
      </c>
      <c r="F3484" t="s">
        <v>114</v>
      </c>
      <c r="G3484">
        <v>112323</v>
      </c>
      <c r="H3484" s="75">
        <v>44556</v>
      </c>
      <c r="I3484" t="s">
        <v>115</v>
      </c>
      <c r="J3484">
        <v>5000</v>
      </c>
      <c r="K3484">
        <v>156.10599999999999</v>
      </c>
      <c r="L3484">
        <v>32.029600000000002</v>
      </c>
      <c r="M3484">
        <v>15703.072</v>
      </c>
      <c r="N3484" t="s">
        <v>15</v>
      </c>
    </row>
    <row r="3485" spans="1:14" x14ac:dyDescent="0.2">
      <c r="A3485" t="s">
        <v>125</v>
      </c>
      <c r="B3485" t="s">
        <v>140</v>
      </c>
      <c r="C3485" t="s">
        <v>136</v>
      </c>
      <c r="D3485" t="s">
        <v>127</v>
      </c>
      <c r="E3485" t="s">
        <v>53</v>
      </c>
      <c r="F3485" t="s">
        <v>114</v>
      </c>
      <c r="G3485">
        <v>112323</v>
      </c>
      <c r="H3485" s="75">
        <v>44556</v>
      </c>
      <c r="I3485" t="s">
        <v>117</v>
      </c>
      <c r="J3485">
        <v>2.5</v>
      </c>
      <c r="K3485">
        <v>0</v>
      </c>
      <c r="M3485">
        <v>15703.072</v>
      </c>
      <c r="N3485" t="s">
        <v>46</v>
      </c>
    </row>
    <row r="3486" spans="1:14" x14ac:dyDescent="0.2">
      <c r="A3486" t="s">
        <v>125</v>
      </c>
      <c r="B3486" t="s">
        <v>140</v>
      </c>
      <c r="C3486" t="s">
        <v>136</v>
      </c>
      <c r="D3486" t="s">
        <v>127</v>
      </c>
      <c r="E3486" t="s">
        <v>53</v>
      </c>
      <c r="F3486" t="s">
        <v>114</v>
      </c>
      <c r="G3486">
        <v>112323</v>
      </c>
      <c r="H3486" s="75">
        <v>44586</v>
      </c>
      <c r="I3486" t="s">
        <v>128</v>
      </c>
      <c r="J3486">
        <v>-502963.05</v>
      </c>
      <c r="K3486">
        <v>-15703.072</v>
      </c>
      <c r="L3486">
        <v>32.029600000000002</v>
      </c>
      <c r="M3486">
        <v>0</v>
      </c>
      <c r="N3486" t="s">
        <v>16</v>
      </c>
    </row>
    <row r="3487" spans="1:14" x14ac:dyDescent="0.2">
      <c r="A3487" t="s">
        <v>18</v>
      </c>
      <c r="B3487" t="s">
        <v>141</v>
      </c>
      <c r="C3487" t="s">
        <v>142</v>
      </c>
      <c r="D3487" t="s">
        <v>113</v>
      </c>
      <c r="E3487" t="s">
        <v>53</v>
      </c>
      <c r="F3487" t="s">
        <v>114</v>
      </c>
      <c r="G3487">
        <v>119062</v>
      </c>
      <c r="H3487" s="75">
        <v>40386</v>
      </c>
      <c r="I3487" t="s">
        <v>115</v>
      </c>
      <c r="J3487">
        <v>5000</v>
      </c>
      <c r="K3487">
        <v>251.90199999999999</v>
      </c>
      <c r="L3487">
        <v>19.849</v>
      </c>
      <c r="M3487">
        <v>251.90199999999999</v>
      </c>
      <c r="N3487" t="s">
        <v>15</v>
      </c>
    </row>
    <row r="3488" spans="1:14" x14ac:dyDescent="0.2">
      <c r="A3488" t="s">
        <v>18</v>
      </c>
      <c r="B3488" t="s">
        <v>141</v>
      </c>
      <c r="C3488" t="s">
        <v>142</v>
      </c>
      <c r="D3488" t="s">
        <v>113</v>
      </c>
      <c r="E3488" t="s">
        <v>53</v>
      </c>
      <c r="F3488" t="s">
        <v>114</v>
      </c>
      <c r="G3488">
        <v>119062</v>
      </c>
      <c r="H3488" s="75">
        <v>40416</v>
      </c>
      <c r="I3488" t="s">
        <v>115</v>
      </c>
      <c r="J3488">
        <v>5000</v>
      </c>
      <c r="K3488">
        <v>249.00399999999999</v>
      </c>
      <c r="L3488">
        <v>20.079999999999998</v>
      </c>
      <c r="M3488">
        <v>500.90600000000001</v>
      </c>
      <c r="N3488" t="s">
        <v>15</v>
      </c>
    </row>
    <row r="3489" spans="1:15" x14ac:dyDescent="0.2">
      <c r="A3489" t="s">
        <v>18</v>
      </c>
      <c r="B3489" t="s">
        <v>141</v>
      </c>
      <c r="C3489" t="s">
        <v>142</v>
      </c>
      <c r="D3489" t="s">
        <v>113</v>
      </c>
      <c r="E3489" t="s">
        <v>53</v>
      </c>
      <c r="F3489" t="s">
        <v>114</v>
      </c>
      <c r="G3489">
        <v>119062</v>
      </c>
      <c r="H3489" s="75">
        <v>40416</v>
      </c>
      <c r="I3489" t="s">
        <v>117</v>
      </c>
      <c r="J3489">
        <v>2.5</v>
      </c>
      <c r="K3489">
        <v>0</v>
      </c>
      <c r="M3489">
        <v>500.90600000000001</v>
      </c>
      <c r="N3489" t="s">
        <v>46</v>
      </c>
    </row>
    <row r="3490" spans="1:15" x14ac:dyDescent="0.2">
      <c r="A3490" t="s">
        <v>18</v>
      </c>
      <c r="B3490" t="s">
        <v>141</v>
      </c>
      <c r="C3490" t="s">
        <v>142</v>
      </c>
      <c r="D3490" t="s">
        <v>113</v>
      </c>
      <c r="E3490" t="s">
        <v>53</v>
      </c>
      <c r="F3490" t="s">
        <v>114</v>
      </c>
      <c r="G3490">
        <v>119062</v>
      </c>
      <c r="H3490" s="75">
        <v>40446</v>
      </c>
      <c r="I3490" t="s">
        <v>115</v>
      </c>
      <c r="J3490">
        <v>5000</v>
      </c>
      <c r="K3490">
        <v>249.33699999999999</v>
      </c>
      <c r="L3490">
        <v>20.053100000000001</v>
      </c>
      <c r="M3490">
        <v>750.24300000000005</v>
      </c>
      <c r="N3490" t="s">
        <v>15</v>
      </c>
    </row>
    <row r="3491" spans="1:15" x14ac:dyDescent="0.2">
      <c r="A3491" t="s">
        <v>18</v>
      </c>
      <c r="B3491" t="s">
        <v>141</v>
      </c>
      <c r="C3491" t="s">
        <v>142</v>
      </c>
      <c r="D3491" t="s">
        <v>113</v>
      </c>
      <c r="E3491" t="s">
        <v>53</v>
      </c>
      <c r="F3491" t="s">
        <v>114</v>
      </c>
      <c r="G3491">
        <v>119062</v>
      </c>
      <c r="H3491" s="75">
        <v>40476</v>
      </c>
      <c r="I3491" t="s">
        <v>115</v>
      </c>
      <c r="J3491">
        <v>5000</v>
      </c>
      <c r="K3491">
        <v>243.83199999999999</v>
      </c>
      <c r="L3491">
        <v>20.506</v>
      </c>
      <c r="M3491">
        <v>994.07500000000005</v>
      </c>
      <c r="N3491" t="s">
        <v>15</v>
      </c>
    </row>
    <row r="3492" spans="1:15" x14ac:dyDescent="0.2">
      <c r="A3492" t="s">
        <v>18</v>
      </c>
      <c r="B3492" t="s">
        <v>141</v>
      </c>
      <c r="C3492" t="s">
        <v>142</v>
      </c>
      <c r="D3492" t="s">
        <v>113</v>
      </c>
      <c r="E3492" t="s">
        <v>53</v>
      </c>
      <c r="F3492" t="s">
        <v>114</v>
      </c>
      <c r="G3492">
        <v>119062</v>
      </c>
      <c r="H3492" s="75">
        <v>40506</v>
      </c>
      <c r="I3492" t="s">
        <v>115</v>
      </c>
      <c r="J3492">
        <v>5000</v>
      </c>
      <c r="K3492">
        <v>246.18199999999999</v>
      </c>
      <c r="L3492">
        <v>20.310199999999998</v>
      </c>
      <c r="M3492">
        <v>1240.2570000000001</v>
      </c>
      <c r="N3492" t="s">
        <v>15</v>
      </c>
    </row>
    <row r="3493" spans="1:15" x14ac:dyDescent="0.2">
      <c r="A3493" t="s">
        <v>18</v>
      </c>
      <c r="B3493" t="s">
        <v>141</v>
      </c>
      <c r="C3493" t="s">
        <v>142</v>
      </c>
      <c r="D3493" t="s">
        <v>113</v>
      </c>
      <c r="E3493" t="s">
        <v>53</v>
      </c>
      <c r="F3493" t="s">
        <v>114</v>
      </c>
      <c r="G3493">
        <v>119062</v>
      </c>
      <c r="H3493" s="75">
        <v>40536</v>
      </c>
      <c r="I3493" t="s">
        <v>115</v>
      </c>
      <c r="J3493">
        <v>5000</v>
      </c>
      <c r="K3493">
        <v>244.334</v>
      </c>
      <c r="L3493">
        <v>20.463799999999999</v>
      </c>
      <c r="M3493">
        <v>1484.5909999999999</v>
      </c>
      <c r="N3493" t="s">
        <v>15</v>
      </c>
    </row>
    <row r="3494" spans="1:15" x14ac:dyDescent="0.2">
      <c r="A3494" t="s">
        <v>18</v>
      </c>
      <c r="B3494" t="s">
        <v>141</v>
      </c>
      <c r="C3494" t="s">
        <v>142</v>
      </c>
      <c r="D3494" t="s">
        <v>113</v>
      </c>
      <c r="E3494" t="s">
        <v>53</v>
      </c>
      <c r="F3494" t="s">
        <v>114</v>
      </c>
      <c r="G3494">
        <v>119062</v>
      </c>
      <c r="H3494" s="75">
        <v>40566</v>
      </c>
      <c r="I3494" t="s">
        <v>115</v>
      </c>
      <c r="J3494">
        <v>5000</v>
      </c>
      <c r="K3494">
        <v>244.441</v>
      </c>
      <c r="L3494">
        <v>20.454899999999999</v>
      </c>
      <c r="M3494">
        <v>1729.0319999999999</v>
      </c>
      <c r="N3494" t="s">
        <v>15</v>
      </c>
    </row>
    <row r="3495" spans="1:15" x14ac:dyDescent="0.2">
      <c r="A3495" t="s">
        <v>18</v>
      </c>
      <c r="B3495" t="s">
        <v>141</v>
      </c>
      <c r="C3495" t="s">
        <v>142</v>
      </c>
      <c r="D3495" t="s">
        <v>113</v>
      </c>
      <c r="E3495" t="s">
        <v>53</v>
      </c>
      <c r="F3495" t="s">
        <v>114</v>
      </c>
      <c r="G3495">
        <v>119062</v>
      </c>
      <c r="H3495" s="75">
        <v>40566</v>
      </c>
      <c r="I3495" t="s">
        <v>116</v>
      </c>
      <c r="J3495">
        <v>2.5</v>
      </c>
      <c r="K3495">
        <v>0</v>
      </c>
      <c r="M3495">
        <v>1729.0319999999999</v>
      </c>
      <c r="N3495" t="s">
        <v>17</v>
      </c>
    </row>
    <row r="3496" spans="1:15" x14ac:dyDescent="0.2">
      <c r="A3496" t="s">
        <v>18</v>
      </c>
      <c r="B3496" t="s">
        <v>141</v>
      </c>
      <c r="C3496" t="s">
        <v>142</v>
      </c>
      <c r="D3496" t="s">
        <v>113</v>
      </c>
      <c r="E3496" t="s">
        <v>53</v>
      </c>
      <c r="F3496" t="s">
        <v>114</v>
      </c>
      <c r="G3496">
        <v>119062</v>
      </c>
      <c r="H3496" s="75">
        <v>40596</v>
      </c>
      <c r="I3496" t="s">
        <v>115</v>
      </c>
      <c r="J3496">
        <v>5000</v>
      </c>
      <c r="K3496">
        <v>239.672</v>
      </c>
      <c r="L3496">
        <v>20.861799999999999</v>
      </c>
      <c r="M3496">
        <v>1968.704</v>
      </c>
      <c r="N3496" t="s">
        <v>15</v>
      </c>
    </row>
    <row r="3497" spans="1:15" x14ac:dyDescent="0.2">
      <c r="A3497" t="s">
        <v>18</v>
      </c>
      <c r="B3497" t="s">
        <v>141</v>
      </c>
      <c r="C3497" t="s">
        <v>142</v>
      </c>
      <c r="D3497" t="s">
        <v>113</v>
      </c>
      <c r="E3497" t="s">
        <v>53</v>
      </c>
      <c r="F3497" t="s">
        <v>114</v>
      </c>
      <c r="G3497">
        <v>119062</v>
      </c>
      <c r="H3497" s="75">
        <v>40626</v>
      </c>
      <c r="I3497" t="s">
        <v>115</v>
      </c>
      <c r="J3497">
        <v>5000</v>
      </c>
      <c r="K3497">
        <v>238.529</v>
      </c>
      <c r="L3497">
        <v>20.9618</v>
      </c>
      <c r="M3497">
        <v>2207.2330000000002</v>
      </c>
      <c r="N3497" t="s">
        <v>15</v>
      </c>
    </row>
    <row r="3498" spans="1:15" x14ac:dyDescent="0.2">
      <c r="A3498" t="s">
        <v>18</v>
      </c>
      <c r="B3498" t="s">
        <v>141</v>
      </c>
      <c r="C3498" t="s">
        <v>142</v>
      </c>
      <c r="D3498" t="s">
        <v>113</v>
      </c>
      <c r="E3498" t="s">
        <v>53</v>
      </c>
      <c r="F3498" t="s">
        <v>114</v>
      </c>
      <c r="G3498">
        <v>119062</v>
      </c>
      <c r="H3498" s="75">
        <v>40656</v>
      </c>
      <c r="I3498" t="s">
        <v>115</v>
      </c>
      <c r="J3498">
        <v>5000</v>
      </c>
      <c r="K3498">
        <v>234.24799999999999</v>
      </c>
      <c r="L3498">
        <v>21.344899999999999</v>
      </c>
      <c r="M3498">
        <v>2441.4810000000002</v>
      </c>
      <c r="N3498" t="s">
        <v>15</v>
      </c>
    </row>
    <row r="3499" spans="1:15" x14ac:dyDescent="0.2">
      <c r="A3499" t="s">
        <v>18</v>
      </c>
      <c r="B3499" t="s">
        <v>141</v>
      </c>
      <c r="C3499" t="s">
        <v>142</v>
      </c>
      <c r="D3499" t="s">
        <v>113</v>
      </c>
      <c r="E3499" t="s">
        <v>53</v>
      </c>
      <c r="F3499" t="s">
        <v>114</v>
      </c>
      <c r="G3499">
        <v>119062</v>
      </c>
      <c r="H3499" s="75">
        <v>40686</v>
      </c>
      <c r="I3499" t="s">
        <v>115</v>
      </c>
      <c r="J3499">
        <v>5000</v>
      </c>
      <c r="K3499">
        <v>231.12</v>
      </c>
      <c r="L3499">
        <v>21.633800000000001</v>
      </c>
      <c r="M3499">
        <v>2672.6010000000001</v>
      </c>
      <c r="N3499" t="s">
        <v>15</v>
      </c>
    </row>
    <row r="3500" spans="1:15" x14ac:dyDescent="0.2">
      <c r="A3500" t="s">
        <v>18</v>
      </c>
      <c r="B3500" t="s">
        <v>141</v>
      </c>
      <c r="C3500" t="s">
        <v>142</v>
      </c>
      <c r="D3500" t="s">
        <v>113</v>
      </c>
      <c r="E3500" t="s">
        <v>53</v>
      </c>
      <c r="F3500" t="s">
        <v>114</v>
      </c>
      <c r="G3500">
        <v>119062</v>
      </c>
      <c r="H3500" s="75">
        <v>40716</v>
      </c>
      <c r="I3500" t="s">
        <v>115</v>
      </c>
      <c r="J3500">
        <v>5000</v>
      </c>
      <c r="K3500">
        <v>234.69200000000001</v>
      </c>
      <c r="L3500">
        <v>21.304500000000001</v>
      </c>
      <c r="M3500">
        <v>2907.2930000000001</v>
      </c>
      <c r="N3500" t="s">
        <v>15</v>
      </c>
    </row>
    <row r="3501" spans="1:15" x14ac:dyDescent="0.2">
      <c r="A3501" t="s">
        <v>18</v>
      </c>
      <c r="B3501" t="s">
        <v>141</v>
      </c>
      <c r="C3501" t="s">
        <v>142</v>
      </c>
      <c r="D3501" t="s">
        <v>113</v>
      </c>
      <c r="E3501" t="s">
        <v>53</v>
      </c>
      <c r="F3501" t="s">
        <v>114</v>
      </c>
      <c r="G3501">
        <v>119062</v>
      </c>
      <c r="H3501" s="75">
        <v>40716</v>
      </c>
      <c r="I3501" t="s">
        <v>116</v>
      </c>
      <c r="J3501">
        <v>2.5</v>
      </c>
      <c r="K3501">
        <v>0</v>
      </c>
      <c r="M3501">
        <v>2907.2930000000001</v>
      </c>
      <c r="N3501" t="s">
        <v>17</v>
      </c>
    </row>
    <row r="3502" spans="1:15" x14ac:dyDescent="0.2">
      <c r="A3502" t="s">
        <v>18</v>
      </c>
      <c r="B3502" t="s">
        <v>141</v>
      </c>
      <c r="C3502" t="s">
        <v>142</v>
      </c>
      <c r="D3502" t="s">
        <v>113</v>
      </c>
      <c r="E3502" t="s">
        <v>53</v>
      </c>
      <c r="F3502" t="s">
        <v>114</v>
      </c>
      <c r="G3502">
        <v>119062</v>
      </c>
      <c r="H3502" s="75">
        <v>40746</v>
      </c>
      <c r="I3502" t="s">
        <v>115</v>
      </c>
      <c r="J3502">
        <v>5000</v>
      </c>
      <c r="K3502">
        <v>238.63300000000001</v>
      </c>
      <c r="L3502">
        <v>20.9527</v>
      </c>
      <c r="M3502">
        <v>3145.9250000000002</v>
      </c>
      <c r="N3502" t="s">
        <v>15</v>
      </c>
    </row>
    <row r="3503" spans="1:15" x14ac:dyDescent="0.2">
      <c r="A3503" t="s">
        <v>18</v>
      </c>
      <c r="B3503" t="s">
        <v>141</v>
      </c>
      <c r="C3503" t="s">
        <v>142</v>
      </c>
      <c r="D3503" t="s">
        <v>113</v>
      </c>
      <c r="E3503" t="s">
        <v>53</v>
      </c>
      <c r="F3503" t="s">
        <v>114</v>
      </c>
      <c r="G3503">
        <v>119062</v>
      </c>
      <c r="H3503" s="75">
        <v>40746</v>
      </c>
      <c r="I3503" t="s">
        <v>118</v>
      </c>
      <c r="J3503">
        <v>1572.96</v>
      </c>
      <c r="K3503">
        <v>0</v>
      </c>
      <c r="M3503">
        <v>3145.9250000000002</v>
      </c>
      <c r="N3503" t="s">
        <v>19</v>
      </c>
      <c r="O3503">
        <v>1572.96</v>
      </c>
    </row>
    <row r="3504" spans="1:15" x14ac:dyDescent="0.2">
      <c r="A3504" t="s">
        <v>18</v>
      </c>
      <c r="B3504" t="s">
        <v>141</v>
      </c>
      <c r="C3504" t="s">
        <v>142</v>
      </c>
      <c r="D3504" t="s">
        <v>113</v>
      </c>
      <c r="E3504" t="s">
        <v>53</v>
      </c>
      <c r="F3504" t="s">
        <v>114</v>
      </c>
      <c r="G3504">
        <v>119062</v>
      </c>
      <c r="H3504" s="75">
        <v>40776</v>
      </c>
      <c r="I3504" t="s">
        <v>115</v>
      </c>
      <c r="J3504">
        <v>5000</v>
      </c>
      <c r="K3504">
        <v>238.321</v>
      </c>
      <c r="L3504">
        <v>20.9801</v>
      </c>
      <c r="M3504">
        <v>3384.2460000000001</v>
      </c>
      <c r="N3504" t="s">
        <v>15</v>
      </c>
    </row>
    <row r="3505" spans="1:14" x14ac:dyDescent="0.2">
      <c r="A3505" t="s">
        <v>18</v>
      </c>
      <c r="B3505" t="s">
        <v>141</v>
      </c>
      <c r="C3505" t="s">
        <v>142</v>
      </c>
      <c r="D3505" t="s">
        <v>113</v>
      </c>
      <c r="E3505" t="s">
        <v>53</v>
      </c>
      <c r="F3505" t="s">
        <v>114</v>
      </c>
      <c r="G3505">
        <v>119062</v>
      </c>
      <c r="H3505" s="75">
        <v>40806</v>
      </c>
      <c r="I3505" t="s">
        <v>115</v>
      </c>
      <c r="J3505">
        <v>5000</v>
      </c>
      <c r="K3505">
        <v>235.898</v>
      </c>
      <c r="L3505">
        <v>21.195599999999999</v>
      </c>
      <c r="M3505">
        <v>3620.1439999999998</v>
      </c>
      <c r="N3505" t="s">
        <v>15</v>
      </c>
    </row>
    <row r="3506" spans="1:14" x14ac:dyDescent="0.2">
      <c r="A3506" t="s">
        <v>18</v>
      </c>
      <c r="B3506" t="s">
        <v>141</v>
      </c>
      <c r="C3506" t="s">
        <v>142</v>
      </c>
      <c r="D3506" t="s">
        <v>113</v>
      </c>
      <c r="E3506" t="s">
        <v>53</v>
      </c>
      <c r="F3506" t="s">
        <v>114</v>
      </c>
      <c r="G3506">
        <v>119062</v>
      </c>
      <c r="H3506" s="75">
        <v>40836</v>
      </c>
      <c r="I3506" t="s">
        <v>115</v>
      </c>
      <c r="J3506">
        <v>5000</v>
      </c>
      <c r="K3506">
        <v>237.43700000000001</v>
      </c>
      <c r="L3506">
        <v>21.058199999999999</v>
      </c>
      <c r="M3506">
        <v>3857.5810000000001</v>
      </c>
      <c r="N3506" t="s">
        <v>15</v>
      </c>
    </row>
    <row r="3507" spans="1:14" x14ac:dyDescent="0.2">
      <c r="A3507" t="s">
        <v>18</v>
      </c>
      <c r="B3507" t="s">
        <v>141</v>
      </c>
      <c r="C3507" t="s">
        <v>142</v>
      </c>
      <c r="D3507" t="s">
        <v>113</v>
      </c>
      <c r="E3507" t="s">
        <v>53</v>
      </c>
      <c r="F3507" t="s">
        <v>114</v>
      </c>
      <c r="G3507">
        <v>119062</v>
      </c>
      <c r="H3507" s="75">
        <v>40866</v>
      </c>
      <c r="I3507" t="s">
        <v>115</v>
      </c>
      <c r="J3507">
        <v>5000</v>
      </c>
      <c r="K3507">
        <v>235.303</v>
      </c>
      <c r="L3507">
        <v>21.249199999999998</v>
      </c>
      <c r="M3507">
        <v>4092.884</v>
      </c>
      <c r="N3507" t="s">
        <v>15</v>
      </c>
    </row>
    <row r="3508" spans="1:14" x14ac:dyDescent="0.2">
      <c r="A3508" t="s">
        <v>18</v>
      </c>
      <c r="B3508" t="s">
        <v>141</v>
      </c>
      <c r="C3508" t="s">
        <v>142</v>
      </c>
      <c r="D3508" t="s">
        <v>113</v>
      </c>
      <c r="E3508" t="s">
        <v>53</v>
      </c>
      <c r="F3508" t="s">
        <v>114</v>
      </c>
      <c r="G3508">
        <v>119062</v>
      </c>
      <c r="H3508" s="75">
        <v>40896</v>
      </c>
      <c r="I3508" t="s">
        <v>115</v>
      </c>
      <c r="J3508">
        <v>5000</v>
      </c>
      <c r="K3508">
        <v>234.31899999999999</v>
      </c>
      <c r="L3508">
        <v>21.3384</v>
      </c>
      <c r="M3508">
        <v>4327.2039999999997</v>
      </c>
      <c r="N3508" t="s">
        <v>15</v>
      </c>
    </row>
    <row r="3509" spans="1:14" x14ac:dyDescent="0.2">
      <c r="A3509" t="s">
        <v>18</v>
      </c>
      <c r="B3509" t="s">
        <v>141</v>
      </c>
      <c r="C3509" t="s">
        <v>142</v>
      </c>
      <c r="D3509" t="s">
        <v>113</v>
      </c>
      <c r="E3509" t="s">
        <v>53</v>
      </c>
      <c r="F3509" t="s">
        <v>114</v>
      </c>
      <c r="G3509">
        <v>119062</v>
      </c>
      <c r="H3509" s="75">
        <v>40896</v>
      </c>
      <c r="I3509" t="s">
        <v>116</v>
      </c>
      <c r="J3509">
        <v>2.5</v>
      </c>
      <c r="K3509">
        <v>0</v>
      </c>
      <c r="M3509">
        <v>4327.2039999999997</v>
      </c>
      <c r="N3509" t="s">
        <v>17</v>
      </c>
    </row>
    <row r="3510" spans="1:14" x14ac:dyDescent="0.2">
      <c r="A3510" t="s">
        <v>18</v>
      </c>
      <c r="B3510" t="s">
        <v>141</v>
      </c>
      <c r="C3510" t="s">
        <v>142</v>
      </c>
      <c r="D3510" t="s">
        <v>113</v>
      </c>
      <c r="E3510" t="s">
        <v>53</v>
      </c>
      <c r="F3510" t="s">
        <v>114</v>
      </c>
      <c r="G3510">
        <v>119062</v>
      </c>
      <c r="H3510" s="75">
        <v>40926</v>
      </c>
      <c r="I3510" t="s">
        <v>115</v>
      </c>
      <c r="J3510">
        <v>5000</v>
      </c>
      <c r="K3510">
        <v>236.893</v>
      </c>
      <c r="L3510">
        <v>21.1065</v>
      </c>
      <c r="M3510">
        <v>4564.0969999999998</v>
      </c>
      <c r="N3510" t="s">
        <v>15</v>
      </c>
    </row>
    <row r="3511" spans="1:14" x14ac:dyDescent="0.2">
      <c r="A3511" t="s">
        <v>18</v>
      </c>
      <c r="B3511" t="s">
        <v>141</v>
      </c>
      <c r="C3511" t="s">
        <v>142</v>
      </c>
      <c r="D3511" t="s">
        <v>113</v>
      </c>
      <c r="E3511" t="s">
        <v>53</v>
      </c>
      <c r="F3511" t="s">
        <v>114</v>
      </c>
      <c r="G3511">
        <v>119062</v>
      </c>
      <c r="H3511" s="75">
        <v>40956</v>
      </c>
      <c r="I3511" t="s">
        <v>115</v>
      </c>
      <c r="J3511">
        <v>5000</v>
      </c>
      <c r="K3511">
        <v>238.63300000000001</v>
      </c>
      <c r="L3511">
        <v>20.9527</v>
      </c>
      <c r="M3511">
        <v>4802.7299999999996</v>
      </c>
      <c r="N3511" t="s">
        <v>15</v>
      </c>
    </row>
    <row r="3512" spans="1:14" x14ac:dyDescent="0.2">
      <c r="A3512" t="s">
        <v>18</v>
      </c>
      <c r="B3512" t="s">
        <v>141</v>
      </c>
      <c r="C3512" t="s">
        <v>142</v>
      </c>
      <c r="D3512" t="s">
        <v>113</v>
      </c>
      <c r="E3512" t="s">
        <v>53</v>
      </c>
      <c r="F3512" t="s">
        <v>114</v>
      </c>
      <c r="G3512">
        <v>119062</v>
      </c>
      <c r="H3512" s="75">
        <v>40986</v>
      </c>
      <c r="I3512" t="s">
        <v>115</v>
      </c>
      <c r="J3512">
        <v>5000</v>
      </c>
      <c r="K3512">
        <v>243.25899999999999</v>
      </c>
      <c r="L3512">
        <v>20.554200000000002</v>
      </c>
      <c r="M3512">
        <v>5045.9889999999996</v>
      </c>
      <c r="N3512" t="s">
        <v>15</v>
      </c>
    </row>
    <row r="3513" spans="1:14" x14ac:dyDescent="0.2">
      <c r="A3513" t="s">
        <v>18</v>
      </c>
      <c r="B3513" t="s">
        <v>141</v>
      </c>
      <c r="C3513" t="s">
        <v>142</v>
      </c>
      <c r="D3513" t="s">
        <v>113</v>
      </c>
      <c r="E3513" t="s">
        <v>53</v>
      </c>
      <c r="F3513" t="s">
        <v>114</v>
      </c>
      <c r="G3513">
        <v>119062</v>
      </c>
      <c r="H3513" s="75">
        <v>40986</v>
      </c>
      <c r="I3513" t="s">
        <v>116</v>
      </c>
      <c r="J3513">
        <v>2.5</v>
      </c>
      <c r="K3513">
        <v>0</v>
      </c>
      <c r="M3513">
        <v>5045.9889999999996</v>
      </c>
      <c r="N3513" t="s">
        <v>17</v>
      </c>
    </row>
    <row r="3514" spans="1:14" x14ac:dyDescent="0.2">
      <c r="A3514" t="s">
        <v>18</v>
      </c>
      <c r="B3514" t="s">
        <v>141</v>
      </c>
      <c r="C3514" t="s">
        <v>142</v>
      </c>
      <c r="D3514" t="s">
        <v>113</v>
      </c>
      <c r="E3514" t="s">
        <v>53</v>
      </c>
      <c r="F3514" t="s">
        <v>114</v>
      </c>
      <c r="G3514">
        <v>119062</v>
      </c>
      <c r="H3514" s="75">
        <v>41016</v>
      </c>
      <c r="I3514" t="s">
        <v>115</v>
      </c>
      <c r="J3514">
        <v>5000</v>
      </c>
      <c r="K3514">
        <v>245.96700000000001</v>
      </c>
      <c r="L3514">
        <v>20.3279</v>
      </c>
      <c r="M3514">
        <v>5291.9549999999999</v>
      </c>
      <c r="N3514" t="s">
        <v>15</v>
      </c>
    </row>
    <row r="3515" spans="1:14" x14ac:dyDescent="0.2">
      <c r="A3515" t="s">
        <v>18</v>
      </c>
      <c r="B3515" t="s">
        <v>141</v>
      </c>
      <c r="C3515" t="s">
        <v>142</v>
      </c>
      <c r="D3515" t="s">
        <v>113</v>
      </c>
      <c r="E3515" t="s">
        <v>53</v>
      </c>
      <c r="F3515" t="s">
        <v>114</v>
      </c>
      <c r="G3515">
        <v>119062</v>
      </c>
      <c r="H3515" s="75">
        <v>41046</v>
      </c>
      <c r="I3515" t="s">
        <v>115</v>
      </c>
      <c r="J3515">
        <v>5000</v>
      </c>
      <c r="K3515">
        <v>245.428</v>
      </c>
      <c r="L3515">
        <v>20.372599999999998</v>
      </c>
      <c r="M3515">
        <v>5537.384</v>
      </c>
      <c r="N3515" t="s">
        <v>15</v>
      </c>
    </row>
    <row r="3516" spans="1:14" x14ac:dyDescent="0.2">
      <c r="A3516" t="s">
        <v>18</v>
      </c>
      <c r="B3516" t="s">
        <v>141</v>
      </c>
      <c r="C3516" t="s">
        <v>142</v>
      </c>
      <c r="D3516" t="s">
        <v>113</v>
      </c>
      <c r="E3516" t="s">
        <v>53</v>
      </c>
      <c r="F3516" t="s">
        <v>114</v>
      </c>
      <c r="G3516">
        <v>119062</v>
      </c>
      <c r="H3516" s="75">
        <v>41076</v>
      </c>
      <c r="I3516" t="s">
        <v>115</v>
      </c>
      <c r="J3516">
        <v>5000</v>
      </c>
      <c r="K3516">
        <v>246.11699999999999</v>
      </c>
      <c r="L3516">
        <v>20.3155</v>
      </c>
      <c r="M3516">
        <v>5783.5010000000002</v>
      </c>
      <c r="N3516" t="s">
        <v>15</v>
      </c>
    </row>
    <row r="3517" spans="1:14" x14ac:dyDescent="0.2">
      <c r="A3517" t="s">
        <v>18</v>
      </c>
      <c r="B3517" t="s">
        <v>141</v>
      </c>
      <c r="C3517" t="s">
        <v>142</v>
      </c>
      <c r="D3517" t="s">
        <v>113</v>
      </c>
      <c r="E3517" t="s">
        <v>53</v>
      </c>
      <c r="F3517" t="s">
        <v>114</v>
      </c>
      <c r="G3517">
        <v>119062</v>
      </c>
      <c r="H3517" s="75">
        <v>41106</v>
      </c>
      <c r="I3517" t="s">
        <v>115</v>
      </c>
      <c r="J3517">
        <v>5000</v>
      </c>
      <c r="K3517">
        <v>240.892</v>
      </c>
      <c r="L3517">
        <v>20.7562</v>
      </c>
      <c r="M3517">
        <v>6024.3919999999998</v>
      </c>
      <c r="N3517" t="s">
        <v>15</v>
      </c>
    </row>
    <row r="3518" spans="1:14" x14ac:dyDescent="0.2">
      <c r="A3518" t="s">
        <v>18</v>
      </c>
      <c r="B3518" t="s">
        <v>141</v>
      </c>
      <c r="C3518" t="s">
        <v>142</v>
      </c>
      <c r="D3518" t="s">
        <v>113</v>
      </c>
      <c r="E3518" t="s">
        <v>53</v>
      </c>
      <c r="F3518" t="s">
        <v>114</v>
      </c>
      <c r="G3518">
        <v>119062</v>
      </c>
      <c r="H3518" s="75">
        <v>41136</v>
      </c>
      <c r="I3518" t="s">
        <v>115</v>
      </c>
      <c r="J3518">
        <v>5000</v>
      </c>
      <c r="K3518">
        <v>240.90100000000001</v>
      </c>
      <c r="L3518">
        <v>20.755500000000001</v>
      </c>
      <c r="M3518">
        <v>6265.2929999999997</v>
      </c>
      <c r="N3518" t="s">
        <v>15</v>
      </c>
    </row>
    <row r="3519" spans="1:14" x14ac:dyDescent="0.2">
      <c r="A3519" t="s">
        <v>18</v>
      </c>
      <c r="B3519" t="s">
        <v>141</v>
      </c>
      <c r="C3519" t="s">
        <v>142</v>
      </c>
      <c r="D3519" t="s">
        <v>113</v>
      </c>
      <c r="E3519" t="s">
        <v>53</v>
      </c>
      <c r="F3519" t="s">
        <v>114</v>
      </c>
      <c r="G3519">
        <v>119062</v>
      </c>
      <c r="H3519" s="75">
        <v>41166</v>
      </c>
      <c r="I3519" t="s">
        <v>115</v>
      </c>
      <c r="J3519">
        <v>5000</v>
      </c>
      <c r="K3519">
        <v>240.38499999999999</v>
      </c>
      <c r="L3519">
        <v>20.799900000000001</v>
      </c>
      <c r="M3519">
        <v>6505.6779999999999</v>
      </c>
      <c r="N3519" t="s">
        <v>15</v>
      </c>
    </row>
    <row r="3520" spans="1:14" x14ac:dyDescent="0.2">
      <c r="A3520" t="s">
        <v>18</v>
      </c>
      <c r="B3520" t="s">
        <v>141</v>
      </c>
      <c r="C3520" t="s">
        <v>142</v>
      </c>
      <c r="D3520" t="s">
        <v>113</v>
      </c>
      <c r="E3520" t="s">
        <v>53</v>
      </c>
      <c r="F3520" t="s">
        <v>114</v>
      </c>
      <c r="G3520">
        <v>119062</v>
      </c>
      <c r="H3520" s="75">
        <v>41166</v>
      </c>
      <c r="I3520" t="s">
        <v>116</v>
      </c>
      <c r="J3520">
        <v>2.5</v>
      </c>
      <c r="K3520">
        <v>0</v>
      </c>
      <c r="M3520">
        <v>6505.6779999999999</v>
      </c>
      <c r="N3520" t="s">
        <v>17</v>
      </c>
    </row>
    <row r="3521" spans="1:14" x14ac:dyDescent="0.2">
      <c r="A3521" t="s">
        <v>18</v>
      </c>
      <c r="B3521" t="s">
        <v>141</v>
      </c>
      <c r="C3521" t="s">
        <v>142</v>
      </c>
      <c r="D3521" t="s">
        <v>113</v>
      </c>
      <c r="E3521" t="s">
        <v>53</v>
      </c>
      <c r="F3521" t="s">
        <v>114</v>
      </c>
      <c r="G3521">
        <v>119062</v>
      </c>
      <c r="H3521" s="75">
        <v>41196</v>
      </c>
      <c r="I3521" t="s">
        <v>115</v>
      </c>
      <c r="J3521">
        <v>5000</v>
      </c>
      <c r="K3521">
        <v>233.857</v>
      </c>
      <c r="L3521">
        <v>21.380600000000001</v>
      </c>
      <c r="M3521">
        <v>6739.5349999999999</v>
      </c>
      <c r="N3521" t="s">
        <v>15</v>
      </c>
    </row>
    <row r="3522" spans="1:14" x14ac:dyDescent="0.2">
      <c r="A3522" t="s">
        <v>18</v>
      </c>
      <c r="B3522" t="s">
        <v>141</v>
      </c>
      <c r="C3522" t="s">
        <v>142</v>
      </c>
      <c r="D3522" t="s">
        <v>113</v>
      </c>
      <c r="E3522" t="s">
        <v>53</v>
      </c>
      <c r="F3522" t="s">
        <v>114</v>
      </c>
      <c r="G3522">
        <v>119062</v>
      </c>
      <c r="H3522" s="75">
        <v>41226</v>
      </c>
      <c r="I3522" t="s">
        <v>115</v>
      </c>
      <c r="J3522">
        <v>5000</v>
      </c>
      <c r="K3522">
        <v>236.49199999999999</v>
      </c>
      <c r="L3522">
        <v>21.142299999999999</v>
      </c>
      <c r="M3522">
        <v>6976.0280000000002</v>
      </c>
      <c r="N3522" t="s">
        <v>15</v>
      </c>
    </row>
    <row r="3523" spans="1:14" x14ac:dyDescent="0.2">
      <c r="A3523" t="s">
        <v>18</v>
      </c>
      <c r="B3523" t="s">
        <v>141</v>
      </c>
      <c r="C3523" t="s">
        <v>142</v>
      </c>
      <c r="D3523" t="s">
        <v>113</v>
      </c>
      <c r="E3523" t="s">
        <v>53</v>
      </c>
      <c r="F3523" t="s">
        <v>114</v>
      </c>
      <c r="G3523">
        <v>119062</v>
      </c>
      <c r="H3523" s="75">
        <v>41256</v>
      </c>
      <c r="I3523" t="s">
        <v>115</v>
      </c>
      <c r="J3523">
        <v>5000</v>
      </c>
      <c r="K3523">
        <v>232.63399999999999</v>
      </c>
      <c r="L3523">
        <v>21.492899999999999</v>
      </c>
      <c r="M3523">
        <v>7208.6620000000003</v>
      </c>
      <c r="N3523" t="s">
        <v>15</v>
      </c>
    </row>
    <row r="3524" spans="1:14" x14ac:dyDescent="0.2">
      <c r="A3524" t="s">
        <v>18</v>
      </c>
      <c r="B3524" t="s">
        <v>141</v>
      </c>
      <c r="C3524" t="s">
        <v>142</v>
      </c>
      <c r="D3524" t="s">
        <v>113</v>
      </c>
      <c r="E3524" t="s">
        <v>53</v>
      </c>
      <c r="F3524" t="s">
        <v>114</v>
      </c>
      <c r="G3524">
        <v>119062</v>
      </c>
      <c r="H3524" s="75">
        <v>41286</v>
      </c>
      <c r="I3524" t="s">
        <v>115</v>
      </c>
      <c r="J3524">
        <v>5000</v>
      </c>
      <c r="K3524">
        <v>235.71700000000001</v>
      </c>
      <c r="L3524">
        <v>21.2119</v>
      </c>
      <c r="M3524">
        <v>7444.3789999999999</v>
      </c>
      <c r="N3524" t="s">
        <v>15</v>
      </c>
    </row>
    <row r="3525" spans="1:14" x14ac:dyDescent="0.2">
      <c r="A3525" t="s">
        <v>18</v>
      </c>
      <c r="B3525" t="s">
        <v>141</v>
      </c>
      <c r="C3525" t="s">
        <v>142</v>
      </c>
      <c r="D3525" t="s">
        <v>113</v>
      </c>
      <c r="E3525" t="s">
        <v>53</v>
      </c>
      <c r="F3525" t="s">
        <v>114</v>
      </c>
      <c r="G3525">
        <v>119062</v>
      </c>
      <c r="H3525" s="75">
        <v>41316</v>
      </c>
      <c r="I3525" t="s">
        <v>115</v>
      </c>
      <c r="J3525">
        <v>5000</v>
      </c>
      <c r="K3525">
        <v>231.827</v>
      </c>
      <c r="L3525">
        <v>21.567900000000002</v>
      </c>
      <c r="M3525">
        <v>7676.2049999999999</v>
      </c>
      <c r="N3525" t="s">
        <v>15</v>
      </c>
    </row>
    <row r="3526" spans="1:14" x14ac:dyDescent="0.2">
      <c r="A3526" t="s">
        <v>18</v>
      </c>
      <c r="B3526" t="s">
        <v>141</v>
      </c>
      <c r="C3526" t="s">
        <v>142</v>
      </c>
      <c r="D3526" t="s">
        <v>113</v>
      </c>
      <c r="E3526" t="s">
        <v>53</v>
      </c>
      <c r="F3526" t="s">
        <v>114</v>
      </c>
      <c r="G3526">
        <v>119062</v>
      </c>
      <c r="H3526" s="75">
        <v>41346</v>
      </c>
      <c r="I3526" t="s">
        <v>115</v>
      </c>
      <c r="J3526">
        <v>5000</v>
      </c>
      <c r="K3526">
        <v>229.304</v>
      </c>
      <c r="L3526">
        <v>21.805099999999999</v>
      </c>
      <c r="M3526">
        <v>7905.509</v>
      </c>
      <c r="N3526" t="s">
        <v>15</v>
      </c>
    </row>
    <row r="3527" spans="1:14" x14ac:dyDescent="0.2">
      <c r="A3527" t="s">
        <v>18</v>
      </c>
      <c r="B3527" t="s">
        <v>141</v>
      </c>
      <c r="C3527" t="s">
        <v>142</v>
      </c>
      <c r="D3527" t="s">
        <v>113</v>
      </c>
      <c r="E3527" t="s">
        <v>53</v>
      </c>
      <c r="F3527" t="s">
        <v>114</v>
      </c>
      <c r="G3527">
        <v>119062</v>
      </c>
      <c r="H3527" s="75">
        <v>41376</v>
      </c>
      <c r="I3527" t="s">
        <v>115</v>
      </c>
      <c r="J3527">
        <v>5000</v>
      </c>
      <c r="K3527">
        <v>225.83799999999999</v>
      </c>
      <c r="L3527">
        <v>22.139800000000001</v>
      </c>
      <c r="M3527">
        <v>8131.3469999999998</v>
      </c>
      <c r="N3527" t="s">
        <v>15</v>
      </c>
    </row>
    <row r="3528" spans="1:14" x14ac:dyDescent="0.2">
      <c r="A3528" t="s">
        <v>18</v>
      </c>
      <c r="B3528" t="s">
        <v>141</v>
      </c>
      <c r="C3528" t="s">
        <v>142</v>
      </c>
      <c r="D3528" t="s">
        <v>113</v>
      </c>
      <c r="E3528" t="s">
        <v>53</v>
      </c>
      <c r="F3528" t="s">
        <v>114</v>
      </c>
      <c r="G3528">
        <v>119062</v>
      </c>
      <c r="H3528" s="75">
        <v>41406</v>
      </c>
      <c r="I3528" t="s">
        <v>115</v>
      </c>
      <c r="J3528">
        <v>5000</v>
      </c>
      <c r="K3528">
        <v>229.14699999999999</v>
      </c>
      <c r="L3528">
        <v>21.82</v>
      </c>
      <c r="M3528">
        <v>8360.4940000000006</v>
      </c>
      <c r="N3528" t="s">
        <v>15</v>
      </c>
    </row>
    <row r="3529" spans="1:14" x14ac:dyDescent="0.2">
      <c r="A3529" t="s">
        <v>18</v>
      </c>
      <c r="B3529" t="s">
        <v>141</v>
      </c>
      <c r="C3529" t="s">
        <v>142</v>
      </c>
      <c r="D3529" t="s">
        <v>113</v>
      </c>
      <c r="E3529" t="s">
        <v>53</v>
      </c>
      <c r="F3529" t="s">
        <v>114</v>
      </c>
      <c r="G3529">
        <v>119062</v>
      </c>
      <c r="H3529" s="75">
        <v>41406</v>
      </c>
      <c r="I3529" t="s">
        <v>116</v>
      </c>
      <c r="J3529">
        <v>2.5</v>
      </c>
      <c r="K3529">
        <v>0</v>
      </c>
      <c r="M3529">
        <v>8360.4940000000006</v>
      </c>
      <c r="N3529" t="s">
        <v>17</v>
      </c>
    </row>
    <row r="3530" spans="1:14" x14ac:dyDescent="0.2">
      <c r="A3530" t="s">
        <v>18</v>
      </c>
      <c r="B3530" t="s">
        <v>141</v>
      </c>
      <c r="C3530" t="s">
        <v>142</v>
      </c>
      <c r="D3530" t="s">
        <v>113</v>
      </c>
      <c r="E3530" t="s">
        <v>53</v>
      </c>
      <c r="F3530" t="s">
        <v>114</v>
      </c>
      <c r="G3530">
        <v>119062</v>
      </c>
      <c r="H3530" s="75">
        <v>41436</v>
      </c>
      <c r="I3530" t="s">
        <v>115</v>
      </c>
      <c r="J3530">
        <v>5000</v>
      </c>
      <c r="K3530">
        <v>232.97399999999999</v>
      </c>
      <c r="L3530">
        <v>21.461600000000001</v>
      </c>
      <c r="M3530">
        <v>8593.4680000000008</v>
      </c>
      <c r="N3530" t="s">
        <v>15</v>
      </c>
    </row>
    <row r="3531" spans="1:14" x14ac:dyDescent="0.2">
      <c r="A3531" t="s">
        <v>18</v>
      </c>
      <c r="B3531" t="s">
        <v>141</v>
      </c>
      <c r="C3531" t="s">
        <v>142</v>
      </c>
      <c r="D3531" t="s">
        <v>113</v>
      </c>
      <c r="E3531" t="s">
        <v>53</v>
      </c>
      <c r="F3531" t="s">
        <v>114</v>
      </c>
      <c r="G3531">
        <v>119062</v>
      </c>
      <c r="H3531" s="75">
        <v>41466</v>
      </c>
      <c r="I3531" t="s">
        <v>115</v>
      </c>
      <c r="J3531">
        <v>5000</v>
      </c>
      <c r="K3531">
        <v>232.05799999999999</v>
      </c>
      <c r="L3531">
        <v>21.546399999999998</v>
      </c>
      <c r="M3531">
        <v>8825.5259999999998</v>
      </c>
      <c r="N3531" t="s">
        <v>15</v>
      </c>
    </row>
    <row r="3532" spans="1:14" x14ac:dyDescent="0.2">
      <c r="A3532" t="s">
        <v>18</v>
      </c>
      <c r="B3532" t="s">
        <v>141</v>
      </c>
      <c r="C3532" t="s">
        <v>142</v>
      </c>
      <c r="D3532" t="s">
        <v>113</v>
      </c>
      <c r="E3532" t="s">
        <v>53</v>
      </c>
      <c r="F3532" t="s">
        <v>114</v>
      </c>
      <c r="G3532">
        <v>119062</v>
      </c>
      <c r="H3532" s="75">
        <v>41496</v>
      </c>
      <c r="I3532" t="s">
        <v>115</v>
      </c>
      <c r="J3532">
        <v>5000</v>
      </c>
      <c r="K3532">
        <v>234.55099999999999</v>
      </c>
      <c r="L3532">
        <v>21.317299999999999</v>
      </c>
      <c r="M3532">
        <v>9060.0769999999993</v>
      </c>
      <c r="N3532" t="s">
        <v>15</v>
      </c>
    </row>
    <row r="3533" spans="1:14" x14ac:dyDescent="0.2">
      <c r="A3533" t="s">
        <v>18</v>
      </c>
      <c r="B3533" t="s">
        <v>141</v>
      </c>
      <c r="C3533" t="s">
        <v>142</v>
      </c>
      <c r="D3533" t="s">
        <v>113</v>
      </c>
      <c r="E3533" t="s">
        <v>53</v>
      </c>
      <c r="F3533" t="s">
        <v>114</v>
      </c>
      <c r="G3533">
        <v>119062</v>
      </c>
      <c r="H3533" s="75">
        <v>41526</v>
      </c>
      <c r="I3533" t="s">
        <v>115</v>
      </c>
      <c r="J3533">
        <v>5000</v>
      </c>
      <c r="K3533">
        <v>234.54499999999999</v>
      </c>
      <c r="L3533">
        <v>21.317799999999998</v>
      </c>
      <c r="M3533">
        <v>9294.6219999999994</v>
      </c>
      <c r="N3533" t="s">
        <v>15</v>
      </c>
    </row>
    <row r="3534" spans="1:14" x14ac:dyDescent="0.2">
      <c r="A3534" t="s">
        <v>18</v>
      </c>
      <c r="B3534" t="s">
        <v>141</v>
      </c>
      <c r="C3534" t="s">
        <v>142</v>
      </c>
      <c r="D3534" t="s">
        <v>113</v>
      </c>
      <c r="E3534" t="s">
        <v>53</v>
      </c>
      <c r="F3534" t="s">
        <v>114</v>
      </c>
      <c r="G3534">
        <v>119062</v>
      </c>
      <c r="H3534" s="75">
        <v>41556</v>
      </c>
      <c r="I3534" t="s">
        <v>115</v>
      </c>
      <c r="J3534">
        <v>5000</v>
      </c>
      <c r="K3534">
        <v>230.48099999999999</v>
      </c>
      <c r="L3534">
        <v>21.6937</v>
      </c>
      <c r="M3534">
        <v>9525.1039999999994</v>
      </c>
      <c r="N3534" t="s">
        <v>15</v>
      </c>
    </row>
    <row r="3535" spans="1:14" x14ac:dyDescent="0.2">
      <c r="A3535" t="s">
        <v>18</v>
      </c>
      <c r="B3535" t="s">
        <v>141</v>
      </c>
      <c r="C3535" t="s">
        <v>142</v>
      </c>
      <c r="D3535" t="s">
        <v>113</v>
      </c>
      <c r="E3535" t="s">
        <v>53</v>
      </c>
      <c r="F3535" t="s">
        <v>114</v>
      </c>
      <c r="G3535">
        <v>119062</v>
      </c>
      <c r="H3535" s="75">
        <v>41586</v>
      </c>
      <c r="I3535" t="s">
        <v>115</v>
      </c>
      <c r="J3535">
        <v>5000</v>
      </c>
      <c r="K3535">
        <v>230.578</v>
      </c>
      <c r="L3535">
        <v>21.684699999999999</v>
      </c>
      <c r="M3535">
        <v>9755.6820000000007</v>
      </c>
      <c r="N3535" t="s">
        <v>15</v>
      </c>
    </row>
    <row r="3536" spans="1:14" x14ac:dyDescent="0.2">
      <c r="A3536" t="s">
        <v>18</v>
      </c>
      <c r="B3536" t="s">
        <v>141</v>
      </c>
      <c r="C3536" t="s">
        <v>142</v>
      </c>
      <c r="D3536" t="s">
        <v>113</v>
      </c>
      <c r="E3536" t="s">
        <v>53</v>
      </c>
      <c r="F3536" t="s">
        <v>114</v>
      </c>
      <c r="G3536">
        <v>119062</v>
      </c>
      <c r="H3536" s="75">
        <v>41616</v>
      </c>
      <c r="I3536" t="s">
        <v>115</v>
      </c>
      <c r="J3536">
        <v>5000</v>
      </c>
      <c r="K3536">
        <v>232.2</v>
      </c>
      <c r="L3536">
        <v>21.533100000000001</v>
      </c>
      <c r="M3536">
        <v>9987.8819999999996</v>
      </c>
      <c r="N3536" t="s">
        <v>15</v>
      </c>
    </row>
    <row r="3537" spans="1:14" x14ac:dyDescent="0.2">
      <c r="A3537" t="s">
        <v>18</v>
      </c>
      <c r="B3537" t="s">
        <v>141</v>
      </c>
      <c r="C3537" t="s">
        <v>142</v>
      </c>
      <c r="D3537" t="s">
        <v>113</v>
      </c>
      <c r="E3537" t="s">
        <v>53</v>
      </c>
      <c r="F3537" t="s">
        <v>114</v>
      </c>
      <c r="G3537">
        <v>119062</v>
      </c>
      <c r="H3537" s="75">
        <v>41646</v>
      </c>
      <c r="I3537" t="s">
        <v>115</v>
      </c>
      <c r="J3537">
        <v>5000</v>
      </c>
      <c r="K3537">
        <v>235.93600000000001</v>
      </c>
      <c r="L3537">
        <v>21.1922</v>
      </c>
      <c r="M3537">
        <v>10223.817999999999</v>
      </c>
      <c r="N3537" t="s">
        <v>15</v>
      </c>
    </row>
    <row r="3538" spans="1:14" x14ac:dyDescent="0.2">
      <c r="A3538" t="s">
        <v>18</v>
      </c>
      <c r="B3538" t="s">
        <v>141</v>
      </c>
      <c r="C3538" t="s">
        <v>142</v>
      </c>
      <c r="D3538" t="s">
        <v>113</v>
      </c>
      <c r="E3538" t="s">
        <v>53</v>
      </c>
      <c r="F3538" t="s">
        <v>114</v>
      </c>
      <c r="G3538">
        <v>119062</v>
      </c>
      <c r="H3538" s="75">
        <v>41646</v>
      </c>
      <c r="I3538" t="s">
        <v>117</v>
      </c>
      <c r="J3538">
        <v>2.5</v>
      </c>
      <c r="K3538">
        <v>0</v>
      </c>
      <c r="M3538">
        <v>10223.817999999999</v>
      </c>
      <c r="N3538" t="s">
        <v>46</v>
      </c>
    </row>
    <row r="3539" spans="1:14" x14ac:dyDescent="0.2">
      <c r="A3539" t="s">
        <v>18</v>
      </c>
      <c r="B3539" t="s">
        <v>141</v>
      </c>
      <c r="C3539" t="s">
        <v>142</v>
      </c>
      <c r="D3539" t="s">
        <v>113</v>
      </c>
      <c r="E3539" t="s">
        <v>53</v>
      </c>
      <c r="F3539" t="s">
        <v>114</v>
      </c>
      <c r="G3539">
        <v>119062</v>
      </c>
      <c r="H3539" s="75">
        <v>41676</v>
      </c>
      <c r="I3539" t="s">
        <v>115</v>
      </c>
      <c r="J3539">
        <v>5000</v>
      </c>
      <c r="K3539">
        <v>229.589</v>
      </c>
      <c r="L3539">
        <v>21.778099999999998</v>
      </c>
      <c r="M3539">
        <v>10453.406999999999</v>
      </c>
      <c r="N3539" t="s">
        <v>15</v>
      </c>
    </row>
    <row r="3540" spans="1:14" x14ac:dyDescent="0.2">
      <c r="A3540" t="s">
        <v>18</v>
      </c>
      <c r="B3540" t="s">
        <v>141</v>
      </c>
      <c r="C3540" t="s">
        <v>142</v>
      </c>
      <c r="D3540" t="s">
        <v>113</v>
      </c>
      <c r="E3540" t="s">
        <v>53</v>
      </c>
      <c r="F3540" t="s">
        <v>114</v>
      </c>
      <c r="G3540">
        <v>119062</v>
      </c>
      <c r="H3540" s="75">
        <v>41706</v>
      </c>
      <c r="I3540" t="s">
        <v>115</v>
      </c>
      <c r="J3540">
        <v>5000</v>
      </c>
      <c r="K3540">
        <v>228.9</v>
      </c>
      <c r="L3540">
        <v>21.843599999999999</v>
      </c>
      <c r="M3540">
        <v>10682.307000000001</v>
      </c>
      <c r="N3540" t="s">
        <v>15</v>
      </c>
    </row>
    <row r="3541" spans="1:14" x14ac:dyDescent="0.2">
      <c r="A3541" t="s">
        <v>18</v>
      </c>
      <c r="B3541" t="s">
        <v>141</v>
      </c>
      <c r="C3541" t="s">
        <v>142</v>
      </c>
      <c r="D3541" t="s">
        <v>113</v>
      </c>
      <c r="E3541" t="s">
        <v>53</v>
      </c>
      <c r="F3541" t="s">
        <v>114</v>
      </c>
      <c r="G3541">
        <v>119062</v>
      </c>
      <c r="H3541" s="75">
        <v>41706</v>
      </c>
      <c r="I3541" t="s">
        <v>116</v>
      </c>
      <c r="J3541">
        <v>2.5</v>
      </c>
      <c r="K3541">
        <v>0</v>
      </c>
      <c r="M3541">
        <v>10682.307000000001</v>
      </c>
      <c r="N3541" t="s">
        <v>17</v>
      </c>
    </row>
    <row r="3542" spans="1:14" x14ac:dyDescent="0.2">
      <c r="A3542" t="s">
        <v>18</v>
      </c>
      <c r="B3542" t="s">
        <v>141</v>
      </c>
      <c r="C3542" t="s">
        <v>142</v>
      </c>
      <c r="D3542" t="s">
        <v>113</v>
      </c>
      <c r="E3542" t="s">
        <v>53</v>
      </c>
      <c r="F3542" t="s">
        <v>114</v>
      </c>
      <c r="G3542">
        <v>119062</v>
      </c>
      <c r="H3542" s="75">
        <v>41736</v>
      </c>
      <c r="I3542" t="s">
        <v>115</v>
      </c>
      <c r="J3542">
        <v>5000</v>
      </c>
      <c r="K3542">
        <v>226.61</v>
      </c>
      <c r="L3542">
        <v>22.064399999999999</v>
      </c>
      <c r="M3542">
        <v>10908.915999999999</v>
      </c>
      <c r="N3542" t="s">
        <v>15</v>
      </c>
    </row>
    <row r="3543" spans="1:14" x14ac:dyDescent="0.2">
      <c r="A3543" t="s">
        <v>18</v>
      </c>
      <c r="B3543" t="s">
        <v>141</v>
      </c>
      <c r="C3543" t="s">
        <v>142</v>
      </c>
      <c r="D3543" t="s">
        <v>113</v>
      </c>
      <c r="E3543" t="s">
        <v>53</v>
      </c>
      <c r="F3543" t="s">
        <v>114</v>
      </c>
      <c r="G3543">
        <v>119062</v>
      </c>
      <c r="H3543" s="75">
        <v>41736</v>
      </c>
      <c r="I3543" t="s">
        <v>116</v>
      </c>
      <c r="J3543">
        <v>2.5</v>
      </c>
      <c r="K3543">
        <v>0</v>
      </c>
      <c r="M3543">
        <v>10908.915999999999</v>
      </c>
      <c r="N3543" t="s">
        <v>17</v>
      </c>
    </row>
    <row r="3544" spans="1:14" x14ac:dyDescent="0.2">
      <c r="A3544" t="s">
        <v>18</v>
      </c>
      <c r="B3544" t="s">
        <v>141</v>
      </c>
      <c r="C3544" t="s">
        <v>142</v>
      </c>
      <c r="D3544" t="s">
        <v>113</v>
      </c>
      <c r="E3544" t="s">
        <v>53</v>
      </c>
      <c r="F3544" t="s">
        <v>114</v>
      </c>
      <c r="G3544">
        <v>119062</v>
      </c>
      <c r="H3544" s="75">
        <v>41766</v>
      </c>
      <c r="I3544" t="s">
        <v>115</v>
      </c>
      <c r="J3544">
        <v>5000</v>
      </c>
      <c r="K3544">
        <v>230.548</v>
      </c>
      <c r="L3544">
        <v>21.6875</v>
      </c>
      <c r="M3544">
        <v>11139.464</v>
      </c>
      <c r="N3544" t="s">
        <v>15</v>
      </c>
    </row>
    <row r="3545" spans="1:14" x14ac:dyDescent="0.2">
      <c r="A3545" t="s">
        <v>18</v>
      </c>
      <c r="B3545" t="s">
        <v>141</v>
      </c>
      <c r="C3545" t="s">
        <v>142</v>
      </c>
      <c r="D3545" t="s">
        <v>113</v>
      </c>
      <c r="E3545" t="s">
        <v>53</v>
      </c>
      <c r="F3545" t="s">
        <v>114</v>
      </c>
      <c r="G3545">
        <v>119062</v>
      </c>
      <c r="H3545" s="75">
        <v>41796</v>
      </c>
      <c r="I3545" t="s">
        <v>115</v>
      </c>
      <c r="J3545">
        <v>5000</v>
      </c>
      <c r="K3545">
        <v>234.11199999999999</v>
      </c>
      <c r="L3545">
        <v>21.357299999999999</v>
      </c>
      <c r="M3545">
        <v>11373.576999999999</v>
      </c>
      <c r="N3545" t="s">
        <v>15</v>
      </c>
    </row>
    <row r="3546" spans="1:14" x14ac:dyDescent="0.2">
      <c r="A3546" t="s">
        <v>18</v>
      </c>
      <c r="B3546" t="s">
        <v>141</v>
      </c>
      <c r="C3546" t="s">
        <v>142</v>
      </c>
      <c r="D3546" t="s">
        <v>113</v>
      </c>
      <c r="E3546" t="s">
        <v>53</v>
      </c>
      <c r="F3546" t="s">
        <v>114</v>
      </c>
      <c r="G3546">
        <v>119062</v>
      </c>
      <c r="H3546" s="75">
        <v>41826</v>
      </c>
      <c r="I3546" t="s">
        <v>115</v>
      </c>
      <c r="J3546">
        <v>5000</v>
      </c>
      <c r="K3546">
        <v>229.96899999999999</v>
      </c>
      <c r="L3546">
        <v>21.742100000000001</v>
      </c>
      <c r="M3546">
        <v>11603.545</v>
      </c>
      <c r="N3546" t="s">
        <v>15</v>
      </c>
    </row>
    <row r="3547" spans="1:14" x14ac:dyDescent="0.2">
      <c r="A3547" t="s">
        <v>18</v>
      </c>
      <c r="B3547" t="s">
        <v>141</v>
      </c>
      <c r="C3547" t="s">
        <v>142</v>
      </c>
      <c r="D3547" t="s">
        <v>113</v>
      </c>
      <c r="E3547" t="s">
        <v>53</v>
      </c>
      <c r="F3547" t="s">
        <v>114</v>
      </c>
      <c r="G3547">
        <v>119062</v>
      </c>
      <c r="H3547" s="75">
        <v>41856</v>
      </c>
      <c r="I3547" t="s">
        <v>115</v>
      </c>
      <c r="J3547">
        <v>5000</v>
      </c>
      <c r="K3547">
        <v>230.286</v>
      </c>
      <c r="L3547">
        <v>21.7121</v>
      </c>
      <c r="M3547">
        <v>11833.831</v>
      </c>
      <c r="N3547" t="s">
        <v>15</v>
      </c>
    </row>
    <row r="3548" spans="1:14" x14ac:dyDescent="0.2">
      <c r="A3548" t="s">
        <v>18</v>
      </c>
      <c r="B3548" t="s">
        <v>141</v>
      </c>
      <c r="C3548" t="s">
        <v>142</v>
      </c>
      <c r="D3548" t="s">
        <v>113</v>
      </c>
      <c r="E3548" t="s">
        <v>53</v>
      </c>
      <c r="F3548" t="s">
        <v>114</v>
      </c>
      <c r="G3548">
        <v>119062</v>
      </c>
      <c r="H3548" s="75">
        <v>41886</v>
      </c>
      <c r="I3548" t="s">
        <v>115</v>
      </c>
      <c r="J3548">
        <v>5000</v>
      </c>
      <c r="K3548">
        <v>233.45400000000001</v>
      </c>
      <c r="L3548">
        <v>21.4175</v>
      </c>
      <c r="M3548">
        <v>12067.285</v>
      </c>
      <c r="N3548" t="s">
        <v>15</v>
      </c>
    </row>
    <row r="3549" spans="1:14" x14ac:dyDescent="0.2">
      <c r="A3549" t="s">
        <v>18</v>
      </c>
      <c r="B3549" t="s">
        <v>141</v>
      </c>
      <c r="C3549" t="s">
        <v>142</v>
      </c>
      <c r="D3549" t="s">
        <v>113</v>
      </c>
      <c r="E3549" t="s">
        <v>53</v>
      </c>
      <c r="F3549" t="s">
        <v>114</v>
      </c>
      <c r="G3549">
        <v>119062</v>
      </c>
      <c r="H3549" s="75">
        <v>41916</v>
      </c>
      <c r="I3549" t="s">
        <v>115</v>
      </c>
      <c r="J3549">
        <v>5000</v>
      </c>
      <c r="K3549">
        <v>236.51900000000001</v>
      </c>
      <c r="L3549">
        <v>21.14</v>
      </c>
      <c r="M3549">
        <v>12303.804</v>
      </c>
      <c r="N3549" t="s">
        <v>15</v>
      </c>
    </row>
    <row r="3550" spans="1:14" x14ac:dyDescent="0.2">
      <c r="A3550" t="s">
        <v>18</v>
      </c>
      <c r="B3550" t="s">
        <v>141</v>
      </c>
      <c r="C3550" t="s">
        <v>142</v>
      </c>
      <c r="D3550" t="s">
        <v>113</v>
      </c>
      <c r="E3550" t="s">
        <v>53</v>
      </c>
      <c r="F3550" t="s">
        <v>114</v>
      </c>
      <c r="G3550">
        <v>119062</v>
      </c>
      <c r="H3550" s="75">
        <v>41916</v>
      </c>
      <c r="I3550" t="s">
        <v>117</v>
      </c>
      <c r="J3550">
        <v>2.5</v>
      </c>
      <c r="K3550">
        <v>0</v>
      </c>
      <c r="M3550">
        <v>12303.804</v>
      </c>
      <c r="N3550" t="s">
        <v>46</v>
      </c>
    </row>
    <row r="3551" spans="1:14" x14ac:dyDescent="0.2">
      <c r="A3551" t="s">
        <v>18</v>
      </c>
      <c r="B3551" t="s">
        <v>141</v>
      </c>
      <c r="C3551" t="s">
        <v>142</v>
      </c>
      <c r="D3551" t="s">
        <v>113</v>
      </c>
      <c r="E3551" t="s">
        <v>53</v>
      </c>
      <c r="F3551" t="s">
        <v>114</v>
      </c>
      <c r="G3551">
        <v>119062</v>
      </c>
      <c r="H3551" s="75">
        <v>41946</v>
      </c>
      <c r="I3551" t="s">
        <v>115</v>
      </c>
      <c r="J3551">
        <v>5000</v>
      </c>
      <c r="K3551">
        <v>239.874</v>
      </c>
      <c r="L3551">
        <v>20.8443</v>
      </c>
      <c r="M3551">
        <v>12543.678</v>
      </c>
      <c r="N3551" t="s">
        <v>15</v>
      </c>
    </row>
    <row r="3552" spans="1:14" x14ac:dyDescent="0.2">
      <c r="A3552" t="s">
        <v>18</v>
      </c>
      <c r="B3552" t="s">
        <v>141</v>
      </c>
      <c r="C3552" t="s">
        <v>142</v>
      </c>
      <c r="D3552" t="s">
        <v>113</v>
      </c>
      <c r="E3552" t="s">
        <v>53</v>
      </c>
      <c r="F3552" t="s">
        <v>114</v>
      </c>
      <c r="G3552">
        <v>119062</v>
      </c>
      <c r="H3552" s="75">
        <v>41946</v>
      </c>
      <c r="I3552" t="s">
        <v>116</v>
      </c>
      <c r="J3552">
        <v>2.5</v>
      </c>
      <c r="K3552">
        <v>0</v>
      </c>
      <c r="M3552">
        <v>12543.678</v>
      </c>
      <c r="N3552" t="s">
        <v>17</v>
      </c>
    </row>
    <row r="3553" spans="1:14" x14ac:dyDescent="0.2">
      <c r="A3553" t="s">
        <v>18</v>
      </c>
      <c r="B3553" t="s">
        <v>141</v>
      </c>
      <c r="C3553" t="s">
        <v>142</v>
      </c>
      <c r="D3553" t="s">
        <v>113</v>
      </c>
      <c r="E3553" t="s">
        <v>53</v>
      </c>
      <c r="F3553" t="s">
        <v>114</v>
      </c>
      <c r="G3553">
        <v>119062</v>
      </c>
      <c r="H3553" s="75">
        <v>41976</v>
      </c>
      <c r="I3553" t="s">
        <v>115</v>
      </c>
      <c r="J3553">
        <v>5000</v>
      </c>
      <c r="K3553">
        <v>242.30099999999999</v>
      </c>
      <c r="L3553">
        <v>20.6355</v>
      </c>
      <c r="M3553">
        <v>12785.978999999999</v>
      </c>
      <c r="N3553" t="s">
        <v>15</v>
      </c>
    </row>
    <row r="3554" spans="1:14" x14ac:dyDescent="0.2">
      <c r="A3554" t="s">
        <v>18</v>
      </c>
      <c r="B3554" t="s">
        <v>141</v>
      </c>
      <c r="C3554" t="s">
        <v>142</v>
      </c>
      <c r="D3554" t="s">
        <v>113</v>
      </c>
      <c r="E3554" t="s">
        <v>53</v>
      </c>
      <c r="F3554" t="s">
        <v>114</v>
      </c>
      <c r="G3554">
        <v>119062</v>
      </c>
      <c r="H3554" s="75">
        <v>42006</v>
      </c>
      <c r="I3554" t="s">
        <v>115</v>
      </c>
      <c r="J3554">
        <v>5000</v>
      </c>
      <c r="K3554">
        <v>247.08199999999999</v>
      </c>
      <c r="L3554">
        <v>20.2362</v>
      </c>
      <c r="M3554">
        <v>13033.061</v>
      </c>
      <c r="N3554" t="s">
        <v>15</v>
      </c>
    </row>
    <row r="3555" spans="1:14" x14ac:dyDescent="0.2">
      <c r="A3555" t="s">
        <v>18</v>
      </c>
      <c r="B3555" t="s">
        <v>141</v>
      </c>
      <c r="C3555" t="s">
        <v>142</v>
      </c>
      <c r="D3555" t="s">
        <v>113</v>
      </c>
      <c r="E3555" t="s">
        <v>53</v>
      </c>
      <c r="F3555" t="s">
        <v>114</v>
      </c>
      <c r="G3555">
        <v>119062</v>
      </c>
      <c r="H3555" s="75">
        <v>42036</v>
      </c>
      <c r="I3555" t="s">
        <v>115</v>
      </c>
      <c r="J3555">
        <v>5000</v>
      </c>
      <c r="K3555">
        <v>243.548</v>
      </c>
      <c r="L3555">
        <v>20.529800000000002</v>
      </c>
      <c r="M3555">
        <v>13276.609</v>
      </c>
      <c r="N3555" t="s">
        <v>15</v>
      </c>
    </row>
    <row r="3556" spans="1:14" x14ac:dyDescent="0.2">
      <c r="A3556" t="s">
        <v>18</v>
      </c>
      <c r="B3556" t="s">
        <v>141</v>
      </c>
      <c r="C3556" t="s">
        <v>142</v>
      </c>
      <c r="D3556" t="s">
        <v>113</v>
      </c>
      <c r="E3556" t="s">
        <v>53</v>
      </c>
      <c r="F3556" t="s">
        <v>114</v>
      </c>
      <c r="G3556">
        <v>119062</v>
      </c>
      <c r="H3556" s="75">
        <v>42066</v>
      </c>
      <c r="I3556" t="s">
        <v>115</v>
      </c>
      <c r="J3556">
        <v>5000</v>
      </c>
      <c r="K3556">
        <v>238.429</v>
      </c>
      <c r="L3556">
        <v>20.970600000000001</v>
      </c>
      <c r="M3556">
        <v>13515.038</v>
      </c>
      <c r="N3556" t="s">
        <v>15</v>
      </c>
    </row>
    <row r="3557" spans="1:14" x14ac:dyDescent="0.2">
      <c r="A3557" t="s">
        <v>18</v>
      </c>
      <c r="B3557" t="s">
        <v>141</v>
      </c>
      <c r="C3557" t="s">
        <v>142</v>
      </c>
      <c r="D3557" t="s">
        <v>113</v>
      </c>
      <c r="E3557" t="s">
        <v>53</v>
      </c>
      <c r="F3557" t="s">
        <v>114</v>
      </c>
      <c r="G3557">
        <v>119062</v>
      </c>
      <c r="H3557" s="75">
        <v>42066</v>
      </c>
      <c r="I3557" t="s">
        <v>117</v>
      </c>
      <c r="J3557">
        <v>2.5</v>
      </c>
      <c r="K3557">
        <v>0</v>
      </c>
      <c r="M3557">
        <v>13515.038</v>
      </c>
      <c r="N3557" t="s">
        <v>46</v>
      </c>
    </row>
    <row r="3558" spans="1:14" x14ac:dyDescent="0.2">
      <c r="A3558" t="s">
        <v>18</v>
      </c>
      <c r="B3558" t="s">
        <v>141</v>
      </c>
      <c r="C3558" t="s">
        <v>142</v>
      </c>
      <c r="D3558" t="s">
        <v>113</v>
      </c>
      <c r="E3558" t="s">
        <v>53</v>
      </c>
      <c r="F3558" t="s">
        <v>114</v>
      </c>
      <c r="G3558">
        <v>119062</v>
      </c>
      <c r="H3558" s="75">
        <v>42096</v>
      </c>
      <c r="I3558" t="s">
        <v>115</v>
      </c>
      <c r="J3558">
        <v>5000</v>
      </c>
      <c r="K3558">
        <v>236.79400000000001</v>
      </c>
      <c r="L3558">
        <v>21.115400000000001</v>
      </c>
      <c r="M3558">
        <v>13751.832</v>
      </c>
      <c r="N3558" t="s">
        <v>15</v>
      </c>
    </row>
    <row r="3559" spans="1:14" x14ac:dyDescent="0.2">
      <c r="A3559" t="s">
        <v>18</v>
      </c>
      <c r="B3559" t="s">
        <v>141</v>
      </c>
      <c r="C3559" t="s">
        <v>142</v>
      </c>
      <c r="D3559" t="s">
        <v>113</v>
      </c>
      <c r="E3559" t="s">
        <v>53</v>
      </c>
      <c r="F3559" t="s">
        <v>114</v>
      </c>
      <c r="G3559">
        <v>119062</v>
      </c>
      <c r="H3559" s="75">
        <v>42126</v>
      </c>
      <c r="I3559" t="s">
        <v>115</v>
      </c>
      <c r="J3559">
        <v>5000</v>
      </c>
      <c r="K3559">
        <v>235.30500000000001</v>
      </c>
      <c r="L3559">
        <v>21.248999999999999</v>
      </c>
      <c r="M3559">
        <v>13987.138000000001</v>
      </c>
      <c r="N3559" t="s">
        <v>15</v>
      </c>
    </row>
    <row r="3560" spans="1:14" x14ac:dyDescent="0.2">
      <c r="A3560" t="s">
        <v>18</v>
      </c>
      <c r="B3560" t="s">
        <v>141</v>
      </c>
      <c r="C3560" t="s">
        <v>142</v>
      </c>
      <c r="D3560" t="s">
        <v>113</v>
      </c>
      <c r="E3560" t="s">
        <v>53</v>
      </c>
      <c r="F3560" t="s">
        <v>114</v>
      </c>
      <c r="G3560">
        <v>119062</v>
      </c>
      <c r="H3560" s="75">
        <v>42156</v>
      </c>
      <c r="I3560" t="s">
        <v>115</v>
      </c>
      <c r="J3560">
        <v>5000</v>
      </c>
      <c r="K3560">
        <v>232.839</v>
      </c>
      <c r="L3560">
        <v>21.4741</v>
      </c>
      <c r="M3560">
        <v>14219.976000000001</v>
      </c>
      <c r="N3560" t="s">
        <v>15</v>
      </c>
    </row>
    <row r="3561" spans="1:14" x14ac:dyDescent="0.2">
      <c r="A3561" t="s">
        <v>18</v>
      </c>
      <c r="B3561" t="s">
        <v>141</v>
      </c>
      <c r="C3561" t="s">
        <v>142</v>
      </c>
      <c r="D3561" t="s">
        <v>113</v>
      </c>
      <c r="E3561" t="s">
        <v>53</v>
      </c>
      <c r="F3561" t="s">
        <v>114</v>
      </c>
      <c r="G3561">
        <v>119062</v>
      </c>
      <c r="H3561" s="75">
        <v>42156</v>
      </c>
      <c r="I3561" t="s">
        <v>117</v>
      </c>
      <c r="J3561">
        <v>2.5</v>
      </c>
      <c r="K3561">
        <v>0</v>
      </c>
      <c r="M3561">
        <v>14219.976000000001</v>
      </c>
      <c r="N3561" t="s">
        <v>46</v>
      </c>
    </row>
    <row r="3562" spans="1:14" x14ac:dyDescent="0.2">
      <c r="A3562" t="s">
        <v>18</v>
      </c>
      <c r="B3562" t="s">
        <v>141</v>
      </c>
      <c r="C3562" t="s">
        <v>142</v>
      </c>
      <c r="D3562" t="s">
        <v>113</v>
      </c>
      <c r="E3562" t="s">
        <v>53</v>
      </c>
      <c r="F3562" t="s">
        <v>114</v>
      </c>
      <c r="G3562">
        <v>119062</v>
      </c>
      <c r="H3562" s="75">
        <v>42186</v>
      </c>
      <c r="I3562" t="s">
        <v>115</v>
      </c>
      <c r="J3562">
        <v>5000</v>
      </c>
      <c r="K3562">
        <v>230.881</v>
      </c>
      <c r="L3562">
        <v>21.656199999999998</v>
      </c>
      <c r="M3562">
        <v>14450.857</v>
      </c>
      <c r="N3562" t="s">
        <v>15</v>
      </c>
    </row>
    <row r="3563" spans="1:14" x14ac:dyDescent="0.2">
      <c r="A3563" t="s">
        <v>18</v>
      </c>
      <c r="B3563" t="s">
        <v>141</v>
      </c>
      <c r="C3563" t="s">
        <v>142</v>
      </c>
      <c r="D3563" t="s">
        <v>113</v>
      </c>
      <c r="E3563" t="s">
        <v>53</v>
      </c>
      <c r="F3563" t="s">
        <v>114</v>
      </c>
      <c r="G3563">
        <v>119062</v>
      </c>
      <c r="H3563" s="75">
        <v>42216</v>
      </c>
      <c r="I3563" t="s">
        <v>115</v>
      </c>
      <c r="J3563">
        <v>5000</v>
      </c>
      <c r="K3563">
        <v>233.73599999999999</v>
      </c>
      <c r="L3563">
        <v>21.3917</v>
      </c>
      <c r="M3563">
        <v>14684.593000000001</v>
      </c>
      <c r="N3563" t="s">
        <v>15</v>
      </c>
    </row>
    <row r="3564" spans="1:14" x14ac:dyDescent="0.2">
      <c r="A3564" t="s">
        <v>18</v>
      </c>
      <c r="B3564" t="s">
        <v>141</v>
      </c>
      <c r="C3564" t="s">
        <v>142</v>
      </c>
      <c r="D3564" t="s">
        <v>113</v>
      </c>
      <c r="E3564" t="s">
        <v>53</v>
      </c>
      <c r="F3564" t="s">
        <v>114</v>
      </c>
      <c r="G3564">
        <v>119062</v>
      </c>
      <c r="H3564" s="75">
        <v>42246</v>
      </c>
      <c r="I3564" t="s">
        <v>115</v>
      </c>
      <c r="J3564">
        <v>5000</v>
      </c>
      <c r="K3564">
        <v>230.46799999999999</v>
      </c>
      <c r="L3564">
        <v>21.695</v>
      </c>
      <c r="M3564">
        <v>14915.061</v>
      </c>
      <c r="N3564" t="s">
        <v>15</v>
      </c>
    </row>
    <row r="3565" spans="1:14" x14ac:dyDescent="0.2">
      <c r="A3565" t="s">
        <v>18</v>
      </c>
      <c r="B3565" t="s">
        <v>141</v>
      </c>
      <c r="C3565" t="s">
        <v>142</v>
      </c>
      <c r="D3565" t="s">
        <v>113</v>
      </c>
      <c r="E3565" t="s">
        <v>53</v>
      </c>
      <c r="F3565" t="s">
        <v>114</v>
      </c>
      <c r="G3565">
        <v>119062</v>
      </c>
      <c r="H3565" s="75">
        <v>42246</v>
      </c>
      <c r="I3565" t="s">
        <v>117</v>
      </c>
      <c r="J3565">
        <v>2.5</v>
      </c>
      <c r="K3565">
        <v>0</v>
      </c>
      <c r="M3565">
        <v>14915.061</v>
      </c>
      <c r="N3565" t="s">
        <v>46</v>
      </c>
    </row>
    <row r="3566" spans="1:14" x14ac:dyDescent="0.2">
      <c r="A3566" t="s">
        <v>18</v>
      </c>
      <c r="B3566" t="s">
        <v>141</v>
      </c>
      <c r="C3566" t="s">
        <v>142</v>
      </c>
      <c r="D3566" t="s">
        <v>113</v>
      </c>
      <c r="E3566" t="s">
        <v>53</v>
      </c>
      <c r="F3566" t="s">
        <v>114</v>
      </c>
      <c r="G3566">
        <v>119062</v>
      </c>
      <c r="H3566" s="75">
        <v>42276</v>
      </c>
      <c r="I3566" t="s">
        <v>115</v>
      </c>
      <c r="J3566">
        <v>5000</v>
      </c>
      <c r="K3566">
        <v>228.80699999999999</v>
      </c>
      <c r="L3566">
        <v>21.852499999999999</v>
      </c>
      <c r="M3566">
        <v>15143.868</v>
      </c>
      <c r="N3566" t="s">
        <v>15</v>
      </c>
    </row>
    <row r="3567" spans="1:14" x14ac:dyDescent="0.2">
      <c r="A3567" t="s">
        <v>18</v>
      </c>
      <c r="B3567" t="s">
        <v>141</v>
      </c>
      <c r="C3567" t="s">
        <v>142</v>
      </c>
      <c r="D3567" t="s">
        <v>113</v>
      </c>
      <c r="E3567" t="s">
        <v>53</v>
      </c>
      <c r="F3567" t="s">
        <v>114</v>
      </c>
      <c r="G3567">
        <v>119062</v>
      </c>
      <c r="H3567" s="75">
        <v>42306</v>
      </c>
      <c r="I3567" t="s">
        <v>115</v>
      </c>
      <c r="J3567">
        <v>5000</v>
      </c>
      <c r="K3567">
        <v>231.40100000000001</v>
      </c>
      <c r="L3567">
        <v>21.607500000000002</v>
      </c>
      <c r="M3567">
        <v>15375.27</v>
      </c>
      <c r="N3567" t="s">
        <v>15</v>
      </c>
    </row>
    <row r="3568" spans="1:14" x14ac:dyDescent="0.2">
      <c r="A3568" t="s">
        <v>18</v>
      </c>
      <c r="B3568" t="s">
        <v>141</v>
      </c>
      <c r="C3568" t="s">
        <v>142</v>
      </c>
      <c r="D3568" t="s">
        <v>113</v>
      </c>
      <c r="E3568" t="s">
        <v>53</v>
      </c>
      <c r="F3568" t="s">
        <v>114</v>
      </c>
      <c r="G3568">
        <v>119062</v>
      </c>
      <c r="H3568" s="75">
        <v>42336</v>
      </c>
      <c r="I3568" t="s">
        <v>115</v>
      </c>
      <c r="J3568">
        <v>5000</v>
      </c>
      <c r="K3568">
        <v>231.64599999999999</v>
      </c>
      <c r="L3568">
        <v>21.584700000000002</v>
      </c>
      <c r="M3568">
        <v>15606.915999999999</v>
      </c>
      <c r="N3568" t="s">
        <v>15</v>
      </c>
    </row>
    <row r="3569" spans="1:15" x14ac:dyDescent="0.2">
      <c r="A3569" t="s">
        <v>18</v>
      </c>
      <c r="B3569" t="s">
        <v>141</v>
      </c>
      <c r="C3569" t="s">
        <v>142</v>
      </c>
      <c r="D3569" t="s">
        <v>113</v>
      </c>
      <c r="E3569" t="s">
        <v>53</v>
      </c>
      <c r="F3569" t="s">
        <v>114</v>
      </c>
      <c r="G3569">
        <v>119062</v>
      </c>
      <c r="H3569" s="75">
        <v>42366</v>
      </c>
      <c r="I3569" t="s">
        <v>115</v>
      </c>
      <c r="J3569">
        <v>5000</v>
      </c>
      <c r="K3569">
        <v>234.59800000000001</v>
      </c>
      <c r="L3569">
        <v>21.313099999999999</v>
      </c>
      <c r="M3569">
        <v>15841.513999999999</v>
      </c>
      <c r="N3569" t="s">
        <v>15</v>
      </c>
    </row>
    <row r="3570" spans="1:15" x14ac:dyDescent="0.2">
      <c r="A3570" t="s">
        <v>18</v>
      </c>
      <c r="B3570" t="s">
        <v>141</v>
      </c>
      <c r="C3570" t="s">
        <v>142</v>
      </c>
      <c r="D3570" t="s">
        <v>113</v>
      </c>
      <c r="E3570" t="s">
        <v>53</v>
      </c>
      <c r="F3570" t="s">
        <v>114</v>
      </c>
      <c r="G3570">
        <v>119062</v>
      </c>
      <c r="H3570" s="75">
        <v>42396</v>
      </c>
      <c r="I3570" t="s">
        <v>115</v>
      </c>
      <c r="J3570">
        <v>5000</v>
      </c>
      <c r="K3570">
        <v>233.97900000000001</v>
      </c>
      <c r="L3570">
        <v>21.369499999999999</v>
      </c>
      <c r="M3570">
        <v>16075.492</v>
      </c>
      <c r="N3570" t="s">
        <v>15</v>
      </c>
    </row>
    <row r="3571" spans="1:15" x14ac:dyDescent="0.2">
      <c r="A3571" t="s">
        <v>18</v>
      </c>
      <c r="B3571" t="s">
        <v>141</v>
      </c>
      <c r="C3571" t="s">
        <v>142</v>
      </c>
      <c r="D3571" t="s">
        <v>113</v>
      </c>
      <c r="E3571" t="s">
        <v>53</v>
      </c>
      <c r="F3571" t="s">
        <v>114</v>
      </c>
      <c r="G3571">
        <v>119062</v>
      </c>
      <c r="H3571" s="75">
        <v>42426</v>
      </c>
      <c r="I3571" t="s">
        <v>115</v>
      </c>
      <c r="J3571">
        <v>5000</v>
      </c>
      <c r="K3571">
        <v>231.55199999999999</v>
      </c>
      <c r="L3571">
        <v>21.593499999999999</v>
      </c>
      <c r="M3571">
        <v>16307.044</v>
      </c>
      <c r="N3571" t="s">
        <v>15</v>
      </c>
    </row>
    <row r="3572" spans="1:15" x14ac:dyDescent="0.2">
      <c r="A3572" t="s">
        <v>18</v>
      </c>
      <c r="B3572" t="s">
        <v>141</v>
      </c>
      <c r="C3572" t="s">
        <v>142</v>
      </c>
      <c r="D3572" t="s">
        <v>113</v>
      </c>
      <c r="E3572" t="s">
        <v>53</v>
      </c>
      <c r="F3572" t="s">
        <v>114</v>
      </c>
      <c r="G3572">
        <v>119062</v>
      </c>
      <c r="H3572" s="75">
        <v>42456</v>
      </c>
      <c r="I3572" t="s">
        <v>115</v>
      </c>
      <c r="J3572">
        <v>5000</v>
      </c>
      <c r="K3572">
        <v>231.80099999999999</v>
      </c>
      <c r="L3572">
        <v>21.5703</v>
      </c>
      <c r="M3572">
        <v>16538.844000000001</v>
      </c>
      <c r="N3572" t="s">
        <v>15</v>
      </c>
    </row>
    <row r="3573" spans="1:15" x14ac:dyDescent="0.2">
      <c r="A3573" t="s">
        <v>18</v>
      </c>
      <c r="B3573" t="s">
        <v>141</v>
      </c>
      <c r="C3573" t="s">
        <v>142</v>
      </c>
      <c r="D3573" t="s">
        <v>113</v>
      </c>
      <c r="E3573" t="s">
        <v>53</v>
      </c>
      <c r="F3573" t="s">
        <v>114</v>
      </c>
      <c r="G3573">
        <v>119062</v>
      </c>
      <c r="H3573" s="75">
        <v>42486</v>
      </c>
      <c r="I3573" t="s">
        <v>115</v>
      </c>
      <c r="J3573">
        <v>5000</v>
      </c>
      <c r="K3573">
        <v>229.721</v>
      </c>
      <c r="L3573">
        <v>21.765499999999999</v>
      </c>
      <c r="M3573">
        <v>16768.564999999999</v>
      </c>
      <c r="N3573" t="s">
        <v>15</v>
      </c>
    </row>
    <row r="3574" spans="1:15" x14ac:dyDescent="0.2">
      <c r="A3574" t="s">
        <v>18</v>
      </c>
      <c r="B3574" t="s">
        <v>141</v>
      </c>
      <c r="C3574" t="s">
        <v>142</v>
      </c>
      <c r="D3574" t="s">
        <v>113</v>
      </c>
      <c r="E3574" t="s">
        <v>53</v>
      </c>
      <c r="F3574" t="s">
        <v>114</v>
      </c>
      <c r="G3574">
        <v>119062</v>
      </c>
      <c r="H3574" s="75">
        <v>42516</v>
      </c>
      <c r="I3574" t="s">
        <v>115</v>
      </c>
      <c r="J3574">
        <v>5000</v>
      </c>
      <c r="K3574">
        <v>233.66800000000001</v>
      </c>
      <c r="L3574">
        <v>21.3979</v>
      </c>
      <c r="M3574">
        <v>17002.234</v>
      </c>
      <c r="N3574" t="s">
        <v>15</v>
      </c>
    </row>
    <row r="3575" spans="1:15" x14ac:dyDescent="0.2">
      <c r="A3575" t="s">
        <v>18</v>
      </c>
      <c r="B3575" t="s">
        <v>141</v>
      </c>
      <c r="C3575" t="s">
        <v>142</v>
      </c>
      <c r="D3575" t="s">
        <v>113</v>
      </c>
      <c r="E3575" t="s">
        <v>53</v>
      </c>
      <c r="F3575" t="s">
        <v>114</v>
      </c>
      <c r="G3575">
        <v>119062</v>
      </c>
      <c r="H3575" s="75">
        <v>42546</v>
      </c>
      <c r="I3575" t="s">
        <v>115</v>
      </c>
      <c r="J3575">
        <v>5000</v>
      </c>
      <c r="K3575">
        <v>228.251</v>
      </c>
      <c r="L3575">
        <v>21.9057</v>
      </c>
      <c r="M3575">
        <v>17230.485000000001</v>
      </c>
      <c r="N3575" t="s">
        <v>15</v>
      </c>
    </row>
    <row r="3576" spans="1:15" x14ac:dyDescent="0.2">
      <c r="A3576" t="s">
        <v>18</v>
      </c>
      <c r="B3576" t="s">
        <v>141</v>
      </c>
      <c r="C3576" t="s">
        <v>142</v>
      </c>
      <c r="D3576" t="s">
        <v>113</v>
      </c>
      <c r="E3576" t="s">
        <v>53</v>
      </c>
      <c r="F3576" t="s">
        <v>114</v>
      </c>
      <c r="G3576">
        <v>119062</v>
      </c>
      <c r="H3576" s="75">
        <v>42576</v>
      </c>
      <c r="I3576" t="s">
        <v>115</v>
      </c>
      <c r="J3576">
        <v>5000</v>
      </c>
      <c r="K3576">
        <v>231.52799999999999</v>
      </c>
      <c r="L3576">
        <v>21.595600000000001</v>
      </c>
      <c r="M3576">
        <v>17462.012999999999</v>
      </c>
      <c r="N3576" t="s">
        <v>15</v>
      </c>
    </row>
    <row r="3577" spans="1:15" x14ac:dyDescent="0.2">
      <c r="A3577" t="s">
        <v>18</v>
      </c>
      <c r="B3577" t="s">
        <v>141</v>
      </c>
      <c r="C3577" t="s">
        <v>142</v>
      </c>
      <c r="D3577" t="s">
        <v>113</v>
      </c>
      <c r="E3577" t="s">
        <v>53</v>
      </c>
      <c r="F3577" t="s">
        <v>114</v>
      </c>
      <c r="G3577">
        <v>119062</v>
      </c>
      <c r="H3577" s="75">
        <v>42576</v>
      </c>
      <c r="I3577" t="s">
        <v>117</v>
      </c>
      <c r="J3577">
        <v>2.5</v>
      </c>
      <c r="K3577">
        <v>0</v>
      </c>
      <c r="M3577">
        <v>17462.012999999999</v>
      </c>
      <c r="N3577" t="s">
        <v>46</v>
      </c>
    </row>
    <row r="3578" spans="1:15" x14ac:dyDescent="0.2">
      <c r="A3578" t="s">
        <v>18</v>
      </c>
      <c r="B3578" t="s">
        <v>141</v>
      </c>
      <c r="C3578" t="s">
        <v>142</v>
      </c>
      <c r="D3578" t="s">
        <v>113</v>
      </c>
      <c r="E3578" t="s">
        <v>53</v>
      </c>
      <c r="F3578" t="s">
        <v>114</v>
      </c>
      <c r="G3578">
        <v>119062</v>
      </c>
      <c r="H3578" s="75">
        <v>42576</v>
      </c>
      <c r="I3578" t="s">
        <v>118</v>
      </c>
      <c r="J3578">
        <v>8731.01</v>
      </c>
      <c r="K3578">
        <v>0</v>
      </c>
      <c r="M3578">
        <v>17462.012999999999</v>
      </c>
      <c r="N3578" t="s">
        <v>19</v>
      </c>
      <c r="O3578">
        <v>8731.01</v>
      </c>
    </row>
    <row r="3579" spans="1:15" x14ac:dyDescent="0.2">
      <c r="A3579" t="s">
        <v>18</v>
      </c>
      <c r="B3579" t="s">
        <v>141</v>
      </c>
      <c r="C3579" t="s">
        <v>142</v>
      </c>
      <c r="D3579" t="s">
        <v>113</v>
      </c>
      <c r="E3579" t="s">
        <v>53</v>
      </c>
      <c r="F3579" t="s">
        <v>114</v>
      </c>
      <c r="G3579">
        <v>119062</v>
      </c>
      <c r="H3579" s="75">
        <v>42606</v>
      </c>
      <c r="I3579" t="s">
        <v>115</v>
      </c>
      <c r="J3579">
        <v>5000</v>
      </c>
      <c r="K3579">
        <v>228.393</v>
      </c>
      <c r="L3579">
        <v>21.891999999999999</v>
      </c>
      <c r="M3579">
        <v>17690.405999999999</v>
      </c>
      <c r="N3579" t="s">
        <v>15</v>
      </c>
    </row>
    <row r="3580" spans="1:15" x14ac:dyDescent="0.2">
      <c r="A3580" t="s">
        <v>18</v>
      </c>
      <c r="B3580" t="s">
        <v>141</v>
      </c>
      <c r="C3580" t="s">
        <v>142</v>
      </c>
      <c r="D3580" t="s">
        <v>113</v>
      </c>
      <c r="E3580" t="s">
        <v>53</v>
      </c>
      <c r="F3580" t="s">
        <v>114</v>
      </c>
      <c r="G3580">
        <v>119062</v>
      </c>
      <c r="H3580" s="75">
        <v>42636</v>
      </c>
      <c r="I3580" t="s">
        <v>115</v>
      </c>
      <c r="J3580">
        <v>5000</v>
      </c>
      <c r="K3580">
        <v>229.12700000000001</v>
      </c>
      <c r="L3580">
        <v>21.821999999999999</v>
      </c>
      <c r="M3580">
        <v>17919.534</v>
      </c>
      <c r="N3580" t="s">
        <v>15</v>
      </c>
    </row>
    <row r="3581" spans="1:15" x14ac:dyDescent="0.2">
      <c r="A3581" t="s">
        <v>18</v>
      </c>
      <c r="B3581" t="s">
        <v>141</v>
      </c>
      <c r="C3581" t="s">
        <v>142</v>
      </c>
      <c r="D3581" t="s">
        <v>113</v>
      </c>
      <c r="E3581" t="s">
        <v>53</v>
      </c>
      <c r="F3581" t="s">
        <v>114</v>
      </c>
      <c r="G3581">
        <v>119062</v>
      </c>
      <c r="H3581" s="75">
        <v>42666</v>
      </c>
      <c r="I3581" t="s">
        <v>115</v>
      </c>
      <c r="J3581">
        <v>5000</v>
      </c>
      <c r="K3581">
        <v>224.83500000000001</v>
      </c>
      <c r="L3581">
        <v>22.238499999999998</v>
      </c>
      <c r="M3581">
        <v>18144.368999999999</v>
      </c>
      <c r="N3581" t="s">
        <v>15</v>
      </c>
    </row>
    <row r="3582" spans="1:15" x14ac:dyDescent="0.2">
      <c r="A3582" t="s">
        <v>18</v>
      </c>
      <c r="B3582" t="s">
        <v>141</v>
      </c>
      <c r="C3582" t="s">
        <v>142</v>
      </c>
      <c r="D3582" t="s">
        <v>113</v>
      </c>
      <c r="E3582" t="s">
        <v>53</v>
      </c>
      <c r="F3582" t="s">
        <v>114</v>
      </c>
      <c r="G3582">
        <v>119062</v>
      </c>
      <c r="H3582" s="75">
        <v>42696</v>
      </c>
      <c r="I3582" t="s">
        <v>115</v>
      </c>
      <c r="J3582">
        <v>5000</v>
      </c>
      <c r="K3582">
        <v>223.148</v>
      </c>
      <c r="L3582">
        <v>22.406700000000001</v>
      </c>
      <c r="M3582">
        <v>18367.516</v>
      </c>
      <c r="N3582" t="s">
        <v>15</v>
      </c>
    </row>
    <row r="3583" spans="1:15" x14ac:dyDescent="0.2">
      <c r="A3583" t="s">
        <v>18</v>
      </c>
      <c r="B3583" t="s">
        <v>141</v>
      </c>
      <c r="C3583" t="s">
        <v>142</v>
      </c>
      <c r="D3583" t="s">
        <v>113</v>
      </c>
      <c r="E3583" t="s">
        <v>53</v>
      </c>
      <c r="F3583" t="s">
        <v>114</v>
      </c>
      <c r="G3583">
        <v>119062</v>
      </c>
      <c r="H3583" s="75">
        <v>42726</v>
      </c>
      <c r="I3583" t="s">
        <v>115</v>
      </c>
      <c r="J3583">
        <v>5000</v>
      </c>
      <c r="K3583">
        <v>216.94</v>
      </c>
      <c r="L3583">
        <v>23.047899999999998</v>
      </c>
      <c r="M3583">
        <v>18584.455999999998</v>
      </c>
      <c r="N3583" t="s">
        <v>15</v>
      </c>
    </row>
    <row r="3584" spans="1:15" x14ac:dyDescent="0.2">
      <c r="A3584" t="s">
        <v>18</v>
      </c>
      <c r="B3584" t="s">
        <v>141</v>
      </c>
      <c r="C3584" t="s">
        <v>142</v>
      </c>
      <c r="D3584" t="s">
        <v>113</v>
      </c>
      <c r="E3584" t="s">
        <v>53</v>
      </c>
      <c r="F3584" t="s">
        <v>114</v>
      </c>
      <c r="G3584">
        <v>119062</v>
      </c>
      <c r="H3584" s="75">
        <v>42756</v>
      </c>
      <c r="I3584" t="s">
        <v>115</v>
      </c>
      <c r="J3584">
        <v>5000</v>
      </c>
      <c r="K3584">
        <v>211.59</v>
      </c>
      <c r="L3584">
        <v>23.630600000000001</v>
      </c>
      <c r="M3584">
        <v>18796.045999999998</v>
      </c>
      <c r="N3584" t="s">
        <v>15</v>
      </c>
    </row>
    <row r="3585" spans="1:15" x14ac:dyDescent="0.2">
      <c r="A3585" t="s">
        <v>18</v>
      </c>
      <c r="B3585" t="s">
        <v>141</v>
      </c>
      <c r="C3585" t="s">
        <v>142</v>
      </c>
      <c r="D3585" t="s">
        <v>113</v>
      </c>
      <c r="E3585" t="s">
        <v>53</v>
      </c>
      <c r="F3585" t="s">
        <v>114</v>
      </c>
      <c r="G3585">
        <v>119062</v>
      </c>
      <c r="H3585" s="75">
        <v>42756</v>
      </c>
      <c r="I3585" t="s">
        <v>118</v>
      </c>
      <c r="J3585">
        <v>9398.02</v>
      </c>
      <c r="K3585">
        <v>0</v>
      </c>
      <c r="M3585">
        <v>18796.045999999998</v>
      </c>
      <c r="N3585" t="s">
        <v>19</v>
      </c>
      <c r="O3585">
        <v>9398.02</v>
      </c>
    </row>
    <row r="3586" spans="1:15" x14ac:dyDescent="0.2">
      <c r="A3586" t="s">
        <v>18</v>
      </c>
      <c r="B3586" t="s">
        <v>141</v>
      </c>
      <c r="C3586" t="s">
        <v>142</v>
      </c>
      <c r="D3586" t="s">
        <v>113</v>
      </c>
      <c r="E3586" t="s">
        <v>53</v>
      </c>
      <c r="F3586" t="s">
        <v>114</v>
      </c>
      <c r="G3586">
        <v>119062</v>
      </c>
      <c r="H3586" s="75">
        <v>42786</v>
      </c>
      <c r="I3586" t="s">
        <v>115</v>
      </c>
      <c r="J3586">
        <v>5000</v>
      </c>
      <c r="K3586">
        <v>210.49799999999999</v>
      </c>
      <c r="L3586">
        <v>23.7532</v>
      </c>
      <c r="M3586">
        <v>19006.544000000002</v>
      </c>
      <c r="N3586" t="s">
        <v>15</v>
      </c>
    </row>
    <row r="3587" spans="1:15" x14ac:dyDescent="0.2">
      <c r="A3587" t="s">
        <v>18</v>
      </c>
      <c r="B3587" t="s">
        <v>141</v>
      </c>
      <c r="C3587" t="s">
        <v>142</v>
      </c>
      <c r="D3587" t="s">
        <v>113</v>
      </c>
      <c r="E3587" t="s">
        <v>53</v>
      </c>
      <c r="F3587" t="s">
        <v>114</v>
      </c>
      <c r="G3587">
        <v>119062</v>
      </c>
      <c r="H3587" s="75">
        <v>42816</v>
      </c>
      <c r="I3587" t="s">
        <v>115</v>
      </c>
      <c r="J3587">
        <v>5000</v>
      </c>
      <c r="K3587">
        <v>209.46700000000001</v>
      </c>
      <c r="L3587">
        <v>23.870100000000001</v>
      </c>
      <c r="M3587">
        <v>19216.010999999999</v>
      </c>
      <c r="N3587" t="s">
        <v>15</v>
      </c>
    </row>
    <row r="3588" spans="1:15" x14ac:dyDescent="0.2">
      <c r="A3588" t="s">
        <v>18</v>
      </c>
      <c r="B3588" t="s">
        <v>141</v>
      </c>
      <c r="C3588" t="s">
        <v>142</v>
      </c>
      <c r="D3588" t="s">
        <v>113</v>
      </c>
      <c r="E3588" t="s">
        <v>53</v>
      </c>
      <c r="F3588" t="s">
        <v>114</v>
      </c>
      <c r="G3588">
        <v>119062</v>
      </c>
      <c r="H3588" s="75">
        <v>42846</v>
      </c>
      <c r="I3588" t="s">
        <v>115</v>
      </c>
      <c r="J3588">
        <v>5000</v>
      </c>
      <c r="K3588">
        <v>213.65199999999999</v>
      </c>
      <c r="L3588">
        <v>23.4025</v>
      </c>
      <c r="M3588">
        <v>19429.663</v>
      </c>
      <c r="N3588" t="s">
        <v>15</v>
      </c>
    </row>
    <row r="3589" spans="1:15" x14ac:dyDescent="0.2">
      <c r="A3589" t="s">
        <v>18</v>
      </c>
      <c r="B3589" t="s">
        <v>141</v>
      </c>
      <c r="C3589" t="s">
        <v>142</v>
      </c>
      <c r="D3589" t="s">
        <v>113</v>
      </c>
      <c r="E3589" t="s">
        <v>53</v>
      </c>
      <c r="F3589" t="s">
        <v>114</v>
      </c>
      <c r="G3589">
        <v>119062</v>
      </c>
      <c r="H3589" s="75">
        <v>42846</v>
      </c>
      <c r="I3589" t="s">
        <v>116</v>
      </c>
      <c r="J3589">
        <v>2.5</v>
      </c>
      <c r="K3589">
        <v>0</v>
      </c>
      <c r="M3589">
        <v>19429.663</v>
      </c>
      <c r="N3589" t="s">
        <v>17</v>
      </c>
    </row>
    <row r="3590" spans="1:15" x14ac:dyDescent="0.2">
      <c r="A3590" t="s">
        <v>18</v>
      </c>
      <c r="B3590" t="s">
        <v>141</v>
      </c>
      <c r="C3590" t="s">
        <v>142</v>
      </c>
      <c r="D3590" t="s">
        <v>113</v>
      </c>
      <c r="E3590" t="s">
        <v>53</v>
      </c>
      <c r="F3590" t="s">
        <v>114</v>
      </c>
      <c r="G3590">
        <v>119062</v>
      </c>
      <c r="H3590" s="75">
        <v>42876</v>
      </c>
      <c r="I3590" t="s">
        <v>115</v>
      </c>
      <c r="J3590">
        <v>5000</v>
      </c>
      <c r="K3590">
        <v>216.82499999999999</v>
      </c>
      <c r="L3590">
        <v>23.06</v>
      </c>
      <c r="M3590">
        <v>19646.489000000001</v>
      </c>
      <c r="N3590" t="s">
        <v>15</v>
      </c>
    </row>
    <row r="3591" spans="1:15" x14ac:dyDescent="0.2">
      <c r="A3591" t="s">
        <v>18</v>
      </c>
      <c r="B3591" t="s">
        <v>141</v>
      </c>
      <c r="C3591" t="s">
        <v>142</v>
      </c>
      <c r="D3591" t="s">
        <v>113</v>
      </c>
      <c r="E3591" t="s">
        <v>53</v>
      </c>
      <c r="F3591" t="s">
        <v>114</v>
      </c>
      <c r="G3591">
        <v>119062</v>
      </c>
      <c r="H3591" s="75">
        <v>42906</v>
      </c>
      <c r="I3591" t="s">
        <v>115</v>
      </c>
      <c r="J3591">
        <v>5000</v>
      </c>
      <c r="K3591">
        <v>217.62899999999999</v>
      </c>
      <c r="L3591">
        <v>22.974900000000002</v>
      </c>
      <c r="M3591">
        <v>19864.117999999999</v>
      </c>
      <c r="N3591" t="s">
        <v>15</v>
      </c>
    </row>
    <row r="3592" spans="1:15" x14ac:dyDescent="0.2">
      <c r="A3592" t="s">
        <v>18</v>
      </c>
      <c r="B3592" t="s">
        <v>141</v>
      </c>
      <c r="C3592" t="s">
        <v>142</v>
      </c>
      <c r="D3592" t="s">
        <v>113</v>
      </c>
      <c r="E3592" t="s">
        <v>53</v>
      </c>
      <c r="F3592" t="s">
        <v>114</v>
      </c>
      <c r="G3592">
        <v>119062</v>
      </c>
      <c r="H3592" s="75">
        <v>42936</v>
      </c>
      <c r="I3592" t="s">
        <v>115</v>
      </c>
      <c r="J3592">
        <v>5000</v>
      </c>
      <c r="K3592">
        <v>220.7</v>
      </c>
      <c r="L3592">
        <v>22.655200000000001</v>
      </c>
      <c r="M3592">
        <v>20084.816999999999</v>
      </c>
      <c r="N3592" t="s">
        <v>15</v>
      </c>
    </row>
    <row r="3593" spans="1:15" x14ac:dyDescent="0.2">
      <c r="A3593" t="s">
        <v>18</v>
      </c>
      <c r="B3593" t="s">
        <v>141</v>
      </c>
      <c r="C3593" t="s">
        <v>142</v>
      </c>
      <c r="D3593" t="s">
        <v>113</v>
      </c>
      <c r="E3593" t="s">
        <v>53</v>
      </c>
      <c r="F3593" t="s">
        <v>114</v>
      </c>
      <c r="G3593">
        <v>119062</v>
      </c>
      <c r="H3593" s="75">
        <v>42966</v>
      </c>
      <c r="I3593" t="s">
        <v>115</v>
      </c>
      <c r="J3593">
        <v>5000</v>
      </c>
      <c r="K3593">
        <v>219.11199999999999</v>
      </c>
      <c r="L3593">
        <v>22.819400000000002</v>
      </c>
      <c r="M3593">
        <v>20303.929</v>
      </c>
      <c r="N3593" t="s">
        <v>15</v>
      </c>
    </row>
    <row r="3594" spans="1:15" x14ac:dyDescent="0.2">
      <c r="A3594" t="s">
        <v>18</v>
      </c>
      <c r="B3594" t="s">
        <v>141</v>
      </c>
      <c r="C3594" t="s">
        <v>142</v>
      </c>
      <c r="D3594" t="s">
        <v>113</v>
      </c>
      <c r="E3594" t="s">
        <v>53</v>
      </c>
      <c r="F3594" t="s">
        <v>114</v>
      </c>
      <c r="G3594">
        <v>119062</v>
      </c>
      <c r="H3594" s="75">
        <v>42996</v>
      </c>
      <c r="I3594" t="s">
        <v>115</v>
      </c>
      <c r="J3594">
        <v>5000</v>
      </c>
      <c r="K3594">
        <v>218.47399999999999</v>
      </c>
      <c r="L3594">
        <v>22.885999999999999</v>
      </c>
      <c r="M3594">
        <v>20522.402999999998</v>
      </c>
      <c r="N3594" t="s">
        <v>15</v>
      </c>
    </row>
    <row r="3595" spans="1:15" x14ac:dyDescent="0.2">
      <c r="A3595" t="s">
        <v>18</v>
      </c>
      <c r="B3595" t="s">
        <v>141</v>
      </c>
      <c r="C3595" t="s">
        <v>142</v>
      </c>
      <c r="D3595" t="s">
        <v>113</v>
      </c>
      <c r="E3595" t="s">
        <v>53</v>
      </c>
      <c r="F3595" t="s">
        <v>114</v>
      </c>
      <c r="G3595">
        <v>119062</v>
      </c>
      <c r="H3595" s="75">
        <v>42996</v>
      </c>
      <c r="I3595" t="s">
        <v>116</v>
      </c>
      <c r="J3595">
        <v>2.5</v>
      </c>
      <c r="K3595">
        <v>0</v>
      </c>
      <c r="M3595">
        <v>20522.402999999998</v>
      </c>
      <c r="N3595" t="s">
        <v>17</v>
      </c>
    </row>
    <row r="3596" spans="1:15" x14ac:dyDescent="0.2">
      <c r="A3596" t="s">
        <v>18</v>
      </c>
      <c r="B3596" t="s">
        <v>141</v>
      </c>
      <c r="C3596" t="s">
        <v>142</v>
      </c>
      <c r="D3596" t="s">
        <v>113</v>
      </c>
      <c r="E3596" t="s">
        <v>53</v>
      </c>
      <c r="F3596" t="s">
        <v>114</v>
      </c>
      <c r="G3596">
        <v>119062</v>
      </c>
      <c r="H3596" s="75">
        <v>43026</v>
      </c>
      <c r="I3596" t="s">
        <v>115</v>
      </c>
      <c r="J3596">
        <v>5000</v>
      </c>
      <c r="K3596">
        <v>217.143</v>
      </c>
      <c r="L3596">
        <v>23.026299999999999</v>
      </c>
      <c r="M3596">
        <v>20739.545999999998</v>
      </c>
      <c r="N3596" t="s">
        <v>15</v>
      </c>
    </row>
    <row r="3597" spans="1:15" x14ac:dyDescent="0.2">
      <c r="A3597" t="s">
        <v>18</v>
      </c>
      <c r="B3597" t="s">
        <v>141</v>
      </c>
      <c r="C3597" t="s">
        <v>142</v>
      </c>
      <c r="D3597" t="s">
        <v>113</v>
      </c>
      <c r="E3597" t="s">
        <v>53</v>
      </c>
      <c r="F3597" t="s">
        <v>114</v>
      </c>
      <c r="G3597">
        <v>119062</v>
      </c>
      <c r="H3597" s="75">
        <v>43056</v>
      </c>
      <c r="I3597" t="s">
        <v>115</v>
      </c>
      <c r="J3597">
        <v>5000</v>
      </c>
      <c r="K3597">
        <v>219.53200000000001</v>
      </c>
      <c r="L3597">
        <v>22.775700000000001</v>
      </c>
      <c r="M3597">
        <v>20959.078000000001</v>
      </c>
      <c r="N3597" t="s">
        <v>15</v>
      </c>
    </row>
    <row r="3598" spans="1:15" x14ac:dyDescent="0.2">
      <c r="A3598" t="s">
        <v>18</v>
      </c>
      <c r="B3598" t="s">
        <v>141</v>
      </c>
      <c r="C3598" t="s">
        <v>142</v>
      </c>
      <c r="D3598" t="s">
        <v>113</v>
      </c>
      <c r="E3598" t="s">
        <v>53</v>
      </c>
      <c r="F3598" t="s">
        <v>114</v>
      </c>
      <c r="G3598">
        <v>119062</v>
      </c>
      <c r="H3598" s="75">
        <v>43086</v>
      </c>
      <c r="I3598" t="s">
        <v>115</v>
      </c>
      <c r="J3598">
        <v>5000</v>
      </c>
      <c r="K3598">
        <v>217.12299999999999</v>
      </c>
      <c r="L3598">
        <v>23.028400000000001</v>
      </c>
      <c r="M3598">
        <v>21176.201000000001</v>
      </c>
      <c r="N3598" t="s">
        <v>15</v>
      </c>
    </row>
    <row r="3599" spans="1:15" x14ac:dyDescent="0.2">
      <c r="A3599" t="s">
        <v>18</v>
      </c>
      <c r="B3599" t="s">
        <v>141</v>
      </c>
      <c r="C3599" t="s">
        <v>142</v>
      </c>
      <c r="D3599" t="s">
        <v>113</v>
      </c>
      <c r="E3599" t="s">
        <v>53</v>
      </c>
      <c r="F3599" t="s">
        <v>114</v>
      </c>
      <c r="G3599">
        <v>119062</v>
      </c>
      <c r="H3599" s="75">
        <v>43086</v>
      </c>
      <c r="I3599" t="s">
        <v>116</v>
      </c>
      <c r="J3599">
        <v>2.5</v>
      </c>
      <c r="K3599">
        <v>0</v>
      </c>
      <c r="M3599">
        <v>21176.201000000001</v>
      </c>
      <c r="N3599" t="s">
        <v>17</v>
      </c>
    </row>
    <row r="3600" spans="1:15" x14ac:dyDescent="0.2">
      <c r="A3600" t="s">
        <v>18</v>
      </c>
      <c r="B3600" t="s">
        <v>141</v>
      </c>
      <c r="C3600" t="s">
        <v>142</v>
      </c>
      <c r="D3600" t="s">
        <v>113</v>
      </c>
      <c r="E3600" t="s">
        <v>53</v>
      </c>
      <c r="F3600" t="s">
        <v>114</v>
      </c>
      <c r="G3600">
        <v>119062</v>
      </c>
      <c r="H3600" s="75">
        <v>43116</v>
      </c>
      <c r="I3600" t="s">
        <v>115</v>
      </c>
      <c r="J3600">
        <v>5000</v>
      </c>
      <c r="K3600">
        <v>213.48699999999999</v>
      </c>
      <c r="L3600">
        <v>23.4206</v>
      </c>
      <c r="M3600">
        <v>21389.688999999998</v>
      </c>
      <c r="N3600" t="s">
        <v>15</v>
      </c>
    </row>
    <row r="3601" spans="1:14" x14ac:dyDescent="0.2">
      <c r="A3601" t="s">
        <v>18</v>
      </c>
      <c r="B3601" t="s">
        <v>141</v>
      </c>
      <c r="C3601" t="s">
        <v>142</v>
      </c>
      <c r="D3601" t="s">
        <v>113</v>
      </c>
      <c r="E3601" t="s">
        <v>53</v>
      </c>
      <c r="F3601" t="s">
        <v>114</v>
      </c>
      <c r="G3601">
        <v>119062</v>
      </c>
      <c r="H3601" s="75">
        <v>43146</v>
      </c>
      <c r="I3601" t="s">
        <v>115</v>
      </c>
      <c r="J3601">
        <v>5000</v>
      </c>
      <c r="K3601">
        <v>214.46100000000001</v>
      </c>
      <c r="L3601">
        <v>23.314299999999999</v>
      </c>
      <c r="M3601">
        <v>21604.149000000001</v>
      </c>
      <c r="N3601" t="s">
        <v>15</v>
      </c>
    </row>
    <row r="3602" spans="1:14" x14ac:dyDescent="0.2">
      <c r="A3602" t="s">
        <v>18</v>
      </c>
      <c r="B3602" t="s">
        <v>141</v>
      </c>
      <c r="C3602" t="s">
        <v>142</v>
      </c>
      <c r="D3602" t="s">
        <v>113</v>
      </c>
      <c r="E3602" t="s">
        <v>53</v>
      </c>
      <c r="F3602" t="s">
        <v>114</v>
      </c>
      <c r="G3602">
        <v>119062</v>
      </c>
      <c r="H3602" s="75">
        <v>43176</v>
      </c>
      <c r="I3602" t="s">
        <v>115</v>
      </c>
      <c r="J3602">
        <v>5000</v>
      </c>
      <c r="K3602">
        <v>214.66900000000001</v>
      </c>
      <c r="L3602">
        <v>23.291699999999999</v>
      </c>
      <c r="M3602">
        <v>21818.817999999999</v>
      </c>
      <c r="N3602" t="s">
        <v>15</v>
      </c>
    </row>
    <row r="3603" spans="1:14" x14ac:dyDescent="0.2">
      <c r="A3603" t="s">
        <v>18</v>
      </c>
      <c r="B3603" t="s">
        <v>141</v>
      </c>
      <c r="C3603" t="s">
        <v>142</v>
      </c>
      <c r="D3603" t="s">
        <v>113</v>
      </c>
      <c r="E3603" t="s">
        <v>53</v>
      </c>
      <c r="F3603" t="s">
        <v>114</v>
      </c>
      <c r="G3603">
        <v>119062</v>
      </c>
      <c r="H3603" s="75">
        <v>43206</v>
      </c>
      <c r="I3603" t="s">
        <v>115</v>
      </c>
      <c r="J3603">
        <v>5000</v>
      </c>
      <c r="K3603">
        <v>212.26599999999999</v>
      </c>
      <c r="L3603">
        <v>23.555299999999999</v>
      </c>
      <c r="M3603">
        <v>22031.083999999999</v>
      </c>
      <c r="N3603" t="s">
        <v>15</v>
      </c>
    </row>
    <row r="3604" spans="1:14" x14ac:dyDescent="0.2">
      <c r="A3604" t="s">
        <v>18</v>
      </c>
      <c r="B3604" t="s">
        <v>141</v>
      </c>
      <c r="C3604" t="s">
        <v>142</v>
      </c>
      <c r="D3604" t="s">
        <v>113</v>
      </c>
      <c r="E3604" t="s">
        <v>53</v>
      </c>
      <c r="F3604" t="s">
        <v>114</v>
      </c>
      <c r="G3604">
        <v>119062</v>
      </c>
      <c r="H3604" s="75">
        <v>43206</v>
      </c>
      <c r="I3604" t="s">
        <v>117</v>
      </c>
      <c r="J3604">
        <v>2.5</v>
      </c>
      <c r="K3604">
        <v>0</v>
      </c>
      <c r="M3604">
        <v>22031.083999999999</v>
      </c>
      <c r="N3604" t="s">
        <v>46</v>
      </c>
    </row>
    <row r="3605" spans="1:14" x14ac:dyDescent="0.2">
      <c r="A3605" t="s">
        <v>18</v>
      </c>
      <c r="B3605" t="s">
        <v>141</v>
      </c>
      <c r="C3605" t="s">
        <v>142</v>
      </c>
      <c r="D3605" t="s">
        <v>113</v>
      </c>
      <c r="E3605" t="s">
        <v>53</v>
      </c>
      <c r="F3605" t="s">
        <v>114</v>
      </c>
      <c r="G3605">
        <v>119062</v>
      </c>
      <c r="H3605" s="75">
        <v>43236</v>
      </c>
      <c r="I3605" t="s">
        <v>115</v>
      </c>
      <c r="J3605">
        <v>5000</v>
      </c>
      <c r="K3605">
        <v>214.76599999999999</v>
      </c>
      <c r="L3605">
        <v>23.281199999999998</v>
      </c>
      <c r="M3605">
        <v>22245.85</v>
      </c>
      <c r="N3605" t="s">
        <v>15</v>
      </c>
    </row>
    <row r="3606" spans="1:14" x14ac:dyDescent="0.2">
      <c r="A3606" t="s">
        <v>18</v>
      </c>
      <c r="B3606" t="s">
        <v>141</v>
      </c>
      <c r="C3606" t="s">
        <v>142</v>
      </c>
      <c r="D3606" t="s">
        <v>113</v>
      </c>
      <c r="E3606" t="s">
        <v>53</v>
      </c>
      <c r="F3606" t="s">
        <v>114</v>
      </c>
      <c r="G3606">
        <v>119062</v>
      </c>
      <c r="H3606" s="75">
        <v>43266</v>
      </c>
      <c r="I3606" t="s">
        <v>115</v>
      </c>
      <c r="J3606">
        <v>5000</v>
      </c>
      <c r="K3606">
        <v>216.137</v>
      </c>
      <c r="L3606">
        <v>23.133500000000002</v>
      </c>
      <c r="M3606">
        <v>22461.987000000001</v>
      </c>
      <c r="N3606" t="s">
        <v>15</v>
      </c>
    </row>
    <row r="3607" spans="1:14" x14ac:dyDescent="0.2">
      <c r="A3607" t="s">
        <v>18</v>
      </c>
      <c r="B3607" t="s">
        <v>141</v>
      </c>
      <c r="C3607" t="s">
        <v>142</v>
      </c>
      <c r="D3607" t="s">
        <v>113</v>
      </c>
      <c r="E3607" t="s">
        <v>53</v>
      </c>
      <c r="F3607" t="s">
        <v>114</v>
      </c>
      <c r="G3607">
        <v>119062</v>
      </c>
      <c r="H3607" s="75">
        <v>43296</v>
      </c>
      <c r="I3607" t="s">
        <v>115</v>
      </c>
      <c r="J3607">
        <v>5000</v>
      </c>
      <c r="K3607">
        <v>212.29400000000001</v>
      </c>
      <c r="L3607">
        <v>23.552199999999999</v>
      </c>
      <c r="M3607">
        <v>22674.280999999999</v>
      </c>
      <c r="N3607" t="s">
        <v>15</v>
      </c>
    </row>
    <row r="3608" spans="1:14" x14ac:dyDescent="0.2">
      <c r="A3608" t="s">
        <v>18</v>
      </c>
      <c r="B3608" t="s">
        <v>141</v>
      </c>
      <c r="C3608" t="s">
        <v>142</v>
      </c>
      <c r="D3608" t="s">
        <v>113</v>
      </c>
      <c r="E3608" t="s">
        <v>53</v>
      </c>
      <c r="F3608" t="s">
        <v>114</v>
      </c>
      <c r="G3608">
        <v>119062</v>
      </c>
      <c r="H3608" s="75">
        <v>43326</v>
      </c>
      <c r="I3608" t="s">
        <v>115</v>
      </c>
      <c r="J3608">
        <v>5000</v>
      </c>
      <c r="K3608">
        <v>216.017</v>
      </c>
      <c r="L3608">
        <v>23.1464</v>
      </c>
      <c r="M3608">
        <v>22890.297999999999</v>
      </c>
      <c r="N3608" t="s">
        <v>15</v>
      </c>
    </row>
    <row r="3609" spans="1:14" x14ac:dyDescent="0.2">
      <c r="A3609" t="s">
        <v>18</v>
      </c>
      <c r="B3609" t="s">
        <v>141</v>
      </c>
      <c r="C3609" t="s">
        <v>142</v>
      </c>
      <c r="D3609" t="s">
        <v>113</v>
      </c>
      <c r="E3609" t="s">
        <v>53</v>
      </c>
      <c r="F3609" t="s">
        <v>114</v>
      </c>
      <c r="G3609">
        <v>119062</v>
      </c>
      <c r="H3609" s="75">
        <v>43356</v>
      </c>
      <c r="I3609" t="s">
        <v>115</v>
      </c>
      <c r="J3609">
        <v>5000</v>
      </c>
      <c r="K3609">
        <v>216.108</v>
      </c>
      <c r="L3609">
        <v>23.136500000000002</v>
      </c>
      <c r="M3609">
        <v>23106.405999999999</v>
      </c>
      <c r="N3609" t="s">
        <v>15</v>
      </c>
    </row>
    <row r="3610" spans="1:14" x14ac:dyDescent="0.2">
      <c r="A3610" t="s">
        <v>18</v>
      </c>
      <c r="B3610" t="s">
        <v>141</v>
      </c>
      <c r="C3610" t="s">
        <v>142</v>
      </c>
      <c r="D3610" t="s">
        <v>113</v>
      </c>
      <c r="E3610" t="s">
        <v>53</v>
      </c>
      <c r="F3610" t="s">
        <v>114</v>
      </c>
      <c r="G3610">
        <v>119062</v>
      </c>
      <c r="H3610" s="75">
        <v>43356</v>
      </c>
      <c r="I3610" t="s">
        <v>116</v>
      </c>
      <c r="J3610">
        <v>2.5</v>
      </c>
      <c r="K3610">
        <v>0</v>
      </c>
      <c r="M3610">
        <v>23106.405999999999</v>
      </c>
      <c r="N3610" t="s">
        <v>17</v>
      </c>
    </row>
    <row r="3611" spans="1:14" x14ac:dyDescent="0.2">
      <c r="A3611" t="s">
        <v>18</v>
      </c>
      <c r="B3611" t="s">
        <v>141</v>
      </c>
      <c r="C3611" t="s">
        <v>142</v>
      </c>
      <c r="D3611" t="s">
        <v>113</v>
      </c>
      <c r="E3611" t="s">
        <v>53</v>
      </c>
      <c r="F3611" t="s">
        <v>114</v>
      </c>
      <c r="G3611">
        <v>119062</v>
      </c>
      <c r="H3611" s="75">
        <v>43386</v>
      </c>
      <c r="I3611" t="s">
        <v>115</v>
      </c>
      <c r="J3611">
        <v>5000</v>
      </c>
      <c r="K3611">
        <v>217.14500000000001</v>
      </c>
      <c r="L3611">
        <v>23.0261</v>
      </c>
      <c r="M3611">
        <v>23323.550999999999</v>
      </c>
      <c r="N3611" t="s">
        <v>15</v>
      </c>
    </row>
    <row r="3612" spans="1:14" x14ac:dyDescent="0.2">
      <c r="A3612" t="s">
        <v>18</v>
      </c>
      <c r="B3612" t="s">
        <v>141</v>
      </c>
      <c r="C3612" t="s">
        <v>142</v>
      </c>
      <c r="D3612" t="s">
        <v>113</v>
      </c>
      <c r="E3612" t="s">
        <v>53</v>
      </c>
      <c r="F3612" t="s">
        <v>114</v>
      </c>
      <c r="G3612">
        <v>119062</v>
      </c>
      <c r="H3612" s="75">
        <v>43386</v>
      </c>
      <c r="I3612" t="s">
        <v>116</v>
      </c>
      <c r="J3612">
        <v>2.5</v>
      </c>
      <c r="K3612">
        <v>0</v>
      </c>
      <c r="M3612">
        <v>23323.550999999999</v>
      </c>
      <c r="N3612" t="s">
        <v>17</v>
      </c>
    </row>
    <row r="3613" spans="1:14" x14ac:dyDescent="0.2">
      <c r="A3613" t="s">
        <v>18</v>
      </c>
      <c r="B3613" t="s">
        <v>141</v>
      </c>
      <c r="C3613" t="s">
        <v>142</v>
      </c>
      <c r="D3613" t="s">
        <v>113</v>
      </c>
      <c r="E3613" t="s">
        <v>53</v>
      </c>
      <c r="F3613" t="s">
        <v>114</v>
      </c>
      <c r="G3613">
        <v>119062</v>
      </c>
      <c r="H3613" s="75">
        <v>43416</v>
      </c>
      <c r="I3613" t="s">
        <v>115</v>
      </c>
      <c r="J3613">
        <v>5000</v>
      </c>
      <c r="K3613">
        <v>214.9</v>
      </c>
      <c r="L3613">
        <v>23.2667</v>
      </c>
      <c r="M3613">
        <v>23538.451000000001</v>
      </c>
      <c r="N3613" t="s">
        <v>15</v>
      </c>
    </row>
    <row r="3614" spans="1:14" x14ac:dyDescent="0.2">
      <c r="A3614" t="s">
        <v>18</v>
      </c>
      <c r="B3614" t="s">
        <v>141</v>
      </c>
      <c r="C3614" t="s">
        <v>142</v>
      </c>
      <c r="D3614" t="s">
        <v>113</v>
      </c>
      <c r="E3614" t="s">
        <v>53</v>
      </c>
      <c r="F3614" t="s">
        <v>114</v>
      </c>
      <c r="G3614">
        <v>119062</v>
      </c>
      <c r="H3614" s="75">
        <v>43446</v>
      </c>
      <c r="I3614" t="s">
        <v>115</v>
      </c>
      <c r="J3614">
        <v>5000</v>
      </c>
      <c r="K3614">
        <v>212.55199999999999</v>
      </c>
      <c r="L3614">
        <v>23.523700000000002</v>
      </c>
      <c r="M3614">
        <v>23751.002</v>
      </c>
      <c r="N3614" t="s">
        <v>15</v>
      </c>
    </row>
    <row r="3615" spans="1:14" x14ac:dyDescent="0.2">
      <c r="A3615" t="s">
        <v>18</v>
      </c>
      <c r="B3615" t="s">
        <v>141</v>
      </c>
      <c r="C3615" t="s">
        <v>142</v>
      </c>
      <c r="D3615" t="s">
        <v>113</v>
      </c>
      <c r="E3615" t="s">
        <v>53</v>
      </c>
      <c r="F3615" t="s">
        <v>114</v>
      </c>
      <c r="G3615">
        <v>119062</v>
      </c>
      <c r="H3615" s="75">
        <v>43476</v>
      </c>
      <c r="I3615" t="s">
        <v>115</v>
      </c>
      <c r="J3615">
        <v>5000</v>
      </c>
      <c r="K3615">
        <v>210.20500000000001</v>
      </c>
      <c r="L3615">
        <v>23.786300000000001</v>
      </c>
      <c r="M3615">
        <v>23961.207999999999</v>
      </c>
      <c r="N3615" t="s">
        <v>15</v>
      </c>
    </row>
    <row r="3616" spans="1:14" x14ac:dyDescent="0.2">
      <c r="A3616" t="s">
        <v>18</v>
      </c>
      <c r="B3616" t="s">
        <v>141</v>
      </c>
      <c r="C3616" t="s">
        <v>142</v>
      </c>
      <c r="D3616" t="s">
        <v>113</v>
      </c>
      <c r="E3616" t="s">
        <v>53</v>
      </c>
      <c r="F3616" t="s">
        <v>114</v>
      </c>
      <c r="G3616">
        <v>119062</v>
      </c>
      <c r="H3616" s="75">
        <v>43506</v>
      </c>
      <c r="I3616" t="s">
        <v>115</v>
      </c>
      <c r="J3616">
        <v>5000</v>
      </c>
      <c r="K3616">
        <v>207.32599999999999</v>
      </c>
      <c r="L3616">
        <v>24.116599999999998</v>
      </c>
      <c r="M3616">
        <v>24168.534</v>
      </c>
      <c r="N3616" t="s">
        <v>15</v>
      </c>
    </row>
    <row r="3617" spans="1:14" x14ac:dyDescent="0.2">
      <c r="A3617" t="s">
        <v>18</v>
      </c>
      <c r="B3617" t="s">
        <v>141</v>
      </c>
      <c r="C3617" t="s">
        <v>142</v>
      </c>
      <c r="D3617" t="s">
        <v>113</v>
      </c>
      <c r="E3617" t="s">
        <v>53</v>
      </c>
      <c r="F3617" t="s">
        <v>114</v>
      </c>
      <c r="G3617">
        <v>119062</v>
      </c>
      <c r="H3617" s="75">
        <v>43506</v>
      </c>
      <c r="I3617" t="s">
        <v>117</v>
      </c>
      <c r="J3617">
        <v>2.5</v>
      </c>
      <c r="K3617">
        <v>0</v>
      </c>
      <c r="M3617">
        <v>24168.534</v>
      </c>
      <c r="N3617" t="s">
        <v>46</v>
      </c>
    </row>
    <row r="3618" spans="1:14" x14ac:dyDescent="0.2">
      <c r="A3618" t="s">
        <v>18</v>
      </c>
      <c r="B3618" t="s">
        <v>141</v>
      </c>
      <c r="C3618" t="s">
        <v>142</v>
      </c>
      <c r="D3618" t="s">
        <v>113</v>
      </c>
      <c r="E3618" t="s">
        <v>53</v>
      </c>
      <c r="F3618" t="s">
        <v>114</v>
      </c>
      <c r="G3618">
        <v>119062</v>
      </c>
      <c r="H3618" s="75">
        <v>43536</v>
      </c>
      <c r="I3618" t="s">
        <v>115</v>
      </c>
      <c r="J3618">
        <v>5000</v>
      </c>
      <c r="K3618">
        <v>206.15100000000001</v>
      </c>
      <c r="L3618">
        <v>24.254100000000001</v>
      </c>
      <c r="M3618">
        <v>24374.685000000001</v>
      </c>
      <c r="N3618" t="s">
        <v>15</v>
      </c>
    </row>
    <row r="3619" spans="1:14" x14ac:dyDescent="0.2">
      <c r="A3619" t="s">
        <v>18</v>
      </c>
      <c r="B3619" t="s">
        <v>141</v>
      </c>
      <c r="C3619" t="s">
        <v>142</v>
      </c>
      <c r="D3619" t="s">
        <v>113</v>
      </c>
      <c r="E3619" t="s">
        <v>53</v>
      </c>
      <c r="F3619" t="s">
        <v>114</v>
      </c>
      <c r="G3619">
        <v>119062</v>
      </c>
      <c r="H3619" s="75">
        <v>43566</v>
      </c>
      <c r="I3619" t="s">
        <v>115</v>
      </c>
      <c r="J3619">
        <v>5000</v>
      </c>
      <c r="K3619">
        <v>203.20599999999999</v>
      </c>
      <c r="L3619">
        <v>24.605599999999999</v>
      </c>
      <c r="M3619">
        <v>24577.891</v>
      </c>
      <c r="N3619" t="s">
        <v>15</v>
      </c>
    </row>
    <row r="3620" spans="1:14" x14ac:dyDescent="0.2">
      <c r="A3620" t="s">
        <v>18</v>
      </c>
      <c r="B3620" t="s">
        <v>141</v>
      </c>
      <c r="C3620" t="s">
        <v>142</v>
      </c>
      <c r="D3620" t="s">
        <v>113</v>
      </c>
      <c r="E3620" t="s">
        <v>53</v>
      </c>
      <c r="F3620" t="s">
        <v>114</v>
      </c>
      <c r="G3620">
        <v>119062</v>
      </c>
      <c r="H3620" s="75">
        <v>43596</v>
      </c>
      <c r="I3620" t="s">
        <v>115</v>
      </c>
      <c r="J3620">
        <v>5000</v>
      </c>
      <c r="K3620">
        <v>198.34899999999999</v>
      </c>
      <c r="L3620">
        <v>25.207999999999998</v>
      </c>
      <c r="M3620">
        <v>24776.240000000002</v>
      </c>
      <c r="N3620" t="s">
        <v>15</v>
      </c>
    </row>
    <row r="3621" spans="1:14" x14ac:dyDescent="0.2">
      <c r="A3621" t="s">
        <v>18</v>
      </c>
      <c r="B3621" t="s">
        <v>141</v>
      </c>
      <c r="C3621" t="s">
        <v>142</v>
      </c>
      <c r="D3621" t="s">
        <v>113</v>
      </c>
      <c r="E3621" t="s">
        <v>53</v>
      </c>
      <c r="F3621" t="s">
        <v>114</v>
      </c>
      <c r="G3621">
        <v>119062</v>
      </c>
      <c r="H3621" s="75">
        <v>43626</v>
      </c>
      <c r="I3621" t="s">
        <v>115</v>
      </c>
      <c r="J3621">
        <v>5000</v>
      </c>
      <c r="K3621">
        <v>196.667</v>
      </c>
      <c r="L3621">
        <v>25.4237</v>
      </c>
      <c r="M3621">
        <v>24972.906999999999</v>
      </c>
      <c r="N3621" t="s">
        <v>15</v>
      </c>
    </row>
    <row r="3622" spans="1:14" x14ac:dyDescent="0.2">
      <c r="A3622" t="s">
        <v>18</v>
      </c>
      <c r="B3622" t="s">
        <v>141</v>
      </c>
      <c r="C3622" t="s">
        <v>142</v>
      </c>
      <c r="D3622" t="s">
        <v>113</v>
      </c>
      <c r="E3622" t="s">
        <v>53</v>
      </c>
      <c r="F3622" t="s">
        <v>114</v>
      </c>
      <c r="G3622">
        <v>119062</v>
      </c>
      <c r="H3622" s="75">
        <v>43626</v>
      </c>
      <c r="I3622" t="s">
        <v>116</v>
      </c>
      <c r="J3622">
        <v>2.5</v>
      </c>
      <c r="K3622">
        <v>0</v>
      </c>
      <c r="M3622">
        <v>24972.906999999999</v>
      </c>
      <c r="N3622" t="s">
        <v>17</v>
      </c>
    </row>
    <row r="3623" spans="1:14" x14ac:dyDescent="0.2">
      <c r="A3623" t="s">
        <v>18</v>
      </c>
      <c r="B3623" t="s">
        <v>141</v>
      </c>
      <c r="C3623" t="s">
        <v>142</v>
      </c>
      <c r="D3623" t="s">
        <v>113</v>
      </c>
      <c r="E3623" t="s">
        <v>53</v>
      </c>
      <c r="F3623" t="s">
        <v>114</v>
      </c>
      <c r="G3623">
        <v>119062</v>
      </c>
      <c r="H3623" s="75">
        <v>43656</v>
      </c>
      <c r="I3623" t="s">
        <v>115</v>
      </c>
      <c r="J3623">
        <v>5000</v>
      </c>
      <c r="K3623">
        <v>200.185</v>
      </c>
      <c r="L3623">
        <v>24.976800000000001</v>
      </c>
      <c r="M3623">
        <v>25173.093000000001</v>
      </c>
      <c r="N3623" t="s">
        <v>15</v>
      </c>
    </row>
    <row r="3624" spans="1:14" x14ac:dyDescent="0.2">
      <c r="A3624" t="s">
        <v>18</v>
      </c>
      <c r="B3624" t="s">
        <v>141</v>
      </c>
      <c r="C3624" t="s">
        <v>142</v>
      </c>
      <c r="D3624" t="s">
        <v>113</v>
      </c>
      <c r="E3624" t="s">
        <v>53</v>
      </c>
      <c r="F3624" t="s">
        <v>114</v>
      </c>
      <c r="G3624">
        <v>119062</v>
      </c>
      <c r="H3624" s="75">
        <v>43686</v>
      </c>
      <c r="I3624" t="s">
        <v>115</v>
      </c>
      <c r="J3624">
        <v>5000</v>
      </c>
      <c r="K3624">
        <v>202.35</v>
      </c>
      <c r="L3624">
        <v>24.709599999999998</v>
      </c>
      <c r="M3624">
        <v>25375.442999999999</v>
      </c>
      <c r="N3624" t="s">
        <v>15</v>
      </c>
    </row>
    <row r="3625" spans="1:14" x14ac:dyDescent="0.2">
      <c r="A3625" t="s">
        <v>18</v>
      </c>
      <c r="B3625" t="s">
        <v>141</v>
      </c>
      <c r="C3625" t="s">
        <v>142</v>
      </c>
      <c r="D3625" t="s">
        <v>113</v>
      </c>
      <c r="E3625" t="s">
        <v>53</v>
      </c>
      <c r="F3625" t="s">
        <v>114</v>
      </c>
      <c r="G3625">
        <v>119062</v>
      </c>
      <c r="H3625" s="75">
        <v>43716</v>
      </c>
      <c r="I3625" t="s">
        <v>115</v>
      </c>
      <c r="J3625">
        <v>5000</v>
      </c>
      <c r="K3625">
        <v>201.12299999999999</v>
      </c>
      <c r="L3625">
        <v>24.860399999999998</v>
      </c>
      <c r="M3625">
        <v>25576.565999999999</v>
      </c>
      <c r="N3625" t="s">
        <v>15</v>
      </c>
    </row>
    <row r="3626" spans="1:14" x14ac:dyDescent="0.2">
      <c r="A3626" t="s">
        <v>18</v>
      </c>
      <c r="B3626" t="s">
        <v>141</v>
      </c>
      <c r="C3626" t="s">
        <v>142</v>
      </c>
      <c r="D3626" t="s">
        <v>113</v>
      </c>
      <c r="E3626" t="s">
        <v>53</v>
      </c>
      <c r="F3626" t="s">
        <v>114</v>
      </c>
      <c r="G3626">
        <v>119062</v>
      </c>
      <c r="H3626" s="75">
        <v>43746</v>
      </c>
      <c r="I3626" t="s">
        <v>115</v>
      </c>
      <c r="J3626">
        <v>5000</v>
      </c>
      <c r="K3626">
        <v>198.71899999999999</v>
      </c>
      <c r="L3626">
        <v>25.161200000000001</v>
      </c>
      <c r="M3626">
        <v>25775.285</v>
      </c>
      <c r="N3626" t="s">
        <v>15</v>
      </c>
    </row>
    <row r="3627" spans="1:14" x14ac:dyDescent="0.2">
      <c r="A3627" t="s">
        <v>18</v>
      </c>
      <c r="B3627" t="s">
        <v>141</v>
      </c>
      <c r="C3627" t="s">
        <v>142</v>
      </c>
      <c r="D3627" t="s">
        <v>113</v>
      </c>
      <c r="E3627" t="s">
        <v>53</v>
      </c>
      <c r="F3627" t="s">
        <v>114</v>
      </c>
      <c r="G3627">
        <v>119062</v>
      </c>
      <c r="H3627" s="75">
        <v>43776</v>
      </c>
      <c r="I3627" t="s">
        <v>115</v>
      </c>
      <c r="J3627">
        <v>5000</v>
      </c>
      <c r="K3627">
        <v>194.37799999999999</v>
      </c>
      <c r="L3627">
        <v>25.723099999999999</v>
      </c>
      <c r="M3627">
        <v>25969.663</v>
      </c>
      <c r="N3627" t="s">
        <v>15</v>
      </c>
    </row>
    <row r="3628" spans="1:14" x14ac:dyDescent="0.2">
      <c r="A3628" t="s">
        <v>18</v>
      </c>
      <c r="B3628" t="s">
        <v>141</v>
      </c>
      <c r="C3628" t="s">
        <v>142</v>
      </c>
      <c r="D3628" t="s">
        <v>113</v>
      </c>
      <c r="E3628" t="s">
        <v>53</v>
      </c>
      <c r="F3628" t="s">
        <v>114</v>
      </c>
      <c r="G3628">
        <v>119062</v>
      </c>
      <c r="H3628" s="75">
        <v>43806</v>
      </c>
      <c r="I3628" t="s">
        <v>115</v>
      </c>
      <c r="J3628">
        <v>5000</v>
      </c>
      <c r="K3628">
        <v>195.75</v>
      </c>
      <c r="L3628">
        <v>25.5428</v>
      </c>
      <c r="M3628">
        <v>26165.413</v>
      </c>
      <c r="N3628" t="s">
        <v>15</v>
      </c>
    </row>
    <row r="3629" spans="1:14" x14ac:dyDescent="0.2">
      <c r="A3629" t="s">
        <v>18</v>
      </c>
      <c r="B3629" t="s">
        <v>141</v>
      </c>
      <c r="C3629" t="s">
        <v>142</v>
      </c>
      <c r="D3629" t="s">
        <v>113</v>
      </c>
      <c r="E3629" t="s">
        <v>53</v>
      </c>
      <c r="F3629" t="s">
        <v>114</v>
      </c>
      <c r="G3629">
        <v>119062</v>
      </c>
      <c r="H3629" s="75">
        <v>43806</v>
      </c>
      <c r="I3629" t="s">
        <v>116</v>
      </c>
      <c r="J3629">
        <v>2.5</v>
      </c>
      <c r="K3629">
        <v>0</v>
      </c>
      <c r="M3629">
        <v>26165.413</v>
      </c>
      <c r="N3629" t="s">
        <v>17</v>
      </c>
    </row>
    <row r="3630" spans="1:14" x14ac:dyDescent="0.2">
      <c r="A3630" t="s">
        <v>18</v>
      </c>
      <c r="B3630" t="s">
        <v>141</v>
      </c>
      <c r="C3630" t="s">
        <v>142</v>
      </c>
      <c r="D3630" t="s">
        <v>113</v>
      </c>
      <c r="E3630" t="s">
        <v>53</v>
      </c>
      <c r="F3630" t="s">
        <v>114</v>
      </c>
      <c r="G3630">
        <v>119062</v>
      </c>
      <c r="H3630" s="75">
        <v>43836</v>
      </c>
      <c r="I3630" t="s">
        <v>115</v>
      </c>
      <c r="J3630">
        <v>5000</v>
      </c>
      <c r="K3630">
        <v>190.14500000000001</v>
      </c>
      <c r="L3630">
        <v>26.2957</v>
      </c>
      <c r="M3630">
        <v>26355.558000000001</v>
      </c>
      <c r="N3630" t="s">
        <v>15</v>
      </c>
    </row>
    <row r="3631" spans="1:14" x14ac:dyDescent="0.2">
      <c r="A3631" t="s">
        <v>18</v>
      </c>
      <c r="B3631" t="s">
        <v>141</v>
      </c>
      <c r="C3631" t="s">
        <v>142</v>
      </c>
      <c r="D3631" t="s">
        <v>113</v>
      </c>
      <c r="E3631" t="s">
        <v>53</v>
      </c>
      <c r="F3631" t="s">
        <v>114</v>
      </c>
      <c r="G3631">
        <v>119062</v>
      </c>
      <c r="H3631" s="75">
        <v>43866</v>
      </c>
      <c r="I3631" t="s">
        <v>115</v>
      </c>
      <c r="J3631">
        <v>5000</v>
      </c>
      <c r="K3631">
        <v>188.99199999999999</v>
      </c>
      <c r="L3631">
        <v>26.456199999999999</v>
      </c>
      <c r="M3631">
        <v>26544.55</v>
      </c>
      <c r="N3631" t="s">
        <v>15</v>
      </c>
    </row>
    <row r="3632" spans="1:14" x14ac:dyDescent="0.2">
      <c r="A3632" t="s">
        <v>18</v>
      </c>
      <c r="B3632" t="s">
        <v>141</v>
      </c>
      <c r="C3632" t="s">
        <v>142</v>
      </c>
      <c r="D3632" t="s">
        <v>113</v>
      </c>
      <c r="E3632" t="s">
        <v>53</v>
      </c>
      <c r="F3632" t="s">
        <v>114</v>
      </c>
      <c r="G3632">
        <v>119062</v>
      </c>
      <c r="H3632" s="75">
        <v>43866</v>
      </c>
      <c r="I3632" t="s">
        <v>117</v>
      </c>
      <c r="J3632">
        <v>2.5</v>
      </c>
      <c r="K3632">
        <v>0</v>
      </c>
      <c r="M3632">
        <v>26544.55</v>
      </c>
      <c r="N3632" t="s">
        <v>46</v>
      </c>
    </row>
    <row r="3633" spans="1:15" x14ac:dyDescent="0.2">
      <c r="A3633" t="s">
        <v>18</v>
      </c>
      <c r="B3633" t="s">
        <v>141</v>
      </c>
      <c r="C3633" t="s">
        <v>142</v>
      </c>
      <c r="D3633" t="s">
        <v>113</v>
      </c>
      <c r="E3633" t="s">
        <v>53</v>
      </c>
      <c r="F3633" t="s">
        <v>114</v>
      </c>
      <c r="G3633">
        <v>119062</v>
      </c>
      <c r="H3633" s="75">
        <v>43896</v>
      </c>
      <c r="I3633" t="s">
        <v>115</v>
      </c>
      <c r="J3633">
        <v>5000</v>
      </c>
      <c r="K3633">
        <v>189.75</v>
      </c>
      <c r="L3633">
        <v>26.3505</v>
      </c>
      <c r="M3633">
        <v>26734.3</v>
      </c>
      <c r="N3633" t="s">
        <v>15</v>
      </c>
    </row>
    <row r="3634" spans="1:15" x14ac:dyDescent="0.2">
      <c r="A3634" t="s">
        <v>18</v>
      </c>
      <c r="B3634" t="s">
        <v>141</v>
      </c>
      <c r="C3634" t="s">
        <v>142</v>
      </c>
      <c r="D3634" t="s">
        <v>113</v>
      </c>
      <c r="E3634" t="s">
        <v>53</v>
      </c>
      <c r="F3634" t="s">
        <v>114</v>
      </c>
      <c r="G3634">
        <v>119062</v>
      </c>
      <c r="H3634" s="75">
        <v>43896</v>
      </c>
      <c r="I3634" t="s">
        <v>116</v>
      </c>
      <c r="J3634">
        <v>2.5</v>
      </c>
      <c r="K3634">
        <v>0</v>
      </c>
      <c r="M3634">
        <v>26734.3</v>
      </c>
      <c r="N3634" t="s">
        <v>17</v>
      </c>
    </row>
    <row r="3635" spans="1:15" x14ac:dyDescent="0.2">
      <c r="A3635" t="s">
        <v>18</v>
      </c>
      <c r="B3635" t="s">
        <v>141</v>
      </c>
      <c r="C3635" t="s">
        <v>142</v>
      </c>
      <c r="D3635" t="s">
        <v>113</v>
      </c>
      <c r="E3635" t="s">
        <v>53</v>
      </c>
      <c r="F3635" t="s">
        <v>114</v>
      </c>
      <c r="G3635">
        <v>119062</v>
      </c>
      <c r="H3635" s="75">
        <v>43926</v>
      </c>
      <c r="I3635" t="s">
        <v>115</v>
      </c>
      <c r="J3635">
        <v>5000</v>
      </c>
      <c r="K3635">
        <v>187.49799999999999</v>
      </c>
      <c r="L3635">
        <v>26.667000000000002</v>
      </c>
      <c r="M3635">
        <v>26921.796999999999</v>
      </c>
      <c r="N3635" t="s">
        <v>15</v>
      </c>
    </row>
    <row r="3636" spans="1:15" x14ac:dyDescent="0.2">
      <c r="A3636" t="s">
        <v>18</v>
      </c>
      <c r="B3636" t="s">
        <v>141</v>
      </c>
      <c r="C3636" t="s">
        <v>142</v>
      </c>
      <c r="D3636" t="s">
        <v>113</v>
      </c>
      <c r="E3636" t="s">
        <v>53</v>
      </c>
      <c r="F3636" t="s">
        <v>114</v>
      </c>
      <c r="G3636">
        <v>119062</v>
      </c>
      <c r="H3636" s="75">
        <v>43956</v>
      </c>
      <c r="I3636" t="s">
        <v>115</v>
      </c>
      <c r="J3636">
        <v>5000</v>
      </c>
      <c r="K3636">
        <v>185.75899999999999</v>
      </c>
      <c r="L3636">
        <v>26.916599999999999</v>
      </c>
      <c r="M3636">
        <v>27107.556</v>
      </c>
      <c r="N3636" t="s">
        <v>15</v>
      </c>
    </row>
    <row r="3637" spans="1:15" x14ac:dyDescent="0.2">
      <c r="A3637" t="s">
        <v>18</v>
      </c>
      <c r="B3637" t="s">
        <v>141</v>
      </c>
      <c r="C3637" t="s">
        <v>142</v>
      </c>
      <c r="D3637" t="s">
        <v>113</v>
      </c>
      <c r="E3637" t="s">
        <v>53</v>
      </c>
      <c r="F3637" t="s">
        <v>114</v>
      </c>
      <c r="G3637">
        <v>119062</v>
      </c>
      <c r="H3637" s="75">
        <v>43956</v>
      </c>
      <c r="I3637" t="s">
        <v>118</v>
      </c>
      <c r="J3637">
        <v>13553.78</v>
      </c>
      <c r="K3637">
        <v>0</v>
      </c>
      <c r="M3637">
        <v>27107.556</v>
      </c>
      <c r="N3637" t="s">
        <v>19</v>
      </c>
      <c r="O3637">
        <v>13553.78</v>
      </c>
    </row>
    <row r="3638" spans="1:15" x14ac:dyDescent="0.2">
      <c r="A3638" t="s">
        <v>18</v>
      </c>
      <c r="B3638" t="s">
        <v>141</v>
      </c>
      <c r="C3638" t="s">
        <v>142</v>
      </c>
      <c r="D3638" t="s">
        <v>113</v>
      </c>
      <c r="E3638" t="s">
        <v>53</v>
      </c>
      <c r="F3638" t="s">
        <v>114</v>
      </c>
      <c r="G3638">
        <v>119062</v>
      </c>
      <c r="H3638" s="75">
        <v>43986</v>
      </c>
      <c r="I3638" t="s">
        <v>115</v>
      </c>
      <c r="J3638">
        <v>5000</v>
      </c>
      <c r="K3638">
        <v>182.43299999999999</v>
      </c>
      <c r="L3638">
        <v>27.407299999999999</v>
      </c>
      <c r="M3638">
        <v>27289.99</v>
      </c>
      <c r="N3638" t="s">
        <v>15</v>
      </c>
    </row>
    <row r="3639" spans="1:15" x14ac:dyDescent="0.2">
      <c r="A3639" t="s">
        <v>18</v>
      </c>
      <c r="B3639" t="s">
        <v>141</v>
      </c>
      <c r="C3639" t="s">
        <v>142</v>
      </c>
      <c r="D3639" t="s">
        <v>113</v>
      </c>
      <c r="E3639" t="s">
        <v>53</v>
      </c>
      <c r="F3639" t="s">
        <v>114</v>
      </c>
      <c r="G3639">
        <v>119062</v>
      </c>
      <c r="H3639" s="75">
        <v>44016</v>
      </c>
      <c r="I3639" t="s">
        <v>115</v>
      </c>
      <c r="J3639">
        <v>5000</v>
      </c>
      <c r="K3639">
        <v>184.423</v>
      </c>
      <c r="L3639">
        <v>27.111599999999999</v>
      </c>
      <c r="M3639">
        <v>27474.412</v>
      </c>
      <c r="N3639" t="s">
        <v>15</v>
      </c>
    </row>
    <row r="3640" spans="1:15" x14ac:dyDescent="0.2">
      <c r="A3640" t="s">
        <v>18</v>
      </c>
      <c r="B3640" t="s">
        <v>141</v>
      </c>
      <c r="C3640" t="s">
        <v>142</v>
      </c>
      <c r="D3640" t="s">
        <v>113</v>
      </c>
      <c r="E3640" t="s">
        <v>53</v>
      </c>
      <c r="F3640" t="s">
        <v>114</v>
      </c>
      <c r="G3640">
        <v>119062</v>
      </c>
      <c r="H3640" s="75">
        <v>44046</v>
      </c>
      <c r="I3640" t="s">
        <v>115</v>
      </c>
      <c r="J3640">
        <v>5000</v>
      </c>
      <c r="K3640">
        <v>182.38800000000001</v>
      </c>
      <c r="L3640">
        <v>27.414100000000001</v>
      </c>
      <c r="M3640">
        <v>27656.799999999999</v>
      </c>
      <c r="N3640" t="s">
        <v>15</v>
      </c>
    </row>
    <row r="3641" spans="1:15" x14ac:dyDescent="0.2">
      <c r="A3641" t="s">
        <v>18</v>
      </c>
      <c r="B3641" t="s">
        <v>141</v>
      </c>
      <c r="C3641" t="s">
        <v>142</v>
      </c>
      <c r="D3641" t="s">
        <v>113</v>
      </c>
      <c r="E3641" t="s">
        <v>53</v>
      </c>
      <c r="F3641" t="s">
        <v>114</v>
      </c>
      <c r="G3641">
        <v>119062</v>
      </c>
      <c r="H3641" s="75">
        <v>44076</v>
      </c>
      <c r="I3641" t="s">
        <v>115</v>
      </c>
      <c r="J3641">
        <v>5000</v>
      </c>
      <c r="K3641">
        <v>178.31800000000001</v>
      </c>
      <c r="L3641">
        <v>28.0398</v>
      </c>
      <c r="M3641">
        <v>27835.117999999999</v>
      </c>
      <c r="N3641" t="s">
        <v>15</v>
      </c>
    </row>
    <row r="3642" spans="1:15" x14ac:dyDescent="0.2">
      <c r="A3642" t="s">
        <v>18</v>
      </c>
      <c r="B3642" t="s">
        <v>141</v>
      </c>
      <c r="C3642" t="s">
        <v>142</v>
      </c>
      <c r="D3642" t="s">
        <v>113</v>
      </c>
      <c r="E3642" t="s">
        <v>53</v>
      </c>
      <c r="F3642" t="s">
        <v>114</v>
      </c>
      <c r="G3642">
        <v>119062</v>
      </c>
      <c r="H3642" s="75">
        <v>44106</v>
      </c>
      <c r="I3642" t="s">
        <v>115</v>
      </c>
      <c r="J3642">
        <v>5000</v>
      </c>
      <c r="K3642">
        <v>175.566</v>
      </c>
      <c r="L3642">
        <v>28.479399999999998</v>
      </c>
      <c r="M3642">
        <v>28010.684000000001</v>
      </c>
      <c r="N3642" t="s">
        <v>15</v>
      </c>
    </row>
    <row r="3643" spans="1:15" x14ac:dyDescent="0.2">
      <c r="A3643" t="s">
        <v>18</v>
      </c>
      <c r="B3643" t="s">
        <v>141</v>
      </c>
      <c r="C3643" t="s">
        <v>142</v>
      </c>
      <c r="D3643" t="s">
        <v>113</v>
      </c>
      <c r="E3643" t="s">
        <v>53</v>
      </c>
      <c r="F3643" t="s">
        <v>114</v>
      </c>
      <c r="G3643">
        <v>119062</v>
      </c>
      <c r="H3643" s="75">
        <v>44136</v>
      </c>
      <c r="I3643" t="s">
        <v>115</v>
      </c>
      <c r="J3643">
        <v>5000</v>
      </c>
      <c r="K3643">
        <v>172.06700000000001</v>
      </c>
      <c r="L3643">
        <v>29.058499999999999</v>
      </c>
      <c r="M3643">
        <v>28182.75</v>
      </c>
      <c r="N3643" t="s">
        <v>15</v>
      </c>
    </row>
    <row r="3644" spans="1:15" x14ac:dyDescent="0.2">
      <c r="A3644" t="s">
        <v>18</v>
      </c>
      <c r="B3644" t="s">
        <v>141</v>
      </c>
      <c r="C3644" t="s">
        <v>142</v>
      </c>
      <c r="D3644" t="s">
        <v>113</v>
      </c>
      <c r="E3644" t="s">
        <v>53</v>
      </c>
      <c r="F3644" t="s">
        <v>114</v>
      </c>
      <c r="G3644">
        <v>119062</v>
      </c>
      <c r="H3644" s="75">
        <v>44166</v>
      </c>
      <c r="I3644" t="s">
        <v>115</v>
      </c>
      <c r="J3644">
        <v>5000</v>
      </c>
      <c r="K3644">
        <v>172.239</v>
      </c>
      <c r="L3644">
        <v>29.029399999999999</v>
      </c>
      <c r="M3644">
        <v>28354.99</v>
      </c>
      <c r="N3644" t="s">
        <v>15</v>
      </c>
    </row>
    <row r="3645" spans="1:15" x14ac:dyDescent="0.2">
      <c r="A3645" t="s">
        <v>18</v>
      </c>
      <c r="B3645" t="s">
        <v>141</v>
      </c>
      <c r="C3645" t="s">
        <v>142</v>
      </c>
      <c r="D3645" t="s">
        <v>113</v>
      </c>
      <c r="E3645" t="s">
        <v>53</v>
      </c>
      <c r="F3645" t="s">
        <v>114</v>
      </c>
      <c r="G3645">
        <v>119062</v>
      </c>
      <c r="H3645" s="75">
        <v>44166</v>
      </c>
      <c r="I3645" t="s">
        <v>116</v>
      </c>
      <c r="J3645">
        <v>2.5</v>
      </c>
      <c r="K3645">
        <v>0</v>
      </c>
      <c r="M3645">
        <v>28354.99</v>
      </c>
      <c r="N3645" t="s">
        <v>17</v>
      </c>
    </row>
    <row r="3646" spans="1:15" x14ac:dyDescent="0.2">
      <c r="A3646" t="s">
        <v>18</v>
      </c>
      <c r="B3646" t="s">
        <v>141</v>
      </c>
      <c r="C3646" t="s">
        <v>142</v>
      </c>
      <c r="D3646" t="s">
        <v>113</v>
      </c>
      <c r="E3646" t="s">
        <v>53</v>
      </c>
      <c r="F3646" t="s">
        <v>114</v>
      </c>
      <c r="G3646">
        <v>119062</v>
      </c>
      <c r="H3646" s="75">
        <v>44196</v>
      </c>
      <c r="I3646" t="s">
        <v>115</v>
      </c>
      <c r="J3646">
        <v>5000</v>
      </c>
      <c r="K3646">
        <v>174.22</v>
      </c>
      <c r="L3646">
        <v>28.699300000000001</v>
      </c>
      <c r="M3646">
        <v>28529.21</v>
      </c>
      <c r="N3646" t="s">
        <v>15</v>
      </c>
    </row>
    <row r="3647" spans="1:15" x14ac:dyDescent="0.2">
      <c r="A3647" t="s">
        <v>18</v>
      </c>
      <c r="B3647" t="s">
        <v>141</v>
      </c>
      <c r="C3647" t="s">
        <v>142</v>
      </c>
      <c r="D3647" t="s">
        <v>113</v>
      </c>
      <c r="E3647" t="s">
        <v>53</v>
      </c>
      <c r="F3647" t="s">
        <v>114</v>
      </c>
      <c r="G3647">
        <v>119062</v>
      </c>
      <c r="H3647" s="75">
        <v>44226</v>
      </c>
      <c r="I3647" t="s">
        <v>115</v>
      </c>
      <c r="J3647">
        <v>5000</v>
      </c>
      <c r="K3647">
        <v>170.41399999999999</v>
      </c>
      <c r="L3647">
        <v>29.340199999999999</v>
      </c>
      <c r="M3647">
        <v>28699.625</v>
      </c>
      <c r="N3647" t="s">
        <v>15</v>
      </c>
    </row>
    <row r="3648" spans="1:15" x14ac:dyDescent="0.2">
      <c r="A3648" t="s">
        <v>18</v>
      </c>
      <c r="B3648" t="s">
        <v>141</v>
      </c>
      <c r="C3648" t="s">
        <v>142</v>
      </c>
      <c r="D3648" t="s">
        <v>113</v>
      </c>
      <c r="E3648" t="s">
        <v>53</v>
      </c>
      <c r="F3648" t="s">
        <v>114</v>
      </c>
      <c r="G3648">
        <v>119062</v>
      </c>
      <c r="H3648" s="75">
        <v>44256</v>
      </c>
      <c r="I3648" t="s">
        <v>115</v>
      </c>
      <c r="J3648">
        <v>5000</v>
      </c>
      <c r="K3648">
        <v>168.90299999999999</v>
      </c>
      <c r="L3648">
        <v>29.602699999999999</v>
      </c>
      <c r="M3648">
        <v>28868.527999999998</v>
      </c>
      <c r="N3648" t="s">
        <v>15</v>
      </c>
    </row>
    <row r="3649" spans="1:14" x14ac:dyDescent="0.2">
      <c r="A3649" t="s">
        <v>18</v>
      </c>
      <c r="B3649" t="s">
        <v>141</v>
      </c>
      <c r="C3649" t="s">
        <v>142</v>
      </c>
      <c r="D3649" t="s">
        <v>113</v>
      </c>
      <c r="E3649" t="s">
        <v>53</v>
      </c>
      <c r="F3649" t="s">
        <v>114</v>
      </c>
      <c r="G3649">
        <v>119062</v>
      </c>
      <c r="H3649" s="75">
        <v>44286</v>
      </c>
      <c r="I3649" t="s">
        <v>115</v>
      </c>
      <c r="J3649">
        <v>5000</v>
      </c>
      <c r="K3649">
        <v>167.46799999999999</v>
      </c>
      <c r="L3649">
        <v>29.856400000000001</v>
      </c>
      <c r="M3649">
        <v>29035.995999999999</v>
      </c>
      <c r="N3649" t="s">
        <v>15</v>
      </c>
    </row>
    <row r="3650" spans="1:14" x14ac:dyDescent="0.2">
      <c r="A3650" t="s">
        <v>18</v>
      </c>
      <c r="B3650" t="s">
        <v>141</v>
      </c>
      <c r="C3650" t="s">
        <v>142</v>
      </c>
      <c r="D3650" t="s">
        <v>113</v>
      </c>
      <c r="E3650" t="s">
        <v>53</v>
      </c>
      <c r="F3650" t="s">
        <v>114</v>
      </c>
      <c r="G3650">
        <v>119062</v>
      </c>
      <c r="H3650" s="75">
        <v>44316</v>
      </c>
      <c r="I3650" t="s">
        <v>115</v>
      </c>
      <c r="J3650">
        <v>5000</v>
      </c>
      <c r="K3650">
        <v>170.50200000000001</v>
      </c>
      <c r="L3650">
        <v>29.325199999999999</v>
      </c>
      <c r="M3650">
        <v>29206.498</v>
      </c>
      <c r="N3650" t="s">
        <v>15</v>
      </c>
    </row>
    <row r="3651" spans="1:14" x14ac:dyDescent="0.2">
      <c r="A3651" t="s">
        <v>18</v>
      </c>
      <c r="B3651" t="s">
        <v>141</v>
      </c>
      <c r="C3651" t="s">
        <v>142</v>
      </c>
      <c r="D3651" t="s">
        <v>113</v>
      </c>
      <c r="E3651" t="s">
        <v>53</v>
      </c>
      <c r="F3651" t="s">
        <v>114</v>
      </c>
      <c r="G3651">
        <v>119062</v>
      </c>
      <c r="H3651" s="75">
        <v>44346</v>
      </c>
      <c r="I3651" t="s">
        <v>115</v>
      </c>
      <c r="J3651">
        <v>5000</v>
      </c>
      <c r="K3651">
        <v>172.88800000000001</v>
      </c>
      <c r="L3651">
        <v>28.920500000000001</v>
      </c>
      <c r="M3651">
        <v>29379.385999999999</v>
      </c>
      <c r="N3651" t="s">
        <v>15</v>
      </c>
    </row>
    <row r="3652" spans="1:14" x14ac:dyDescent="0.2">
      <c r="A3652" t="s">
        <v>18</v>
      </c>
      <c r="B3652" t="s">
        <v>141</v>
      </c>
      <c r="C3652" t="s">
        <v>142</v>
      </c>
      <c r="D3652" t="s">
        <v>113</v>
      </c>
      <c r="E3652" t="s">
        <v>53</v>
      </c>
      <c r="F3652" t="s">
        <v>114</v>
      </c>
      <c r="G3652">
        <v>119062</v>
      </c>
      <c r="H3652" s="75">
        <v>44346</v>
      </c>
      <c r="I3652" t="s">
        <v>117</v>
      </c>
      <c r="J3652">
        <v>2.5</v>
      </c>
      <c r="K3652">
        <v>0</v>
      </c>
      <c r="M3652">
        <v>29379.385999999999</v>
      </c>
      <c r="N3652" t="s">
        <v>46</v>
      </c>
    </row>
    <row r="3653" spans="1:14" x14ac:dyDescent="0.2">
      <c r="A3653" t="s">
        <v>18</v>
      </c>
      <c r="B3653" t="s">
        <v>141</v>
      </c>
      <c r="C3653" t="s">
        <v>142</v>
      </c>
      <c r="D3653" t="s">
        <v>113</v>
      </c>
      <c r="E3653" t="s">
        <v>53</v>
      </c>
      <c r="F3653" t="s">
        <v>114</v>
      </c>
      <c r="G3653">
        <v>119062</v>
      </c>
      <c r="H3653" s="75">
        <v>44376</v>
      </c>
      <c r="I3653" t="s">
        <v>115</v>
      </c>
      <c r="J3653">
        <v>5000</v>
      </c>
      <c r="K3653">
        <v>175.66499999999999</v>
      </c>
      <c r="L3653">
        <v>28.463200000000001</v>
      </c>
      <c r="M3653">
        <v>29555.050999999999</v>
      </c>
      <c r="N3653" t="s">
        <v>15</v>
      </c>
    </row>
    <row r="3654" spans="1:14" x14ac:dyDescent="0.2">
      <c r="A3654" t="s">
        <v>18</v>
      </c>
      <c r="B3654" t="s">
        <v>141</v>
      </c>
      <c r="C3654" t="s">
        <v>142</v>
      </c>
      <c r="D3654" t="s">
        <v>113</v>
      </c>
      <c r="E3654" t="s">
        <v>53</v>
      </c>
      <c r="F3654" t="s">
        <v>114</v>
      </c>
      <c r="G3654">
        <v>119062</v>
      </c>
      <c r="H3654" s="75">
        <v>44406</v>
      </c>
      <c r="I3654" t="s">
        <v>115</v>
      </c>
      <c r="J3654">
        <v>5000</v>
      </c>
      <c r="K3654">
        <v>172.584</v>
      </c>
      <c r="L3654">
        <v>28.971399999999999</v>
      </c>
      <c r="M3654">
        <v>29727.634999999998</v>
      </c>
      <c r="N3654" t="s">
        <v>15</v>
      </c>
    </row>
    <row r="3655" spans="1:14" x14ac:dyDescent="0.2">
      <c r="A3655" t="s">
        <v>18</v>
      </c>
      <c r="B3655" t="s">
        <v>141</v>
      </c>
      <c r="C3655" t="s">
        <v>142</v>
      </c>
      <c r="D3655" t="s">
        <v>113</v>
      </c>
      <c r="E3655" t="s">
        <v>53</v>
      </c>
      <c r="F3655" t="s">
        <v>114</v>
      </c>
      <c r="G3655">
        <v>119062</v>
      </c>
      <c r="H3655" s="75">
        <v>44436</v>
      </c>
      <c r="I3655" t="s">
        <v>115</v>
      </c>
      <c r="J3655">
        <v>5000</v>
      </c>
      <c r="K3655">
        <v>171.18299999999999</v>
      </c>
      <c r="L3655">
        <v>29.208500000000001</v>
      </c>
      <c r="M3655">
        <v>29898.817999999999</v>
      </c>
      <c r="N3655" t="s">
        <v>15</v>
      </c>
    </row>
    <row r="3656" spans="1:14" x14ac:dyDescent="0.2">
      <c r="A3656" t="s">
        <v>18</v>
      </c>
      <c r="B3656" t="s">
        <v>141</v>
      </c>
      <c r="C3656" t="s">
        <v>142</v>
      </c>
      <c r="D3656" t="s">
        <v>113</v>
      </c>
      <c r="E3656" t="s">
        <v>53</v>
      </c>
      <c r="F3656" t="s">
        <v>114</v>
      </c>
      <c r="G3656">
        <v>119062</v>
      </c>
      <c r="H3656" s="75">
        <v>44466</v>
      </c>
      <c r="I3656" t="s">
        <v>115</v>
      </c>
      <c r="J3656">
        <v>5000</v>
      </c>
      <c r="K3656">
        <v>170.46</v>
      </c>
      <c r="L3656">
        <v>29.3324</v>
      </c>
      <c r="M3656">
        <v>30069.277999999998</v>
      </c>
      <c r="N3656" t="s">
        <v>15</v>
      </c>
    </row>
    <row r="3657" spans="1:14" x14ac:dyDescent="0.2">
      <c r="A3657" t="s">
        <v>18</v>
      </c>
      <c r="B3657" t="s">
        <v>141</v>
      </c>
      <c r="C3657" t="s">
        <v>142</v>
      </c>
      <c r="D3657" t="s">
        <v>113</v>
      </c>
      <c r="E3657" t="s">
        <v>53</v>
      </c>
      <c r="F3657" t="s">
        <v>114</v>
      </c>
      <c r="G3657">
        <v>119062</v>
      </c>
      <c r="H3657" s="75">
        <v>44496</v>
      </c>
      <c r="I3657" t="s">
        <v>115</v>
      </c>
      <c r="J3657">
        <v>5000</v>
      </c>
      <c r="K3657">
        <v>170.64</v>
      </c>
      <c r="L3657">
        <v>29.301400000000001</v>
      </c>
      <c r="M3657">
        <v>30239.918000000001</v>
      </c>
      <c r="N3657" t="s">
        <v>15</v>
      </c>
    </row>
    <row r="3658" spans="1:14" x14ac:dyDescent="0.2">
      <c r="A3658" t="s">
        <v>18</v>
      </c>
      <c r="B3658" t="s">
        <v>141</v>
      </c>
      <c r="C3658" t="s">
        <v>142</v>
      </c>
      <c r="D3658" t="s">
        <v>113</v>
      </c>
      <c r="E3658" t="s">
        <v>53</v>
      </c>
      <c r="F3658" t="s">
        <v>114</v>
      </c>
      <c r="G3658">
        <v>119062</v>
      </c>
      <c r="H3658" s="75">
        <v>44526</v>
      </c>
      <c r="I3658" t="s">
        <v>115</v>
      </c>
      <c r="J3658">
        <v>5000</v>
      </c>
      <c r="K3658">
        <v>166.035</v>
      </c>
      <c r="L3658">
        <v>30.1142</v>
      </c>
      <c r="M3658">
        <v>30405.953000000001</v>
      </c>
      <c r="N3658" t="s">
        <v>15</v>
      </c>
    </row>
    <row r="3659" spans="1:14" x14ac:dyDescent="0.2">
      <c r="A3659" t="s">
        <v>18</v>
      </c>
      <c r="B3659" t="s">
        <v>141</v>
      </c>
      <c r="C3659" t="s">
        <v>142</v>
      </c>
      <c r="D3659" t="s">
        <v>113</v>
      </c>
      <c r="E3659" t="s">
        <v>53</v>
      </c>
      <c r="F3659" t="s">
        <v>114</v>
      </c>
      <c r="G3659">
        <v>119062</v>
      </c>
      <c r="H3659" s="75">
        <v>44556</v>
      </c>
      <c r="I3659" t="s">
        <v>115</v>
      </c>
      <c r="J3659">
        <v>5000</v>
      </c>
      <c r="K3659">
        <v>167.048</v>
      </c>
      <c r="L3659">
        <v>29.9316</v>
      </c>
      <c r="M3659">
        <v>30573.001</v>
      </c>
      <c r="N3659" t="s">
        <v>15</v>
      </c>
    </row>
    <row r="3660" spans="1:14" x14ac:dyDescent="0.2">
      <c r="A3660" t="s">
        <v>18</v>
      </c>
      <c r="B3660" t="s">
        <v>141</v>
      </c>
      <c r="C3660" t="s">
        <v>142</v>
      </c>
      <c r="D3660" t="s">
        <v>113</v>
      </c>
      <c r="E3660" t="s">
        <v>53</v>
      </c>
      <c r="F3660" t="s">
        <v>114</v>
      </c>
      <c r="G3660">
        <v>119062</v>
      </c>
      <c r="H3660" s="75">
        <v>44586</v>
      </c>
      <c r="I3660" t="s">
        <v>115</v>
      </c>
      <c r="J3660">
        <v>5000</v>
      </c>
      <c r="K3660">
        <v>167.8</v>
      </c>
      <c r="L3660">
        <v>29.7974</v>
      </c>
      <c r="M3660">
        <v>30740.800999999999</v>
      </c>
      <c r="N3660" t="s">
        <v>15</v>
      </c>
    </row>
    <row r="3661" spans="1:14" x14ac:dyDescent="0.2">
      <c r="A3661" t="s">
        <v>18</v>
      </c>
      <c r="B3661" t="s">
        <v>141</v>
      </c>
      <c r="C3661" t="s">
        <v>142</v>
      </c>
      <c r="D3661" t="s">
        <v>113</v>
      </c>
      <c r="E3661" t="s">
        <v>53</v>
      </c>
      <c r="F3661" t="s">
        <v>114</v>
      </c>
      <c r="G3661">
        <v>119062</v>
      </c>
      <c r="H3661" s="75">
        <v>44616</v>
      </c>
      <c r="I3661" t="s">
        <v>115</v>
      </c>
      <c r="J3661">
        <v>5000</v>
      </c>
      <c r="K3661">
        <v>168.131</v>
      </c>
      <c r="L3661">
        <v>29.738700000000001</v>
      </c>
      <c r="M3661">
        <v>30908.932000000001</v>
      </c>
      <c r="N3661" t="s">
        <v>15</v>
      </c>
    </row>
    <row r="3662" spans="1:14" x14ac:dyDescent="0.2">
      <c r="A3662" t="s">
        <v>18</v>
      </c>
      <c r="B3662" t="s">
        <v>141</v>
      </c>
      <c r="C3662" t="s">
        <v>142</v>
      </c>
      <c r="D3662" t="s">
        <v>113</v>
      </c>
      <c r="E3662" t="s">
        <v>53</v>
      </c>
      <c r="F3662" t="s">
        <v>114</v>
      </c>
      <c r="G3662">
        <v>119062</v>
      </c>
      <c r="H3662" s="75">
        <v>44646</v>
      </c>
      <c r="I3662" t="s">
        <v>115</v>
      </c>
      <c r="J3662">
        <v>5000</v>
      </c>
      <c r="K3662">
        <v>171.489</v>
      </c>
      <c r="L3662">
        <v>29.156300000000002</v>
      </c>
      <c r="M3662">
        <v>31080.420999999998</v>
      </c>
      <c r="N3662" t="s">
        <v>15</v>
      </c>
    </row>
    <row r="3663" spans="1:14" x14ac:dyDescent="0.2">
      <c r="A3663" t="s">
        <v>18</v>
      </c>
      <c r="B3663" t="s">
        <v>141</v>
      </c>
      <c r="C3663" t="s">
        <v>142</v>
      </c>
      <c r="D3663" t="s">
        <v>113</v>
      </c>
      <c r="E3663" t="s">
        <v>53</v>
      </c>
      <c r="F3663" t="s">
        <v>114</v>
      </c>
      <c r="G3663">
        <v>119062</v>
      </c>
      <c r="H3663" s="75">
        <v>44676</v>
      </c>
      <c r="I3663" t="s">
        <v>115</v>
      </c>
      <c r="J3663">
        <v>5000</v>
      </c>
      <c r="K3663">
        <v>170.554</v>
      </c>
      <c r="L3663">
        <v>29.316199999999998</v>
      </c>
      <c r="M3663">
        <v>31250.975999999999</v>
      </c>
      <c r="N3663" t="s">
        <v>15</v>
      </c>
    </row>
    <row r="3664" spans="1:14" x14ac:dyDescent="0.2">
      <c r="A3664" t="s">
        <v>18</v>
      </c>
      <c r="B3664" t="s">
        <v>141</v>
      </c>
      <c r="C3664" t="s">
        <v>142</v>
      </c>
      <c r="D3664" t="s">
        <v>113</v>
      </c>
      <c r="E3664" t="s">
        <v>53</v>
      </c>
      <c r="F3664" t="s">
        <v>114</v>
      </c>
      <c r="G3664">
        <v>119062</v>
      </c>
      <c r="H3664" s="75">
        <v>44676</v>
      </c>
      <c r="I3664" t="s">
        <v>25</v>
      </c>
      <c r="J3664">
        <v>-183231.69</v>
      </c>
      <c r="K3664">
        <v>-6250.1949999999997</v>
      </c>
      <c r="L3664">
        <v>29.316199999999998</v>
      </c>
      <c r="M3664">
        <v>25000.780999999999</v>
      </c>
      <c r="N3664" t="s">
        <v>16</v>
      </c>
    </row>
    <row r="3665" spans="1:14" x14ac:dyDescent="0.2">
      <c r="A3665" t="s">
        <v>18</v>
      </c>
      <c r="B3665" t="s">
        <v>141</v>
      </c>
      <c r="C3665" t="s">
        <v>142</v>
      </c>
      <c r="D3665" t="s">
        <v>113</v>
      </c>
      <c r="E3665" t="s">
        <v>53</v>
      </c>
      <c r="F3665" t="s">
        <v>114</v>
      </c>
      <c r="G3665">
        <v>119062</v>
      </c>
      <c r="H3665" s="75">
        <v>44706</v>
      </c>
      <c r="I3665" t="s">
        <v>115</v>
      </c>
      <c r="J3665">
        <v>5000</v>
      </c>
      <c r="K3665">
        <v>168.88900000000001</v>
      </c>
      <c r="L3665">
        <v>29.6053</v>
      </c>
      <c r="M3665">
        <v>25169.669000000002</v>
      </c>
      <c r="N3665" t="s">
        <v>15</v>
      </c>
    </row>
    <row r="3666" spans="1:14" x14ac:dyDescent="0.2">
      <c r="A3666" t="s">
        <v>18</v>
      </c>
      <c r="B3666" t="s">
        <v>141</v>
      </c>
      <c r="C3666" t="s">
        <v>142</v>
      </c>
      <c r="D3666" t="s">
        <v>113</v>
      </c>
      <c r="E3666" t="s">
        <v>53</v>
      </c>
      <c r="F3666" t="s">
        <v>114</v>
      </c>
      <c r="G3666">
        <v>119062</v>
      </c>
      <c r="H3666" s="75">
        <v>44736</v>
      </c>
      <c r="I3666" t="s">
        <v>115</v>
      </c>
      <c r="J3666">
        <v>5000</v>
      </c>
      <c r="K3666">
        <v>164.91200000000001</v>
      </c>
      <c r="L3666">
        <v>30.319299999999998</v>
      </c>
      <c r="M3666">
        <v>25334.580999999998</v>
      </c>
      <c r="N3666" t="s">
        <v>15</v>
      </c>
    </row>
    <row r="3667" spans="1:14" x14ac:dyDescent="0.2">
      <c r="A3667" t="s">
        <v>18</v>
      </c>
      <c r="B3667" t="s">
        <v>141</v>
      </c>
      <c r="C3667" t="s">
        <v>142</v>
      </c>
      <c r="D3667" t="s">
        <v>113</v>
      </c>
      <c r="E3667" t="s">
        <v>53</v>
      </c>
      <c r="F3667" t="s">
        <v>114</v>
      </c>
      <c r="G3667">
        <v>119062</v>
      </c>
      <c r="H3667" s="75">
        <v>44766</v>
      </c>
      <c r="I3667" t="s">
        <v>115</v>
      </c>
      <c r="J3667">
        <v>5000</v>
      </c>
      <c r="K3667">
        <v>161.62100000000001</v>
      </c>
      <c r="L3667">
        <v>30.936499999999999</v>
      </c>
      <c r="M3667">
        <v>25496.202000000001</v>
      </c>
      <c r="N3667" t="s">
        <v>15</v>
      </c>
    </row>
    <row r="3668" spans="1:14" x14ac:dyDescent="0.2">
      <c r="A3668" t="s">
        <v>18</v>
      </c>
      <c r="B3668" t="s">
        <v>141</v>
      </c>
      <c r="C3668" t="s">
        <v>142</v>
      </c>
      <c r="D3668" t="s">
        <v>113</v>
      </c>
      <c r="E3668" t="s">
        <v>53</v>
      </c>
      <c r="F3668" t="s">
        <v>114</v>
      </c>
      <c r="G3668">
        <v>119062</v>
      </c>
      <c r="H3668" s="75">
        <v>44796</v>
      </c>
      <c r="I3668" t="s">
        <v>115</v>
      </c>
      <c r="J3668">
        <v>5000</v>
      </c>
      <c r="K3668">
        <v>164.70400000000001</v>
      </c>
      <c r="L3668">
        <v>30.357500000000002</v>
      </c>
      <c r="M3668">
        <v>25660.905999999999</v>
      </c>
      <c r="N3668" t="s">
        <v>15</v>
      </c>
    </row>
    <row r="3669" spans="1:14" x14ac:dyDescent="0.2">
      <c r="A3669" t="s">
        <v>18</v>
      </c>
      <c r="B3669" t="s">
        <v>141</v>
      </c>
      <c r="C3669" t="s">
        <v>142</v>
      </c>
      <c r="D3669" t="s">
        <v>113</v>
      </c>
      <c r="E3669" t="s">
        <v>53</v>
      </c>
      <c r="F3669" t="s">
        <v>114</v>
      </c>
      <c r="G3669">
        <v>119062</v>
      </c>
      <c r="H3669" s="75">
        <v>44826</v>
      </c>
      <c r="I3669" t="s">
        <v>115</v>
      </c>
      <c r="J3669">
        <v>5000</v>
      </c>
      <c r="K3669">
        <v>161.483</v>
      </c>
      <c r="L3669">
        <v>30.963000000000001</v>
      </c>
      <c r="M3669">
        <v>25822.388999999999</v>
      </c>
      <c r="N3669" t="s">
        <v>15</v>
      </c>
    </row>
    <row r="3670" spans="1:14" x14ac:dyDescent="0.2">
      <c r="A3670" t="s">
        <v>18</v>
      </c>
      <c r="B3670" t="s">
        <v>141</v>
      </c>
      <c r="C3670" t="s">
        <v>142</v>
      </c>
      <c r="D3670" t="s">
        <v>113</v>
      </c>
      <c r="E3670" t="s">
        <v>53</v>
      </c>
      <c r="F3670" t="s">
        <v>114</v>
      </c>
      <c r="G3670">
        <v>119062</v>
      </c>
      <c r="H3670" s="75">
        <v>44856</v>
      </c>
      <c r="I3670" t="s">
        <v>115</v>
      </c>
      <c r="J3670">
        <v>5000</v>
      </c>
      <c r="K3670">
        <v>164.23699999999999</v>
      </c>
      <c r="L3670">
        <v>30.4438</v>
      </c>
      <c r="M3670">
        <v>25986.627</v>
      </c>
      <c r="N3670" t="s">
        <v>15</v>
      </c>
    </row>
    <row r="3671" spans="1:14" x14ac:dyDescent="0.2">
      <c r="A3671" t="s">
        <v>18</v>
      </c>
      <c r="B3671" t="s">
        <v>141</v>
      </c>
      <c r="C3671" t="s">
        <v>142</v>
      </c>
      <c r="D3671" t="s">
        <v>113</v>
      </c>
      <c r="E3671" t="s">
        <v>53</v>
      </c>
      <c r="F3671" t="s">
        <v>114</v>
      </c>
      <c r="G3671">
        <v>119062</v>
      </c>
      <c r="H3671" s="75">
        <v>44886</v>
      </c>
      <c r="I3671" t="s">
        <v>115</v>
      </c>
      <c r="J3671">
        <v>5000</v>
      </c>
      <c r="K3671">
        <v>162.697</v>
      </c>
      <c r="L3671">
        <v>30.731999999999999</v>
      </c>
      <c r="M3671">
        <v>26149.323</v>
      </c>
      <c r="N3671" t="s">
        <v>15</v>
      </c>
    </row>
    <row r="3672" spans="1:14" x14ac:dyDescent="0.2">
      <c r="A3672" t="s">
        <v>18</v>
      </c>
      <c r="B3672" t="s">
        <v>141</v>
      </c>
      <c r="C3672" t="s">
        <v>142</v>
      </c>
      <c r="D3672" t="s">
        <v>113</v>
      </c>
      <c r="E3672" t="s">
        <v>53</v>
      </c>
      <c r="F3672" t="s">
        <v>114</v>
      </c>
      <c r="G3672">
        <v>119062</v>
      </c>
      <c r="H3672" s="75">
        <v>44916</v>
      </c>
      <c r="I3672" t="s">
        <v>115</v>
      </c>
      <c r="J3672">
        <v>5000</v>
      </c>
      <c r="K3672">
        <v>162.82499999999999</v>
      </c>
      <c r="L3672">
        <v>30.707799999999999</v>
      </c>
      <c r="M3672">
        <v>26312.148000000001</v>
      </c>
      <c r="N3672" t="s">
        <v>15</v>
      </c>
    </row>
    <row r="3673" spans="1:14" x14ac:dyDescent="0.2">
      <c r="A3673" t="s">
        <v>18</v>
      </c>
      <c r="B3673" t="s">
        <v>141</v>
      </c>
      <c r="C3673" t="s">
        <v>142</v>
      </c>
      <c r="D3673" t="s">
        <v>113</v>
      </c>
      <c r="E3673" t="s">
        <v>53</v>
      </c>
      <c r="F3673" t="s">
        <v>114</v>
      </c>
      <c r="G3673">
        <v>119062</v>
      </c>
      <c r="H3673" s="75">
        <v>44916</v>
      </c>
      <c r="I3673" t="s">
        <v>116</v>
      </c>
      <c r="J3673">
        <v>2.5</v>
      </c>
      <c r="K3673">
        <v>0</v>
      </c>
      <c r="M3673">
        <v>26312.148000000001</v>
      </c>
      <c r="N3673" t="s">
        <v>17</v>
      </c>
    </row>
    <row r="3674" spans="1:14" x14ac:dyDescent="0.2">
      <c r="A3674" t="s">
        <v>18</v>
      </c>
      <c r="B3674" t="s">
        <v>141</v>
      </c>
      <c r="C3674" t="s">
        <v>142</v>
      </c>
      <c r="D3674" t="s">
        <v>113</v>
      </c>
      <c r="E3674" t="s">
        <v>53</v>
      </c>
      <c r="F3674" t="s">
        <v>114</v>
      </c>
      <c r="G3674">
        <v>119062</v>
      </c>
      <c r="H3674" s="75">
        <v>44946</v>
      </c>
      <c r="I3674" t="s">
        <v>115</v>
      </c>
      <c r="J3674">
        <v>5000</v>
      </c>
      <c r="K3674">
        <v>161.077</v>
      </c>
      <c r="L3674">
        <v>31.0411</v>
      </c>
      <c r="M3674">
        <v>26473.224999999999</v>
      </c>
      <c r="N3674" t="s">
        <v>15</v>
      </c>
    </row>
    <row r="3675" spans="1:14" x14ac:dyDescent="0.2">
      <c r="A3675" t="s">
        <v>18</v>
      </c>
      <c r="B3675" t="s">
        <v>141</v>
      </c>
      <c r="C3675" t="s">
        <v>142</v>
      </c>
      <c r="D3675" t="s">
        <v>113</v>
      </c>
      <c r="E3675" t="s">
        <v>53</v>
      </c>
      <c r="F3675" t="s">
        <v>114</v>
      </c>
      <c r="G3675">
        <v>119062</v>
      </c>
      <c r="H3675" s="75">
        <v>44976</v>
      </c>
      <c r="I3675" t="s">
        <v>115</v>
      </c>
      <c r="J3675">
        <v>5000</v>
      </c>
      <c r="K3675">
        <v>161.04300000000001</v>
      </c>
      <c r="L3675">
        <v>31.047699999999999</v>
      </c>
      <c r="M3675">
        <v>26634.268</v>
      </c>
      <c r="N3675" t="s">
        <v>15</v>
      </c>
    </row>
    <row r="3676" spans="1:14" x14ac:dyDescent="0.2">
      <c r="A3676" t="s">
        <v>18</v>
      </c>
      <c r="B3676" t="s">
        <v>141</v>
      </c>
      <c r="C3676" t="s">
        <v>142</v>
      </c>
      <c r="D3676" t="s">
        <v>113</v>
      </c>
      <c r="E3676" t="s">
        <v>53</v>
      </c>
      <c r="F3676" t="s">
        <v>114</v>
      </c>
      <c r="G3676">
        <v>119062</v>
      </c>
      <c r="H3676" s="75">
        <v>45006</v>
      </c>
      <c r="I3676" t="s">
        <v>115</v>
      </c>
      <c r="J3676">
        <v>5000</v>
      </c>
      <c r="K3676">
        <v>160.214</v>
      </c>
      <c r="L3676">
        <v>31.208300000000001</v>
      </c>
      <c r="M3676">
        <v>26794.482</v>
      </c>
      <c r="N3676" t="s">
        <v>15</v>
      </c>
    </row>
    <row r="3677" spans="1:14" x14ac:dyDescent="0.2">
      <c r="A3677" t="s">
        <v>18</v>
      </c>
      <c r="B3677" t="s">
        <v>141</v>
      </c>
      <c r="C3677" t="s">
        <v>142</v>
      </c>
      <c r="D3677" t="s">
        <v>113</v>
      </c>
      <c r="E3677" t="s">
        <v>53</v>
      </c>
      <c r="F3677" t="s">
        <v>114</v>
      </c>
      <c r="G3677">
        <v>119062</v>
      </c>
      <c r="H3677" s="75">
        <v>45006</v>
      </c>
      <c r="I3677" t="s">
        <v>117</v>
      </c>
      <c r="J3677">
        <v>2.5</v>
      </c>
      <c r="K3677">
        <v>0</v>
      </c>
      <c r="M3677">
        <v>26794.482</v>
      </c>
      <c r="N3677" t="s">
        <v>46</v>
      </c>
    </row>
    <row r="3678" spans="1:14" x14ac:dyDescent="0.2">
      <c r="A3678" t="s">
        <v>18</v>
      </c>
      <c r="B3678" t="s">
        <v>141</v>
      </c>
      <c r="C3678" t="s">
        <v>142</v>
      </c>
      <c r="D3678" t="s">
        <v>113</v>
      </c>
      <c r="E3678" t="s">
        <v>53</v>
      </c>
      <c r="F3678" t="s">
        <v>114</v>
      </c>
      <c r="G3678">
        <v>119062</v>
      </c>
      <c r="H3678" s="75">
        <v>45036</v>
      </c>
      <c r="I3678" t="s">
        <v>115</v>
      </c>
      <c r="J3678">
        <v>5000</v>
      </c>
      <c r="K3678">
        <v>157.321</v>
      </c>
      <c r="L3678">
        <v>31.7821</v>
      </c>
      <c r="M3678">
        <v>26951.803</v>
      </c>
      <c r="N3678" t="s">
        <v>15</v>
      </c>
    </row>
    <row r="3679" spans="1:14" x14ac:dyDescent="0.2">
      <c r="A3679" t="s">
        <v>18</v>
      </c>
      <c r="B3679" t="s">
        <v>141</v>
      </c>
      <c r="C3679" t="s">
        <v>142</v>
      </c>
      <c r="D3679" t="s">
        <v>113</v>
      </c>
      <c r="E3679" t="s">
        <v>53</v>
      </c>
      <c r="F3679" t="s">
        <v>114</v>
      </c>
      <c r="G3679">
        <v>119062</v>
      </c>
      <c r="H3679" s="75">
        <v>45066</v>
      </c>
      <c r="I3679" t="s">
        <v>115</v>
      </c>
      <c r="J3679">
        <v>5000</v>
      </c>
      <c r="K3679">
        <v>157.34800000000001</v>
      </c>
      <c r="L3679">
        <v>31.776700000000002</v>
      </c>
      <c r="M3679">
        <v>27109.151000000002</v>
      </c>
      <c r="N3679" t="s">
        <v>15</v>
      </c>
    </row>
    <row r="3680" spans="1:14" x14ac:dyDescent="0.2">
      <c r="A3680" t="s">
        <v>18</v>
      </c>
      <c r="B3680" t="s">
        <v>141</v>
      </c>
      <c r="C3680" t="s">
        <v>142</v>
      </c>
      <c r="D3680" t="s">
        <v>113</v>
      </c>
      <c r="E3680" t="s">
        <v>53</v>
      </c>
      <c r="F3680" t="s">
        <v>114</v>
      </c>
      <c r="G3680">
        <v>119062</v>
      </c>
      <c r="H3680" s="75">
        <v>45066</v>
      </c>
      <c r="I3680" t="s">
        <v>116</v>
      </c>
      <c r="J3680">
        <v>2.5</v>
      </c>
      <c r="K3680">
        <v>0</v>
      </c>
      <c r="M3680">
        <v>27109.151000000002</v>
      </c>
      <c r="N3680" t="s">
        <v>17</v>
      </c>
    </row>
    <row r="3681" spans="1:14" x14ac:dyDescent="0.2">
      <c r="A3681" t="s">
        <v>18</v>
      </c>
      <c r="B3681" t="s">
        <v>141</v>
      </c>
      <c r="C3681" t="s">
        <v>142</v>
      </c>
      <c r="D3681" t="s">
        <v>113</v>
      </c>
      <c r="E3681" t="s">
        <v>53</v>
      </c>
      <c r="F3681" t="s">
        <v>114</v>
      </c>
      <c r="G3681">
        <v>119062</v>
      </c>
      <c r="H3681" s="75">
        <v>45096</v>
      </c>
      <c r="I3681" t="s">
        <v>115</v>
      </c>
      <c r="J3681">
        <v>5000</v>
      </c>
      <c r="K3681">
        <v>156.84200000000001</v>
      </c>
      <c r="L3681">
        <v>31.879300000000001</v>
      </c>
      <c r="M3681">
        <v>27265.991999999998</v>
      </c>
      <c r="N3681" t="s">
        <v>15</v>
      </c>
    </row>
    <row r="3682" spans="1:14" x14ac:dyDescent="0.2">
      <c r="A3682" t="s">
        <v>18</v>
      </c>
      <c r="B3682" t="s">
        <v>141</v>
      </c>
      <c r="C3682" t="s">
        <v>142</v>
      </c>
      <c r="D3682" t="s">
        <v>113</v>
      </c>
      <c r="E3682" t="s">
        <v>53</v>
      </c>
      <c r="F3682" t="s">
        <v>114</v>
      </c>
      <c r="G3682">
        <v>119062</v>
      </c>
      <c r="H3682" s="75">
        <v>45126</v>
      </c>
      <c r="I3682" t="s">
        <v>115</v>
      </c>
      <c r="J3682">
        <v>5000</v>
      </c>
      <c r="K3682">
        <v>155.67400000000001</v>
      </c>
      <c r="L3682">
        <v>32.118400000000001</v>
      </c>
      <c r="M3682">
        <v>27421.666000000001</v>
      </c>
      <c r="N3682" t="s">
        <v>15</v>
      </c>
    </row>
    <row r="3683" spans="1:14" x14ac:dyDescent="0.2">
      <c r="A3683" t="s">
        <v>18</v>
      </c>
      <c r="B3683" t="s">
        <v>141</v>
      </c>
      <c r="C3683" t="s">
        <v>142</v>
      </c>
      <c r="D3683" t="s">
        <v>113</v>
      </c>
      <c r="E3683" t="s">
        <v>53</v>
      </c>
      <c r="F3683" t="s">
        <v>114</v>
      </c>
      <c r="G3683">
        <v>119062</v>
      </c>
      <c r="H3683" s="75">
        <v>45156</v>
      </c>
      <c r="I3683" t="s">
        <v>115</v>
      </c>
      <c r="J3683">
        <v>5000</v>
      </c>
      <c r="K3683">
        <v>153.679</v>
      </c>
      <c r="L3683">
        <v>32.535299999999999</v>
      </c>
      <c r="M3683">
        <v>27575.346000000001</v>
      </c>
      <c r="N3683" t="s">
        <v>15</v>
      </c>
    </row>
    <row r="3684" spans="1:14" x14ac:dyDescent="0.2">
      <c r="A3684" t="s">
        <v>18</v>
      </c>
      <c r="B3684" t="s">
        <v>141</v>
      </c>
      <c r="C3684" t="s">
        <v>142</v>
      </c>
      <c r="D3684" t="s">
        <v>113</v>
      </c>
      <c r="E3684" t="s">
        <v>53</v>
      </c>
      <c r="F3684" t="s">
        <v>114</v>
      </c>
      <c r="G3684">
        <v>119062</v>
      </c>
      <c r="H3684" s="75">
        <v>45156</v>
      </c>
      <c r="I3684" t="s">
        <v>117</v>
      </c>
      <c r="J3684">
        <v>2.5</v>
      </c>
      <c r="K3684">
        <v>0</v>
      </c>
      <c r="M3684">
        <v>27575.346000000001</v>
      </c>
      <c r="N3684" t="s">
        <v>46</v>
      </c>
    </row>
    <row r="3685" spans="1:14" x14ac:dyDescent="0.2">
      <c r="A3685" t="s">
        <v>18</v>
      </c>
      <c r="B3685" t="s">
        <v>141</v>
      </c>
      <c r="C3685" t="s">
        <v>142</v>
      </c>
      <c r="D3685" t="s">
        <v>113</v>
      </c>
      <c r="E3685" t="s">
        <v>53</v>
      </c>
      <c r="F3685" t="s">
        <v>114</v>
      </c>
      <c r="G3685">
        <v>119062</v>
      </c>
      <c r="H3685" s="75">
        <v>45186</v>
      </c>
      <c r="I3685" t="s">
        <v>115</v>
      </c>
      <c r="J3685">
        <v>5000</v>
      </c>
      <c r="K3685">
        <v>153.83600000000001</v>
      </c>
      <c r="L3685">
        <v>32.502099999999999</v>
      </c>
      <c r="M3685">
        <v>27729.182000000001</v>
      </c>
      <c r="N3685" t="s">
        <v>15</v>
      </c>
    </row>
    <row r="3686" spans="1:14" x14ac:dyDescent="0.2">
      <c r="A3686" t="s">
        <v>18</v>
      </c>
      <c r="B3686" t="s">
        <v>141</v>
      </c>
      <c r="C3686" t="s">
        <v>142</v>
      </c>
      <c r="D3686" t="s">
        <v>113</v>
      </c>
      <c r="E3686" t="s">
        <v>53</v>
      </c>
      <c r="F3686" t="s">
        <v>114</v>
      </c>
      <c r="G3686">
        <v>119062</v>
      </c>
      <c r="H3686" s="75">
        <v>45216</v>
      </c>
      <c r="I3686" t="s">
        <v>115</v>
      </c>
      <c r="J3686">
        <v>5000</v>
      </c>
      <c r="K3686">
        <v>151.303</v>
      </c>
      <c r="L3686">
        <v>33.046300000000002</v>
      </c>
      <c r="M3686">
        <v>27880.485000000001</v>
      </c>
      <c r="N3686" t="s">
        <v>15</v>
      </c>
    </row>
    <row r="3687" spans="1:14" x14ac:dyDescent="0.2">
      <c r="A3687" t="s">
        <v>18</v>
      </c>
      <c r="B3687" t="s">
        <v>141</v>
      </c>
      <c r="C3687" t="s">
        <v>142</v>
      </c>
      <c r="D3687" t="s">
        <v>113</v>
      </c>
      <c r="E3687" t="s">
        <v>53</v>
      </c>
      <c r="F3687" t="s">
        <v>114</v>
      </c>
      <c r="G3687">
        <v>119062</v>
      </c>
      <c r="H3687" s="75">
        <v>45246</v>
      </c>
      <c r="I3687" t="s">
        <v>115</v>
      </c>
      <c r="J3687">
        <v>5000</v>
      </c>
      <c r="K3687">
        <v>149.167</v>
      </c>
      <c r="L3687">
        <v>33.519399999999997</v>
      </c>
      <c r="M3687">
        <v>28029.651999999998</v>
      </c>
      <c r="N3687" t="s">
        <v>15</v>
      </c>
    </row>
    <row r="3688" spans="1:14" x14ac:dyDescent="0.2">
      <c r="A3688" t="s">
        <v>18</v>
      </c>
      <c r="B3688" t="s">
        <v>141</v>
      </c>
      <c r="C3688" t="s">
        <v>142</v>
      </c>
      <c r="D3688" t="s">
        <v>113</v>
      </c>
      <c r="E3688" t="s">
        <v>53</v>
      </c>
      <c r="F3688" t="s">
        <v>114</v>
      </c>
      <c r="G3688">
        <v>119062</v>
      </c>
      <c r="H3688" s="75">
        <v>45276</v>
      </c>
      <c r="I3688" t="s">
        <v>115</v>
      </c>
      <c r="J3688">
        <v>5000</v>
      </c>
      <c r="K3688">
        <v>147.27799999999999</v>
      </c>
      <c r="L3688">
        <v>33.949399999999997</v>
      </c>
      <c r="M3688">
        <v>28176.93</v>
      </c>
      <c r="N3688" t="s">
        <v>15</v>
      </c>
    </row>
    <row r="3689" spans="1:14" x14ac:dyDescent="0.2">
      <c r="A3689" t="s">
        <v>18</v>
      </c>
      <c r="B3689" t="s">
        <v>141</v>
      </c>
      <c r="C3689" t="s">
        <v>142</v>
      </c>
      <c r="D3689" t="s">
        <v>113</v>
      </c>
      <c r="E3689" t="s">
        <v>53</v>
      </c>
      <c r="F3689" t="s">
        <v>114</v>
      </c>
      <c r="G3689">
        <v>119062</v>
      </c>
      <c r="H3689" s="75">
        <v>45306</v>
      </c>
      <c r="I3689" t="s">
        <v>115</v>
      </c>
      <c r="J3689">
        <v>5000</v>
      </c>
      <c r="K3689">
        <v>149.65899999999999</v>
      </c>
      <c r="L3689">
        <v>33.409300000000002</v>
      </c>
      <c r="M3689">
        <v>28326.588</v>
      </c>
      <c r="N3689" t="s">
        <v>15</v>
      </c>
    </row>
    <row r="3690" spans="1:14" x14ac:dyDescent="0.2">
      <c r="A3690" t="s">
        <v>18</v>
      </c>
      <c r="B3690" t="s">
        <v>141</v>
      </c>
      <c r="C3690" t="s">
        <v>142</v>
      </c>
      <c r="D3690" t="s">
        <v>113</v>
      </c>
      <c r="E3690" t="s">
        <v>53</v>
      </c>
      <c r="F3690" t="s">
        <v>114</v>
      </c>
      <c r="G3690">
        <v>119062</v>
      </c>
      <c r="H3690" s="75">
        <v>45336</v>
      </c>
      <c r="I3690" t="s">
        <v>115</v>
      </c>
      <c r="J3690">
        <v>5000</v>
      </c>
      <c r="K3690">
        <v>150.55799999999999</v>
      </c>
      <c r="L3690">
        <v>33.209699999999998</v>
      </c>
      <c r="M3690">
        <v>28477.147000000001</v>
      </c>
      <c r="N3690" t="s">
        <v>15</v>
      </c>
    </row>
    <row r="3691" spans="1:14" x14ac:dyDescent="0.2">
      <c r="A3691" t="s">
        <v>18</v>
      </c>
      <c r="B3691" t="s">
        <v>141</v>
      </c>
      <c r="C3691" t="s">
        <v>142</v>
      </c>
      <c r="D3691" t="s">
        <v>113</v>
      </c>
      <c r="E3691" t="s">
        <v>53</v>
      </c>
      <c r="F3691" t="s">
        <v>114</v>
      </c>
      <c r="G3691">
        <v>119062</v>
      </c>
      <c r="H3691" s="75">
        <v>45366</v>
      </c>
      <c r="I3691" t="s">
        <v>115</v>
      </c>
      <c r="J3691">
        <v>5000</v>
      </c>
      <c r="K3691">
        <v>147.084</v>
      </c>
      <c r="L3691">
        <v>33.994300000000003</v>
      </c>
      <c r="M3691">
        <v>28624.23</v>
      </c>
      <c r="N3691" t="s">
        <v>15</v>
      </c>
    </row>
    <row r="3692" spans="1:14" x14ac:dyDescent="0.2">
      <c r="A3692" t="s">
        <v>18</v>
      </c>
      <c r="B3692" t="s">
        <v>141</v>
      </c>
      <c r="C3692" t="s">
        <v>142</v>
      </c>
      <c r="D3692" t="s">
        <v>113</v>
      </c>
      <c r="E3692" t="s">
        <v>53</v>
      </c>
      <c r="F3692" t="s">
        <v>114</v>
      </c>
      <c r="G3692">
        <v>119062</v>
      </c>
      <c r="H3692" s="75">
        <v>45396</v>
      </c>
      <c r="I3692" t="s">
        <v>115</v>
      </c>
      <c r="J3692">
        <v>5000</v>
      </c>
      <c r="K3692">
        <v>148.59399999999999</v>
      </c>
      <c r="L3692">
        <v>33.648600000000002</v>
      </c>
      <c r="M3692">
        <v>28772.825000000001</v>
      </c>
      <c r="N3692" t="s">
        <v>15</v>
      </c>
    </row>
    <row r="3693" spans="1:14" x14ac:dyDescent="0.2">
      <c r="A3693" t="s">
        <v>18</v>
      </c>
      <c r="B3693" t="s">
        <v>141</v>
      </c>
      <c r="C3693" t="s">
        <v>142</v>
      </c>
      <c r="D3693" t="s">
        <v>113</v>
      </c>
      <c r="E3693" t="s">
        <v>53</v>
      </c>
      <c r="F3693" t="s">
        <v>114</v>
      </c>
      <c r="G3693">
        <v>119062</v>
      </c>
      <c r="H3693" s="75">
        <v>45396</v>
      </c>
      <c r="I3693" t="s">
        <v>25</v>
      </c>
      <c r="J3693">
        <v>-193633.29</v>
      </c>
      <c r="K3693">
        <v>-5754.5649999999996</v>
      </c>
      <c r="L3693">
        <v>33.648600000000002</v>
      </c>
      <c r="M3693">
        <v>23018.26</v>
      </c>
      <c r="N3693" t="s">
        <v>16</v>
      </c>
    </row>
    <row r="3694" spans="1:14" x14ac:dyDescent="0.2">
      <c r="A3694" t="s">
        <v>18</v>
      </c>
      <c r="B3694" t="s">
        <v>141</v>
      </c>
      <c r="C3694" t="s">
        <v>142</v>
      </c>
      <c r="D3694" t="s">
        <v>113</v>
      </c>
      <c r="E3694" t="s">
        <v>53</v>
      </c>
      <c r="F3694" t="s">
        <v>114</v>
      </c>
      <c r="G3694">
        <v>119062</v>
      </c>
      <c r="H3694" s="75">
        <v>45426</v>
      </c>
      <c r="I3694" t="s">
        <v>115</v>
      </c>
      <c r="J3694">
        <v>5000</v>
      </c>
      <c r="K3694">
        <v>144.626</v>
      </c>
      <c r="L3694">
        <v>34.571899999999999</v>
      </c>
      <c r="M3694">
        <v>23162.885999999999</v>
      </c>
      <c r="N3694" t="s">
        <v>15</v>
      </c>
    </row>
    <row r="3695" spans="1:14" x14ac:dyDescent="0.2">
      <c r="A3695" t="s">
        <v>18</v>
      </c>
      <c r="B3695" t="s">
        <v>141</v>
      </c>
      <c r="C3695" t="s">
        <v>142</v>
      </c>
      <c r="D3695" t="s">
        <v>113</v>
      </c>
      <c r="E3695" t="s">
        <v>53</v>
      </c>
      <c r="F3695" t="s">
        <v>114</v>
      </c>
      <c r="G3695">
        <v>119062</v>
      </c>
      <c r="H3695" s="75">
        <v>45426</v>
      </c>
      <c r="I3695" t="s">
        <v>116</v>
      </c>
      <c r="J3695">
        <v>2.5</v>
      </c>
      <c r="K3695">
        <v>0</v>
      </c>
      <c r="M3695">
        <v>23162.885999999999</v>
      </c>
      <c r="N3695" t="s">
        <v>17</v>
      </c>
    </row>
    <row r="3696" spans="1:14" x14ac:dyDescent="0.2">
      <c r="A3696" t="s">
        <v>18</v>
      </c>
      <c r="B3696" t="s">
        <v>141</v>
      </c>
      <c r="C3696" t="s">
        <v>142</v>
      </c>
      <c r="D3696" t="s">
        <v>113</v>
      </c>
      <c r="E3696" t="s">
        <v>53</v>
      </c>
      <c r="F3696" t="s">
        <v>114</v>
      </c>
      <c r="G3696">
        <v>119062</v>
      </c>
      <c r="H3696" s="75">
        <v>45456</v>
      </c>
      <c r="I3696" t="s">
        <v>115</v>
      </c>
      <c r="J3696">
        <v>5000</v>
      </c>
      <c r="K3696">
        <v>143.50200000000001</v>
      </c>
      <c r="L3696">
        <v>34.842599999999997</v>
      </c>
      <c r="M3696">
        <v>23306.387999999999</v>
      </c>
      <c r="N3696" t="s">
        <v>15</v>
      </c>
    </row>
    <row r="3697" spans="1:14" x14ac:dyDescent="0.2">
      <c r="A3697" t="s">
        <v>18</v>
      </c>
      <c r="B3697" t="s">
        <v>141</v>
      </c>
      <c r="C3697" t="s">
        <v>142</v>
      </c>
      <c r="D3697" t="s">
        <v>113</v>
      </c>
      <c r="E3697" t="s">
        <v>53</v>
      </c>
      <c r="F3697" t="s">
        <v>114</v>
      </c>
      <c r="G3697">
        <v>119062</v>
      </c>
      <c r="H3697" s="75">
        <v>45486</v>
      </c>
      <c r="I3697" t="s">
        <v>115</v>
      </c>
      <c r="J3697">
        <v>5000</v>
      </c>
      <c r="K3697">
        <v>141.13800000000001</v>
      </c>
      <c r="L3697">
        <v>35.426299999999998</v>
      </c>
      <c r="M3697">
        <v>23447.526000000002</v>
      </c>
      <c r="N3697" t="s">
        <v>15</v>
      </c>
    </row>
    <row r="3698" spans="1:14" x14ac:dyDescent="0.2">
      <c r="A3698" t="s">
        <v>18</v>
      </c>
      <c r="B3698" t="s">
        <v>141</v>
      </c>
      <c r="C3698" t="s">
        <v>142</v>
      </c>
      <c r="D3698" t="s">
        <v>113</v>
      </c>
      <c r="E3698" t="s">
        <v>53</v>
      </c>
      <c r="F3698" t="s">
        <v>114</v>
      </c>
      <c r="G3698">
        <v>119062</v>
      </c>
      <c r="H3698" s="75">
        <v>45516</v>
      </c>
      <c r="I3698" t="s">
        <v>115</v>
      </c>
      <c r="J3698">
        <v>5000</v>
      </c>
      <c r="K3698">
        <v>140.57900000000001</v>
      </c>
      <c r="L3698">
        <v>35.567300000000003</v>
      </c>
      <c r="M3698">
        <v>23588.105</v>
      </c>
      <c r="N3698" t="s">
        <v>15</v>
      </c>
    </row>
    <row r="3699" spans="1:14" x14ac:dyDescent="0.2">
      <c r="A3699" t="s">
        <v>18</v>
      </c>
      <c r="B3699" t="s">
        <v>141</v>
      </c>
      <c r="C3699" t="s">
        <v>142</v>
      </c>
      <c r="D3699" t="s">
        <v>113</v>
      </c>
      <c r="E3699" t="s">
        <v>53</v>
      </c>
      <c r="F3699" t="s">
        <v>114</v>
      </c>
      <c r="G3699">
        <v>119062</v>
      </c>
      <c r="H3699" s="75">
        <v>45546</v>
      </c>
      <c r="I3699" t="s">
        <v>115</v>
      </c>
      <c r="J3699">
        <v>5000</v>
      </c>
      <c r="K3699">
        <v>137.52099999999999</v>
      </c>
      <c r="L3699">
        <v>36.357999999999997</v>
      </c>
      <c r="M3699">
        <v>23725.626</v>
      </c>
      <c r="N3699" t="s">
        <v>15</v>
      </c>
    </row>
    <row r="3700" spans="1:14" x14ac:dyDescent="0.2">
      <c r="A3700" t="s">
        <v>18</v>
      </c>
      <c r="B3700" t="s">
        <v>141</v>
      </c>
      <c r="C3700" t="s">
        <v>142</v>
      </c>
      <c r="D3700" t="s">
        <v>113</v>
      </c>
      <c r="E3700" t="s">
        <v>53</v>
      </c>
      <c r="F3700" t="s">
        <v>114</v>
      </c>
      <c r="G3700">
        <v>119062</v>
      </c>
      <c r="H3700" s="75">
        <v>45576</v>
      </c>
      <c r="I3700" t="s">
        <v>115</v>
      </c>
      <c r="J3700">
        <v>5000</v>
      </c>
      <c r="K3700">
        <v>138.673</v>
      </c>
      <c r="L3700">
        <v>36.055999999999997</v>
      </c>
      <c r="M3700">
        <v>23864.298999999999</v>
      </c>
      <c r="N3700" t="s">
        <v>15</v>
      </c>
    </row>
    <row r="3701" spans="1:14" x14ac:dyDescent="0.2">
      <c r="A3701" t="s">
        <v>18</v>
      </c>
      <c r="B3701" t="s">
        <v>141</v>
      </c>
      <c r="C3701" t="s">
        <v>142</v>
      </c>
      <c r="D3701" t="s">
        <v>113</v>
      </c>
      <c r="E3701" t="s">
        <v>53</v>
      </c>
      <c r="F3701" t="s">
        <v>114</v>
      </c>
      <c r="G3701">
        <v>119062</v>
      </c>
      <c r="H3701" s="75">
        <v>45606</v>
      </c>
      <c r="I3701" t="s">
        <v>115</v>
      </c>
      <c r="J3701">
        <v>5000</v>
      </c>
      <c r="K3701">
        <v>140.749</v>
      </c>
      <c r="L3701">
        <v>35.524299999999997</v>
      </c>
      <c r="M3701">
        <v>24005.047999999999</v>
      </c>
      <c r="N3701" t="s">
        <v>15</v>
      </c>
    </row>
    <row r="3702" spans="1:14" x14ac:dyDescent="0.2">
      <c r="A3702" t="s">
        <v>18</v>
      </c>
      <c r="B3702" t="s">
        <v>141</v>
      </c>
      <c r="C3702" t="s">
        <v>142</v>
      </c>
      <c r="D3702" t="s">
        <v>113</v>
      </c>
      <c r="E3702" t="s">
        <v>53</v>
      </c>
      <c r="F3702" t="s">
        <v>114</v>
      </c>
      <c r="G3702">
        <v>119062</v>
      </c>
      <c r="H3702" s="75">
        <v>45636</v>
      </c>
      <c r="I3702" t="s">
        <v>115</v>
      </c>
      <c r="J3702">
        <v>5000</v>
      </c>
      <c r="K3702">
        <v>141.28700000000001</v>
      </c>
      <c r="L3702">
        <v>35.389000000000003</v>
      </c>
      <c r="M3702">
        <v>24146.334999999999</v>
      </c>
      <c r="N3702" t="s">
        <v>15</v>
      </c>
    </row>
    <row r="3703" spans="1:14" x14ac:dyDescent="0.2">
      <c r="A3703" t="s">
        <v>18</v>
      </c>
      <c r="B3703" t="s">
        <v>141</v>
      </c>
      <c r="C3703" t="s">
        <v>142</v>
      </c>
      <c r="D3703" t="s">
        <v>113</v>
      </c>
      <c r="E3703" t="s">
        <v>53</v>
      </c>
      <c r="F3703" t="s">
        <v>114</v>
      </c>
      <c r="G3703">
        <v>119062</v>
      </c>
      <c r="H3703" s="75">
        <v>45636</v>
      </c>
      <c r="I3703" t="s">
        <v>117</v>
      </c>
      <c r="J3703">
        <v>2.5</v>
      </c>
      <c r="K3703">
        <v>0</v>
      </c>
      <c r="M3703">
        <v>24146.334999999999</v>
      </c>
      <c r="N3703" t="s">
        <v>46</v>
      </c>
    </row>
    <row r="3704" spans="1:14" x14ac:dyDescent="0.2">
      <c r="A3704" t="s">
        <v>18</v>
      </c>
      <c r="B3704" t="s">
        <v>141</v>
      </c>
      <c r="C3704" t="s">
        <v>142</v>
      </c>
      <c r="D3704" t="s">
        <v>113</v>
      </c>
      <c r="E3704" t="s">
        <v>53</v>
      </c>
      <c r="F3704" t="s">
        <v>114</v>
      </c>
      <c r="G3704">
        <v>119062</v>
      </c>
      <c r="H3704" s="75">
        <v>45666</v>
      </c>
      <c r="I3704" t="s">
        <v>115</v>
      </c>
      <c r="J3704">
        <v>5000</v>
      </c>
      <c r="K3704">
        <v>138.03399999999999</v>
      </c>
      <c r="L3704">
        <v>36.222999999999999</v>
      </c>
      <c r="M3704">
        <v>24284.368999999999</v>
      </c>
      <c r="N3704" t="s">
        <v>15</v>
      </c>
    </row>
    <row r="3705" spans="1:14" x14ac:dyDescent="0.2">
      <c r="A3705" t="s">
        <v>18</v>
      </c>
      <c r="B3705" t="s">
        <v>141</v>
      </c>
      <c r="C3705" t="s">
        <v>142</v>
      </c>
      <c r="D3705" t="s">
        <v>113</v>
      </c>
      <c r="E3705" t="s">
        <v>53</v>
      </c>
      <c r="F3705" t="s">
        <v>114</v>
      </c>
      <c r="G3705">
        <v>119062</v>
      </c>
      <c r="H3705" s="75">
        <v>45696</v>
      </c>
      <c r="I3705" t="s">
        <v>115</v>
      </c>
      <c r="J3705">
        <v>5000</v>
      </c>
      <c r="K3705">
        <v>138.41900000000001</v>
      </c>
      <c r="L3705">
        <v>36.122199999999999</v>
      </c>
      <c r="M3705">
        <v>24422.788</v>
      </c>
      <c r="N3705" t="s">
        <v>15</v>
      </c>
    </row>
    <row r="3706" spans="1:14" x14ac:dyDescent="0.2">
      <c r="A3706" t="s">
        <v>18</v>
      </c>
      <c r="B3706" t="s">
        <v>141</v>
      </c>
      <c r="C3706" t="s">
        <v>142</v>
      </c>
      <c r="D3706" t="s">
        <v>113</v>
      </c>
      <c r="E3706" t="s">
        <v>53</v>
      </c>
      <c r="F3706" t="s">
        <v>114</v>
      </c>
      <c r="G3706">
        <v>119062</v>
      </c>
      <c r="H3706" s="75">
        <v>45726</v>
      </c>
      <c r="I3706" t="s">
        <v>115</v>
      </c>
      <c r="J3706">
        <v>5000</v>
      </c>
      <c r="K3706">
        <v>135.822</v>
      </c>
      <c r="L3706">
        <v>36.812899999999999</v>
      </c>
      <c r="M3706">
        <v>24558.609</v>
      </c>
      <c r="N3706" t="s">
        <v>15</v>
      </c>
    </row>
    <row r="3707" spans="1:14" x14ac:dyDescent="0.2">
      <c r="A3707" t="s">
        <v>18</v>
      </c>
      <c r="B3707" t="s">
        <v>141</v>
      </c>
      <c r="C3707" t="s">
        <v>142</v>
      </c>
      <c r="D3707" t="s">
        <v>113</v>
      </c>
      <c r="E3707" t="s">
        <v>53</v>
      </c>
      <c r="F3707" t="s">
        <v>114</v>
      </c>
      <c r="G3707">
        <v>119062</v>
      </c>
      <c r="H3707" s="75">
        <v>45756</v>
      </c>
      <c r="I3707" t="s">
        <v>115</v>
      </c>
      <c r="J3707">
        <v>5000</v>
      </c>
      <c r="K3707">
        <v>134.21100000000001</v>
      </c>
      <c r="L3707">
        <v>37.2547</v>
      </c>
      <c r="M3707">
        <v>24692.821</v>
      </c>
      <c r="N3707" t="s">
        <v>15</v>
      </c>
    </row>
    <row r="3708" spans="1:14" x14ac:dyDescent="0.2">
      <c r="A3708" t="s">
        <v>18</v>
      </c>
      <c r="B3708" t="s">
        <v>141</v>
      </c>
      <c r="C3708" t="s">
        <v>142</v>
      </c>
      <c r="D3708" t="s">
        <v>113</v>
      </c>
      <c r="E3708" t="s">
        <v>53</v>
      </c>
      <c r="F3708" t="s">
        <v>114</v>
      </c>
      <c r="G3708">
        <v>119062</v>
      </c>
      <c r="H3708" s="75">
        <v>45756</v>
      </c>
      <c r="I3708" t="s">
        <v>117</v>
      </c>
      <c r="J3708">
        <v>2.5</v>
      </c>
      <c r="K3708">
        <v>0</v>
      </c>
      <c r="M3708">
        <v>24692.821</v>
      </c>
      <c r="N3708" t="s">
        <v>46</v>
      </c>
    </row>
    <row r="3709" spans="1:14" x14ac:dyDescent="0.2">
      <c r="A3709" t="s">
        <v>18</v>
      </c>
      <c r="B3709" t="s">
        <v>141</v>
      </c>
      <c r="C3709" t="s">
        <v>142</v>
      </c>
      <c r="D3709" t="s">
        <v>113</v>
      </c>
      <c r="E3709" t="s">
        <v>53</v>
      </c>
      <c r="F3709" t="s">
        <v>114</v>
      </c>
      <c r="G3709">
        <v>119062</v>
      </c>
      <c r="H3709" s="75">
        <v>45786</v>
      </c>
      <c r="I3709" t="s">
        <v>115</v>
      </c>
      <c r="J3709">
        <v>5000</v>
      </c>
      <c r="K3709">
        <v>132.06399999999999</v>
      </c>
      <c r="L3709">
        <v>37.860599999999998</v>
      </c>
      <c r="M3709">
        <v>24824.883999999998</v>
      </c>
      <c r="N3709" t="s">
        <v>15</v>
      </c>
    </row>
    <row r="3710" spans="1:14" x14ac:dyDescent="0.2">
      <c r="A3710" t="s">
        <v>18</v>
      </c>
      <c r="B3710" t="s">
        <v>141</v>
      </c>
      <c r="C3710" t="s">
        <v>142</v>
      </c>
      <c r="D3710" t="s">
        <v>113</v>
      </c>
      <c r="E3710" t="s">
        <v>53</v>
      </c>
      <c r="F3710" t="s">
        <v>114</v>
      </c>
      <c r="G3710">
        <v>119062</v>
      </c>
      <c r="H3710" s="75">
        <v>45816</v>
      </c>
      <c r="I3710" t="s">
        <v>115</v>
      </c>
      <c r="J3710">
        <v>5000</v>
      </c>
      <c r="K3710">
        <v>130.47200000000001</v>
      </c>
      <c r="L3710">
        <v>38.322400000000002</v>
      </c>
      <c r="M3710">
        <v>24955.356</v>
      </c>
      <c r="N3710" t="s">
        <v>15</v>
      </c>
    </row>
    <row r="3711" spans="1:14" x14ac:dyDescent="0.2">
      <c r="A3711" t="s">
        <v>18</v>
      </c>
      <c r="B3711" t="s">
        <v>141</v>
      </c>
      <c r="C3711" t="s">
        <v>142</v>
      </c>
      <c r="D3711" t="s">
        <v>113</v>
      </c>
      <c r="E3711" t="s">
        <v>53</v>
      </c>
      <c r="F3711" t="s">
        <v>114</v>
      </c>
      <c r="G3711">
        <v>119062</v>
      </c>
      <c r="H3711" s="75">
        <v>45846</v>
      </c>
      <c r="I3711" t="s">
        <v>115</v>
      </c>
      <c r="J3711">
        <v>5000</v>
      </c>
      <c r="K3711">
        <v>127.407</v>
      </c>
      <c r="L3711">
        <v>39.244199999999999</v>
      </c>
      <c r="M3711">
        <v>25082.763999999999</v>
      </c>
      <c r="N3711" t="s">
        <v>15</v>
      </c>
    </row>
    <row r="3712" spans="1:14" x14ac:dyDescent="0.2">
      <c r="A3712" t="s">
        <v>18</v>
      </c>
      <c r="B3712" t="s">
        <v>141</v>
      </c>
      <c r="C3712" t="s">
        <v>142</v>
      </c>
      <c r="D3712" t="s">
        <v>113</v>
      </c>
      <c r="E3712" t="s">
        <v>53</v>
      </c>
      <c r="F3712" t="s">
        <v>114</v>
      </c>
      <c r="G3712">
        <v>119062</v>
      </c>
      <c r="H3712" s="75">
        <v>45876</v>
      </c>
      <c r="I3712" t="s">
        <v>115</v>
      </c>
      <c r="J3712">
        <v>5000</v>
      </c>
      <c r="K3712">
        <v>124.35899999999999</v>
      </c>
      <c r="L3712">
        <v>40.206099999999999</v>
      </c>
      <c r="M3712">
        <v>25207.123</v>
      </c>
      <c r="N3712" t="s">
        <v>15</v>
      </c>
    </row>
    <row r="3713" spans="1:14" x14ac:dyDescent="0.2">
      <c r="A3713" t="s">
        <v>18</v>
      </c>
      <c r="B3713" t="s">
        <v>141</v>
      </c>
      <c r="C3713" t="s">
        <v>142</v>
      </c>
      <c r="D3713" t="s">
        <v>113</v>
      </c>
      <c r="E3713" t="s">
        <v>53</v>
      </c>
      <c r="F3713" t="s">
        <v>114</v>
      </c>
      <c r="G3713">
        <v>119062</v>
      </c>
      <c r="H3713" s="75">
        <v>45906</v>
      </c>
      <c r="I3713" t="s">
        <v>115</v>
      </c>
      <c r="J3713">
        <v>5000</v>
      </c>
      <c r="K3713">
        <v>124.48699999999999</v>
      </c>
      <c r="L3713">
        <v>40.1648</v>
      </c>
      <c r="M3713">
        <v>25331.61</v>
      </c>
      <c r="N3713" t="s">
        <v>15</v>
      </c>
    </row>
    <row r="3714" spans="1:14" x14ac:dyDescent="0.2">
      <c r="A3714" t="s">
        <v>18</v>
      </c>
      <c r="B3714" t="s">
        <v>141</v>
      </c>
      <c r="C3714" t="s">
        <v>142</v>
      </c>
      <c r="D3714" t="s">
        <v>113</v>
      </c>
      <c r="E3714" t="s">
        <v>53</v>
      </c>
      <c r="F3714" t="s">
        <v>114</v>
      </c>
      <c r="G3714">
        <v>119062</v>
      </c>
      <c r="H3714" s="75">
        <v>45906</v>
      </c>
      <c r="I3714" t="s">
        <v>116</v>
      </c>
      <c r="J3714">
        <v>2.5</v>
      </c>
      <c r="K3714">
        <v>0</v>
      </c>
      <c r="M3714">
        <v>25331.61</v>
      </c>
      <c r="N3714" t="s">
        <v>17</v>
      </c>
    </row>
    <row r="3715" spans="1:14" x14ac:dyDescent="0.2">
      <c r="A3715" t="s">
        <v>18</v>
      </c>
      <c r="B3715" t="s">
        <v>141</v>
      </c>
      <c r="C3715" t="s">
        <v>142</v>
      </c>
      <c r="D3715" t="s">
        <v>113</v>
      </c>
      <c r="E3715" t="s">
        <v>53</v>
      </c>
      <c r="F3715" t="s">
        <v>114</v>
      </c>
      <c r="G3715">
        <v>119062</v>
      </c>
      <c r="H3715" s="75">
        <v>45936</v>
      </c>
      <c r="I3715" t="s">
        <v>115</v>
      </c>
      <c r="J3715">
        <v>5000</v>
      </c>
      <c r="K3715">
        <v>125.151</v>
      </c>
      <c r="L3715">
        <v>39.951799999999999</v>
      </c>
      <c r="M3715">
        <v>25456.760999999999</v>
      </c>
      <c r="N3715" t="s">
        <v>15</v>
      </c>
    </row>
    <row r="3716" spans="1:14" x14ac:dyDescent="0.2">
      <c r="A3716" t="s">
        <v>18</v>
      </c>
      <c r="B3716" t="s">
        <v>141</v>
      </c>
      <c r="C3716" t="s">
        <v>142</v>
      </c>
      <c r="D3716" t="s">
        <v>113</v>
      </c>
      <c r="E3716" t="s">
        <v>53</v>
      </c>
      <c r="F3716" t="s">
        <v>114</v>
      </c>
      <c r="G3716">
        <v>119062</v>
      </c>
      <c r="H3716" s="75">
        <v>45966</v>
      </c>
      <c r="I3716" t="s">
        <v>115</v>
      </c>
      <c r="J3716">
        <v>5000</v>
      </c>
      <c r="K3716">
        <v>127.431</v>
      </c>
      <c r="L3716">
        <v>39.236800000000002</v>
      </c>
      <c r="M3716">
        <v>25584.191999999999</v>
      </c>
      <c r="N3716" t="s">
        <v>15</v>
      </c>
    </row>
    <row r="3717" spans="1:14" x14ac:dyDescent="0.2">
      <c r="A3717" t="s">
        <v>18</v>
      </c>
      <c r="B3717" t="s">
        <v>141</v>
      </c>
      <c r="C3717" t="s">
        <v>142</v>
      </c>
      <c r="D3717" t="s">
        <v>113</v>
      </c>
      <c r="E3717" t="s">
        <v>53</v>
      </c>
      <c r="F3717" t="s">
        <v>114</v>
      </c>
      <c r="G3717">
        <v>119062</v>
      </c>
      <c r="H3717" s="75">
        <v>45966</v>
      </c>
      <c r="I3717" t="s">
        <v>116</v>
      </c>
      <c r="J3717">
        <v>2.5</v>
      </c>
      <c r="K3717">
        <v>0</v>
      </c>
      <c r="M3717">
        <v>25584.191999999999</v>
      </c>
      <c r="N3717" t="s">
        <v>17</v>
      </c>
    </row>
    <row r="3718" spans="1:14" x14ac:dyDescent="0.2">
      <c r="A3718" t="s">
        <v>18</v>
      </c>
      <c r="B3718" t="s">
        <v>141</v>
      </c>
      <c r="C3718" t="s">
        <v>142</v>
      </c>
      <c r="D3718" t="s">
        <v>113</v>
      </c>
      <c r="E3718" t="s">
        <v>53</v>
      </c>
      <c r="F3718" t="s">
        <v>114</v>
      </c>
      <c r="G3718">
        <v>119062</v>
      </c>
      <c r="H3718" s="75">
        <v>45996</v>
      </c>
      <c r="I3718" t="s">
        <v>115</v>
      </c>
      <c r="J3718">
        <v>5000</v>
      </c>
      <c r="K3718">
        <v>128.36199999999999</v>
      </c>
      <c r="L3718">
        <v>38.952199999999998</v>
      </c>
      <c r="M3718">
        <v>25712.554</v>
      </c>
      <c r="N3718" t="s">
        <v>15</v>
      </c>
    </row>
    <row r="3719" spans="1:14" x14ac:dyDescent="0.2">
      <c r="A3719" t="s">
        <v>18</v>
      </c>
      <c r="B3719" t="s">
        <v>141</v>
      </c>
      <c r="C3719" t="s">
        <v>142</v>
      </c>
      <c r="D3719" t="s">
        <v>113</v>
      </c>
      <c r="E3719" t="s">
        <v>53</v>
      </c>
      <c r="F3719" t="s">
        <v>114</v>
      </c>
      <c r="G3719">
        <v>119062</v>
      </c>
      <c r="H3719" s="75">
        <v>46026</v>
      </c>
      <c r="I3719" t="s">
        <v>115</v>
      </c>
      <c r="J3719">
        <v>5000</v>
      </c>
      <c r="K3719">
        <v>125.325</v>
      </c>
      <c r="L3719">
        <v>39.896299999999997</v>
      </c>
      <c r="M3719">
        <v>25837.879000000001</v>
      </c>
      <c r="N3719" t="s">
        <v>15</v>
      </c>
    </row>
    <row r="3720" spans="1:14" x14ac:dyDescent="0.2">
      <c r="A3720" t="s">
        <v>18</v>
      </c>
      <c r="B3720" t="s">
        <v>141</v>
      </c>
      <c r="C3720" t="s">
        <v>142</v>
      </c>
      <c r="D3720" t="s">
        <v>113</v>
      </c>
      <c r="E3720" t="s">
        <v>53</v>
      </c>
      <c r="F3720" t="s">
        <v>114</v>
      </c>
      <c r="G3720">
        <v>119062</v>
      </c>
      <c r="H3720" s="75">
        <v>46056</v>
      </c>
      <c r="I3720" t="s">
        <v>115</v>
      </c>
      <c r="J3720">
        <v>5000</v>
      </c>
      <c r="K3720">
        <v>127.61799999999999</v>
      </c>
      <c r="L3720">
        <v>39.179299999999998</v>
      </c>
      <c r="M3720">
        <v>25965.498</v>
      </c>
      <c r="N3720" t="s">
        <v>15</v>
      </c>
    </row>
    <row r="3721" spans="1:14" x14ac:dyDescent="0.2">
      <c r="A3721" t="s">
        <v>18</v>
      </c>
      <c r="B3721" t="s">
        <v>141</v>
      </c>
      <c r="C3721" t="s">
        <v>142</v>
      </c>
      <c r="D3721" t="s">
        <v>113</v>
      </c>
      <c r="E3721" t="s">
        <v>53</v>
      </c>
      <c r="F3721" t="s">
        <v>114</v>
      </c>
      <c r="G3721">
        <v>119062</v>
      </c>
      <c r="H3721" s="75">
        <v>46056</v>
      </c>
      <c r="I3721" t="s">
        <v>117</v>
      </c>
      <c r="J3721">
        <v>2.5</v>
      </c>
      <c r="K3721">
        <v>0</v>
      </c>
      <c r="M3721">
        <v>25965.498</v>
      </c>
      <c r="N3721" t="s">
        <v>46</v>
      </c>
    </row>
    <row r="3722" spans="1:14" x14ac:dyDescent="0.2">
      <c r="A3722" t="s">
        <v>18</v>
      </c>
      <c r="B3722" t="s">
        <v>141</v>
      </c>
      <c r="C3722" t="s">
        <v>142</v>
      </c>
      <c r="D3722" t="s">
        <v>113</v>
      </c>
      <c r="E3722" t="s">
        <v>53</v>
      </c>
      <c r="F3722" t="s">
        <v>114</v>
      </c>
      <c r="G3722">
        <v>119062</v>
      </c>
      <c r="H3722" s="75">
        <v>46086</v>
      </c>
      <c r="I3722" t="s">
        <v>115</v>
      </c>
      <c r="J3722">
        <v>5000</v>
      </c>
      <c r="K3722">
        <v>129.96799999999999</v>
      </c>
      <c r="L3722">
        <v>38.470999999999997</v>
      </c>
      <c r="M3722">
        <v>26095.466</v>
      </c>
      <c r="N3722" t="s">
        <v>15</v>
      </c>
    </row>
    <row r="3723" spans="1:14" x14ac:dyDescent="0.2">
      <c r="A3723" t="s">
        <v>18</v>
      </c>
      <c r="B3723" t="s">
        <v>141</v>
      </c>
      <c r="C3723" t="s">
        <v>142</v>
      </c>
      <c r="D3723" t="s">
        <v>113</v>
      </c>
      <c r="E3723" t="s">
        <v>53</v>
      </c>
      <c r="F3723" t="s">
        <v>114</v>
      </c>
      <c r="G3723">
        <v>119062</v>
      </c>
      <c r="H3723" s="75">
        <v>46116</v>
      </c>
      <c r="I3723" t="s">
        <v>115</v>
      </c>
      <c r="J3723">
        <v>5000</v>
      </c>
      <c r="K3723">
        <v>130.072</v>
      </c>
      <c r="L3723">
        <v>38.440300000000001</v>
      </c>
      <c r="M3723">
        <v>26225.538</v>
      </c>
      <c r="N3723" t="s">
        <v>15</v>
      </c>
    </row>
    <row r="3724" spans="1:14" x14ac:dyDescent="0.2">
      <c r="A3724" t="s">
        <v>18</v>
      </c>
      <c r="B3724" t="s">
        <v>141</v>
      </c>
      <c r="C3724" t="s">
        <v>142</v>
      </c>
      <c r="D3724" t="s">
        <v>113</v>
      </c>
      <c r="E3724" t="s">
        <v>53</v>
      </c>
      <c r="F3724" t="s">
        <v>114</v>
      </c>
      <c r="G3724">
        <v>119062</v>
      </c>
      <c r="H3724" s="75">
        <v>46146</v>
      </c>
      <c r="I3724" t="s">
        <v>115</v>
      </c>
      <c r="J3724">
        <v>5000</v>
      </c>
      <c r="K3724">
        <v>127.669</v>
      </c>
      <c r="L3724">
        <v>39.163800000000002</v>
      </c>
      <c r="M3724">
        <v>26353.206999999999</v>
      </c>
      <c r="N3724" t="s">
        <v>15</v>
      </c>
    </row>
    <row r="3725" spans="1:14" x14ac:dyDescent="0.2">
      <c r="A3725" t="s">
        <v>18</v>
      </c>
      <c r="B3725" t="s">
        <v>141</v>
      </c>
      <c r="C3725" t="s">
        <v>142</v>
      </c>
      <c r="D3725" t="s">
        <v>113</v>
      </c>
      <c r="E3725" t="s">
        <v>53</v>
      </c>
      <c r="F3725" t="s">
        <v>114</v>
      </c>
      <c r="G3725">
        <v>119062</v>
      </c>
      <c r="H3725" s="75">
        <v>46176</v>
      </c>
      <c r="I3725" t="s">
        <v>115</v>
      </c>
      <c r="J3725">
        <v>5000</v>
      </c>
      <c r="K3725">
        <v>125.271</v>
      </c>
      <c r="L3725">
        <v>39.9133</v>
      </c>
      <c r="M3725">
        <v>26478.477999999999</v>
      </c>
      <c r="N3725" t="s">
        <v>15</v>
      </c>
    </row>
    <row r="3726" spans="1:14" x14ac:dyDescent="0.2">
      <c r="A3726" t="s">
        <v>18</v>
      </c>
      <c r="B3726" t="s">
        <v>141</v>
      </c>
      <c r="C3726" t="s">
        <v>142</v>
      </c>
      <c r="D3726" t="s">
        <v>113</v>
      </c>
      <c r="E3726" t="s">
        <v>53</v>
      </c>
      <c r="F3726" t="s">
        <v>114</v>
      </c>
      <c r="G3726">
        <v>119062</v>
      </c>
      <c r="H3726" s="75">
        <v>46176</v>
      </c>
      <c r="I3726" t="s">
        <v>117</v>
      </c>
      <c r="J3726">
        <v>2.5</v>
      </c>
      <c r="K3726">
        <v>0</v>
      </c>
      <c r="M3726">
        <v>26478.477999999999</v>
      </c>
      <c r="N3726" t="s">
        <v>46</v>
      </c>
    </row>
    <row r="3727" spans="1:14" x14ac:dyDescent="0.2">
      <c r="A3727" t="s">
        <v>119</v>
      </c>
      <c r="B3727" t="s">
        <v>143</v>
      </c>
      <c r="C3727" t="s">
        <v>142</v>
      </c>
      <c r="D3727" t="s">
        <v>121</v>
      </c>
      <c r="E3727" t="s">
        <v>53</v>
      </c>
      <c r="F3727" t="s">
        <v>114</v>
      </c>
      <c r="G3727">
        <v>122639</v>
      </c>
      <c r="H3727" s="75">
        <v>40502</v>
      </c>
      <c r="I3727" t="s">
        <v>115</v>
      </c>
      <c r="J3727">
        <v>5000</v>
      </c>
      <c r="K3727">
        <v>251.273</v>
      </c>
      <c r="L3727">
        <v>19.898700000000002</v>
      </c>
      <c r="M3727">
        <v>251.273</v>
      </c>
      <c r="N3727" t="s">
        <v>15</v>
      </c>
    </row>
    <row r="3728" spans="1:14" x14ac:dyDescent="0.2">
      <c r="A3728" t="s">
        <v>119</v>
      </c>
      <c r="B3728" t="s">
        <v>143</v>
      </c>
      <c r="C3728" t="s">
        <v>142</v>
      </c>
      <c r="D3728" t="s">
        <v>121</v>
      </c>
      <c r="E3728" t="s">
        <v>53</v>
      </c>
      <c r="F3728" t="s">
        <v>114</v>
      </c>
      <c r="G3728">
        <v>122639</v>
      </c>
      <c r="H3728" s="75">
        <v>40532</v>
      </c>
      <c r="I3728" t="s">
        <v>115</v>
      </c>
      <c r="J3728">
        <v>5000</v>
      </c>
      <c r="K3728">
        <v>245.321</v>
      </c>
      <c r="L3728">
        <v>20.381499999999999</v>
      </c>
      <c r="M3728">
        <v>496.59300000000002</v>
      </c>
      <c r="N3728" t="s">
        <v>15</v>
      </c>
    </row>
    <row r="3729" spans="1:14" x14ac:dyDescent="0.2">
      <c r="A3729" t="s">
        <v>119</v>
      </c>
      <c r="B3729" t="s">
        <v>143</v>
      </c>
      <c r="C3729" t="s">
        <v>142</v>
      </c>
      <c r="D3729" t="s">
        <v>121</v>
      </c>
      <c r="E3729" t="s">
        <v>53</v>
      </c>
      <c r="F3729" t="s">
        <v>114</v>
      </c>
      <c r="G3729">
        <v>122639</v>
      </c>
      <c r="H3729" s="75">
        <v>40532</v>
      </c>
      <c r="I3729" t="s">
        <v>116</v>
      </c>
      <c r="J3729">
        <v>2.5</v>
      </c>
      <c r="K3729">
        <v>0</v>
      </c>
      <c r="M3729">
        <v>496.59300000000002</v>
      </c>
      <c r="N3729" t="s">
        <v>17</v>
      </c>
    </row>
    <row r="3730" spans="1:14" x14ac:dyDescent="0.2">
      <c r="A3730" t="s">
        <v>119</v>
      </c>
      <c r="B3730" t="s">
        <v>143</v>
      </c>
      <c r="C3730" t="s">
        <v>142</v>
      </c>
      <c r="D3730" t="s">
        <v>121</v>
      </c>
      <c r="E3730" t="s">
        <v>53</v>
      </c>
      <c r="F3730" t="s">
        <v>114</v>
      </c>
      <c r="G3730">
        <v>122639</v>
      </c>
      <c r="H3730" s="75">
        <v>40562</v>
      </c>
      <c r="I3730" t="s">
        <v>115</v>
      </c>
      <c r="J3730">
        <v>5000</v>
      </c>
      <c r="K3730">
        <v>242.89500000000001</v>
      </c>
      <c r="L3730">
        <v>20.585100000000001</v>
      </c>
      <c r="M3730">
        <v>739.48800000000006</v>
      </c>
      <c r="N3730" t="s">
        <v>15</v>
      </c>
    </row>
    <row r="3731" spans="1:14" x14ac:dyDescent="0.2">
      <c r="A3731" t="s">
        <v>119</v>
      </c>
      <c r="B3731" t="s">
        <v>143</v>
      </c>
      <c r="C3731" t="s">
        <v>142</v>
      </c>
      <c r="D3731" t="s">
        <v>121</v>
      </c>
      <c r="E3731" t="s">
        <v>53</v>
      </c>
      <c r="F3731" t="s">
        <v>114</v>
      </c>
      <c r="G3731">
        <v>122639</v>
      </c>
      <c r="H3731" s="75">
        <v>40592</v>
      </c>
      <c r="I3731" t="s">
        <v>115</v>
      </c>
      <c r="J3731">
        <v>5000</v>
      </c>
      <c r="K3731">
        <v>241.727</v>
      </c>
      <c r="L3731">
        <v>20.6845</v>
      </c>
      <c r="M3731">
        <v>981.21500000000003</v>
      </c>
      <c r="N3731" t="s">
        <v>15</v>
      </c>
    </row>
    <row r="3732" spans="1:14" x14ac:dyDescent="0.2">
      <c r="A3732" t="s">
        <v>119</v>
      </c>
      <c r="B3732" t="s">
        <v>143</v>
      </c>
      <c r="C3732" t="s">
        <v>142</v>
      </c>
      <c r="D3732" t="s">
        <v>121</v>
      </c>
      <c r="E3732" t="s">
        <v>53</v>
      </c>
      <c r="F3732" t="s">
        <v>114</v>
      </c>
      <c r="G3732">
        <v>122639</v>
      </c>
      <c r="H3732" s="75">
        <v>40592</v>
      </c>
      <c r="I3732" t="s">
        <v>116</v>
      </c>
      <c r="J3732">
        <v>2.5</v>
      </c>
      <c r="K3732">
        <v>0</v>
      </c>
      <c r="M3732">
        <v>981.21500000000003</v>
      </c>
      <c r="N3732" t="s">
        <v>17</v>
      </c>
    </row>
    <row r="3733" spans="1:14" x14ac:dyDescent="0.2">
      <c r="A3733" t="s">
        <v>119</v>
      </c>
      <c r="B3733" t="s">
        <v>143</v>
      </c>
      <c r="C3733" t="s">
        <v>142</v>
      </c>
      <c r="D3733" t="s">
        <v>121</v>
      </c>
      <c r="E3733" t="s">
        <v>53</v>
      </c>
      <c r="F3733" t="s">
        <v>114</v>
      </c>
      <c r="G3733">
        <v>122639</v>
      </c>
      <c r="H3733" s="75">
        <v>40622</v>
      </c>
      <c r="I3733" t="s">
        <v>115</v>
      </c>
      <c r="J3733">
        <v>5000</v>
      </c>
      <c r="K3733">
        <v>246.20400000000001</v>
      </c>
      <c r="L3733">
        <v>20.308399999999999</v>
      </c>
      <c r="M3733">
        <v>1227.4179999999999</v>
      </c>
      <c r="N3733" t="s">
        <v>15</v>
      </c>
    </row>
    <row r="3734" spans="1:14" x14ac:dyDescent="0.2">
      <c r="A3734" t="s">
        <v>119</v>
      </c>
      <c r="B3734" t="s">
        <v>143</v>
      </c>
      <c r="C3734" t="s">
        <v>142</v>
      </c>
      <c r="D3734" t="s">
        <v>121</v>
      </c>
      <c r="E3734" t="s">
        <v>53</v>
      </c>
      <c r="F3734" t="s">
        <v>114</v>
      </c>
      <c r="G3734">
        <v>122639</v>
      </c>
      <c r="H3734" s="75">
        <v>40652</v>
      </c>
      <c r="I3734" t="s">
        <v>115</v>
      </c>
      <c r="J3734">
        <v>5000</v>
      </c>
      <c r="K3734">
        <v>243.97200000000001</v>
      </c>
      <c r="L3734">
        <v>20.4941</v>
      </c>
      <c r="M3734">
        <v>1471.3910000000001</v>
      </c>
      <c r="N3734" t="s">
        <v>15</v>
      </c>
    </row>
    <row r="3735" spans="1:14" x14ac:dyDescent="0.2">
      <c r="A3735" t="s">
        <v>119</v>
      </c>
      <c r="B3735" t="s">
        <v>143</v>
      </c>
      <c r="C3735" t="s">
        <v>142</v>
      </c>
      <c r="D3735" t="s">
        <v>121</v>
      </c>
      <c r="E3735" t="s">
        <v>53</v>
      </c>
      <c r="F3735" t="s">
        <v>114</v>
      </c>
      <c r="G3735">
        <v>122639</v>
      </c>
      <c r="H3735" s="75">
        <v>40682</v>
      </c>
      <c r="I3735" t="s">
        <v>115</v>
      </c>
      <c r="J3735">
        <v>5000</v>
      </c>
      <c r="K3735">
        <v>247.227</v>
      </c>
      <c r="L3735">
        <v>20.224299999999999</v>
      </c>
      <c r="M3735">
        <v>1718.6179999999999</v>
      </c>
      <c r="N3735" t="s">
        <v>15</v>
      </c>
    </row>
    <row r="3736" spans="1:14" x14ac:dyDescent="0.2">
      <c r="A3736" t="s">
        <v>119</v>
      </c>
      <c r="B3736" t="s">
        <v>143</v>
      </c>
      <c r="C3736" t="s">
        <v>142</v>
      </c>
      <c r="D3736" t="s">
        <v>121</v>
      </c>
      <c r="E3736" t="s">
        <v>53</v>
      </c>
      <c r="F3736" t="s">
        <v>114</v>
      </c>
      <c r="G3736">
        <v>122639</v>
      </c>
      <c r="H3736" s="75">
        <v>40712</v>
      </c>
      <c r="I3736" t="s">
        <v>115</v>
      </c>
      <c r="J3736">
        <v>5000</v>
      </c>
      <c r="K3736">
        <v>241.83</v>
      </c>
      <c r="L3736">
        <v>20.675699999999999</v>
      </c>
      <c r="M3736">
        <v>1960.4469999999999</v>
      </c>
      <c r="N3736" t="s">
        <v>15</v>
      </c>
    </row>
    <row r="3737" spans="1:14" x14ac:dyDescent="0.2">
      <c r="A3737" t="s">
        <v>119</v>
      </c>
      <c r="B3737" t="s">
        <v>143</v>
      </c>
      <c r="C3737" t="s">
        <v>142</v>
      </c>
      <c r="D3737" t="s">
        <v>121</v>
      </c>
      <c r="E3737" t="s">
        <v>53</v>
      </c>
      <c r="F3737" t="s">
        <v>114</v>
      </c>
      <c r="G3737">
        <v>122639</v>
      </c>
      <c r="H3737" s="75">
        <v>40712</v>
      </c>
      <c r="I3737" t="s">
        <v>116</v>
      </c>
      <c r="J3737">
        <v>2.5</v>
      </c>
      <c r="K3737">
        <v>0</v>
      </c>
      <c r="M3737">
        <v>1960.4469999999999</v>
      </c>
      <c r="N3737" t="s">
        <v>17</v>
      </c>
    </row>
    <row r="3738" spans="1:14" x14ac:dyDescent="0.2">
      <c r="A3738" t="s">
        <v>119</v>
      </c>
      <c r="B3738" t="s">
        <v>143</v>
      </c>
      <c r="C3738" t="s">
        <v>142</v>
      </c>
      <c r="D3738" t="s">
        <v>121</v>
      </c>
      <c r="E3738" t="s">
        <v>53</v>
      </c>
      <c r="F3738" t="s">
        <v>114</v>
      </c>
      <c r="G3738">
        <v>122639</v>
      </c>
      <c r="H3738" s="75">
        <v>40742</v>
      </c>
      <c r="I3738" t="s">
        <v>115</v>
      </c>
      <c r="J3738">
        <v>5000</v>
      </c>
      <c r="K3738">
        <v>235.38499999999999</v>
      </c>
      <c r="L3738">
        <v>21.241800000000001</v>
      </c>
      <c r="M3738">
        <v>2195.8330000000001</v>
      </c>
      <c r="N3738" t="s">
        <v>15</v>
      </c>
    </row>
    <row r="3739" spans="1:14" x14ac:dyDescent="0.2">
      <c r="A3739" t="s">
        <v>119</v>
      </c>
      <c r="B3739" t="s">
        <v>143</v>
      </c>
      <c r="C3739" t="s">
        <v>142</v>
      </c>
      <c r="D3739" t="s">
        <v>121</v>
      </c>
      <c r="E3739" t="s">
        <v>53</v>
      </c>
      <c r="F3739" t="s">
        <v>114</v>
      </c>
      <c r="G3739">
        <v>122639</v>
      </c>
      <c r="H3739" s="75">
        <v>40772</v>
      </c>
      <c r="I3739" t="s">
        <v>115</v>
      </c>
      <c r="J3739">
        <v>5000</v>
      </c>
      <c r="K3739">
        <v>240.136</v>
      </c>
      <c r="L3739">
        <v>20.8215</v>
      </c>
      <c r="M3739">
        <v>2435.9690000000001</v>
      </c>
      <c r="N3739" t="s">
        <v>15</v>
      </c>
    </row>
    <row r="3740" spans="1:14" x14ac:dyDescent="0.2">
      <c r="A3740" t="s">
        <v>119</v>
      </c>
      <c r="B3740" t="s">
        <v>143</v>
      </c>
      <c r="C3740" t="s">
        <v>142</v>
      </c>
      <c r="D3740" t="s">
        <v>121</v>
      </c>
      <c r="E3740" t="s">
        <v>53</v>
      </c>
      <c r="F3740" t="s">
        <v>114</v>
      </c>
      <c r="G3740">
        <v>122639</v>
      </c>
      <c r="H3740" s="75">
        <v>40772</v>
      </c>
      <c r="I3740" t="s">
        <v>116</v>
      </c>
      <c r="J3740">
        <v>2.5</v>
      </c>
      <c r="K3740">
        <v>0</v>
      </c>
      <c r="M3740">
        <v>2435.9690000000001</v>
      </c>
      <c r="N3740" t="s">
        <v>17</v>
      </c>
    </row>
    <row r="3741" spans="1:14" x14ac:dyDescent="0.2">
      <c r="A3741" t="s">
        <v>119</v>
      </c>
      <c r="B3741" t="s">
        <v>143</v>
      </c>
      <c r="C3741" t="s">
        <v>142</v>
      </c>
      <c r="D3741" t="s">
        <v>121</v>
      </c>
      <c r="E3741" t="s">
        <v>53</v>
      </c>
      <c r="F3741" t="s">
        <v>114</v>
      </c>
      <c r="G3741">
        <v>122639</v>
      </c>
      <c r="H3741" s="75">
        <v>40802</v>
      </c>
      <c r="I3741" t="s">
        <v>115</v>
      </c>
      <c r="J3741">
        <v>5000</v>
      </c>
      <c r="K3741">
        <v>242.75800000000001</v>
      </c>
      <c r="L3741">
        <v>20.596699999999998</v>
      </c>
      <c r="M3741">
        <v>2678.7269999999999</v>
      </c>
      <c r="N3741" t="s">
        <v>15</v>
      </c>
    </row>
    <row r="3742" spans="1:14" x14ac:dyDescent="0.2">
      <c r="A3742" t="s">
        <v>119</v>
      </c>
      <c r="B3742" t="s">
        <v>143</v>
      </c>
      <c r="C3742" t="s">
        <v>142</v>
      </c>
      <c r="D3742" t="s">
        <v>121</v>
      </c>
      <c r="E3742" t="s">
        <v>53</v>
      </c>
      <c r="F3742" t="s">
        <v>114</v>
      </c>
      <c r="G3742">
        <v>122639</v>
      </c>
      <c r="H3742" s="75">
        <v>40832</v>
      </c>
      <c r="I3742" t="s">
        <v>115</v>
      </c>
      <c r="J3742">
        <v>5000</v>
      </c>
      <c r="K3742">
        <v>243.22800000000001</v>
      </c>
      <c r="L3742">
        <v>20.556899999999999</v>
      </c>
      <c r="M3742">
        <v>2921.9549999999999</v>
      </c>
      <c r="N3742" t="s">
        <v>15</v>
      </c>
    </row>
    <row r="3743" spans="1:14" x14ac:dyDescent="0.2">
      <c r="A3743" t="s">
        <v>119</v>
      </c>
      <c r="B3743" t="s">
        <v>143</v>
      </c>
      <c r="C3743" t="s">
        <v>142</v>
      </c>
      <c r="D3743" t="s">
        <v>121</v>
      </c>
      <c r="E3743" t="s">
        <v>53</v>
      </c>
      <c r="F3743" t="s">
        <v>114</v>
      </c>
      <c r="G3743">
        <v>122639</v>
      </c>
      <c r="H3743" s="75">
        <v>40862</v>
      </c>
      <c r="I3743" t="s">
        <v>115</v>
      </c>
      <c r="J3743">
        <v>5000</v>
      </c>
      <c r="K3743">
        <v>246.363</v>
      </c>
      <c r="L3743">
        <v>20.295300000000001</v>
      </c>
      <c r="M3743">
        <v>3168.317</v>
      </c>
      <c r="N3743" t="s">
        <v>15</v>
      </c>
    </row>
    <row r="3744" spans="1:14" x14ac:dyDescent="0.2">
      <c r="A3744" t="s">
        <v>119</v>
      </c>
      <c r="B3744" t="s">
        <v>143</v>
      </c>
      <c r="C3744" t="s">
        <v>142</v>
      </c>
      <c r="D3744" t="s">
        <v>121</v>
      </c>
      <c r="E3744" t="s">
        <v>53</v>
      </c>
      <c r="F3744" t="s">
        <v>114</v>
      </c>
      <c r="G3744">
        <v>122639</v>
      </c>
      <c r="H3744" s="75">
        <v>40862</v>
      </c>
      <c r="I3744" t="s">
        <v>116</v>
      </c>
      <c r="J3744">
        <v>2.5</v>
      </c>
      <c r="K3744">
        <v>0</v>
      </c>
      <c r="M3744">
        <v>3168.317</v>
      </c>
      <c r="N3744" t="s">
        <v>17</v>
      </c>
    </row>
    <row r="3745" spans="1:15" x14ac:dyDescent="0.2">
      <c r="A3745" t="s">
        <v>119</v>
      </c>
      <c r="B3745" t="s">
        <v>143</v>
      </c>
      <c r="C3745" t="s">
        <v>142</v>
      </c>
      <c r="D3745" t="s">
        <v>121</v>
      </c>
      <c r="E3745" t="s">
        <v>53</v>
      </c>
      <c r="F3745" t="s">
        <v>114</v>
      </c>
      <c r="G3745">
        <v>122639</v>
      </c>
      <c r="H3745" s="75">
        <v>40892</v>
      </c>
      <c r="I3745" t="s">
        <v>115</v>
      </c>
      <c r="J3745">
        <v>5000</v>
      </c>
      <c r="K3745">
        <v>239.28200000000001</v>
      </c>
      <c r="L3745">
        <v>20.895800000000001</v>
      </c>
      <c r="M3745">
        <v>3407.5990000000002</v>
      </c>
      <c r="N3745" t="s">
        <v>15</v>
      </c>
    </row>
    <row r="3746" spans="1:15" x14ac:dyDescent="0.2">
      <c r="A3746" t="s">
        <v>119</v>
      </c>
      <c r="B3746" t="s">
        <v>143</v>
      </c>
      <c r="C3746" t="s">
        <v>142</v>
      </c>
      <c r="D3746" t="s">
        <v>121</v>
      </c>
      <c r="E3746" t="s">
        <v>53</v>
      </c>
      <c r="F3746" t="s">
        <v>114</v>
      </c>
      <c r="G3746">
        <v>122639</v>
      </c>
      <c r="H3746" s="75">
        <v>40892</v>
      </c>
      <c r="I3746" t="s">
        <v>117</v>
      </c>
      <c r="J3746">
        <v>2.5</v>
      </c>
      <c r="K3746">
        <v>0</v>
      </c>
      <c r="M3746">
        <v>3407.5990000000002</v>
      </c>
      <c r="N3746" t="s">
        <v>46</v>
      </c>
    </row>
    <row r="3747" spans="1:15" x14ac:dyDescent="0.2">
      <c r="A3747" t="s">
        <v>119</v>
      </c>
      <c r="B3747" t="s">
        <v>143</v>
      </c>
      <c r="C3747" t="s">
        <v>142</v>
      </c>
      <c r="D3747" t="s">
        <v>121</v>
      </c>
      <c r="E3747" t="s">
        <v>53</v>
      </c>
      <c r="F3747" t="s">
        <v>114</v>
      </c>
      <c r="G3747">
        <v>122639</v>
      </c>
      <c r="H3747" s="75">
        <v>40922</v>
      </c>
      <c r="I3747" t="s">
        <v>115</v>
      </c>
      <c r="J3747">
        <v>5000</v>
      </c>
      <c r="K3747">
        <v>239.851</v>
      </c>
      <c r="L3747">
        <v>20.846299999999999</v>
      </c>
      <c r="M3747">
        <v>3647.45</v>
      </c>
      <c r="N3747" t="s">
        <v>15</v>
      </c>
    </row>
    <row r="3748" spans="1:15" x14ac:dyDescent="0.2">
      <c r="A3748" t="s">
        <v>119</v>
      </c>
      <c r="B3748" t="s">
        <v>143</v>
      </c>
      <c r="C3748" t="s">
        <v>142</v>
      </c>
      <c r="D3748" t="s">
        <v>121</v>
      </c>
      <c r="E3748" t="s">
        <v>53</v>
      </c>
      <c r="F3748" t="s">
        <v>114</v>
      </c>
      <c r="G3748">
        <v>122639</v>
      </c>
      <c r="H3748" s="75">
        <v>40922</v>
      </c>
      <c r="I3748" t="s">
        <v>116</v>
      </c>
      <c r="J3748">
        <v>2.5</v>
      </c>
      <c r="K3748">
        <v>0</v>
      </c>
      <c r="M3748">
        <v>3647.45</v>
      </c>
      <c r="N3748" t="s">
        <v>17</v>
      </c>
    </row>
    <row r="3749" spans="1:15" x14ac:dyDescent="0.2">
      <c r="A3749" t="s">
        <v>119</v>
      </c>
      <c r="B3749" t="s">
        <v>143</v>
      </c>
      <c r="C3749" t="s">
        <v>142</v>
      </c>
      <c r="D3749" t="s">
        <v>121</v>
      </c>
      <c r="E3749" t="s">
        <v>53</v>
      </c>
      <c r="F3749" t="s">
        <v>114</v>
      </c>
      <c r="G3749">
        <v>122639</v>
      </c>
      <c r="H3749" s="75">
        <v>40952</v>
      </c>
      <c r="I3749" t="s">
        <v>115</v>
      </c>
      <c r="J3749">
        <v>5000</v>
      </c>
      <c r="K3749">
        <v>243.381</v>
      </c>
      <c r="L3749">
        <v>20.543900000000001</v>
      </c>
      <c r="M3749">
        <v>3890.8310000000001</v>
      </c>
      <c r="N3749" t="s">
        <v>15</v>
      </c>
    </row>
    <row r="3750" spans="1:15" x14ac:dyDescent="0.2">
      <c r="A3750" t="s">
        <v>119</v>
      </c>
      <c r="B3750" t="s">
        <v>143</v>
      </c>
      <c r="C3750" t="s">
        <v>142</v>
      </c>
      <c r="D3750" t="s">
        <v>121</v>
      </c>
      <c r="E3750" t="s">
        <v>53</v>
      </c>
      <c r="F3750" t="s">
        <v>114</v>
      </c>
      <c r="G3750">
        <v>122639</v>
      </c>
      <c r="H3750" s="75">
        <v>40982</v>
      </c>
      <c r="I3750" t="s">
        <v>115</v>
      </c>
      <c r="J3750">
        <v>5000</v>
      </c>
      <c r="K3750">
        <v>237.01400000000001</v>
      </c>
      <c r="L3750">
        <v>21.095800000000001</v>
      </c>
      <c r="M3750">
        <v>4127.8450000000003</v>
      </c>
      <c r="N3750" t="s">
        <v>15</v>
      </c>
    </row>
    <row r="3751" spans="1:15" x14ac:dyDescent="0.2">
      <c r="A3751" t="s">
        <v>119</v>
      </c>
      <c r="B3751" t="s">
        <v>143</v>
      </c>
      <c r="C3751" t="s">
        <v>142</v>
      </c>
      <c r="D3751" t="s">
        <v>121</v>
      </c>
      <c r="E3751" t="s">
        <v>53</v>
      </c>
      <c r="F3751" t="s">
        <v>114</v>
      </c>
      <c r="G3751">
        <v>122639</v>
      </c>
      <c r="H3751" s="75">
        <v>41012</v>
      </c>
      <c r="I3751" t="s">
        <v>115</v>
      </c>
      <c r="J3751">
        <v>5000</v>
      </c>
      <c r="K3751">
        <v>240.99600000000001</v>
      </c>
      <c r="L3751">
        <v>20.747199999999999</v>
      </c>
      <c r="M3751">
        <v>4368.8419999999996</v>
      </c>
      <c r="N3751" t="s">
        <v>15</v>
      </c>
    </row>
    <row r="3752" spans="1:15" x14ac:dyDescent="0.2">
      <c r="A3752" t="s">
        <v>119</v>
      </c>
      <c r="B3752" t="s">
        <v>143</v>
      </c>
      <c r="C3752" t="s">
        <v>142</v>
      </c>
      <c r="D3752" t="s">
        <v>121</v>
      </c>
      <c r="E3752" t="s">
        <v>53</v>
      </c>
      <c r="F3752" t="s">
        <v>114</v>
      </c>
      <c r="G3752">
        <v>122639</v>
      </c>
      <c r="H3752" s="75">
        <v>41012</v>
      </c>
      <c r="I3752" t="s">
        <v>116</v>
      </c>
      <c r="J3752">
        <v>2.5</v>
      </c>
      <c r="K3752">
        <v>0</v>
      </c>
      <c r="M3752">
        <v>4368.8419999999996</v>
      </c>
      <c r="N3752" t="s">
        <v>17</v>
      </c>
    </row>
    <row r="3753" spans="1:15" x14ac:dyDescent="0.2">
      <c r="A3753" t="s">
        <v>119</v>
      </c>
      <c r="B3753" t="s">
        <v>143</v>
      </c>
      <c r="C3753" t="s">
        <v>142</v>
      </c>
      <c r="D3753" t="s">
        <v>121</v>
      </c>
      <c r="E3753" t="s">
        <v>53</v>
      </c>
      <c r="F3753" t="s">
        <v>114</v>
      </c>
      <c r="G3753">
        <v>122639</v>
      </c>
      <c r="H3753" s="75">
        <v>41042</v>
      </c>
      <c r="I3753" t="s">
        <v>115</v>
      </c>
      <c r="J3753">
        <v>5000</v>
      </c>
      <c r="K3753">
        <v>243.78899999999999</v>
      </c>
      <c r="L3753">
        <v>20.509499999999999</v>
      </c>
      <c r="M3753">
        <v>4612.6310000000003</v>
      </c>
      <c r="N3753" t="s">
        <v>15</v>
      </c>
    </row>
    <row r="3754" spans="1:15" x14ac:dyDescent="0.2">
      <c r="A3754" t="s">
        <v>119</v>
      </c>
      <c r="B3754" t="s">
        <v>143</v>
      </c>
      <c r="C3754" t="s">
        <v>142</v>
      </c>
      <c r="D3754" t="s">
        <v>121</v>
      </c>
      <c r="E3754" t="s">
        <v>53</v>
      </c>
      <c r="F3754" t="s">
        <v>114</v>
      </c>
      <c r="G3754">
        <v>122639</v>
      </c>
      <c r="H3754" s="75">
        <v>41072</v>
      </c>
      <c r="I3754" t="s">
        <v>115</v>
      </c>
      <c r="J3754">
        <v>5000</v>
      </c>
      <c r="K3754">
        <v>243.47800000000001</v>
      </c>
      <c r="L3754">
        <v>20.535699999999999</v>
      </c>
      <c r="M3754">
        <v>4856.1090000000004</v>
      </c>
      <c r="N3754" t="s">
        <v>15</v>
      </c>
    </row>
    <row r="3755" spans="1:15" x14ac:dyDescent="0.2">
      <c r="A3755" t="s">
        <v>119</v>
      </c>
      <c r="B3755" t="s">
        <v>143</v>
      </c>
      <c r="C3755" t="s">
        <v>142</v>
      </c>
      <c r="D3755" t="s">
        <v>121</v>
      </c>
      <c r="E3755" t="s">
        <v>53</v>
      </c>
      <c r="F3755" t="s">
        <v>114</v>
      </c>
      <c r="G3755">
        <v>122639</v>
      </c>
      <c r="H3755" s="75">
        <v>41072</v>
      </c>
      <c r="I3755" t="s">
        <v>117</v>
      </c>
      <c r="J3755">
        <v>2.5</v>
      </c>
      <c r="K3755">
        <v>0</v>
      </c>
      <c r="M3755">
        <v>4856.1090000000004</v>
      </c>
      <c r="N3755" t="s">
        <v>46</v>
      </c>
    </row>
    <row r="3756" spans="1:15" x14ac:dyDescent="0.2">
      <c r="A3756" t="s">
        <v>119</v>
      </c>
      <c r="B3756" t="s">
        <v>143</v>
      </c>
      <c r="C3756" t="s">
        <v>142</v>
      </c>
      <c r="D3756" t="s">
        <v>121</v>
      </c>
      <c r="E3756" t="s">
        <v>53</v>
      </c>
      <c r="F3756" t="s">
        <v>114</v>
      </c>
      <c r="G3756">
        <v>122639</v>
      </c>
      <c r="H3756" s="75">
        <v>41072</v>
      </c>
      <c r="I3756" t="s">
        <v>118</v>
      </c>
      <c r="J3756">
        <v>2428.0500000000002</v>
      </c>
      <c r="K3756">
        <v>0</v>
      </c>
      <c r="M3756">
        <v>4856.1090000000004</v>
      </c>
      <c r="N3756" t="s">
        <v>19</v>
      </c>
      <c r="O3756">
        <v>2428.0500000000002</v>
      </c>
    </row>
    <row r="3757" spans="1:15" x14ac:dyDescent="0.2">
      <c r="A3757" t="s">
        <v>119</v>
      </c>
      <c r="B3757" t="s">
        <v>143</v>
      </c>
      <c r="C3757" t="s">
        <v>142</v>
      </c>
      <c r="D3757" t="s">
        <v>121</v>
      </c>
      <c r="E3757" t="s">
        <v>53</v>
      </c>
      <c r="F3757" t="s">
        <v>114</v>
      </c>
      <c r="G3757">
        <v>122639</v>
      </c>
      <c r="H3757" s="75">
        <v>41102</v>
      </c>
      <c r="I3757" t="s">
        <v>115</v>
      </c>
      <c r="J3757">
        <v>5000</v>
      </c>
      <c r="K3757">
        <v>238.24799999999999</v>
      </c>
      <c r="L3757">
        <v>20.986499999999999</v>
      </c>
      <c r="M3757">
        <v>5094.357</v>
      </c>
      <c r="N3757" t="s">
        <v>15</v>
      </c>
    </row>
    <row r="3758" spans="1:15" x14ac:dyDescent="0.2">
      <c r="A3758" t="s">
        <v>119</v>
      </c>
      <c r="B3758" t="s">
        <v>143</v>
      </c>
      <c r="C3758" t="s">
        <v>142</v>
      </c>
      <c r="D3758" t="s">
        <v>121</v>
      </c>
      <c r="E3758" t="s">
        <v>53</v>
      </c>
      <c r="F3758" t="s">
        <v>114</v>
      </c>
      <c r="G3758">
        <v>122639</v>
      </c>
      <c r="H3758" s="75">
        <v>41102</v>
      </c>
      <c r="I3758" t="s">
        <v>117</v>
      </c>
      <c r="J3758">
        <v>2.5</v>
      </c>
      <c r="K3758">
        <v>0</v>
      </c>
      <c r="M3758">
        <v>5094.357</v>
      </c>
      <c r="N3758" t="s">
        <v>46</v>
      </c>
    </row>
    <row r="3759" spans="1:15" x14ac:dyDescent="0.2">
      <c r="A3759" t="s">
        <v>119</v>
      </c>
      <c r="B3759" t="s">
        <v>143</v>
      </c>
      <c r="C3759" t="s">
        <v>142</v>
      </c>
      <c r="D3759" t="s">
        <v>121</v>
      </c>
      <c r="E3759" t="s">
        <v>53</v>
      </c>
      <c r="F3759" t="s">
        <v>114</v>
      </c>
      <c r="G3759">
        <v>122639</v>
      </c>
      <c r="H3759" s="75">
        <v>41132</v>
      </c>
      <c r="I3759" t="s">
        <v>115</v>
      </c>
      <c r="J3759">
        <v>5000</v>
      </c>
      <c r="K3759">
        <v>240.91499999999999</v>
      </c>
      <c r="L3759">
        <v>20.754200000000001</v>
      </c>
      <c r="M3759">
        <v>5335.2719999999999</v>
      </c>
      <c r="N3759" t="s">
        <v>15</v>
      </c>
    </row>
    <row r="3760" spans="1:15" x14ac:dyDescent="0.2">
      <c r="A3760" t="s">
        <v>119</v>
      </c>
      <c r="B3760" t="s">
        <v>143</v>
      </c>
      <c r="C3760" t="s">
        <v>142</v>
      </c>
      <c r="D3760" t="s">
        <v>121</v>
      </c>
      <c r="E3760" t="s">
        <v>53</v>
      </c>
      <c r="F3760" t="s">
        <v>114</v>
      </c>
      <c r="G3760">
        <v>122639</v>
      </c>
      <c r="H3760" s="75">
        <v>41162</v>
      </c>
      <c r="I3760" t="s">
        <v>115</v>
      </c>
      <c r="J3760">
        <v>5000</v>
      </c>
      <c r="K3760">
        <v>244.96100000000001</v>
      </c>
      <c r="L3760">
        <v>20.4114</v>
      </c>
      <c r="M3760">
        <v>5580.2330000000002</v>
      </c>
      <c r="N3760" t="s">
        <v>15</v>
      </c>
    </row>
    <row r="3761" spans="1:14" x14ac:dyDescent="0.2">
      <c r="A3761" t="s">
        <v>119</v>
      </c>
      <c r="B3761" t="s">
        <v>143</v>
      </c>
      <c r="C3761" t="s">
        <v>142</v>
      </c>
      <c r="D3761" t="s">
        <v>121</v>
      </c>
      <c r="E3761" t="s">
        <v>53</v>
      </c>
      <c r="F3761" t="s">
        <v>114</v>
      </c>
      <c r="G3761">
        <v>122639</v>
      </c>
      <c r="H3761" s="75">
        <v>41162</v>
      </c>
      <c r="I3761" t="s">
        <v>116</v>
      </c>
      <c r="J3761">
        <v>2.5</v>
      </c>
      <c r="K3761">
        <v>0</v>
      </c>
      <c r="M3761">
        <v>5580.2330000000002</v>
      </c>
      <c r="N3761" t="s">
        <v>17</v>
      </c>
    </row>
    <row r="3762" spans="1:14" x14ac:dyDescent="0.2">
      <c r="A3762" t="s">
        <v>119</v>
      </c>
      <c r="B3762" t="s">
        <v>143</v>
      </c>
      <c r="C3762" t="s">
        <v>142</v>
      </c>
      <c r="D3762" t="s">
        <v>121</v>
      </c>
      <c r="E3762" t="s">
        <v>53</v>
      </c>
      <c r="F3762" t="s">
        <v>114</v>
      </c>
      <c r="G3762">
        <v>122639</v>
      </c>
      <c r="H3762" s="75">
        <v>41192</v>
      </c>
      <c r="I3762" t="s">
        <v>115</v>
      </c>
      <c r="J3762">
        <v>5000</v>
      </c>
      <c r="K3762">
        <v>248.20500000000001</v>
      </c>
      <c r="L3762">
        <v>20.144600000000001</v>
      </c>
      <c r="M3762">
        <v>5828.4380000000001</v>
      </c>
      <c r="N3762" t="s">
        <v>15</v>
      </c>
    </row>
    <row r="3763" spans="1:14" x14ac:dyDescent="0.2">
      <c r="A3763" t="s">
        <v>119</v>
      </c>
      <c r="B3763" t="s">
        <v>143</v>
      </c>
      <c r="C3763" t="s">
        <v>142</v>
      </c>
      <c r="D3763" t="s">
        <v>121</v>
      </c>
      <c r="E3763" t="s">
        <v>53</v>
      </c>
      <c r="F3763" t="s">
        <v>114</v>
      </c>
      <c r="G3763">
        <v>122639</v>
      </c>
      <c r="H3763" s="75">
        <v>41192</v>
      </c>
      <c r="I3763" t="s">
        <v>116</v>
      </c>
      <c r="J3763">
        <v>2.5</v>
      </c>
      <c r="K3763">
        <v>0</v>
      </c>
      <c r="M3763">
        <v>5828.4380000000001</v>
      </c>
      <c r="N3763" t="s">
        <v>17</v>
      </c>
    </row>
    <row r="3764" spans="1:14" x14ac:dyDescent="0.2">
      <c r="A3764" t="s">
        <v>119</v>
      </c>
      <c r="B3764" t="s">
        <v>143</v>
      </c>
      <c r="C3764" t="s">
        <v>142</v>
      </c>
      <c r="D3764" t="s">
        <v>121</v>
      </c>
      <c r="E3764" t="s">
        <v>53</v>
      </c>
      <c r="F3764" t="s">
        <v>114</v>
      </c>
      <c r="G3764">
        <v>122639</v>
      </c>
      <c r="H3764" s="75">
        <v>41222</v>
      </c>
      <c r="I3764" t="s">
        <v>115</v>
      </c>
      <c r="J3764">
        <v>5000</v>
      </c>
      <c r="K3764">
        <v>250.399</v>
      </c>
      <c r="L3764">
        <v>19.9681</v>
      </c>
      <c r="M3764">
        <v>6078.8370000000004</v>
      </c>
      <c r="N3764" t="s">
        <v>15</v>
      </c>
    </row>
    <row r="3765" spans="1:14" x14ac:dyDescent="0.2">
      <c r="A3765" t="s">
        <v>119</v>
      </c>
      <c r="B3765" t="s">
        <v>143</v>
      </c>
      <c r="C3765" t="s">
        <v>142</v>
      </c>
      <c r="D3765" t="s">
        <v>121</v>
      </c>
      <c r="E3765" t="s">
        <v>53</v>
      </c>
      <c r="F3765" t="s">
        <v>114</v>
      </c>
      <c r="G3765">
        <v>122639</v>
      </c>
      <c r="H3765" s="75">
        <v>41222</v>
      </c>
      <c r="I3765" t="s">
        <v>116</v>
      </c>
      <c r="J3765">
        <v>2.5</v>
      </c>
      <c r="K3765">
        <v>0</v>
      </c>
      <c r="M3765">
        <v>6078.8370000000004</v>
      </c>
      <c r="N3765" t="s">
        <v>17</v>
      </c>
    </row>
    <row r="3766" spans="1:14" x14ac:dyDescent="0.2">
      <c r="A3766" t="s">
        <v>119</v>
      </c>
      <c r="B3766" t="s">
        <v>143</v>
      </c>
      <c r="C3766" t="s">
        <v>142</v>
      </c>
      <c r="D3766" t="s">
        <v>121</v>
      </c>
      <c r="E3766" t="s">
        <v>53</v>
      </c>
      <c r="F3766" t="s">
        <v>114</v>
      </c>
      <c r="G3766">
        <v>122639</v>
      </c>
      <c r="H3766" s="75">
        <v>41252</v>
      </c>
      <c r="I3766" t="s">
        <v>115</v>
      </c>
      <c r="J3766">
        <v>5000</v>
      </c>
      <c r="K3766">
        <v>253.11</v>
      </c>
      <c r="L3766">
        <v>19.754200000000001</v>
      </c>
      <c r="M3766">
        <v>6331.9470000000001</v>
      </c>
      <c r="N3766" t="s">
        <v>15</v>
      </c>
    </row>
    <row r="3767" spans="1:14" x14ac:dyDescent="0.2">
      <c r="A3767" t="s">
        <v>119</v>
      </c>
      <c r="B3767" t="s">
        <v>143</v>
      </c>
      <c r="C3767" t="s">
        <v>142</v>
      </c>
      <c r="D3767" t="s">
        <v>121</v>
      </c>
      <c r="E3767" t="s">
        <v>53</v>
      </c>
      <c r="F3767" t="s">
        <v>114</v>
      </c>
      <c r="G3767">
        <v>122639</v>
      </c>
      <c r="H3767" s="75">
        <v>41282</v>
      </c>
      <c r="I3767" t="s">
        <v>115</v>
      </c>
      <c r="J3767">
        <v>5000</v>
      </c>
      <c r="K3767">
        <v>246.06899999999999</v>
      </c>
      <c r="L3767">
        <v>20.319500000000001</v>
      </c>
      <c r="M3767">
        <v>6578.0169999999998</v>
      </c>
      <c r="N3767" t="s">
        <v>15</v>
      </c>
    </row>
    <row r="3768" spans="1:14" x14ac:dyDescent="0.2">
      <c r="A3768" t="s">
        <v>119</v>
      </c>
      <c r="B3768" t="s">
        <v>143</v>
      </c>
      <c r="C3768" t="s">
        <v>142</v>
      </c>
      <c r="D3768" t="s">
        <v>121</v>
      </c>
      <c r="E3768" t="s">
        <v>53</v>
      </c>
      <c r="F3768" t="s">
        <v>114</v>
      </c>
      <c r="G3768">
        <v>122639</v>
      </c>
      <c r="H3768" s="75">
        <v>41312</v>
      </c>
      <c r="I3768" t="s">
        <v>115</v>
      </c>
      <c r="J3768">
        <v>5000</v>
      </c>
      <c r="K3768">
        <v>247.56299999999999</v>
      </c>
      <c r="L3768">
        <v>20.196899999999999</v>
      </c>
      <c r="M3768">
        <v>6825.5789999999997</v>
      </c>
      <c r="N3768" t="s">
        <v>15</v>
      </c>
    </row>
    <row r="3769" spans="1:14" x14ac:dyDescent="0.2">
      <c r="A3769" t="s">
        <v>119</v>
      </c>
      <c r="B3769" t="s">
        <v>143</v>
      </c>
      <c r="C3769" t="s">
        <v>142</v>
      </c>
      <c r="D3769" t="s">
        <v>121</v>
      </c>
      <c r="E3769" t="s">
        <v>53</v>
      </c>
      <c r="F3769" t="s">
        <v>114</v>
      </c>
      <c r="G3769">
        <v>122639</v>
      </c>
      <c r="H3769" s="75">
        <v>41342</v>
      </c>
      <c r="I3769" t="s">
        <v>115</v>
      </c>
      <c r="J3769">
        <v>5000</v>
      </c>
      <c r="K3769">
        <v>246.82300000000001</v>
      </c>
      <c r="L3769">
        <v>20.257400000000001</v>
      </c>
      <c r="M3769">
        <v>7072.4030000000002</v>
      </c>
      <c r="N3769" t="s">
        <v>15</v>
      </c>
    </row>
    <row r="3770" spans="1:14" x14ac:dyDescent="0.2">
      <c r="A3770" t="s">
        <v>119</v>
      </c>
      <c r="B3770" t="s">
        <v>143</v>
      </c>
      <c r="C3770" t="s">
        <v>142</v>
      </c>
      <c r="D3770" t="s">
        <v>121</v>
      </c>
      <c r="E3770" t="s">
        <v>53</v>
      </c>
      <c r="F3770" t="s">
        <v>114</v>
      </c>
      <c r="G3770">
        <v>122639</v>
      </c>
      <c r="H3770" s="75">
        <v>41372</v>
      </c>
      <c r="I3770" t="s">
        <v>115</v>
      </c>
      <c r="J3770">
        <v>5000</v>
      </c>
      <c r="K3770">
        <v>247.10300000000001</v>
      </c>
      <c r="L3770">
        <v>20.234400000000001</v>
      </c>
      <c r="M3770">
        <v>7319.5060000000003</v>
      </c>
      <c r="N3770" t="s">
        <v>15</v>
      </c>
    </row>
    <row r="3771" spans="1:14" x14ac:dyDescent="0.2">
      <c r="A3771" t="s">
        <v>119</v>
      </c>
      <c r="B3771" t="s">
        <v>143</v>
      </c>
      <c r="C3771" t="s">
        <v>142</v>
      </c>
      <c r="D3771" t="s">
        <v>121</v>
      </c>
      <c r="E3771" t="s">
        <v>53</v>
      </c>
      <c r="F3771" t="s">
        <v>114</v>
      </c>
      <c r="G3771">
        <v>122639</v>
      </c>
      <c r="H3771" s="75">
        <v>41402</v>
      </c>
      <c r="I3771" t="s">
        <v>115</v>
      </c>
      <c r="J3771">
        <v>5000</v>
      </c>
      <c r="K3771">
        <v>243.73</v>
      </c>
      <c r="L3771">
        <v>20.514500000000002</v>
      </c>
      <c r="M3771">
        <v>7563.2359999999999</v>
      </c>
      <c r="N3771" t="s">
        <v>15</v>
      </c>
    </row>
    <row r="3772" spans="1:14" x14ac:dyDescent="0.2">
      <c r="A3772" t="s">
        <v>119</v>
      </c>
      <c r="B3772" t="s">
        <v>143</v>
      </c>
      <c r="C3772" t="s">
        <v>142</v>
      </c>
      <c r="D3772" t="s">
        <v>121</v>
      </c>
      <c r="E3772" t="s">
        <v>53</v>
      </c>
      <c r="F3772" t="s">
        <v>114</v>
      </c>
      <c r="G3772">
        <v>122639</v>
      </c>
      <c r="H3772" s="75">
        <v>41432</v>
      </c>
      <c r="I3772" t="s">
        <v>115</v>
      </c>
      <c r="J3772">
        <v>5000</v>
      </c>
      <c r="K3772">
        <v>239.13</v>
      </c>
      <c r="L3772">
        <v>20.909099999999999</v>
      </c>
      <c r="M3772">
        <v>7802.366</v>
      </c>
      <c r="N3772" t="s">
        <v>15</v>
      </c>
    </row>
    <row r="3773" spans="1:14" x14ac:dyDescent="0.2">
      <c r="A3773" t="s">
        <v>119</v>
      </c>
      <c r="B3773" t="s">
        <v>143</v>
      </c>
      <c r="C3773" t="s">
        <v>142</v>
      </c>
      <c r="D3773" t="s">
        <v>121</v>
      </c>
      <c r="E3773" t="s">
        <v>53</v>
      </c>
      <c r="F3773" t="s">
        <v>114</v>
      </c>
      <c r="G3773">
        <v>122639</v>
      </c>
      <c r="H3773" s="75">
        <v>41462</v>
      </c>
      <c r="I3773" t="s">
        <v>115</v>
      </c>
      <c r="J3773">
        <v>5000</v>
      </c>
      <c r="K3773">
        <v>237.489</v>
      </c>
      <c r="L3773">
        <v>21.053599999999999</v>
      </c>
      <c r="M3773">
        <v>8039.8549999999996</v>
      </c>
      <c r="N3773" t="s">
        <v>15</v>
      </c>
    </row>
    <row r="3774" spans="1:14" x14ac:dyDescent="0.2">
      <c r="A3774" t="s">
        <v>119</v>
      </c>
      <c r="B3774" t="s">
        <v>143</v>
      </c>
      <c r="C3774" t="s">
        <v>142</v>
      </c>
      <c r="D3774" t="s">
        <v>121</v>
      </c>
      <c r="E3774" t="s">
        <v>53</v>
      </c>
      <c r="F3774" t="s">
        <v>114</v>
      </c>
      <c r="G3774">
        <v>122639</v>
      </c>
      <c r="H3774" s="75">
        <v>41492</v>
      </c>
      <c r="I3774" t="s">
        <v>115</v>
      </c>
      <c r="J3774">
        <v>5000</v>
      </c>
      <c r="K3774">
        <v>233.953</v>
      </c>
      <c r="L3774">
        <v>21.3718</v>
      </c>
      <c r="M3774">
        <v>8273.8089999999993</v>
      </c>
      <c r="N3774" t="s">
        <v>15</v>
      </c>
    </row>
    <row r="3775" spans="1:14" x14ac:dyDescent="0.2">
      <c r="A3775" t="s">
        <v>119</v>
      </c>
      <c r="B3775" t="s">
        <v>143</v>
      </c>
      <c r="C3775" t="s">
        <v>142</v>
      </c>
      <c r="D3775" t="s">
        <v>121</v>
      </c>
      <c r="E3775" t="s">
        <v>53</v>
      </c>
      <c r="F3775" t="s">
        <v>114</v>
      </c>
      <c r="G3775">
        <v>122639</v>
      </c>
      <c r="H3775" s="75">
        <v>41492</v>
      </c>
      <c r="I3775" t="s">
        <v>116</v>
      </c>
      <c r="J3775">
        <v>2.5</v>
      </c>
      <c r="K3775">
        <v>0</v>
      </c>
      <c r="M3775">
        <v>8273.8089999999993</v>
      </c>
      <c r="N3775" t="s">
        <v>17</v>
      </c>
    </row>
    <row r="3776" spans="1:14" x14ac:dyDescent="0.2">
      <c r="A3776" t="s">
        <v>119</v>
      </c>
      <c r="B3776" t="s">
        <v>143</v>
      </c>
      <c r="C3776" t="s">
        <v>142</v>
      </c>
      <c r="D3776" t="s">
        <v>121</v>
      </c>
      <c r="E3776" t="s">
        <v>53</v>
      </c>
      <c r="F3776" t="s">
        <v>114</v>
      </c>
      <c r="G3776">
        <v>122639</v>
      </c>
      <c r="H3776" s="75">
        <v>41522</v>
      </c>
      <c r="I3776" t="s">
        <v>115</v>
      </c>
      <c r="J3776">
        <v>5000</v>
      </c>
      <c r="K3776">
        <v>235.54</v>
      </c>
      <c r="L3776">
        <v>21.227799999999998</v>
      </c>
      <c r="M3776">
        <v>8509.348</v>
      </c>
      <c r="N3776" t="s">
        <v>15</v>
      </c>
    </row>
    <row r="3777" spans="1:14" x14ac:dyDescent="0.2">
      <c r="A3777" t="s">
        <v>119</v>
      </c>
      <c r="B3777" t="s">
        <v>143</v>
      </c>
      <c r="C3777" t="s">
        <v>142</v>
      </c>
      <c r="D3777" t="s">
        <v>121</v>
      </c>
      <c r="E3777" t="s">
        <v>53</v>
      </c>
      <c r="F3777" t="s">
        <v>114</v>
      </c>
      <c r="G3777">
        <v>122639</v>
      </c>
      <c r="H3777" s="75">
        <v>41552</v>
      </c>
      <c r="I3777" t="s">
        <v>115</v>
      </c>
      <c r="J3777">
        <v>5000</v>
      </c>
      <c r="K3777">
        <v>232.119</v>
      </c>
      <c r="L3777">
        <v>21.540700000000001</v>
      </c>
      <c r="M3777">
        <v>8741.4670000000006</v>
      </c>
      <c r="N3777" t="s">
        <v>15</v>
      </c>
    </row>
    <row r="3778" spans="1:14" x14ac:dyDescent="0.2">
      <c r="A3778" t="s">
        <v>119</v>
      </c>
      <c r="B3778" t="s">
        <v>143</v>
      </c>
      <c r="C3778" t="s">
        <v>142</v>
      </c>
      <c r="D3778" t="s">
        <v>121</v>
      </c>
      <c r="E3778" t="s">
        <v>53</v>
      </c>
      <c r="F3778" t="s">
        <v>114</v>
      </c>
      <c r="G3778">
        <v>122639</v>
      </c>
      <c r="H3778" s="75">
        <v>41582</v>
      </c>
      <c r="I3778" t="s">
        <v>115</v>
      </c>
      <c r="J3778">
        <v>5000</v>
      </c>
      <c r="K3778">
        <v>234.761</v>
      </c>
      <c r="L3778">
        <v>21.298300000000001</v>
      </c>
      <c r="M3778">
        <v>8976.2279999999992</v>
      </c>
      <c r="N3778" t="s">
        <v>15</v>
      </c>
    </row>
    <row r="3779" spans="1:14" x14ac:dyDescent="0.2">
      <c r="A3779" t="s">
        <v>119</v>
      </c>
      <c r="B3779" t="s">
        <v>143</v>
      </c>
      <c r="C3779" t="s">
        <v>142</v>
      </c>
      <c r="D3779" t="s">
        <v>121</v>
      </c>
      <c r="E3779" t="s">
        <v>53</v>
      </c>
      <c r="F3779" t="s">
        <v>114</v>
      </c>
      <c r="G3779">
        <v>122639</v>
      </c>
      <c r="H3779" s="75">
        <v>41612</v>
      </c>
      <c r="I3779" t="s">
        <v>115</v>
      </c>
      <c r="J3779">
        <v>5000</v>
      </c>
      <c r="K3779">
        <v>231.21899999999999</v>
      </c>
      <c r="L3779">
        <v>21.624500000000001</v>
      </c>
      <c r="M3779">
        <v>9207.4459999999999</v>
      </c>
      <c r="N3779" t="s">
        <v>15</v>
      </c>
    </row>
    <row r="3780" spans="1:14" x14ac:dyDescent="0.2">
      <c r="A3780" t="s">
        <v>119</v>
      </c>
      <c r="B3780" t="s">
        <v>143</v>
      </c>
      <c r="C3780" t="s">
        <v>142</v>
      </c>
      <c r="D3780" t="s">
        <v>121</v>
      </c>
      <c r="E3780" t="s">
        <v>53</v>
      </c>
      <c r="F3780" t="s">
        <v>114</v>
      </c>
      <c r="G3780">
        <v>122639</v>
      </c>
      <c r="H3780" s="75">
        <v>41612</v>
      </c>
      <c r="I3780" t="s">
        <v>117</v>
      </c>
      <c r="J3780">
        <v>2.5</v>
      </c>
      <c r="K3780">
        <v>0</v>
      </c>
      <c r="M3780">
        <v>9207.4459999999999</v>
      </c>
      <c r="N3780" t="s">
        <v>46</v>
      </c>
    </row>
    <row r="3781" spans="1:14" x14ac:dyDescent="0.2">
      <c r="A3781" t="s">
        <v>119</v>
      </c>
      <c r="B3781" t="s">
        <v>143</v>
      </c>
      <c r="C3781" t="s">
        <v>142</v>
      </c>
      <c r="D3781" t="s">
        <v>121</v>
      </c>
      <c r="E3781" t="s">
        <v>53</v>
      </c>
      <c r="F3781" t="s">
        <v>114</v>
      </c>
      <c r="G3781">
        <v>122639</v>
      </c>
      <c r="H3781" s="75">
        <v>41642</v>
      </c>
      <c r="I3781" t="s">
        <v>115</v>
      </c>
      <c r="J3781">
        <v>5000</v>
      </c>
      <c r="K3781">
        <v>235.77</v>
      </c>
      <c r="L3781">
        <v>21.207100000000001</v>
      </c>
      <c r="M3781">
        <v>9443.2160000000003</v>
      </c>
      <c r="N3781" t="s">
        <v>15</v>
      </c>
    </row>
    <row r="3782" spans="1:14" x14ac:dyDescent="0.2">
      <c r="A3782" t="s">
        <v>119</v>
      </c>
      <c r="B3782" t="s">
        <v>143</v>
      </c>
      <c r="C3782" t="s">
        <v>142</v>
      </c>
      <c r="D3782" t="s">
        <v>121</v>
      </c>
      <c r="E3782" t="s">
        <v>53</v>
      </c>
      <c r="F3782" t="s">
        <v>114</v>
      </c>
      <c r="G3782">
        <v>122639</v>
      </c>
      <c r="H3782" s="75">
        <v>41672</v>
      </c>
      <c r="I3782" t="s">
        <v>115</v>
      </c>
      <c r="J3782">
        <v>5000</v>
      </c>
      <c r="K3782">
        <v>236.67599999999999</v>
      </c>
      <c r="L3782">
        <v>21.126000000000001</v>
      </c>
      <c r="M3782">
        <v>9679.8919999999998</v>
      </c>
      <c r="N3782" t="s">
        <v>15</v>
      </c>
    </row>
    <row r="3783" spans="1:14" x14ac:dyDescent="0.2">
      <c r="A3783" t="s">
        <v>119</v>
      </c>
      <c r="B3783" t="s">
        <v>143</v>
      </c>
      <c r="C3783" t="s">
        <v>142</v>
      </c>
      <c r="D3783" t="s">
        <v>121</v>
      </c>
      <c r="E3783" t="s">
        <v>53</v>
      </c>
      <c r="F3783" t="s">
        <v>114</v>
      </c>
      <c r="G3783">
        <v>122639</v>
      </c>
      <c r="H3783" s="75">
        <v>41672</v>
      </c>
      <c r="I3783" t="s">
        <v>117</v>
      </c>
      <c r="J3783">
        <v>2.5</v>
      </c>
      <c r="K3783">
        <v>0</v>
      </c>
      <c r="M3783">
        <v>9679.8919999999998</v>
      </c>
      <c r="N3783" t="s">
        <v>46</v>
      </c>
    </row>
    <row r="3784" spans="1:14" x14ac:dyDescent="0.2">
      <c r="A3784" t="s">
        <v>119</v>
      </c>
      <c r="B3784" t="s">
        <v>143</v>
      </c>
      <c r="C3784" t="s">
        <v>142</v>
      </c>
      <c r="D3784" t="s">
        <v>121</v>
      </c>
      <c r="E3784" t="s">
        <v>53</v>
      </c>
      <c r="F3784" t="s">
        <v>114</v>
      </c>
      <c r="G3784">
        <v>122639</v>
      </c>
      <c r="H3784" s="75">
        <v>41702</v>
      </c>
      <c r="I3784" t="s">
        <v>115</v>
      </c>
      <c r="J3784">
        <v>5000</v>
      </c>
      <c r="K3784">
        <v>233.602</v>
      </c>
      <c r="L3784">
        <v>21.4039</v>
      </c>
      <c r="M3784">
        <v>9913.4940000000006</v>
      </c>
      <c r="N3784" t="s">
        <v>15</v>
      </c>
    </row>
    <row r="3785" spans="1:14" x14ac:dyDescent="0.2">
      <c r="A3785" t="s">
        <v>119</v>
      </c>
      <c r="B3785" t="s">
        <v>143</v>
      </c>
      <c r="C3785" t="s">
        <v>142</v>
      </c>
      <c r="D3785" t="s">
        <v>121</v>
      </c>
      <c r="E3785" t="s">
        <v>53</v>
      </c>
      <c r="F3785" t="s">
        <v>114</v>
      </c>
      <c r="G3785">
        <v>122639</v>
      </c>
      <c r="H3785" s="75">
        <v>41732</v>
      </c>
      <c r="I3785" t="s">
        <v>115</v>
      </c>
      <c r="J3785">
        <v>5000</v>
      </c>
      <c r="K3785">
        <v>237.602</v>
      </c>
      <c r="L3785">
        <v>21.043600000000001</v>
      </c>
      <c r="M3785">
        <v>10151.094999999999</v>
      </c>
      <c r="N3785" t="s">
        <v>15</v>
      </c>
    </row>
    <row r="3786" spans="1:14" x14ac:dyDescent="0.2">
      <c r="A3786" t="s">
        <v>119</v>
      </c>
      <c r="B3786" t="s">
        <v>143</v>
      </c>
      <c r="C3786" t="s">
        <v>142</v>
      </c>
      <c r="D3786" t="s">
        <v>121</v>
      </c>
      <c r="E3786" t="s">
        <v>53</v>
      </c>
      <c r="F3786" t="s">
        <v>114</v>
      </c>
      <c r="G3786">
        <v>122639</v>
      </c>
      <c r="H3786" s="75">
        <v>41732</v>
      </c>
      <c r="I3786" t="s">
        <v>25</v>
      </c>
      <c r="J3786">
        <v>-42723.16</v>
      </c>
      <c r="K3786">
        <v>-2030.2190000000001</v>
      </c>
      <c r="L3786">
        <v>21.043600000000001</v>
      </c>
      <c r="M3786">
        <v>8120.8760000000002</v>
      </c>
      <c r="N3786" t="s">
        <v>16</v>
      </c>
    </row>
    <row r="3787" spans="1:14" x14ac:dyDescent="0.2">
      <c r="A3787" t="s">
        <v>119</v>
      </c>
      <c r="B3787" t="s">
        <v>143</v>
      </c>
      <c r="C3787" t="s">
        <v>142</v>
      </c>
      <c r="D3787" t="s">
        <v>121</v>
      </c>
      <c r="E3787" t="s">
        <v>53</v>
      </c>
      <c r="F3787" t="s">
        <v>114</v>
      </c>
      <c r="G3787">
        <v>122639</v>
      </c>
      <c r="H3787" s="75">
        <v>41762</v>
      </c>
      <c r="I3787" t="s">
        <v>115</v>
      </c>
      <c r="J3787">
        <v>5000</v>
      </c>
      <c r="K3787">
        <v>234.29900000000001</v>
      </c>
      <c r="L3787">
        <v>21.340299999999999</v>
      </c>
      <c r="M3787">
        <v>8355.1749999999993</v>
      </c>
      <c r="N3787" t="s">
        <v>15</v>
      </c>
    </row>
    <row r="3788" spans="1:14" x14ac:dyDescent="0.2">
      <c r="A3788" t="s">
        <v>119</v>
      </c>
      <c r="B3788" t="s">
        <v>143</v>
      </c>
      <c r="C3788" t="s">
        <v>142</v>
      </c>
      <c r="D3788" t="s">
        <v>121</v>
      </c>
      <c r="E3788" t="s">
        <v>53</v>
      </c>
      <c r="F3788" t="s">
        <v>114</v>
      </c>
      <c r="G3788">
        <v>122639</v>
      </c>
      <c r="H3788" s="75">
        <v>41792</v>
      </c>
      <c r="I3788" t="s">
        <v>115</v>
      </c>
      <c r="J3788">
        <v>5000</v>
      </c>
      <c r="K3788">
        <v>238.989</v>
      </c>
      <c r="L3788">
        <v>20.921399999999998</v>
      </c>
      <c r="M3788">
        <v>8594.1640000000007</v>
      </c>
      <c r="N3788" t="s">
        <v>15</v>
      </c>
    </row>
    <row r="3789" spans="1:14" x14ac:dyDescent="0.2">
      <c r="A3789" t="s">
        <v>119</v>
      </c>
      <c r="B3789" t="s">
        <v>143</v>
      </c>
      <c r="C3789" t="s">
        <v>142</v>
      </c>
      <c r="D3789" t="s">
        <v>121</v>
      </c>
      <c r="E3789" t="s">
        <v>53</v>
      </c>
      <c r="F3789" t="s">
        <v>114</v>
      </c>
      <c r="G3789">
        <v>122639</v>
      </c>
      <c r="H3789" s="75">
        <v>41822</v>
      </c>
      <c r="I3789" t="s">
        <v>115</v>
      </c>
      <c r="J3789">
        <v>5000</v>
      </c>
      <c r="K3789">
        <v>241.988</v>
      </c>
      <c r="L3789">
        <v>20.662199999999999</v>
      </c>
      <c r="M3789">
        <v>8836.1530000000002</v>
      </c>
      <c r="N3789" t="s">
        <v>15</v>
      </c>
    </row>
    <row r="3790" spans="1:14" x14ac:dyDescent="0.2">
      <c r="A3790" t="s">
        <v>119</v>
      </c>
      <c r="B3790" t="s">
        <v>143</v>
      </c>
      <c r="C3790" t="s">
        <v>142</v>
      </c>
      <c r="D3790" t="s">
        <v>121</v>
      </c>
      <c r="E3790" t="s">
        <v>53</v>
      </c>
      <c r="F3790" t="s">
        <v>114</v>
      </c>
      <c r="G3790">
        <v>122639</v>
      </c>
      <c r="H3790" s="75">
        <v>41852</v>
      </c>
      <c r="I3790" t="s">
        <v>115</v>
      </c>
      <c r="J3790">
        <v>5000</v>
      </c>
      <c r="K3790">
        <v>245.03399999999999</v>
      </c>
      <c r="L3790">
        <v>20.4054</v>
      </c>
      <c r="M3790">
        <v>9081.1859999999997</v>
      </c>
      <c r="N3790" t="s">
        <v>15</v>
      </c>
    </row>
    <row r="3791" spans="1:14" x14ac:dyDescent="0.2">
      <c r="A3791" t="s">
        <v>119</v>
      </c>
      <c r="B3791" t="s">
        <v>143</v>
      </c>
      <c r="C3791" t="s">
        <v>142</v>
      </c>
      <c r="D3791" t="s">
        <v>121</v>
      </c>
      <c r="E3791" t="s">
        <v>53</v>
      </c>
      <c r="F3791" t="s">
        <v>114</v>
      </c>
      <c r="G3791">
        <v>122639</v>
      </c>
      <c r="H3791" s="75">
        <v>41882</v>
      </c>
      <c r="I3791" t="s">
        <v>115</v>
      </c>
      <c r="J3791">
        <v>5000</v>
      </c>
      <c r="K3791">
        <v>247.16399999999999</v>
      </c>
      <c r="L3791">
        <v>20.229500000000002</v>
      </c>
      <c r="M3791">
        <v>9328.35</v>
      </c>
      <c r="N3791" t="s">
        <v>15</v>
      </c>
    </row>
    <row r="3792" spans="1:14" x14ac:dyDescent="0.2">
      <c r="A3792" t="s">
        <v>119</v>
      </c>
      <c r="B3792" t="s">
        <v>143</v>
      </c>
      <c r="C3792" t="s">
        <v>142</v>
      </c>
      <c r="D3792" t="s">
        <v>121</v>
      </c>
      <c r="E3792" t="s">
        <v>53</v>
      </c>
      <c r="F3792" t="s">
        <v>114</v>
      </c>
      <c r="G3792">
        <v>122639</v>
      </c>
      <c r="H3792" s="75">
        <v>41912</v>
      </c>
      <c r="I3792" t="s">
        <v>115</v>
      </c>
      <c r="J3792">
        <v>5000</v>
      </c>
      <c r="K3792">
        <v>247.18700000000001</v>
      </c>
      <c r="L3792">
        <v>20.227599999999999</v>
      </c>
      <c r="M3792">
        <v>9575.5380000000005</v>
      </c>
      <c r="N3792" t="s">
        <v>15</v>
      </c>
    </row>
    <row r="3793" spans="1:15" x14ac:dyDescent="0.2">
      <c r="A3793" t="s">
        <v>119</v>
      </c>
      <c r="B3793" t="s">
        <v>143</v>
      </c>
      <c r="C3793" t="s">
        <v>142</v>
      </c>
      <c r="D3793" t="s">
        <v>121</v>
      </c>
      <c r="E3793" t="s">
        <v>53</v>
      </c>
      <c r="F3793" t="s">
        <v>114</v>
      </c>
      <c r="G3793">
        <v>122639</v>
      </c>
      <c r="H3793" s="75">
        <v>41912</v>
      </c>
      <c r="I3793" t="s">
        <v>116</v>
      </c>
      <c r="J3793">
        <v>2.5</v>
      </c>
      <c r="K3793">
        <v>0</v>
      </c>
      <c r="M3793">
        <v>9575.5380000000005</v>
      </c>
      <c r="N3793" t="s">
        <v>17</v>
      </c>
    </row>
    <row r="3794" spans="1:15" x14ac:dyDescent="0.2">
      <c r="A3794" t="s">
        <v>119</v>
      </c>
      <c r="B3794" t="s">
        <v>143</v>
      </c>
      <c r="C3794" t="s">
        <v>142</v>
      </c>
      <c r="D3794" t="s">
        <v>121</v>
      </c>
      <c r="E3794" t="s">
        <v>53</v>
      </c>
      <c r="F3794" t="s">
        <v>114</v>
      </c>
      <c r="G3794">
        <v>122639</v>
      </c>
      <c r="H3794" s="75">
        <v>41942</v>
      </c>
      <c r="I3794" t="s">
        <v>115</v>
      </c>
      <c r="J3794">
        <v>5000</v>
      </c>
      <c r="K3794">
        <v>245.42699999999999</v>
      </c>
      <c r="L3794">
        <v>20.372599999999998</v>
      </c>
      <c r="M3794">
        <v>9820.9650000000001</v>
      </c>
      <c r="N3794" t="s">
        <v>15</v>
      </c>
    </row>
    <row r="3795" spans="1:15" x14ac:dyDescent="0.2">
      <c r="A3795" t="s">
        <v>119</v>
      </c>
      <c r="B3795" t="s">
        <v>143</v>
      </c>
      <c r="C3795" t="s">
        <v>142</v>
      </c>
      <c r="D3795" t="s">
        <v>121</v>
      </c>
      <c r="E3795" t="s">
        <v>53</v>
      </c>
      <c r="F3795" t="s">
        <v>114</v>
      </c>
      <c r="G3795">
        <v>122639</v>
      </c>
      <c r="H3795" s="75">
        <v>41942</v>
      </c>
      <c r="I3795" t="s">
        <v>118</v>
      </c>
      <c r="J3795">
        <v>4910.4799999999996</v>
      </c>
      <c r="K3795">
        <v>0</v>
      </c>
      <c r="M3795">
        <v>9820.9650000000001</v>
      </c>
      <c r="N3795" t="s">
        <v>19</v>
      </c>
      <c r="O3795">
        <v>4910.4799999999996</v>
      </c>
    </row>
    <row r="3796" spans="1:15" x14ac:dyDescent="0.2">
      <c r="A3796" t="s">
        <v>119</v>
      </c>
      <c r="B3796" t="s">
        <v>143</v>
      </c>
      <c r="C3796" t="s">
        <v>142</v>
      </c>
      <c r="D3796" t="s">
        <v>121</v>
      </c>
      <c r="E3796" t="s">
        <v>53</v>
      </c>
      <c r="F3796" t="s">
        <v>114</v>
      </c>
      <c r="G3796">
        <v>122639</v>
      </c>
      <c r="H3796" s="75">
        <v>41972</v>
      </c>
      <c r="I3796" t="s">
        <v>115</v>
      </c>
      <c r="J3796">
        <v>5000</v>
      </c>
      <c r="K3796">
        <v>242.61</v>
      </c>
      <c r="L3796">
        <v>20.609200000000001</v>
      </c>
      <c r="M3796">
        <v>10063.575000000001</v>
      </c>
      <c r="N3796" t="s">
        <v>15</v>
      </c>
    </row>
    <row r="3797" spans="1:15" x14ac:dyDescent="0.2">
      <c r="A3797" t="s">
        <v>119</v>
      </c>
      <c r="B3797" t="s">
        <v>143</v>
      </c>
      <c r="C3797" t="s">
        <v>142</v>
      </c>
      <c r="D3797" t="s">
        <v>121</v>
      </c>
      <c r="E3797" t="s">
        <v>53</v>
      </c>
      <c r="F3797" t="s">
        <v>114</v>
      </c>
      <c r="G3797">
        <v>122639</v>
      </c>
      <c r="H3797" s="75">
        <v>42002</v>
      </c>
      <c r="I3797" t="s">
        <v>115</v>
      </c>
      <c r="J3797">
        <v>5000</v>
      </c>
      <c r="K3797">
        <v>241.06700000000001</v>
      </c>
      <c r="L3797">
        <v>20.741099999999999</v>
      </c>
      <c r="M3797">
        <v>10304.642</v>
      </c>
      <c r="N3797" t="s">
        <v>15</v>
      </c>
    </row>
    <row r="3798" spans="1:15" x14ac:dyDescent="0.2">
      <c r="A3798" t="s">
        <v>119</v>
      </c>
      <c r="B3798" t="s">
        <v>143</v>
      </c>
      <c r="C3798" t="s">
        <v>142</v>
      </c>
      <c r="D3798" t="s">
        <v>121</v>
      </c>
      <c r="E3798" t="s">
        <v>53</v>
      </c>
      <c r="F3798" t="s">
        <v>114</v>
      </c>
      <c r="G3798">
        <v>122639</v>
      </c>
      <c r="H3798" s="75">
        <v>42032</v>
      </c>
      <c r="I3798" t="s">
        <v>115</v>
      </c>
      <c r="J3798">
        <v>5000</v>
      </c>
      <c r="K3798">
        <v>242.26400000000001</v>
      </c>
      <c r="L3798">
        <v>20.6387</v>
      </c>
      <c r="M3798">
        <v>10546.906000000001</v>
      </c>
      <c r="N3798" t="s">
        <v>15</v>
      </c>
    </row>
    <row r="3799" spans="1:15" x14ac:dyDescent="0.2">
      <c r="A3799" t="s">
        <v>119</v>
      </c>
      <c r="B3799" t="s">
        <v>143</v>
      </c>
      <c r="C3799" t="s">
        <v>142</v>
      </c>
      <c r="D3799" t="s">
        <v>121</v>
      </c>
      <c r="E3799" t="s">
        <v>53</v>
      </c>
      <c r="F3799" t="s">
        <v>114</v>
      </c>
      <c r="G3799">
        <v>122639</v>
      </c>
      <c r="H3799" s="75">
        <v>42032</v>
      </c>
      <c r="I3799" t="s">
        <v>116</v>
      </c>
      <c r="J3799">
        <v>2.5</v>
      </c>
      <c r="K3799">
        <v>0</v>
      </c>
      <c r="M3799">
        <v>10546.906000000001</v>
      </c>
      <c r="N3799" t="s">
        <v>17</v>
      </c>
    </row>
    <row r="3800" spans="1:15" x14ac:dyDescent="0.2">
      <c r="A3800" t="s">
        <v>119</v>
      </c>
      <c r="B3800" t="s">
        <v>143</v>
      </c>
      <c r="C3800" t="s">
        <v>142</v>
      </c>
      <c r="D3800" t="s">
        <v>121</v>
      </c>
      <c r="E3800" t="s">
        <v>53</v>
      </c>
      <c r="F3800" t="s">
        <v>114</v>
      </c>
      <c r="G3800">
        <v>122639</v>
      </c>
      <c r="H3800" s="75">
        <v>42062</v>
      </c>
      <c r="I3800" t="s">
        <v>115</v>
      </c>
      <c r="J3800">
        <v>5000</v>
      </c>
      <c r="K3800">
        <v>237.749</v>
      </c>
      <c r="L3800">
        <v>21.0306</v>
      </c>
      <c r="M3800">
        <v>10784.654</v>
      </c>
      <c r="N3800" t="s">
        <v>15</v>
      </c>
    </row>
    <row r="3801" spans="1:15" x14ac:dyDescent="0.2">
      <c r="A3801" t="s">
        <v>119</v>
      </c>
      <c r="B3801" t="s">
        <v>143</v>
      </c>
      <c r="C3801" t="s">
        <v>142</v>
      </c>
      <c r="D3801" t="s">
        <v>121</v>
      </c>
      <c r="E3801" t="s">
        <v>53</v>
      </c>
      <c r="F3801" t="s">
        <v>114</v>
      </c>
      <c r="G3801">
        <v>122639</v>
      </c>
      <c r="H3801" s="75">
        <v>42092</v>
      </c>
      <c r="I3801" t="s">
        <v>115</v>
      </c>
      <c r="J3801">
        <v>5000</v>
      </c>
      <c r="K3801">
        <v>236.35</v>
      </c>
      <c r="L3801">
        <v>21.155100000000001</v>
      </c>
      <c r="M3801">
        <v>11021.004000000001</v>
      </c>
      <c r="N3801" t="s">
        <v>15</v>
      </c>
    </row>
    <row r="3802" spans="1:15" x14ac:dyDescent="0.2">
      <c r="A3802" t="s">
        <v>119</v>
      </c>
      <c r="B3802" t="s">
        <v>143</v>
      </c>
      <c r="C3802" t="s">
        <v>142</v>
      </c>
      <c r="D3802" t="s">
        <v>121</v>
      </c>
      <c r="E3802" t="s">
        <v>53</v>
      </c>
      <c r="F3802" t="s">
        <v>114</v>
      </c>
      <c r="G3802">
        <v>122639</v>
      </c>
      <c r="H3802" s="75">
        <v>42122</v>
      </c>
      <c r="I3802" t="s">
        <v>115</v>
      </c>
      <c r="J3802">
        <v>5000</v>
      </c>
      <c r="K3802">
        <v>232.95599999999999</v>
      </c>
      <c r="L3802">
        <v>21.4633</v>
      </c>
      <c r="M3802">
        <v>11253.960999999999</v>
      </c>
      <c r="N3802" t="s">
        <v>15</v>
      </c>
    </row>
    <row r="3803" spans="1:15" x14ac:dyDescent="0.2">
      <c r="A3803" t="s">
        <v>119</v>
      </c>
      <c r="B3803" t="s">
        <v>143</v>
      </c>
      <c r="C3803" t="s">
        <v>142</v>
      </c>
      <c r="D3803" t="s">
        <v>121</v>
      </c>
      <c r="E3803" t="s">
        <v>53</v>
      </c>
      <c r="F3803" t="s">
        <v>114</v>
      </c>
      <c r="G3803">
        <v>122639</v>
      </c>
      <c r="H3803" s="75">
        <v>42152</v>
      </c>
      <c r="I3803" t="s">
        <v>115</v>
      </c>
      <c r="J3803">
        <v>5000</v>
      </c>
      <c r="K3803">
        <v>232.59800000000001</v>
      </c>
      <c r="L3803">
        <v>21.496300000000002</v>
      </c>
      <c r="M3803">
        <v>11486.558999999999</v>
      </c>
      <c r="N3803" t="s">
        <v>15</v>
      </c>
    </row>
    <row r="3804" spans="1:15" x14ac:dyDescent="0.2">
      <c r="A3804" t="s">
        <v>119</v>
      </c>
      <c r="B3804" t="s">
        <v>143</v>
      </c>
      <c r="C3804" t="s">
        <v>142</v>
      </c>
      <c r="D3804" t="s">
        <v>121</v>
      </c>
      <c r="E3804" t="s">
        <v>53</v>
      </c>
      <c r="F3804" t="s">
        <v>114</v>
      </c>
      <c r="G3804">
        <v>122639</v>
      </c>
      <c r="H3804" s="75">
        <v>42182</v>
      </c>
      <c r="I3804" t="s">
        <v>115</v>
      </c>
      <c r="J3804">
        <v>5000</v>
      </c>
      <c r="K3804">
        <v>227.13399999999999</v>
      </c>
      <c r="L3804">
        <v>22.013400000000001</v>
      </c>
      <c r="M3804">
        <v>11713.692999999999</v>
      </c>
      <c r="N3804" t="s">
        <v>15</v>
      </c>
    </row>
    <row r="3805" spans="1:15" x14ac:dyDescent="0.2">
      <c r="A3805" t="s">
        <v>119</v>
      </c>
      <c r="B3805" t="s">
        <v>143</v>
      </c>
      <c r="C3805" t="s">
        <v>142</v>
      </c>
      <c r="D3805" t="s">
        <v>121</v>
      </c>
      <c r="E3805" t="s">
        <v>53</v>
      </c>
      <c r="F3805" t="s">
        <v>114</v>
      </c>
      <c r="G3805">
        <v>122639</v>
      </c>
      <c r="H3805" s="75">
        <v>42212</v>
      </c>
      <c r="I3805" t="s">
        <v>115</v>
      </c>
      <c r="J3805">
        <v>5000</v>
      </c>
      <c r="K3805">
        <v>224.75800000000001</v>
      </c>
      <c r="L3805">
        <v>22.246200000000002</v>
      </c>
      <c r="M3805">
        <v>11938.450999999999</v>
      </c>
      <c r="N3805" t="s">
        <v>15</v>
      </c>
    </row>
    <row r="3806" spans="1:15" x14ac:dyDescent="0.2">
      <c r="A3806" t="s">
        <v>119</v>
      </c>
      <c r="B3806" t="s">
        <v>143</v>
      </c>
      <c r="C3806" t="s">
        <v>142</v>
      </c>
      <c r="D3806" t="s">
        <v>121</v>
      </c>
      <c r="E3806" t="s">
        <v>53</v>
      </c>
      <c r="F3806" t="s">
        <v>114</v>
      </c>
      <c r="G3806">
        <v>122639</v>
      </c>
      <c r="H3806" s="75">
        <v>42242</v>
      </c>
      <c r="I3806" t="s">
        <v>115</v>
      </c>
      <c r="J3806">
        <v>5000</v>
      </c>
      <c r="K3806">
        <v>223.34899999999999</v>
      </c>
      <c r="L3806">
        <v>22.386500000000002</v>
      </c>
      <c r="M3806">
        <v>12161.799000000001</v>
      </c>
      <c r="N3806" t="s">
        <v>15</v>
      </c>
    </row>
    <row r="3807" spans="1:15" x14ac:dyDescent="0.2">
      <c r="A3807" t="s">
        <v>119</v>
      </c>
      <c r="B3807" t="s">
        <v>143</v>
      </c>
      <c r="C3807" t="s">
        <v>142</v>
      </c>
      <c r="D3807" t="s">
        <v>121</v>
      </c>
      <c r="E3807" t="s">
        <v>53</v>
      </c>
      <c r="F3807" t="s">
        <v>114</v>
      </c>
      <c r="G3807">
        <v>122639</v>
      </c>
      <c r="H3807" s="75">
        <v>42272</v>
      </c>
      <c r="I3807" t="s">
        <v>115</v>
      </c>
      <c r="J3807">
        <v>5000</v>
      </c>
      <c r="K3807">
        <v>217.804</v>
      </c>
      <c r="L3807">
        <v>22.956499999999998</v>
      </c>
      <c r="M3807">
        <v>12379.602999999999</v>
      </c>
      <c r="N3807" t="s">
        <v>15</v>
      </c>
    </row>
    <row r="3808" spans="1:15" x14ac:dyDescent="0.2">
      <c r="A3808" t="s">
        <v>119</v>
      </c>
      <c r="B3808" t="s">
        <v>143</v>
      </c>
      <c r="C3808" t="s">
        <v>142</v>
      </c>
      <c r="D3808" t="s">
        <v>121</v>
      </c>
      <c r="E3808" t="s">
        <v>53</v>
      </c>
      <c r="F3808" t="s">
        <v>114</v>
      </c>
      <c r="G3808">
        <v>122639</v>
      </c>
      <c r="H3808" s="75">
        <v>42302</v>
      </c>
      <c r="I3808" t="s">
        <v>115</v>
      </c>
      <c r="J3808">
        <v>5000</v>
      </c>
      <c r="K3808">
        <v>218.45099999999999</v>
      </c>
      <c r="L3808">
        <v>22.888400000000001</v>
      </c>
      <c r="M3808">
        <v>12598.054</v>
      </c>
      <c r="N3808" t="s">
        <v>15</v>
      </c>
    </row>
    <row r="3809" spans="1:14" x14ac:dyDescent="0.2">
      <c r="A3809" t="s">
        <v>119</v>
      </c>
      <c r="B3809" t="s">
        <v>143</v>
      </c>
      <c r="C3809" t="s">
        <v>142</v>
      </c>
      <c r="D3809" t="s">
        <v>121</v>
      </c>
      <c r="E3809" t="s">
        <v>53</v>
      </c>
      <c r="F3809" t="s">
        <v>114</v>
      </c>
      <c r="G3809">
        <v>122639</v>
      </c>
      <c r="H3809" s="75">
        <v>42302</v>
      </c>
      <c r="I3809" t="s">
        <v>116</v>
      </c>
      <c r="J3809">
        <v>2.5</v>
      </c>
      <c r="K3809">
        <v>0</v>
      </c>
      <c r="M3809">
        <v>12598.054</v>
      </c>
      <c r="N3809" t="s">
        <v>17</v>
      </c>
    </row>
    <row r="3810" spans="1:14" x14ac:dyDescent="0.2">
      <c r="A3810" t="s">
        <v>119</v>
      </c>
      <c r="B3810" t="s">
        <v>143</v>
      </c>
      <c r="C3810" t="s">
        <v>142</v>
      </c>
      <c r="D3810" t="s">
        <v>121</v>
      </c>
      <c r="E3810" t="s">
        <v>53</v>
      </c>
      <c r="F3810" t="s">
        <v>114</v>
      </c>
      <c r="G3810">
        <v>122639</v>
      </c>
      <c r="H3810" s="75">
        <v>42302</v>
      </c>
      <c r="I3810" t="s">
        <v>25</v>
      </c>
      <c r="J3810">
        <v>-57669.93</v>
      </c>
      <c r="K3810">
        <v>-2519.6109999999999</v>
      </c>
      <c r="L3810">
        <v>22.888400000000001</v>
      </c>
      <c r="M3810">
        <v>10078.442999999999</v>
      </c>
      <c r="N3810" t="s">
        <v>16</v>
      </c>
    </row>
    <row r="3811" spans="1:14" x14ac:dyDescent="0.2">
      <c r="A3811" t="s">
        <v>119</v>
      </c>
      <c r="B3811" t="s">
        <v>143</v>
      </c>
      <c r="C3811" t="s">
        <v>142</v>
      </c>
      <c r="D3811" t="s">
        <v>121</v>
      </c>
      <c r="E3811" t="s">
        <v>53</v>
      </c>
      <c r="F3811" t="s">
        <v>114</v>
      </c>
      <c r="G3811">
        <v>122639</v>
      </c>
      <c r="H3811" s="75">
        <v>42332</v>
      </c>
      <c r="I3811" t="s">
        <v>115</v>
      </c>
      <c r="J3811">
        <v>5000</v>
      </c>
      <c r="K3811">
        <v>212.62700000000001</v>
      </c>
      <c r="L3811">
        <v>23.5154</v>
      </c>
      <c r="M3811">
        <v>10291.07</v>
      </c>
      <c r="N3811" t="s">
        <v>15</v>
      </c>
    </row>
    <row r="3812" spans="1:14" x14ac:dyDescent="0.2">
      <c r="A3812" t="s">
        <v>119</v>
      </c>
      <c r="B3812" t="s">
        <v>143</v>
      </c>
      <c r="C3812" t="s">
        <v>142</v>
      </c>
      <c r="D3812" t="s">
        <v>121</v>
      </c>
      <c r="E3812" t="s">
        <v>53</v>
      </c>
      <c r="F3812" t="s">
        <v>114</v>
      </c>
      <c r="G3812">
        <v>122639</v>
      </c>
      <c r="H3812" s="75">
        <v>42362</v>
      </c>
      <c r="I3812" t="s">
        <v>115</v>
      </c>
      <c r="J3812">
        <v>5000</v>
      </c>
      <c r="K3812">
        <v>211.821</v>
      </c>
      <c r="L3812">
        <v>23.604800000000001</v>
      </c>
      <c r="M3812">
        <v>10502.891</v>
      </c>
      <c r="N3812" t="s">
        <v>15</v>
      </c>
    </row>
    <row r="3813" spans="1:14" x14ac:dyDescent="0.2">
      <c r="A3813" t="s">
        <v>119</v>
      </c>
      <c r="B3813" t="s">
        <v>143</v>
      </c>
      <c r="C3813" t="s">
        <v>142</v>
      </c>
      <c r="D3813" t="s">
        <v>121</v>
      </c>
      <c r="E3813" t="s">
        <v>53</v>
      </c>
      <c r="F3813" t="s">
        <v>114</v>
      </c>
      <c r="G3813">
        <v>122639</v>
      </c>
      <c r="H3813" s="75">
        <v>42392</v>
      </c>
      <c r="I3813" t="s">
        <v>115</v>
      </c>
      <c r="J3813">
        <v>5000</v>
      </c>
      <c r="K3813">
        <v>210.38399999999999</v>
      </c>
      <c r="L3813">
        <v>23.765999999999998</v>
      </c>
      <c r="M3813">
        <v>10713.275</v>
      </c>
      <c r="N3813" t="s">
        <v>15</v>
      </c>
    </row>
    <row r="3814" spans="1:14" x14ac:dyDescent="0.2">
      <c r="A3814" t="s">
        <v>119</v>
      </c>
      <c r="B3814" t="s">
        <v>143</v>
      </c>
      <c r="C3814" t="s">
        <v>142</v>
      </c>
      <c r="D3814" t="s">
        <v>121</v>
      </c>
      <c r="E3814" t="s">
        <v>53</v>
      </c>
      <c r="F3814" t="s">
        <v>114</v>
      </c>
      <c r="G3814">
        <v>122639</v>
      </c>
      <c r="H3814" s="75">
        <v>42422</v>
      </c>
      <c r="I3814" t="s">
        <v>115</v>
      </c>
      <c r="J3814">
        <v>5000</v>
      </c>
      <c r="K3814">
        <v>210.62899999999999</v>
      </c>
      <c r="L3814">
        <v>23.738399999999999</v>
      </c>
      <c r="M3814">
        <v>10923.904</v>
      </c>
      <c r="N3814" t="s">
        <v>15</v>
      </c>
    </row>
    <row r="3815" spans="1:14" x14ac:dyDescent="0.2">
      <c r="A3815" t="s">
        <v>119</v>
      </c>
      <c r="B3815" t="s">
        <v>143</v>
      </c>
      <c r="C3815" t="s">
        <v>142</v>
      </c>
      <c r="D3815" t="s">
        <v>121</v>
      </c>
      <c r="E3815" t="s">
        <v>53</v>
      </c>
      <c r="F3815" t="s">
        <v>114</v>
      </c>
      <c r="G3815">
        <v>122639</v>
      </c>
      <c r="H3815" s="75">
        <v>42452</v>
      </c>
      <c r="I3815" t="s">
        <v>115</v>
      </c>
      <c r="J3815">
        <v>5000</v>
      </c>
      <c r="K3815">
        <v>211.898</v>
      </c>
      <c r="L3815">
        <v>23.596299999999999</v>
      </c>
      <c r="M3815">
        <v>11135.802</v>
      </c>
      <c r="N3815" t="s">
        <v>15</v>
      </c>
    </row>
    <row r="3816" spans="1:14" x14ac:dyDescent="0.2">
      <c r="A3816" t="s">
        <v>119</v>
      </c>
      <c r="B3816" t="s">
        <v>143</v>
      </c>
      <c r="C3816" t="s">
        <v>142</v>
      </c>
      <c r="D3816" t="s">
        <v>121</v>
      </c>
      <c r="E3816" t="s">
        <v>53</v>
      </c>
      <c r="F3816" t="s">
        <v>114</v>
      </c>
      <c r="G3816">
        <v>122639</v>
      </c>
      <c r="H3816" s="75">
        <v>42482</v>
      </c>
      <c r="I3816" t="s">
        <v>115</v>
      </c>
      <c r="J3816">
        <v>5000</v>
      </c>
      <c r="K3816">
        <v>208.67400000000001</v>
      </c>
      <c r="L3816">
        <v>23.960799999999999</v>
      </c>
      <c r="M3816">
        <v>11344.476000000001</v>
      </c>
      <c r="N3816" t="s">
        <v>15</v>
      </c>
    </row>
    <row r="3817" spans="1:14" x14ac:dyDescent="0.2">
      <c r="A3817" t="s">
        <v>119</v>
      </c>
      <c r="B3817" t="s">
        <v>143</v>
      </c>
      <c r="C3817" t="s">
        <v>142</v>
      </c>
      <c r="D3817" t="s">
        <v>121</v>
      </c>
      <c r="E3817" t="s">
        <v>53</v>
      </c>
      <c r="F3817" t="s">
        <v>114</v>
      </c>
      <c r="G3817">
        <v>122639</v>
      </c>
      <c r="H3817" s="75">
        <v>42512</v>
      </c>
      <c r="I3817" t="s">
        <v>115</v>
      </c>
      <c r="J3817">
        <v>5000</v>
      </c>
      <c r="K3817">
        <v>205.42</v>
      </c>
      <c r="L3817">
        <v>24.340399999999999</v>
      </c>
      <c r="M3817">
        <v>11549.897000000001</v>
      </c>
      <c r="N3817" t="s">
        <v>15</v>
      </c>
    </row>
    <row r="3818" spans="1:14" x14ac:dyDescent="0.2">
      <c r="A3818" t="s">
        <v>119</v>
      </c>
      <c r="B3818" t="s">
        <v>143</v>
      </c>
      <c r="C3818" t="s">
        <v>142</v>
      </c>
      <c r="D3818" t="s">
        <v>121</v>
      </c>
      <c r="E3818" t="s">
        <v>53</v>
      </c>
      <c r="F3818" t="s">
        <v>114</v>
      </c>
      <c r="G3818">
        <v>122639</v>
      </c>
      <c r="H3818" s="75">
        <v>42512</v>
      </c>
      <c r="I3818" t="s">
        <v>117</v>
      </c>
      <c r="J3818">
        <v>2.5</v>
      </c>
      <c r="K3818">
        <v>0</v>
      </c>
      <c r="M3818">
        <v>11549.897000000001</v>
      </c>
      <c r="N3818" t="s">
        <v>46</v>
      </c>
    </row>
    <row r="3819" spans="1:14" x14ac:dyDescent="0.2">
      <c r="A3819" t="s">
        <v>119</v>
      </c>
      <c r="B3819" t="s">
        <v>143</v>
      </c>
      <c r="C3819" t="s">
        <v>142</v>
      </c>
      <c r="D3819" t="s">
        <v>121</v>
      </c>
      <c r="E3819" t="s">
        <v>53</v>
      </c>
      <c r="F3819" t="s">
        <v>114</v>
      </c>
      <c r="G3819">
        <v>122639</v>
      </c>
      <c r="H3819" s="75">
        <v>42512</v>
      </c>
      <c r="I3819" t="s">
        <v>25</v>
      </c>
      <c r="J3819">
        <v>-56225.72</v>
      </c>
      <c r="K3819">
        <v>-2309.9789999999998</v>
      </c>
      <c r="L3819">
        <v>24.340399999999999</v>
      </c>
      <c r="M3819">
        <v>9239.9169999999995</v>
      </c>
      <c r="N3819" t="s">
        <v>16</v>
      </c>
    </row>
    <row r="3820" spans="1:14" x14ac:dyDescent="0.2">
      <c r="A3820" t="s">
        <v>119</v>
      </c>
      <c r="B3820" t="s">
        <v>143</v>
      </c>
      <c r="C3820" t="s">
        <v>142</v>
      </c>
      <c r="D3820" t="s">
        <v>121</v>
      </c>
      <c r="E3820" t="s">
        <v>53</v>
      </c>
      <c r="F3820" t="s">
        <v>114</v>
      </c>
      <c r="G3820">
        <v>122639</v>
      </c>
      <c r="H3820" s="75">
        <v>42542</v>
      </c>
      <c r="I3820" t="s">
        <v>115</v>
      </c>
      <c r="J3820">
        <v>5000</v>
      </c>
      <c r="K3820">
        <v>199.649</v>
      </c>
      <c r="L3820">
        <v>25.044</v>
      </c>
      <c r="M3820">
        <v>9439.5660000000007</v>
      </c>
      <c r="N3820" t="s">
        <v>15</v>
      </c>
    </row>
    <row r="3821" spans="1:14" x14ac:dyDescent="0.2">
      <c r="A3821" t="s">
        <v>119</v>
      </c>
      <c r="B3821" t="s">
        <v>143</v>
      </c>
      <c r="C3821" t="s">
        <v>142</v>
      </c>
      <c r="D3821" t="s">
        <v>121</v>
      </c>
      <c r="E3821" t="s">
        <v>53</v>
      </c>
      <c r="F3821" t="s">
        <v>114</v>
      </c>
      <c r="G3821">
        <v>122639</v>
      </c>
      <c r="H3821" s="75">
        <v>42572</v>
      </c>
      <c r="I3821" t="s">
        <v>115</v>
      </c>
      <c r="J3821">
        <v>5000</v>
      </c>
      <c r="K3821">
        <v>195.98599999999999</v>
      </c>
      <c r="L3821">
        <v>25.512</v>
      </c>
      <c r="M3821">
        <v>9635.5519999999997</v>
      </c>
      <c r="N3821" t="s">
        <v>15</v>
      </c>
    </row>
    <row r="3822" spans="1:14" x14ac:dyDescent="0.2">
      <c r="A3822" t="s">
        <v>119</v>
      </c>
      <c r="B3822" t="s">
        <v>143</v>
      </c>
      <c r="C3822" t="s">
        <v>142</v>
      </c>
      <c r="D3822" t="s">
        <v>121</v>
      </c>
      <c r="E3822" t="s">
        <v>53</v>
      </c>
      <c r="F3822" t="s">
        <v>114</v>
      </c>
      <c r="G3822">
        <v>122639</v>
      </c>
      <c r="H3822" s="75">
        <v>42602</v>
      </c>
      <c r="I3822" t="s">
        <v>115</v>
      </c>
      <c r="J3822">
        <v>5000</v>
      </c>
      <c r="K3822">
        <v>193.143</v>
      </c>
      <c r="L3822">
        <v>25.887499999999999</v>
      </c>
      <c r="M3822">
        <v>9828.6959999999999</v>
      </c>
      <c r="N3822" t="s">
        <v>15</v>
      </c>
    </row>
    <row r="3823" spans="1:14" x14ac:dyDescent="0.2">
      <c r="A3823" t="s">
        <v>119</v>
      </c>
      <c r="B3823" t="s">
        <v>143</v>
      </c>
      <c r="C3823" t="s">
        <v>142</v>
      </c>
      <c r="D3823" t="s">
        <v>121</v>
      </c>
      <c r="E3823" t="s">
        <v>53</v>
      </c>
      <c r="F3823" t="s">
        <v>114</v>
      </c>
      <c r="G3823">
        <v>122639</v>
      </c>
      <c r="H3823" s="75">
        <v>42632</v>
      </c>
      <c r="I3823" t="s">
        <v>115</v>
      </c>
      <c r="J3823">
        <v>5000</v>
      </c>
      <c r="K3823">
        <v>188.69900000000001</v>
      </c>
      <c r="L3823">
        <v>26.497199999999999</v>
      </c>
      <c r="M3823">
        <v>10017.395</v>
      </c>
      <c r="N3823" t="s">
        <v>15</v>
      </c>
    </row>
    <row r="3824" spans="1:14" x14ac:dyDescent="0.2">
      <c r="A3824" t="s">
        <v>119</v>
      </c>
      <c r="B3824" t="s">
        <v>143</v>
      </c>
      <c r="C3824" t="s">
        <v>142</v>
      </c>
      <c r="D3824" t="s">
        <v>121</v>
      </c>
      <c r="E3824" t="s">
        <v>53</v>
      </c>
      <c r="F3824" t="s">
        <v>114</v>
      </c>
      <c r="G3824">
        <v>122639</v>
      </c>
      <c r="H3824" s="75">
        <v>42662</v>
      </c>
      <c r="I3824" t="s">
        <v>115</v>
      </c>
      <c r="J3824">
        <v>5000</v>
      </c>
      <c r="K3824">
        <v>189.33799999999999</v>
      </c>
      <c r="L3824">
        <v>26.407800000000002</v>
      </c>
      <c r="M3824">
        <v>10206.733</v>
      </c>
      <c r="N3824" t="s">
        <v>15</v>
      </c>
    </row>
    <row r="3825" spans="1:15" x14ac:dyDescent="0.2">
      <c r="A3825" t="s">
        <v>119</v>
      </c>
      <c r="B3825" t="s">
        <v>143</v>
      </c>
      <c r="C3825" t="s">
        <v>142</v>
      </c>
      <c r="D3825" t="s">
        <v>121</v>
      </c>
      <c r="E3825" t="s">
        <v>53</v>
      </c>
      <c r="F3825" t="s">
        <v>114</v>
      </c>
      <c r="G3825">
        <v>122639</v>
      </c>
      <c r="H3825" s="75">
        <v>42692</v>
      </c>
      <c r="I3825" t="s">
        <v>115</v>
      </c>
      <c r="J3825">
        <v>5000</v>
      </c>
      <c r="K3825">
        <v>188.096</v>
      </c>
      <c r="L3825">
        <v>26.5822</v>
      </c>
      <c r="M3825">
        <v>10394.828</v>
      </c>
      <c r="N3825" t="s">
        <v>15</v>
      </c>
    </row>
    <row r="3826" spans="1:15" x14ac:dyDescent="0.2">
      <c r="A3826" t="s">
        <v>119</v>
      </c>
      <c r="B3826" t="s">
        <v>143</v>
      </c>
      <c r="C3826" t="s">
        <v>142</v>
      </c>
      <c r="D3826" t="s">
        <v>121</v>
      </c>
      <c r="E3826" t="s">
        <v>53</v>
      </c>
      <c r="F3826" t="s">
        <v>114</v>
      </c>
      <c r="G3826">
        <v>122639</v>
      </c>
      <c r="H3826" s="75">
        <v>42692</v>
      </c>
      <c r="I3826" t="s">
        <v>117</v>
      </c>
      <c r="J3826">
        <v>2.5</v>
      </c>
      <c r="K3826">
        <v>0</v>
      </c>
      <c r="M3826">
        <v>10394.828</v>
      </c>
      <c r="N3826" t="s">
        <v>46</v>
      </c>
    </row>
    <row r="3827" spans="1:15" x14ac:dyDescent="0.2">
      <c r="A3827" t="s">
        <v>119</v>
      </c>
      <c r="B3827" t="s">
        <v>143</v>
      </c>
      <c r="C3827" t="s">
        <v>142</v>
      </c>
      <c r="D3827" t="s">
        <v>121</v>
      </c>
      <c r="E3827" t="s">
        <v>53</v>
      </c>
      <c r="F3827" t="s">
        <v>114</v>
      </c>
      <c r="G3827">
        <v>122639</v>
      </c>
      <c r="H3827" s="75">
        <v>42722</v>
      </c>
      <c r="I3827" t="s">
        <v>115</v>
      </c>
      <c r="J3827">
        <v>5000</v>
      </c>
      <c r="K3827">
        <v>183.23400000000001</v>
      </c>
      <c r="L3827">
        <v>27.287600000000001</v>
      </c>
      <c r="M3827">
        <v>10578.062</v>
      </c>
      <c r="N3827" t="s">
        <v>15</v>
      </c>
    </row>
    <row r="3828" spans="1:15" x14ac:dyDescent="0.2">
      <c r="A3828" t="s">
        <v>119</v>
      </c>
      <c r="B3828" t="s">
        <v>143</v>
      </c>
      <c r="C3828" t="s">
        <v>142</v>
      </c>
      <c r="D3828" t="s">
        <v>121</v>
      </c>
      <c r="E3828" t="s">
        <v>53</v>
      </c>
      <c r="F3828" t="s">
        <v>114</v>
      </c>
      <c r="G3828">
        <v>122639</v>
      </c>
      <c r="H3828" s="75">
        <v>42722</v>
      </c>
      <c r="I3828" t="s">
        <v>117</v>
      </c>
      <c r="J3828">
        <v>2.5</v>
      </c>
      <c r="K3828">
        <v>0</v>
      </c>
      <c r="M3828">
        <v>10578.062</v>
      </c>
      <c r="N3828" t="s">
        <v>46</v>
      </c>
    </row>
    <row r="3829" spans="1:15" x14ac:dyDescent="0.2">
      <c r="A3829" t="s">
        <v>119</v>
      </c>
      <c r="B3829" t="s">
        <v>143</v>
      </c>
      <c r="C3829" t="s">
        <v>142</v>
      </c>
      <c r="D3829" t="s">
        <v>121</v>
      </c>
      <c r="E3829" t="s">
        <v>53</v>
      </c>
      <c r="F3829" t="s">
        <v>114</v>
      </c>
      <c r="G3829">
        <v>122639</v>
      </c>
      <c r="H3829" s="75">
        <v>42722</v>
      </c>
      <c r="I3829" t="s">
        <v>118</v>
      </c>
      <c r="J3829">
        <v>5289.03</v>
      </c>
      <c r="K3829">
        <v>0</v>
      </c>
      <c r="M3829">
        <v>10578.062</v>
      </c>
      <c r="N3829" t="s">
        <v>19</v>
      </c>
      <c r="O3829">
        <v>5289.03</v>
      </c>
    </row>
    <row r="3830" spans="1:15" x14ac:dyDescent="0.2">
      <c r="A3830" t="s">
        <v>119</v>
      </c>
      <c r="B3830" t="s">
        <v>143</v>
      </c>
      <c r="C3830" t="s">
        <v>142</v>
      </c>
      <c r="D3830" t="s">
        <v>121</v>
      </c>
      <c r="E3830" t="s">
        <v>53</v>
      </c>
      <c r="F3830" t="s">
        <v>114</v>
      </c>
      <c r="G3830">
        <v>122639</v>
      </c>
      <c r="H3830" s="75">
        <v>42752</v>
      </c>
      <c r="I3830" t="s">
        <v>115</v>
      </c>
      <c r="J3830">
        <v>5000</v>
      </c>
      <c r="K3830">
        <v>185.267</v>
      </c>
      <c r="L3830">
        <v>26.988099999999999</v>
      </c>
      <c r="M3830">
        <v>10763.329</v>
      </c>
      <c r="N3830" t="s">
        <v>15</v>
      </c>
    </row>
    <row r="3831" spans="1:15" x14ac:dyDescent="0.2">
      <c r="A3831" t="s">
        <v>119</v>
      </c>
      <c r="B3831" t="s">
        <v>143</v>
      </c>
      <c r="C3831" t="s">
        <v>142</v>
      </c>
      <c r="D3831" t="s">
        <v>121</v>
      </c>
      <c r="E3831" t="s">
        <v>53</v>
      </c>
      <c r="F3831" t="s">
        <v>114</v>
      </c>
      <c r="G3831">
        <v>122639</v>
      </c>
      <c r="H3831" s="75">
        <v>42782</v>
      </c>
      <c r="I3831" t="s">
        <v>115</v>
      </c>
      <c r="J3831">
        <v>5000</v>
      </c>
      <c r="K3831">
        <v>181.227</v>
      </c>
      <c r="L3831">
        <v>27.589700000000001</v>
      </c>
      <c r="M3831">
        <v>10944.556</v>
      </c>
      <c r="N3831" t="s">
        <v>15</v>
      </c>
    </row>
    <row r="3832" spans="1:15" x14ac:dyDescent="0.2">
      <c r="A3832" t="s">
        <v>119</v>
      </c>
      <c r="B3832" t="s">
        <v>143</v>
      </c>
      <c r="C3832" t="s">
        <v>142</v>
      </c>
      <c r="D3832" t="s">
        <v>121</v>
      </c>
      <c r="E3832" t="s">
        <v>53</v>
      </c>
      <c r="F3832" t="s">
        <v>114</v>
      </c>
      <c r="G3832">
        <v>122639</v>
      </c>
      <c r="H3832" s="75">
        <v>42812</v>
      </c>
      <c r="I3832" t="s">
        <v>115</v>
      </c>
      <c r="J3832">
        <v>5000</v>
      </c>
      <c r="K3832">
        <v>181.01499999999999</v>
      </c>
      <c r="L3832">
        <v>27.622</v>
      </c>
      <c r="M3832">
        <v>11125.57</v>
      </c>
      <c r="N3832" t="s">
        <v>15</v>
      </c>
    </row>
    <row r="3833" spans="1:15" x14ac:dyDescent="0.2">
      <c r="A3833" t="s">
        <v>119</v>
      </c>
      <c r="B3833" t="s">
        <v>143</v>
      </c>
      <c r="C3833" t="s">
        <v>142</v>
      </c>
      <c r="D3833" t="s">
        <v>121</v>
      </c>
      <c r="E3833" t="s">
        <v>53</v>
      </c>
      <c r="F3833" t="s">
        <v>114</v>
      </c>
      <c r="G3833">
        <v>122639</v>
      </c>
      <c r="H3833" s="75">
        <v>42812</v>
      </c>
      <c r="I3833" t="s">
        <v>117</v>
      </c>
      <c r="J3833">
        <v>2.5</v>
      </c>
      <c r="K3833">
        <v>0</v>
      </c>
      <c r="M3833">
        <v>11125.57</v>
      </c>
      <c r="N3833" t="s">
        <v>46</v>
      </c>
    </row>
    <row r="3834" spans="1:15" x14ac:dyDescent="0.2">
      <c r="A3834" t="s">
        <v>119</v>
      </c>
      <c r="B3834" t="s">
        <v>143</v>
      </c>
      <c r="C3834" t="s">
        <v>142</v>
      </c>
      <c r="D3834" t="s">
        <v>121</v>
      </c>
      <c r="E3834" t="s">
        <v>53</v>
      </c>
      <c r="F3834" t="s">
        <v>114</v>
      </c>
      <c r="G3834">
        <v>122639</v>
      </c>
      <c r="H3834" s="75">
        <v>42842</v>
      </c>
      <c r="I3834" t="s">
        <v>115</v>
      </c>
      <c r="J3834">
        <v>5000</v>
      </c>
      <c r="K3834">
        <v>178.56200000000001</v>
      </c>
      <c r="L3834">
        <v>28.0015</v>
      </c>
      <c r="M3834">
        <v>11304.132</v>
      </c>
      <c r="N3834" t="s">
        <v>15</v>
      </c>
    </row>
    <row r="3835" spans="1:15" x14ac:dyDescent="0.2">
      <c r="A3835" t="s">
        <v>119</v>
      </c>
      <c r="B3835" t="s">
        <v>143</v>
      </c>
      <c r="C3835" t="s">
        <v>142</v>
      </c>
      <c r="D3835" t="s">
        <v>121</v>
      </c>
      <c r="E3835" t="s">
        <v>53</v>
      </c>
      <c r="F3835" t="s">
        <v>114</v>
      </c>
      <c r="G3835">
        <v>122639</v>
      </c>
      <c r="H3835" s="75">
        <v>42872</v>
      </c>
      <c r="I3835" t="s">
        <v>115</v>
      </c>
      <c r="J3835">
        <v>5000</v>
      </c>
      <c r="K3835">
        <v>176.21199999999999</v>
      </c>
      <c r="L3835">
        <v>28.3749</v>
      </c>
      <c r="M3835">
        <v>11480.343999999999</v>
      </c>
      <c r="N3835" t="s">
        <v>15</v>
      </c>
    </row>
    <row r="3836" spans="1:15" x14ac:dyDescent="0.2">
      <c r="A3836" t="s">
        <v>119</v>
      </c>
      <c r="B3836" t="s">
        <v>143</v>
      </c>
      <c r="C3836" t="s">
        <v>142</v>
      </c>
      <c r="D3836" t="s">
        <v>121</v>
      </c>
      <c r="E3836" t="s">
        <v>53</v>
      </c>
      <c r="F3836" t="s">
        <v>114</v>
      </c>
      <c r="G3836">
        <v>122639</v>
      </c>
      <c r="H3836" s="75">
        <v>42872</v>
      </c>
      <c r="I3836" t="s">
        <v>116</v>
      </c>
      <c r="J3836">
        <v>2.5</v>
      </c>
      <c r="K3836">
        <v>0</v>
      </c>
      <c r="M3836">
        <v>11480.343999999999</v>
      </c>
      <c r="N3836" t="s">
        <v>17</v>
      </c>
    </row>
    <row r="3837" spans="1:15" x14ac:dyDescent="0.2">
      <c r="A3837" t="s">
        <v>119</v>
      </c>
      <c r="B3837" t="s">
        <v>143</v>
      </c>
      <c r="C3837" t="s">
        <v>142</v>
      </c>
      <c r="D3837" t="s">
        <v>121</v>
      </c>
      <c r="E3837" t="s">
        <v>53</v>
      </c>
      <c r="F3837" t="s">
        <v>114</v>
      </c>
      <c r="G3837">
        <v>122639</v>
      </c>
      <c r="H3837" s="75">
        <v>42902</v>
      </c>
      <c r="I3837" t="s">
        <v>115</v>
      </c>
      <c r="J3837">
        <v>5000</v>
      </c>
      <c r="K3837">
        <v>173.57400000000001</v>
      </c>
      <c r="L3837">
        <v>28.806100000000001</v>
      </c>
      <c r="M3837">
        <v>11653.918</v>
      </c>
      <c r="N3837" t="s">
        <v>15</v>
      </c>
    </row>
    <row r="3838" spans="1:15" x14ac:dyDescent="0.2">
      <c r="A3838" t="s">
        <v>119</v>
      </c>
      <c r="B3838" t="s">
        <v>143</v>
      </c>
      <c r="C3838" t="s">
        <v>142</v>
      </c>
      <c r="D3838" t="s">
        <v>121</v>
      </c>
      <c r="E3838" t="s">
        <v>53</v>
      </c>
      <c r="F3838" t="s">
        <v>114</v>
      </c>
      <c r="G3838">
        <v>122639</v>
      </c>
      <c r="H3838" s="75">
        <v>42932</v>
      </c>
      <c r="I3838" t="s">
        <v>115</v>
      </c>
      <c r="J3838">
        <v>5000</v>
      </c>
      <c r="K3838">
        <v>174.83799999999999</v>
      </c>
      <c r="L3838">
        <v>28.597899999999999</v>
      </c>
      <c r="M3838">
        <v>11828.755999999999</v>
      </c>
      <c r="N3838" t="s">
        <v>15</v>
      </c>
    </row>
    <row r="3839" spans="1:15" x14ac:dyDescent="0.2">
      <c r="A3839" t="s">
        <v>119</v>
      </c>
      <c r="B3839" t="s">
        <v>143</v>
      </c>
      <c r="C3839" t="s">
        <v>142</v>
      </c>
      <c r="D3839" t="s">
        <v>121</v>
      </c>
      <c r="E3839" t="s">
        <v>53</v>
      </c>
      <c r="F3839" t="s">
        <v>114</v>
      </c>
      <c r="G3839">
        <v>122639</v>
      </c>
      <c r="H3839" s="75">
        <v>42962</v>
      </c>
      <c r="I3839" t="s">
        <v>115</v>
      </c>
      <c r="J3839">
        <v>5000</v>
      </c>
      <c r="K3839">
        <v>178.19200000000001</v>
      </c>
      <c r="L3839">
        <v>28.0596</v>
      </c>
      <c r="M3839">
        <v>12006.948</v>
      </c>
      <c r="N3839" t="s">
        <v>15</v>
      </c>
    </row>
    <row r="3840" spans="1:15" x14ac:dyDescent="0.2">
      <c r="A3840" t="s">
        <v>119</v>
      </c>
      <c r="B3840" t="s">
        <v>143</v>
      </c>
      <c r="C3840" t="s">
        <v>142</v>
      </c>
      <c r="D3840" t="s">
        <v>121</v>
      </c>
      <c r="E3840" t="s">
        <v>53</v>
      </c>
      <c r="F3840" t="s">
        <v>114</v>
      </c>
      <c r="G3840">
        <v>122639</v>
      </c>
      <c r="H3840" s="75">
        <v>42992</v>
      </c>
      <c r="I3840" t="s">
        <v>115</v>
      </c>
      <c r="J3840">
        <v>5000</v>
      </c>
      <c r="K3840">
        <v>181.773</v>
      </c>
      <c r="L3840">
        <v>27.506799999999998</v>
      </c>
      <c r="M3840">
        <v>12188.721</v>
      </c>
      <c r="N3840" t="s">
        <v>15</v>
      </c>
    </row>
    <row r="3841" spans="1:14" x14ac:dyDescent="0.2">
      <c r="A3841" t="s">
        <v>119</v>
      </c>
      <c r="B3841" t="s">
        <v>143</v>
      </c>
      <c r="C3841" t="s">
        <v>142</v>
      </c>
      <c r="D3841" t="s">
        <v>121</v>
      </c>
      <c r="E3841" t="s">
        <v>53</v>
      </c>
      <c r="F3841" t="s">
        <v>114</v>
      </c>
      <c r="G3841">
        <v>122639</v>
      </c>
      <c r="H3841" s="75">
        <v>43022</v>
      </c>
      <c r="I3841" t="s">
        <v>115</v>
      </c>
      <c r="J3841">
        <v>5000</v>
      </c>
      <c r="K3841">
        <v>180.876</v>
      </c>
      <c r="L3841">
        <v>27.6433</v>
      </c>
      <c r="M3841">
        <v>12369.597</v>
      </c>
      <c r="N3841" t="s">
        <v>15</v>
      </c>
    </row>
    <row r="3842" spans="1:14" x14ac:dyDescent="0.2">
      <c r="A3842" t="s">
        <v>119</v>
      </c>
      <c r="B3842" t="s">
        <v>143</v>
      </c>
      <c r="C3842" t="s">
        <v>142</v>
      </c>
      <c r="D3842" t="s">
        <v>121</v>
      </c>
      <c r="E3842" t="s">
        <v>53</v>
      </c>
      <c r="F3842" t="s">
        <v>114</v>
      </c>
      <c r="G3842">
        <v>122639</v>
      </c>
      <c r="H3842" s="75">
        <v>43052</v>
      </c>
      <c r="I3842" t="s">
        <v>115</v>
      </c>
      <c r="J3842">
        <v>5000</v>
      </c>
      <c r="K3842">
        <v>176.857</v>
      </c>
      <c r="L3842">
        <v>28.2715</v>
      </c>
      <c r="M3842">
        <v>12546.454</v>
      </c>
      <c r="N3842" t="s">
        <v>15</v>
      </c>
    </row>
    <row r="3843" spans="1:14" x14ac:dyDescent="0.2">
      <c r="A3843" t="s">
        <v>119</v>
      </c>
      <c r="B3843" t="s">
        <v>143</v>
      </c>
      <c r="C3843" t="s">
        <v>142</v>
      </c>
      <c r="D3843" t="s">
        <v>121</v>
      </c>
      <c r="E3843" t="s">
        <v>53</v>
      </c>
      <c r="F3843" t="s">
        <v>114</v>
      </c>
      <c r="G3843">
        <v>122639</v>
      </c>
      <c r="H3843" s="75">
        <v>43082</v>
      </c>
      <c r="I3843" t="s">
        <v>115</v>
      </c>
      <c r="J3843">
        <v>5000</v>
      </c>
      <c r="K3843">
        <v>174.31299999999999</v>
      </c>
      <c r="L3843">
        <v>28.684000000000001</v>
      </c>
      <c r="M3843">
        <v>12720.767</v>
      </c>
      <c r="N3843" t="s">
        <v>15</v>
      </c>
    </row>
    <row r="3844" spans="1:14" x14ac:dyDescent="0.2">
      <c r="A3844" t="s">
        <v>119</v>
      </c>
      <c r="B3844" t="s">
        <v>143</v>
      </c>
      <c r="C3844" t="s">
        <v>142</v>
      </c>
      <c r="D3844" t="s">
        <v>121</v>
      </c>
      <c r="E3844" t="s">
        <v>53</v>
      </c>
      <c r="F3844" t="s">
        <v>114</v>
      </c>
      <c r="G3844">
        <v>122639</v>
      </c>
      <c r="H3844" s="75">
        <v>43112</v>
      </c>
      <c r="I3844" t="s">
        <v>115</v>
      </c>
      <c r="J3844">
        <v>5000</v>
      </c>
      <c r="K3844">
        <v>171.107</v>
      </c>
      <c r="L3844">
        <v>29.221399999999999</v>
      </c>
      <c r="M3844">
        <v>12891.874</v>
      </c>
      <c r="N3844" t="s">
        <v>15</v>
      </c>
    </row>
    <row r="3845" spans="1:14" x14ac:dyDescent="0.2">
      <c r="A3845" t="s">
        <v>119</v>
      </c>
      <c r="B3845" t="s">
        <v>143</v>
      </c>
      <c r="C3845" t="s">
        <v>142</v>
      </c>
      <c r="D3845" t="s">
        <v>121</v>
      </c>
      <c r="E3845" t="s">
        <v>53</v>
      </c>
      <c r="F3845" t="s">
        <v>114</v>
      </c>
      <c r="G3845">
        <v>122639</v>
      </c>
      <c r="H3845" s="75">
        <v>43112</v>
      </c>
      <c r="I3845" t="s">
        <v>116</v>
      </c>
      <c r="J3845">
        <v>2.5</v>
      </c>
      <c r="K3845">
        <v>0</v>
      </c>
      <c r="M3845">
        <v>12891.874</v>
      </c>
      <c r="N3845" t="s">
        <v>17</v>
      </c>
    </row>
    <row r="3846" spans="1:14" x14ac:dyDescent="0.2">
      <c r="A3846" t="s">
        <v>119</v>
      </c>
      <c r="B3846" t="s">
        <v>143</v>
      </c>
      <c r="C3846" t="s">
        <v>142</v>
      </c>
      <c r="D3846" t="s">
        <v>121</v>
      </c>
      <c r="E3846" t="s">
        <v>53</v>
      </c>
      <c r="F3846" t="s">
        <v>114</v>
      </c>
      <c r="G3846">
        <v>122639</v>
      </c>
      <c r="H3846" s="75">
        <v>43142</v>
      </c>
      <c r="I3846" t="s">
        <v>115</v>
      </c>
      <c r="J3846">
        <v>5000</v>
      </c>
      <c r="K3846">
        <v>173.74700000000001</v>
      </c>
      <c r="L3846">
        <v>28.7775</v>
      </c>
      <c r="M3846">
        <v>13065.620999999999</v>
      </c>
      <c r="N3846" t="s">
        <v>15</v>
      </c>
    </row>
    <row r="3847" spans="1:14" x14ac:dyDescent="0.2">
      <c r="A3847" t="s">
        <v>119</v>
      </c>
      <c r="B3847" t="s">
        <v>143</v>
      </c>
      <c r="C3847" t="s">
        <v>142</v>
      </c>
      <c r="D3847" t="s">
        <v>121</v>
      </c>
      <c r="E3847" t="s">
        <v>53</v>
      </c>
      <c r="F3847" t="s">
        <v>114</v>
      </c>
      <c r="G3847">
        <v>122639</v>
      </c>
      <c r="H3847" s="75">
        <v>43172</v>
      </c>
      <c r="I3847" t="s">
        <v>115</v>
      </c>
      <c r="J3847">
        <v>5000</v>
      </c>
      <c r="K3847">
        <v>175.03700000000001</v>
      </c>
      <c r="L3847">
        <v>28.5654</v>
      </c>
      <c r="M3847">
        <v>13240.657999999999</v>
      </c>
      <c r="N3847" t="s">
        <v>15</v>
      </c>
    </row>
    <row r="3848" spans="1:14" x14ac:dyDescent="0.2">
      <c r="A3848" t="s">
        <v>119</v>
      </c>
      <c r="B3848" t="s">
        <v>143</v>
      </c>
      <c r="C3848" t="s">
        <v>142</v>
      </c>
      <c r="D3848" t="s">
        <v>121</v>
      </c>
      <c r="E3848" t="s">
        <v>53</v>
      </c>
      <c r="F3848" t="s">
        <v>114</v>
      </c>
      <c r="G3848">
        <v>122639</v>
      </c>
      <c r="H3848" s="75">
        <v>43202</v>
      </c>
      <c r="I3848" t="s">
        <v>115</v>
      </c>
      <c r="J3848">
        <v>5000</v>
      </c>
      <c r="K3848">
        <v>175.304</v>
      </c>
      <c r="L3848">
        <v>28.521899999999999</v>
      </c>
      <c r="M3848">
        <v>13415.962</v>
      </c>
      <c r="N3848" t="s">
        <v>15</v>
      </c>
    </row>
    <row r="3849" spans="1:14" x14ac:dyDescent="0.2">
      <c r="A3849" t="s">
        <v>119</v>
      </c>
      <c r="B3849" t="s">
        <v>143</v>
      </c>
      <c r="C3849" t="s">
        <v>142</v>
      </c>
      <c r="D3849" t="s">
        <v>121</v>
      </c>
      <c r="E3849" t="s">
        <v>53</v>
      </c>
      <c r="F3849" t="s">
        <v>114</v>
      </c>
      <c r="G3849">
        <v>122639</v>
      </c>
      <c r="H3849" s="75">
        <v>43232</v>
      </c>
      <c r="I3849" t="s">
        <v>115</v>
      </c>
      <c r="J3849">
        <v>5000</v>
      </c>
      <c r="K3849">
        <v>171.07400000000001</v>
      </c>
      <c r="L3849">
        <v>29.2271</v>
      </c>
      <c r="M3849">
        <v>13587.037</v>
      </c>
      <c r="N3849" t="s">
        <v>15</v>
      </c>
    </row>
    <row r="3850" spans="1:14" x14ac:dyDescent="0.2">
      <c r="A3850" t="s">
        <v>119</v>
      </c>
      <c r="B3850" t="s">
        <v>143</v>
      </c>
      <c r="C3850" t="s">
        <v>142</v>
      </c>
      <c r="D3850" t="s">
        <v>121</v>
      </c>
      <c r="E3850" t="s">
        <v>53</v>
      </c>
      <c r="F3850" t="s">
        <v>114</v>
      </c>
      <c r="G3850">
        <v>122639</v>
      </c>
      <c r="H3850" s="75">
        <v>43262</v>
      </c>
      <c r="I3850" t="s">
        <v>115</v>
      </c>
      <c r="J3850">
        <v>5000</v>
      </c>
      <c r="K3850">
        <v>172.947</v>
      </c>
      <c r="L3850">
        <v>28.910599999999999</v>
      </c>
      <c r="M3850">
        <v>13759.984</v>
      </c>
      <c r="N3850" t="s">
        <v>15</v>
      </c>
    </row>
    <row r="3851" spans="1:14" x14ac:dyDescent="0.2">
      <c r="A3851" t="s">
        <v>119</v>
      </c>
      <c r="B3851" t="s">
        <v>143</v>
      </c>
      <c r="C3851" t="s">
        <v>142</v>
      </c>
      <c r="D3851" t="s">
        <v>121</v>
      </c>
      <c r="E3851" t="s">
        <v>53</v>
      </c>
      <c r="F3851" t="s">
        <v>114</v>
      </c>
      <c r="G3851">
        <v>122639</v>
      </c>
      <c r="H3851" s="75">
        <v>43292</v>
      </c>
      <c r="I3851" t="s">
        <v>115</v>
      </c>
      <c r="J3851">
        <v>5000</v>
      </c>
      <c r="K3851">
        <v>170.107</v>
      </c>
      <c r="L3851">
        <v>29.3933</v>
      </c>
      <c r="M3851">
        <v>13930.091</v>
      </c>
      <c r="N3851" t="s">
        <v>15</v>
      </c>
    </row>
    <row r="3852" spans="1:14" x14ac:dyDescent="0.2">
      <c r="A3852" t="s">
        <v>119</v>
      </c>
      <c r="B3852" t="s">
        <v>143</v>
      </c>
      <c r="C3852" t="s">
        <v>142</v>
      </c>
      <c r="D3852" t="s">
        <v>121</v>
      </c>
      <c r="E3852" t="s">
        <v>53</v>
      </c>
      <c r="F3852" t="s">
        <v>114</v>
      </c>
      <c r="G3852">
        <v>122639</v>
      </c>
      <c r="H3852" s="75">
        <v>43292</v>
      </c>
      <c r="I3852" t="s">
        <v>25</v>
      </c>
      <c r="J3852">
        <v>-81890.16</v>
      </c>
      <c r="K3852">
        <v>-2786.018</v>
      </c>
      <c r="L3852">
        <v>29.3933</v>
      </c>
      <c r="M3852">
        <v>11144.073</v>
      </c>
      <c r="N3852" t="s">
        <v>16</v>
      </c>
    </row>
    <row r="3853" spans="1:14" x14ac:dyDescent="0.2">
      <c r="A3853" t="s">
        <v>119</v>
      </c>
      <c r="B3853" t="s">
        <v>143</v>
      </c>
      <c r="C3853" t="s">
        <v>142</v>
      </c>
      <c r="D3853" t="s">
        <v>121</v>
      </c>
      <c r="E3853" t="s">
        <v>53</v>
      </c>
      <c r="F3853" t="s">
        <v>114</v>
      </c>
      <c r="G3853">
        <v>122639</v>
      </c>
      <c r="H3853" s="75">
        <v>43322</v>
      </c>
      <c r="I3853" t="s">
        <v>115</v>
      </c>
      <c r="J3853">
        <v>5000</v>
      </c>
      <c r="K3853">
        <v>168.67099999999999</v>
      </c>
      <c r="L3853">
        <v>29.6435</v>
      </c>
      <c r="M3853">
        <v>11312.743</v>
      </c>
      <c r="N3853" t="s">
        <v>15</v>
      </c>
    </row>
    <row r="3854" spans="1:14" x14ac:dyDescent="0.2">
      <c r="A3854" t="s">
        <v>119</v>
      </c>
      <c r="B3854" t="s">
        <v>143</v>
      </c>
      <c r="C3854" t="s">
        <v>142</v>
      </c>
      <c r="D3854" t="s">
        <v>121</v>
      </c>
      <c r="E3854" t="s">
        <v>53</v>
      </c>
      <c r="F3854" t="s">
        <v>114</v>
      </c>
      <c r="G3854">
        <v>122639</v>
      </c>
      <c r="H3854" s="75">
        <v>43322</v>
      </c>
      <c r="I3854" t="s">
        <v>117</v>
      </c>
      <c r="J3854">
        <v>2.5</v>
      </c>
      <c r="K3854">
        <v>0</v>
      </c>
      <c r="M3854">
        <v>11312.743</v>
      </c>
      <c r="N3854" t="s">
        <v>46</v>
      </c>
    </row>
    <row r="3855" spans="1:14" x14ac:dyDescent="0.2">
      <c r="A3855" t="s">
        <v>119</v>
      </c>
      <c r="B3855" t="s">
        <v>143</v>
      </c>
      <c r="C3855" t="s">
        <v>142</v>
      </c>
      <c r="D3855" t="s">
        <v>121</v>
      </c>
      <c r="E3855" t="s">
        <v>53</v>
      </c>
      <c r="F3855" t="s">
        <v>114</v>
      </c>
      <c r="G3855">
        <v>122639</v>
      </c>
      <c r="H3855" s="75">
        <v>43352</v>
      </c>
      <c r="I3855" t="s">
        <v>115</v>
      </c>
      <c r="J3855">
        <v>5000</v>
      </c>
      <c r="K3855">
        <v>166.149</v>
      </c>
      <c r="L3855">
        <v>30.093599999999999</v>
      </c>
      <c r="M3855">
        <v>11478.892</v>
      </c>
      <c r="N3855" t="s">
        <v>15</v>
      </c>
    </row>
    <row r="3856" spans="1:14" x14ac:dyDescent="0.2">
      <c r="A3856" t="s">
        <v>119</v>
      </c>
      <c r="B3856" t="s">
        <v>143</v>
      </c>
      <c r="C3856" t="s">
        <v>142</v>
      </c>
      <c r="D3856" t="s">
        <v>121</v>
      </c>
      <c r="E3856" t="s">
        <v>53</v>
      </c>
      <c r="F3856" t="s">
        <v>114</v>
      </c>
      <c r="G3856">
        <v>122639</v>
      </c>
      <c r="H3856" s="75">
        <v>43382</v>
      </c>
      <c r="I3856" t="s">
        <v>115</v>
      </c>
      <c r="J3856">
        <v>5000</v>
      </c>
      <c r="K3856">
        <v>168.339</v>
      </c>
      <c r="L3856">
        <v>29.702100000000002</v>
      </c>
      <c r="M3856">
        <v>11647.231</v>
      </c>
      <c r="N3856" t="s">
        <v>15</v>
      </c>
    </row>
    <row r="3857" spans="1:15" x14ac:dyDescent="0.2">
      <c r="A3857" t="s">
        <v>119</v>
      </c>
      <c r="B3857" t="s">
        <v>143</v>
      </c>
      <c r="C3857" t="s">
        <v>142</v>
      </c>
      <c r="D3857" t="s">
        <v>121</v>
      </c>
      <c r="E3857" t="s">
        <v>53</v>
      </c>
      <c r="F3857" t="s">
        <v>114</v>
      </c>
      <c r="G3857">
        <v>122639</v>
      </c>
      <c r="H3857" s="75">
        <v>43412</v>
      </c>
      <c r="I3857" t="s">
        <v>115</v>
      </c>
      <c r="J3857">
        <v>5000</v>
      </c>
      <c r="K3857">
        <v>166.57400000000001</v>
      </c>
      <c r="L3857">
        <v>30.0168</v>
      </c>
      <c r="M3857">
        <v>11813.804</v>
      </c>
      <c r="N3857" t="s">
        <v>15</v>
      </c>
    </row>
    <row r="3858" spans="1:15" x14ac:dyDescent="0.2">
      <c r="A3858" t="s">
        <v>119</v>
      </c>
      <c r="B3858" t="s">
        <v>143</v>
      </c>
      <c r="C3858" t="s">
        <v>142</v>
      </c>
      <c r="D3858" t="s">
        <v>121</v>
      </c>
      <c r="E3858" t="s">
        <v>53</v>
      </c>
      <c r="F3858" t="s">
        <v>114</v>
      </c>
      <c r="G3858">
        <v>122639</v>
      </c>
      <c r="H3858" s="75">
        <v>43442</v>
      </c>
      <c r="I3858" t="s">
        <v>115</v>
      </c>
      <c r="J3858">
        <v>5000</v>
      </c>
      <c r="K3858">
        <v>164.18799999999999</v>
      </c>
      <c r="L3858">
        <v>30.4529</v>
      </c>
      <c r="M3858">
        <v>11977.992</v>
      </c>
      <c r="N3858" t="s">
        <v>15</v>
      </c>
    </row>
    <row r="3859" spans="1:15" x14ac:dyDescent="0.2">
      <c r="A3859" t="s">
        <v>119</v>
      </c>
      <c r="B3859" t="s">
        <v>143</v>
      </c>
      <c r="C3859" t="s">
        <v>142</v>
      </c>
      <c r="D3859" t="s">
        <v>121</v>
      </c>
      <c r="E3859" t="s">
        <v>53</v>
      </c>
      <c r="F3859" t="s">
        <v>114</v>
      </c>
      <c r="G3859">
        <v>122639</v>
      </c>
      <c r="H3859" s="75">
        <v>43472</v>
      </c>
      <c r="I3859" t="s">
        <v>115</v>
      </c>
      <c r="J3859">
        <v>5000</v>
      </c>
      <c r="K3859">
        <v>165.398</v>
      </c>
      <c r="L3859">
        <v>30.2301</v>
      </c>
      <c r="M3859">
        <v>12143.39</v>
      </c>
      <c r="N3859" t="s">
        <v>15</v>
      </c>
    </row>
    <row r="3860" spans="1:15" x14ac:dyDescent="0.2">
      <c r="A3860" t="s">
        <v>119</v>
      </c>
      <c r="B3860" t="s">
        <v>143</v>
      </c>
      <c r="C3860" t="s">
        <v>142</v>
      </c>
      <c r="D3860" t="s">
        <v>121</v>
      </c>
      <c r="E3860" t="s">
        <v>53</v>
      </c>
      <c r="F3860" t="s">
        <v>114</v>
      </c>
      <c r="G3860">
        <v>122639</v>
      </c>
      <c r="H3860" s="75">
        <v>43472</v>
      </c>
      <c r="I3860" t="s">
        <v>117</v>
      </c>
      <c r="J3860">
        <v>2.5</v>
      </c>
      <c r="K3860">
        <v>0</v>
      </c>
      <c r="M3860">
        <v>12143.39</v>
      </c>
      <c r="N3860" t="s">
        <v>46</v>
      </c>
    </row>
    <row r="3861" spans="1:15" x14ac:dyDescent="0.2">
      <c r="A3861" t="s">
        <v>119</v>
      </c>
      <c r="B3861" t="s">
        <v>143</v>
      </c>
      <c r="C3861" t="s">
        <v>142</v>
      </c>
      <c r="D3861" t="s">
        <v>121</v>
      </c>
      <c r="E3861" t="s">
        <v>53</v>
      </c>
      <c r="F3861" t="s">
        <v>114</v>
      </c>
      <c r="G3861">
        <v>122639</v>
      </c>
      <c r="H3861" s="75">
        <v>43502</v>
      </c>
      <c r="I3861" t="s">
        <v>115</v>
      </c>
      <c r="J3861">
        <v>5000</v>
      </c>
      <c r="K3861">
        <v>166.93600000000001</v>
      </c>
      <c r="L3861">
        <v>29.951499999999999</v>
      </c>
      <c r="M3861">
        <v>12310.325999999999</v>
      </c>
      <c r="N3861" t="s">
        <v>15</v>
      </c>
    </row>
    <row r="3862" spans="1:15" x14ac:dyDescent="0.2">
      <c r="A3862" t="s">
        <v>119</v>
      </c>
      <c r="B3862" t="s">
        <v>143</v>
      </c>
      <c r="C3862" t="s">
        <v>142</v>
      </c>
      <c r="D3862" t="s">
        <v>121</v>
      </c>
      <c r="E3862" t="s">
        <v>53</v>
      </c>
      <c r="F3862" t="s">
        <v>114</v>
      </c>
      <c r="G3862">
        <v>122639</v>
      </c>
      <c r="H3862" s="75">
        <v>43502</v>
      </c>
      <c r="I3862" t="s">
        <v>117</v>
      </c>
      <c r="J3862">
        <v>2.5</v>
      </c>
      <c r="K3862">
        <v>0</v>
      </c>
      <c r="M3862">
        <v>12310.325999999999</v>
      </c>
      <c r="N3862" t="s">
        <v>46</v>
      </c>
    </row>
    <row r="3863" spans="1:15" x14ac:dyDescent="0.2">
      <c r="A3863" t="s">
        <v>119</v>
      </c>
      <c r="B3863" t="s">
        <v>143</v>
      </c>
      <c r="C3863" t="s">
        <v>142</v>
      </c>
      <c r="D3863" t="s">
        <v>121</v>
      </c>
      <c r="E3863" t="s">
        <v>53</v>
      </c>
      <c r="F3863" t="s">
        <v>114</v>
      </c>
      <c r="G3863">
        <v>122639</v>
      </c>
      <c r="H3863" s="75">
        <v>43532</v>
      </c>
      <c r="I3863" t="s">
        <v>115</v>
      </c>
      <c r="J3863">
        <v>5000</v>
      </c>
      <c r="K3863">
        <v>168.95699999999999</v>
      </c>
      <c r="L3863">
        <v>29.593399999999999</v>
      </c>
      <c r="M3863">
        <v>12479.282999999999</v>
      </c>
      <c r="N3863" t="s">
        <v>15</v>
      </c>
    </row>
    <row r="3864" spans="1:15" x14ac:dyDescent="0.2">
      <c r="A3864" t="s">
        <v>119</v>
      </c>
      <c r="B3864" t="s">
        <v>143</v>
      </c>
      <c r="C3864" t="s">
        <v>142</v>
      </c>
      <c r="D3864" t="s">
        <v>121</v>
      </c>
      <c r="E3864" t="s">
        <v>53</v>
      </c>
      <c r="F3864" t="s">
        <v>114</v>
      </c>
      <c r="G3864">
        <v>122639</v>
      </c>
      <c r="H3864" s="75">
        <v>43532</v>
      </c>
      <c r="I3864" t="s">
        <v>25</v>
      </c>
      <c r="J3864">
        <v>-73860.84</v>
      </c>
      <c r="K3864">
        <v>-2495.857</v>
      </c>
      <c r="L3864">
        <v>29.593399999999999</v>
      </c>
      <c r="M3864">
        <v>9983.4259999999995</v>
      </c>
      <c r="N3864" t="s">
        <v>16</v>
      </c>
    </row>
    <row r="3865" spans="1:15" x14ac:dyDescent="0.2">
      <c r="A3865" t="s">
        <v>119</v>
      </c>
      <c r="B3865" t="s">
        <v>143</v>
      </c>
      <c r="C3865" t="s">
        <v>142</v>
      </c>
      <c r="D3865" t="s">
        <v>121</v>
      </c>
      <c r="E3865" t="s">
        <v>53</v>
      </c>
      <c r="F3865" t="s">
        <v>114</v>
      </c>
      <c r="G3865">
        <v>122639</v>
      </c>
      <c r="H3865" s="75">
        <v>43562</v>
      </c>
      <c r="I3865" t="s">
        <v>115</v>
      </c>
      <c r="J3865">
        <v>5000</v>
      </c>
      <c r="K3865">
        <v>167.113</v>
      </c>
      <c r="L3865">
        <v>29.919899999999998</v>
      </c>
      <c r="M3865">
        <v>10150.539000000001</v>
      </c>
      <c r="N3865" t="s">
        <v>15</v>
      </c>
    </row>
    <row r="3866" spans="1:15" x14ac:dyDescent="0.2">
      <c r="A3866" t="s">
        <v>119</v>
      </c>
      <c r="B3866" t="s">
        <v>143</v>
      </c>
      <c r="C3866" t="s">
        <v>142</v>
      </c>
      <c r="D3866" t="s">
        <v>121</v>
      </c>
      <c r="E3866" t="s">
        <v>53</v>
      </c>
      <c r="F3866" t="s">
        <v>114</v>
      </c>
      <c r="G3866">
        <v>122639</v>
      </c>
      <c r="H3866" s="75">
        <v>43592</v>
      </c>
      <c r="I3866" t="s">
        <v>115</v>
      </c>
      <c r="J3866">
        <v>5000</v>
      </c>
      <c r="K3866">
        <v>166.726</v>
      </c>
      <c r="L3866">
        <v>29.9893</v>
      </c>
      <c r="M3866">
        <v>10317.266</v>
      </c>
      <c r="N3866" t="s">
        <v>15</v>
      </c>
    </row>
    <row r="3867" spans="1:15" x14ac:dyDescent="0.2">
      <c r="A3867" t="s">
        <v>119</v>
      </c>
      <c r="B3867" t="s">
        <v>143</v>
      </c>
      <c r="C3867" t="s">
        <v>142</v>
      </c>
      <c r="D3867" t="s">
        <v>121</v>
      </c>
      <c r="E3867" t="s">
        <v>53</v>
      </c>
      <c r="F3867" t="s">
        <v>114</v>
      </c>
      <c r="G3867">
        <v>122639</v>
      </c>
      <c r="H3867" s="75">
        <v>43592</v>
      </c>
      <c r="I3867" t="s">
        <v>116</v>
      </c>
      <c r="J3867">
        <v>2.5</v>
      </c>
      <c r="K3867">
        <v>0</v>
      </c>
      <c r="M3867">
        <v>10317.266</v>
      </c>
      <c r="N3867" t="s">
        <v>17</v>
      </c>
    </row>
    <row r="3868" spans="1:15" x14ac:dyDescent="0.2">
      <c r="A3868" t="s">
        <v>119</v>
      </c>
      <c r="B3868" t="s">
        <v>143</v>
      </c>
      <c r="C3868" t="s">
        <v>142</v>
      </c>
      <c r="D3868" t="s">
        <v>121</v>
      </c>
      <c r="E3868" t="s">
        <v>53</v>
      </c>
      <c r="F3868" t="s">
        <v>114</v>
      </c>
      <c r="G3868">
        <v>122639</v>
      </c>
      <c r="H3868" s="75">
        <v>43592</v>
      </c>
      <c r="I3868" t="s">
        <v>118</v>
      </c>
      <c r="J3868">
        <v>5158.63</v>
      </c>
      <c r="K3868">
        <v>0</v>
      </c>
      <c r="M3868">
        <v>10317.266</v>
      </c>
      <c r="N3868" t="s">
        <v>19</v>
      </c>
      <c r="O3868">
        <v>5158.63</v>
      </c>
    </row>
    <row r="3869" spans="1:15" x14ac:dyDescent="0.2">
      <c r="A3869" t="s">
        <v>119</v>
      </c>
      <c r="B3869" t="s">
        <v>143</v>
      </c>
      <c r="C3869" t="s">
        <v>142</v>
      </c>
      <c r="D3869" t="s">
        <v>121</v>
      </c>
      <c r="E3869" t="s">
        <v>53</v>
      </c>
      <c r="F3869" t="s">
        <v>114</v>
      </c>
      <c r="G3869">
        <v>122639</v>
      </c>
      <c r="H3869" s="75">
        <v>43622</v>
      </c>
      <c r="I3869" t="s">
        <v>115</v>
      </c>
      <c r="J3869">
        <v>5000</v>
      </c>
      <c r="K3869">
        <v>162.64599999999999</v>
      </c>
      <c r="L3869">
        <v>30.741499999999998</v>
      </c>
      <c r="M3869">
        <v>10479.912</v>
      </c>
      <c r="N3869" t="s">
        <v>15</v>
      </c>
    </row>
    <row r="3870" spans="1:15" x14ac:dyDescent="0.2">
      <c r="A3870" t="s">
        <v>119</v>
      </c>
      <c r="B3870" t="s">
        <v>143</v>
      </c>
      <c r="C3870" t="s">
        <v>142</v>
      </c>
      <c r="D3870" t="s">
        <v>121</v>
      </c>
      <c r="E3870" t="s">
        <v>53</v>
      </c>
      <c r="F3870" t="s">
        <v>114</v>
      </c>
      <c r="G3870">
        <v>122639</v>
      </c>
      <c r="H3870" s="75">
        <v>43652</v>
      </c>
      <c r="I3870" t="s">
        <v>115</v>
      </c>
      <c r="J3870">
        <v>5000</v>
      </c>
      <c r="K3870">
        <v>159.09399999999999</v>
      </c>
      <c r="L3870">
        <v>31.428000000000001</v>
      </c>
      <c r="M3870">
        <v>10639.005999999999</v>
      </c>
      <c r="N3870" t="s">
        <v>15</v>
      </c>
    </row>
    <row r="3871" spans="1:15" x14ac:dyDescent="0.2">
      <c r="A3871" t="s">
        <v>119</v>
      </c>
      <c r="B3871" t="s">
        <v>143</v>
      </c>
      <c r="C3871" t="s">
        <v>142</v>
      </c>
      <c r="D3871" t="s">
        <v>121</v>
      </c>
      <c r="E3871" t="s">
        <v>53</v>
      </c>
      <c r="F3871" t="s">
        <v>114</v>
      </c>
      <c r="G3871">
        <v>122639</v>
      </c>
      <c r="H3871" s="75">
        <v>43682</v>
      </c>
      <c r="I3871" t="s">
        <v>115</v>
      </c>
      <c r="J3871">
        <v>5000</v>
      </c>
      <c r="K3871">
        <v>155.346</v>
      </c>
      <c r="L3871">
        <v>32.186199999999999</v>
      </c>
      <c r="M3871">
        <v>10794.352000000001</v>
      </c>
      <c r="N3871" t="s">
        <v>15</v>
      </c>
    </row>
    <row r="3872" spans="1:15" x14ac:dyDescent="0.2">
      <c r="A3872" t="s">
        <v>119</v>
      </c>
      <c r="B3872" t="s">
        <v>143</v>
      </c>
      <c r="C3872" t="s">
        <v>142</v>
      </c>
      <c r="D3872" t="s">
        <v>121</v>
      </c>
      <c r="E3872" t="s">
        <v>53</v>
      </c>
      <c r="F3872" t="s">
        <v>114</v>
      </c>
      <c r="G3872">
        <v>122639</v>
      </c>
      <c r="H3872" s="75">
        <v>43712</v>
      </c>
      <c r="I3872" t="s">
        <v>115</v>
      </c>
      <c r="J3872">
        <v>5000</v>
      </c>
      <c r="K3872">
        <v>152.822</v>
      </c>
      <c r="L3872">
        <v>32.717799999999997</v>
      </c>
      <c r="M3872">
        <v>10947.174000000001</v>
      </c>
      <c r="N3872" t="s">
        <v>15</v>
      </c>
    </row>
    <row r="3873" spans="1:15" x14ac:dyDescent="0.2">
      <c r="A3873" t="s">
        <v>119</v>
      </c>
      <c r="B3873" t="s">
        <v>143</v>
      </c>
      <c r="C3873" t="s">
        <v>142</v>
      </c>
      <c r="D3873" t="s">
        <v>121</v>
      </c>
      <c r="E3873" t="s">
        <v>53</v>
      </c>
      <c r="F3873" t="s">
        <v>114</v>
      </c>
      <c r="G3873">
        <v>122639</v>
      </c>
      <c r="H3873" s="75">
        <v>43712</v>
      </c>
      <c r="I3873" t="s">
        <v>118</v>
      </c>
      <c r="J3873">
        <v>5473.59</v>
      </c>
      <c r="K3873">
        <v>0</v>
      </c>
      <c r="M3873">
        <v>10947.174000000001</v>
      </c>
      <c r="N3873" t="s">
        <v>19</v>
      </c>
      <c r="O3873">
        <v>5473.59</v>
      </c>
    </row>
    <row r="3874" spans="1:15" x14ac:dyDescent="0.2">
      <c r="A3874" t="s">
        <v>119</v>
      </c>
      <c r="B3874" t="s">
        <v>143</v>
      </c>
      <c r="C3874" t="s">
        <v>142</v>
      </c>
      <c r="D3874" t="s">
        <v>121</v>
      </c>
      <c r="E3874" t="s">
        <v>53</v>
      </c>
      <c r="F3874" t="s">
        <v>114</v>
      </c>
      <c r="G3874">
        <v>122639</v>
      </c>
      <c r="H3874" s="75">
        <v>43742</v>
      </c>
      <c r="I3874" t="s">
        <v>115</v>
      </c>
      <c r="J3874">
        <v>5000</v>
      </c>
      <c r="K3874">
        <v>149.286</v>
      </c>
      <c r="L3874">
        <v>33.492800000000003</v>
      </c>
      <c r="M3874">
        <v>11096.46</v>
      </c>
      <c r="N3874" t="s">
        <v>15</v>
      </c>
    </row>
    <row r="3875" spans="1:15" x14ac:dyDescent="0.2">
      <c r="A3875" t="s">
        <v>119</v>
      </c>
      <c r="B3875" t="s">
        <v>143</v>
      </c>
      <c r="C3875" t="s">
        <v>142</v>
      </c>
      <c r="D3875" t="s">
        <v>121</v>
      </c>
      <c r="E3875" t="s">
        <v>53</v>
      </c>
      <c r="F3875" t="s">
        <v>114</v>
      </c>
      <c r="G3875">
        <v>122639</v>
      </c>
      <c r="H3875" s="75">
        <v>43772</v>
      </c>
      <c r="I3875" t="s">
        <v>115</v>
      </c>
      <c r="J3875">
        <v>5000</v>
      </c>
      <c r="K3875">
        <v>147.96899999999999</v>
      </c>
      <c r="L3875">
        <v>33.790900000000001</v>
      </c>
      <c r="M3875">
        <v>11244.429</v>
      </c>
      <c r="N3875" t="s">
        <v>15</v>
      </c>
    </row>
    <row r="3876" spans="1:15" x14ac:dyDescent="0.2">
      <c r="A3876" t="s">
        <v>119</v>
      </c>
      <c r="B3876" t="s">
        <v>143</v>
      </c>
      <c r="C3876" t="s">
        <v>142</v>
      </c>
      <c r="D3876" t="s">
        <v>121</v>
      </c>
      <c r="E3876" t="s">
        <v>53</v>
      </c>
      <c r="F3876" t="s">
        <v>114</v>
      </c>
      <c r="G3876">
        <v>122639</v>
      </c>
      <c r="H3876" s="75">
        <v>43772</v>
      </c>
      <c r="I3876" t="s">
        <v>116</v>
      </c>
      <c r="J3876">
        <v>2.5</v>
      </c>
      <c r="K3876">
        <v>0</v>
      </c>
      <c r="M3876">
        <v>11244.429</v>
      </c>
      <c r="N3876" t="s">
        <v>17</v>
      </c>
    </row>
    <row r="3877" spans="1:15" x14ac:dyDescent="0.2">
      <c r="A3877" t="s">
        <v>119</v>
      </c>
      <c r="B3877" t="s">
        <v>143</v>
      </c>
      <c r="C3877" t="s">
        <v>142</v>
      </c>
      <c r="D3877" t="s">
        <v>121</v>
      </c>
      <c r="E3877" t="s">
        <v>53</v>
      </c>
      <c r="F3877" t="s">
        <v>114</v>
      </c>
      <c r="G3877">
        <v>122639</v>
      </c>
      <c r="H3877" s="75">
        <v>43772</v>
      </c>
      <c r="I3877" t="s">
        <v>118</v>
      </c>
      <c r="J3877">
        <v>5622.21</v>
      </c>
      <c r="K3877">
        <v>0</v>
      </c>
      <c r="M3877">
        <v>11244.429</v>
      </c>
      <c r="N3877" t="s">
        <v>19</v>
      </c>
      <c r="O3877">
        <v>5622.21</v>
      </c>
    </row>
    <row r="3878" spans="1:15" x14ac:dyDescent="0.2">
      <c r="A3878" t="s">
        <v>119</v>
      </c>
      <c r="B3878" t="s">
        <v>143</v>
      </c>
      <c r="C3878" t="s">
        <v>142</v>
      </c>
      <c r="D3878" t="s">
        <v>121</v>
      </c>
      <c r="E3878" t="s">
        <v>53</v>
      </c>
      <c r="F3878" t="s">
        <v>114</v>
      </c>
      <c r="G3878">
        <v>122639</v>
      </c>
      <c r="H3878" s="75">
        <v>43802</v>
      </c>
      <c r="I3878" t="s">
        <v>115</v>
      </c>
      <c r="J3878">
        <v>5000</v>
      </c>
      <c r="K3878">
        <v>147.34</v>
      </c>
      <c r="L3878">
        <v>33.935200000000002</v>
      </c>
      <c r="M3878">
        <v>11391.769</v>
      </c>
      <c r="N3878" t="s">
        <v>15</v>
      </c>
    </row>
    <row r="3879" spans="1:15" x14ac:dyDescent="0.2">
      <c r="A3879" t="s">
        <v>119</v>
      </c>
      <c r="B3879" t="s">
        <v>143</v>
      </c>
      <c r="C3879" t="s">
        <v>142</v>
      </c>
      <c r="D3879" t="s">
        <v>121</v>
      </c>
      <c r="E3879" t="s">
        <v>53</v>
      </c>
      <c r="F3879" t="s">
        <v>114</v>
      </c>
      <c r="G3879">
        <v>122639</v>
      </c>
      <c r="H3879" s="75">
        <v>43832</v>
      </c>
      <c r="I3879" t="s">
        <v>115</v>
      </c>
      <c r="J3879">
        <v>5000</v>
      </c>
      <c r="K3879">
        <v>143.619</v>
      </c>
      <c r="L3879">
        <v>34.814399999999999</v>
      </c>
      <c r="M3879">
        <v>11535.387000000001</v>
      </c>
      <c r="N3879" t="s">
        <v>15</v>
      </c>
    </row>
    <row r="3880" spans="1:15" x14ac:dyDescent="0.2">
      <c r="A3880" t="s">
        <v>119</v>
      </c>
      <c r="B3880" t="s">
        <v>143</v>
      </c>
      <c r="C3880" t="s">
        <v>142</v>
      </c>
      <c r="D3880" t="s">
        <v>121</v>
      </c>
      <c r="E3880" t="s">
        <v>53</v>
      </c>
      <c r="F3880" t="s">
        <v>114</v>
      </c>
      <c r="G3880">
        <v>122639</v>
      </c>
      <c r="H3880" s="75">
        <v>43862</v>
      </c>
      <c r="I3880" t="s">
        <v>115</v>
      </c>
      <c r="J3880">
        <v>5000</v>
      </c>
      <c r="K3880">
        <v>145.40899999999999</v>
      </c>
      <c r="L3880">
        <v>34.3857</v>
      </c>
      <c r="M3880">
        <v>11680.797</v>
      </c>
      <c r="N3880" t="s">
        <v>15</v>
      </c>
    </row>
    <row r="3881" spans="1:15" x14ac:dyDescent="0.2">
      <c r="A3881" t="s">
        <v>119</v>
      </c>
      <c r="B3881" t="s">
        <v>143</v>
      </c>
      <c r="C3881" t="s">
        <v>142</v>
      </c>
      <c r="D3881" t="s">
        <v>121</v>
      </c>
      <c r="E3881" t="s">
        <v>53</v>
      </c>
      <c r="F3881" t="s">
        <v>114</v>
      </c>
      <c r="G3881">
        <v>122639</v>
      </c>
      <c r="H3881" s="75">
        <v>43892</v>
      </c>
      <c r="I3881" t="s">
        <v>115</v>
      </c>
      <c r="J3881">
        <v>5000</v>
      </c>
      <c r="K3881">
        <v>146.096</v>
      </c>
      <c r="L3881">
        <v>34.2241</v>
      </c>
      <c r="M3881">
        <v>11826.893</v>
      </c>
      <c r="N3881" t="s">
        <v>15</v>
      </c>
    </row>
    <row r="3882" spans="1:15" x14ac:dyDescent="0.2">
      <c r="A3882" t="s">
        <v>119</v>
      </c>
      <c r="B3882" t="s">
        <v>143</v>
      </c>
      <c r="C3882" t="s">
        <v>142</v>
      </c>
      <c r="D3882" t="s">
        <v>121</v>
      </c>
      <c r="E3882" t="s">
        <v>53</v>
      </c>
      <c r="F3882" t="s">
        <v>114</v>
      </c>
      <c r="G3882">
        <v>122639</v>
      </c>
      <c r="H3882" s="75">
        <v>43922</v>
      </c>
      <c r="I3882" t="s">
        <v>115</v>
      </c>
      <c r="J3882">
        <v>5000</v>
      </c>
      <c r="K3882">
        <v>147.214</v>
      </c>
      <c r="L3882">
        <v>33.964199999999998</v>
      </c>
      <c r="M3882">
        <v>11974.107</v>
      </c>
      <c r="N3882" t="s">
        <v>15</v>
      </c>
    </row>
    <row r="3883" spans="1:15" x14ac:dyDescent="0.2">
      <c r="A3883" t="s">
        <v>119</v>
      </c>
      <c r="B3883" t="s">
        <v>143</v>
      </c>
      <c r="C3883" t="s">
        <v>142</v>
      </c>
      <c r="D3883" t="s">
        <v>121</v>
      </c>
      <c r="E3883" t="s">
        <v>53</v>
      </c>
      <c r="F3883" t="s">
        <v>114</v>
      </c>
      <c r="G3883">
        <v>122639</v>
      </c>
      <c r="H3883" s="75">
        <v>43922</v>
      </c>
      <c r="I3883" t="s">
        <v>117</v>
      </c>
      <c r="J3883">
        <v>2.5</v>
      </c>
      <c r="K3883">
        <v>0</v>
      </c>
      <c r="M3883">
        <v>11974.107</v>
      </c>
      <c r="N3883" t="s">
        <v>46</v>
      </c>
    </row>
    <row r="3884" spans="1:15" x14ac:dyDescent="0.2">
      <c r="A3884" t="s">
        <v>119</v>
      </c>
      <c r="B3884" t="s">
        <v>143</v>
      </c>
      <c r="C3884" t="s">
        <v>142</v>
      </c>
      <c r="D3884" t="s">
        <v>121</v>
      </c>
      <c r="E3884" t="s">
        <v>53</v>
      </c>
      <c r="F3884" t="s">
        <v>114</v>
      </c>
      <c r="G3884">
        <v>122639</v>
      </c>
      <c r="H3884" s="75">
        <v>43952</v>
      </c>
      <c r="I3884" t="s">
        <v>115</v>
      </c>
      <c r="J3884">
        <v>5000</v>
      </c>
      <c r="K3884">
        <v>149.77500000000001</v>
      </c>
      <c r="L3884">
        <v>33.383400000000002</v>
      </c>
      <c r="M3884">
        <v>12123.882</v>
      </c>
      <c r="N3884" t="s">
        <v>15</v>
      </c>
    </row>
    <row r="3885" spans="1:15" x14ac:dyDescent="0.2">
      <c r="A3885" t="s">
        <v>119</v>
      </c>
      <c r="B3885" t="s">
        <v>143</v>
      </c>
      <c r="C3885" t="s">
        <v>142</v>
      </c>
      <c r="D3885" t="s">
        <v>121</v>
      </c>
      <c r="E3885" t="s">
        <v>53</v>
      </c>
      <c r="F3885" t="s">
        <v>114</v>
      </c>
      <c r="G3885">
        <v>122639</v>
      </c>
      <c r="H3885" s="75">
        <v>43982</v>
      </c>
      <c r="I3885" t="s">
        <v>115</v>
      </c>
      <c r="J3885">
        <v>5000</v>
      </c>
      <c r="K3885">
        <v>148.107</v>
      </c>
      <c r="L3885">
        <v>33.759300000000003</v>
      </c>
      <c r="M3885">
        <v>12271.989</v>
      </c>
      <c r="N3885" t="s">
        <v>15</v>
      </c>
    </row>
    <row r="3886" spans="1:15" x14ac:dyDescent="0.2">
      <c r="A3886" t="s">
        <v>119</v>
      </c>
      <c r="B3886" t="s">
        <v>143</v>
      </c>
      <c r="C3886" t="s">
        <v>142</v>
      </c>
      <c r="D3886" t="s">
        <v>121</v>
      </c>
      <c r="E3886" t="s">
        <v>53</v>
      </c>
      <c r="F3886" t="s">
        <v>114</v>
      </c>
      <c r="G3886">
        <v>122639</v>
      </c>
      <c r="H3886" s="75">
        <v>44012</v>
      </c>
      <c r="I3886" t="s">
        <v>115</v>
      </c>
      <c r="J3886">
        <v>5000</v>
      </c>
      <c r="K3886">
        <v>147.93700000000001</v>
      </c>
      <c r="L3886">
        <v>33.798099999999998</v>
      </c>
      <c r="M3886">
        <v>12419.925999999999</v>
      </c>
      <c r="N3886" t="s">
        <v>15</v>
      </c>
    </row>
    <row r="3887" spans="1:15" x14ac:dyDescent="0.2">
      <c r="A3887" t="s">
        <v>119</v>
      </c>
      <c r="B3887" t="s">
        <v>143</v>
      </c>
      <c r="C3887" t="s">
        <v>142</v>
      </c>
      <c r="D3887" t="s">
        <v>121</v>
      </c>
      <c r="E3887" t="s">
        <v>53</v>
      </c>
      <c r="F3887" t="s">
        <v>114</v>
      </c>
      <c r="G3887">
        <v>122639</v>
      </c>
      <c r="H3887" s="75">
        <v>44042</v>
      </c>
      <c r="I3887" t="s">
        <v>115</v>
      </c>
      <c r="J3887">
        <v>5000</v>
      </c>
      <c r="K3887">
        <v>146.101</v>
      </c>
      <c r="L3887">
        <v>34.222999999999999</v>
      </c>
      <c r="M3887">
        <v>12566.027</v>
      </c>
      <c r="N3887" t="s">
        <v>15</v>
      </c>
    </row>
    <row r="3888" spans="1:15" x14ac:dyDescent="0.2">
      <c r="A3888" t="s">
        <v>119</v>
      </c>
      <c r="B3888" t="s">
        <v>143</v>
      </c>
      <c r="C3888" t="s">
        <v>142</v>
      </c>
      <c r="D3888" t="s">
        <v>121</v>
      </c>
      <c r="E3888" t="s">
        <v>53</v>
      </c>
      <c r="F3888" t="s">
        <v>114</v>
      </c>
      <c r="G3888">
        <v>122639</v>
      </c>
      <c r="H3888" s="75">
        <v>44072</v>
      </c>
      <c r="I3888" t="s">
        <v>115</v>
      </c>
      <c r="J3888">
        <v>5000</v>
      </c>
      <c r="K3888">
        <v>144.55500000000001</v>
      </c>
      <c r="L3888">
        <v>34.588999999999999</v>
      </c>
      <c r="M3888">
        <v>12710.582</v>
      </c>
      <c r="N3888" t="s">
        <v>15</v>
      </c>
    </row>
    <row r="3889" spans="1:14" x14ac:dyDescent="0.2">
      <c r="A3889" t="s">
        <v>119</v>
      </c>
      <c r="B3889" t="s">
        <v>143</v>
      </c>
      <c r="C3889" t="s">
        <v>142</v>
      </c>
      <c r="D3889" t="s">
        <v>121</v>
      </c>
      <c r="E3889" t="s">
        <v>53</v>
      </c>
      <c r="F3889" t="s">
        <v>114</v>
      </c>
      <c r="G3889">
        <v>122639</v>
      </c>
      <c r="H3889" s="75">
        <v>44072</v>
      </c>
      <c r="I3889" t="s">
        <v>116</v>
      </c>
      <c r="J3889">
        <v>2.5</v>
      </c>
      <c r="K3889">
        <v>0</v>
      </c>
      <c r="M3889">
        <v>12710.582</v>
      </c>
      <c r="N3889" t="s">
        <v>17</v>
      </c>
    </row>
    <row r="3890" spans="1:14" x14ac:dyDescent="0.2">
      <c r="A3890" t="s">
        <v>119</v>
      </c>
      <c r="B3890" t="s">
        <v>143</v>
      </c>
      <c r="C3890" t="s">
        <v>142</v>
      </c>
      <c r="D3890" t="s">
        <v>121</v>
      </c>
      <c r="E3890" t="s">
        <v>53</v>
      </c>
      <c r="F3890" t="s">
        <v>114</v>
      </c>
      <c r="G3890">
        <v>122639</v>
      </c>
      <c r="H3890" s="75">
        <v>44102</v>
      </c>
      <c r="I3890" t="s">
        <v>115</v>
      </c>
      <c r="J3890">
        <v>5000</v>
      </c>
      <c r="K3890">
        <v>141.75299999999999</v>
      </c>
      <c r="L3890">
        <v>35.272500000000001</v>
      </c>
      <c r="M3890">
        <v>12852.334999999999</v>
      </c>
      <c r="N3890" t="s">
        <v>15</v>
      </c>
    </row>
    <row r="3891" spans="1:14" x14ac:dyDescent="0.2">
      <c r="A3891" t="s">
        <v>119</v>
      </c>
      <c r="B3891" t="s">
        <v>143</v>
      </c>
      <c r="C3891" t="s">
        <v>142</v>
      </c>
      <c r="D3891" t="s">
        <v>121</v>
      </c>
      <c r="E3891" t="s">
        <v>53</v>
      </c>
      <c r="F3891" t="s">
        <v>114</v>
      </c>
      <c r="G3891">
        <v>122639</v>
      </c>
      <c r="H3891" s="75">
        <v>44132</v>
      </c>
      <c r="I3891" t="s">
        <v>115</v>
      </c>
      <c r="J3891">
        <v>5000</v>
      </c>
      <c r="K3891">
        <v>138.29400000000001</v>
      </c>
      <c r="L3891">
        <v>36.154800000000002</v>
      </c>
      <c r="M3891">
        <v>12990.629000000001</v>
      </c>
      <c r="N3891" t="s">
        <v>15</v>
      </c>
    </row>
    <row r="3892" spans="1:14" x14ac:dyDescent="0.2">
      <c r="A3892" t="s">
        <v>119</v>
      </c>
      <c r="B3892" t="s">
        <v>143</v>
      </c>
      <c r="C3892" t="s">
        <v>142</v>
      </c>
      <c r="D3892" t="s">
        <v>121</v>
      </c>
      <c r="E3892" t="s">
        <v>53</v>
      </c>
      <c r="F3892" t="s">
        <v>114</v>
      </c>
      <c r="G3892">
        <v>122639</v>
      </c>
      <c r="H3892" s="75">
        <v>44162</v>
      </c>
      <c r="I3892" t="s">
        <v>115</v>
      </c>
      <c r="J3892">
        <v>5000</v>
      </c>
      <c r="K3892">
        <v>134.505</v>
      </c>
      <c r="L3892">
        <v>37.173299999999998</v>
      </c>
      <c r="M3892">
        <v>13125.135</v>
      </c>
      <c r="N3892" t="s">
        <v>15</v>
      </c>
    </row>
    <row r="3893" spans="1:14" x14ac:dyDescent="0.2">
      <c r="A3893" t="s">
        <v>119</v>
      </c>
      <c r="B3893" t="s">
        <v>143</v>
      </c>
      <c r="C3893" t="s">
        <v>142</v>
      </c>
      <c r="D3893" t="s">
        <v>121</v>
      </c>
      <c r="E3893" t="s">
        <v>53</v>
      </c>
      <c r="F3893" t="s">
        <v>114</v>
      </c>
      <c r="G3893">
        <v>122639</v>
      </c>
      <c r="H3893" s="75">
        <v>44192</v>
      </c>
      <c r="I3893" t="s">
        <v>115</v>
      </c>
      <c r="J3893">
        <v>5000</v>
      </c>
      <c r="K3893">
        <v>133.33099999999999</v>
      </c>
      <c r="L3893">
        <v>37.500700000000002</v>
      </c>
      <c r="M3893">
        <v>13258.465</v>
      </c>
      <c r="N3893" t="s">
        <v>15</v>
      </c>
    </row>
    <row r="3894" spans="1:14" x14ac:dyDescent="0.2">
      <c r="A3894" t="s">
        <v>119</v>
      </c>
      <c r="B3894" t="s">
        <v>143</v>
      </c>
      <c r="C3894" t="s">
        <v>142</v>
      </c>
      <c r="D3894" t="s">
        <v>121</v>
      </c>
      <c r="E3894" t="s">
        <v>53</v>
      </c>
      <c r="F3894" t="s">
        <v>114</v>
      </c>
      <c r="G3894">
        <v>122639</v>
      </c>
      <c r="H3894" s="75">
        <v>44222</v>
      </c>
      <c r="I3894" t="s">
        <v>115</v>
      </c>
      <c r="J3894">
        <v>5000</v>
      </c>
      <c r="K3894">
        <v>135.72300000000001</v>
      </c>
      <c r="L3894">
        <v>36.839700000000001</v>
      </c>
      <c r="M3894">
        <v>13394.188</v>
      </c>
      <c r="N3894" t="s">
        <v>15</v>
      </c>
    </row>
    <row r="3895" spans="1:14" x14ac:dyDescent="0.2">
      <c r="A3895" t="s">
        <v>119</v>
      </c>
      <c r="B3895" t="s">
        <v>143</v>
      </c>
      <c r="C3895" t="s">
        <v>142</v>
      </c>
      <c r="D3895" t="s">
        <v>121</v>
      </c>
      <c r="E3895" t="s">
        <v>53</v>
      </c>
      <c r="F3895" t="s">
        <v>114</v>
      </c>
      <c r="G3895">
        <v>122639</v>
      </c>
      <c r="H3895" s="75">
        <v>44252</v>
      </c>
      <c r="I3895" t="s">
        <v>115</v>
      </c>
      <c r="J3895">
        <v>5000</v>
      </c>
      <c r="K3895">
        <v>136.38900000000001</v>
      </c>
      <c r="L3895">
        <v>36.6599</v>
      </c>
      <c r="M3895">
        <v>13530.576999999999</v>
      </c>
      <c r="N3895" t="s">
        <v>15</v>
      </c>
    </row>
    <row r="3896" spans="1:14" x14ac:dyDescent="0.2">
      <c r="A3896" t="s">
        <v>119</v>
      </c>
      <c r="B3896" t="s">
        <v>143</v>
      </c>
      <c r="C3896" t="s">
        <v>142</v>
      </c>
      <c r="D3896" t="s">
        <v>121</v>
      </c>
      <c r="E3896" t="s">
        <v>53</v>
      </c>
      <c r="F3896" t="s">
        <v>114</v>
      </c>
      <c r="G3896">
        <v>122639</v>
      </c>
      <c r="H3896" s="75">
        <v>44282</v>
      </c>
      <c r="I3896" t="s">
        <v>115</v>
      </c>
      <c r="J3896">
        <v>5000</v>
      </c>
      <c r="K3896">
        <v>134.626</v>
      </c>
      <c r="L3896">
        <v>37.139899999999997</v>
      </c>
      <c r="M3896">
        <v>13665.203</v>
      </c>
      <c r="N3896" t="s">
        <v>15</v>
      </c>
    </row>
    <row r="3897" spans="1:14" x14ac:dyDescent="0.2">
      <c r="A3897" t="s">
        <v>119</v>
      </c>
      <c r="B3897" t="s">
        <v>143</v>
      </c>
      <c r="C3897" t="s">
        <v>142</v>
      </c>
      <c r="D3897" t="s">
        <v>121</v>
      </c>
      <c r="E3897" t="s">
        <v>53</v>
      </c>
      <c r="F3897" t="s">
        <v>114</v>
      </c>
      <c r="G3897">
        <v>122639</v>
      </c>
      <c r="H3897" s="75">
        <v>44312</v>
      </c>
      <c r="I3897" t="s">
        <v>115</v>
      </c>
      <c r="J3897">
        <v>5000</v>
      </c>
      <c r="K3897">
        <v>136.10499999999999</v>
      </c>
      <c r="L3897">
        <v>36.7363</v>
      </c>
      <c r="M3897">
        <v>13801.308000000001</v>
      </c>
      <c r="N3897" t="s">
        <v>15</v>
      </c>
    </row>
    <row r="3898" spans="1:14" x14ac:dyDescent="0.2">
      <c r="A3898" t="s">
        <v>119</v>
      </c>
      <c r="B3898" t="s">
        <v>143</v>
      </c>
      <c r="C3898" t="s">
        <v>142</v>
      </c>
      <c r="D3898" t="s">
        <v>121</v>
      </c>
      <c r="E3898" t="s">
        <v>53</v>
      </c>
      <c r="F3898" t="s">
        <v>114</v>
      </c>
      <c r="G3898">
        <v>122639</v>
      </c>
      <c r="H3898" s="75">
        <v>44342</v>
      </c>
      <c r="I3898" t="s">
        <v>115</v>
      </c>
      <c r="J3898">
        <v>5000</v>
      </c>
      <c r="K3898">
        <v>137.22800000000001</v>
      </c>
      <c r="L3898">
        <v>36.4358</v>
      </c>
      <c r="M3898">
        <v>13938.536</v>
      </c>
      <c r="N3898" t="s">
        <v>15</v>
      </c>
    </row>
    <row r="3899" spans="1:14" x14ac:dyDescent="0.2">
      <c r="A3899" t="s">
        <v>119</v>
      </c>
      <c r="B3899" t="s">
        <v>143</v>
      </c>
      <c r="C3899" t="s">
        <v>142</v>
      </c>
      <c r="D3899" t="s">
        <v>121</v>
      </c>
      <c r="E3899" t="s">
        <v>53</v>
      </c>
      <c r="F3899" t="s">
        <v>114</v>
      </c>
      <c r="G3899">
        <v>122639</v>
      </c>
      <c r="H3899" s="75">
        <v>44372</v>
      </c>
      <c r="I3899" t="s">
        <v>115</v>
      </c>
      <c r="J3899">
        <v>5000</v>
      </c>
      <c r="K3899">
        <v>139.102</v>
      </c>
      <c r="L3899">
        <v>35.944899999999997</v>
      </c>
      <c r="M3899">
        <v>14077.638000000001</v>
      </c>
      <c r="N3899" t="s">
        <v>15</v>
      </c>
    </row>
    <row r="3900" spans="1:14" x14ac:dyDescent="0.2">
      <c r="A3900" t="s">
        <v>119</v>
      </c>
      <c r="B3900" t="s">
        <v>143</v>
      </c>
      <c r="C3900" t="s">
        <v>142</v>
      </c>
      <c r="D3900" t="s">
        <v>121</v>
      </c>
      <c r="E3900" t="s">
        <v>53</v>
      </c>
      <c r="F3900" t="s">
        <v>114</v>
      </c>
      <c r="G3900">
        <v>122639</v>
      </c>
      <c r="H3900" s="75">
        <v>44402</v>
      </c>
      <c r="I3900" t="s">
        <v>115</v>
      </c>
      <c r="J3900">
        <v>5000</v>
      </c>
      <c r="K3900">
        <v>136.46899999999999</v>
      </c>
      <c r="L3900">
        <v>36.638399999999997</v>
      </c>
      <c r="M3900">
        <v>14214.107</v>
      </c>
      <c r="N3900" t="s">
        <v>15</v>
      </c>
    </row>
    <row r="3901" spans="1:14" x14ac:dyDescent="0.2">
      <c r="A3901" t="s">
        <v>119</v>
      </c>
      <c r="B3901" t="s">
        <v>143</v>
      </c>
      <c r="C3901" t="s">
        <v>142</v>
      </c>
      <c r="D3901" t="s">
        <v>121</v>
      </c>
      <c r="E3901" t="s">
        <v>53</v>
      </c>
      <c r="F3901" t="s">
        <v>114</v>
      </c>
      <c r="G3901">
        <v>122639</v>
      </c>
      <c r="H3901" s="75">
        <v>44432</v>
      </c>
      <c r="I3901" t="s">
        <v>115</v>
      </c>
      <c r="J3901">
        <v>5000</v>
      </c>
      <c r="K3901">
        <v>138.17099999999999</v>
      </c>
      <c r="L3901">
        <v>36.186900000000001</v>
      </c>
      <c r="M3901">
        <v>14352.278</v>
      </c>
      <c r="N3901" t="s">
        <v>15</v>
      </c>
    </row>
    <row r="3902" spans="1:14" x14ac:dyDescent="0.2">
      <c r="A3902" t="s">
        <v>119</v>
      </c>
      <c r="B3902" t="s">
        <v>143</v>
      </c>
      <c r="C3902" t="s">
        <v>142</v>
      </c>
      <c r="D3902" t="s">
        <v>121</v>
      </c>
      <c r="E3902" t="s">
        <v>53</v>
      </c>
      <c r="F3902" t="s">
        <v>114</v>
      </c>
      <c r="G3902">
        <v>122639</v>
      </c>
      <c r="H3902" s="75">
        <v>44462</v>
      </c>
      <c r="I3902" t="s">
        <v>115</v>
      </c>
      <c r="J3902">
        <v>5000</v>
      </c>
      <c r="K3902">
        <v>139.096</v>
      </c>
      <c r="L3902">
        <v>35.946300000000001</v>
      </c>
      <c r="M3902">
        <v>14491.374</v>
      </c>
      <c r="N3902" t="s">
        <v>15</v>
      </c>
    </row>
    <row r="3903" spans="1:14" x14ac:dyDescent="0.2">
      <c r="A3903" t="s">
        <v>119</v>
      </c>
      <c r="B3903" t="s">
        <v>143</v>
      </c>
      <c r="C3903" t="s">
        <v>142</v>
      </c>
      <c r="D3903" t="s">
        <v>121</v>
      </c>
      <c r="E3903" t="s">
        <v>53</v>
      </c>
      <c r="F3903" t="s">
        <v>114</v>
      </c>
      <c r="G3903">
        <v>122639</v>
      </c>
      <c r="H3903" s="75">
        <v>44492</v>
      </c>
      <c r="I3903" t="s">
        <v>115</v>
      </c>
      <c r="J3903">
        <v>5000</v>
      </c>
      <c r="K3903">
        <v>140.80199999999999</v>
      </c>
      <c r="L3903">
        <v>35.510800000000003</v>
      </c>
      <c r="M3903">
        <v>14632.177</v>
      </c>
      <c r="N3903" t="s">
        <v>15</v>
      </c>
    </row>
    <row r="3904" spans="1:14" x14ac:dyDescent="0.2">
      <c r="A3904" t="s">
        <v>119</v>
      </c>
      <c r="B3904" t="s">
        <v>143</v>
      </c>
      <c r="C3904" t="s">
        <v>142</v>
      </c>
      <c r="D3904" t="s">
        <v>121</v>
      </c>
      <c r="E3904" t="s">
        <v>53</v>
      </c>
      <c r="F3904" t="s">
        <v>114</v>
      </c>
      <c r="G3904">
        <v>122639</v>
      </c>
      <c r="H3904" s="75">
        <v>44522</v>
      </c>
      <c r="I3904" t="s">
        <v>115</v>
      </c>
      <c r="J3904">
        <v>5000</v>
      </c>
      <c r="K3904">
        <v>139.88</v>
      </c>
      <c r="L3904">
        <v>35.744999999999997</v>
      </c>
      <c r="M3904">
        <v>14772.056</v>
      </c>
      <c r="N3904" t="s">
        <v>15</v>
      </c>
    </row>
    <row r="3905" spans="1:14" x14ac:dyDescent="0.2">
      <c r="A3905" t="s">
        <v>119</v>
      </c>
      <c r="B3905" t="s">
        <v>143</v>
      </c>
      <c r="C3905" t="s">
        <v>142</v>
      </c>
      <c r="D3905" t="s">
        <v>121</v>
      </c>
      <c r="E3905" t="s">
        <v>53</v>
      </c>
      <c r="F3905" t="s">
        <v>114</v>
      </c>
      <c r="G3905">
        <v>122639</v>
      </c>
      <c r="H3905" s="75">
        <v>44552</v>
      </c>
      <c r="I3905" t="s">
        <v>115</v>
      </c>
      <c r="J3905">
        <v>5000</v>
      </c>
      <c r="K3905">
        <v>141.13900000000001</v>
      </c>
      <c r="L3905">
        <v>35.426000000000002</v>
      </c>
      <c r="M3905">
        <v>14913.195</v>
      </c>
      <c r="N3905" t="s">
        <v>15</v>
      </c>
    </row>
    <row r="3906" spans="1:14" x14ac:dyDescent="0.2">
      <c r="A3906" t="s">
        <v>119</v>
      </c>
      <c r="B3906" t="s">
        <v>143</v>
      </c>
      <c r="C3906" t="s">
        <v>142</v>
      </c>
      <c r="D3906" t="s">
        <v>121</v>
      </c>
      <c r="E3906" t="s">
        <v>53</v>
      </c>
      <c r="F3906" t="s">
        <v>114</v>
      </c>
      <c r="G3906">
        <v>122639</v>
      </c>
      <c r="H3906" s="75">
        <v>44582</v>
      </c>
      <c r="I3906" t="s">
        <v>115</v>
      </c>
      <c r="J3906">
        <v>5000</v>
      </c>
      <c r="K3906">
        <v>140.75399999999999</v>
      </c>
      <c r="L3906">
        <v>35.523000000000003</v>
      </c>
      <c r="M3906">
        <v>15053.949000000001</v>
      </c>
      <c r="N3906" t="s">
        <v>15</v>
      </c>
    </row>
    <row r="3907" spans="1:14" x14ac:dyDescent="0.2">
      <c r="A3907" t="s">
        <v>119</v>
      </c>
      <c r="B3907" t="s">
        <v>143</v>
      </c>
      <c r="C3907" t="s">
        <v>142</v>
      </c>
      <c r="D3907" t="s">
        <v>121</v>
      </c>
      <c r="E3907" t="s">
        <v>53</v>
      </c>
      <c r="F3907" t="s">
        <v>114</v>
      </c>
      <c r="G3907">
        <v>122639</v>
      </c>
      <c r="H3907" s="75">
        <v>44582</v>
      </c>
      <c r="I3907" t="s">
        <v>25</v>
      </c>
      <c r="J3907">
        <v>-106952.44</v>
      </c>
      <c r="K3907">
        <v>-3010.79</v>
      </c>
      <c r="L3907">
        <v>35.523000000000003</v>
      </c>
      <c r="M3907">
        <v>12043.159</v>
      </c>
      <c r="N3907" t="s">
        <v>16</v>
      </c>
    </row>
    <row r="3908" spans="1:14" x14ac:dyDescent="0.2">
      <c r="A3908" t="s">
        <v>119</v>
      </c>
      <c r="B3908" t="s">
        <v>143</v>
      </c>
      <c r="C3908" t="s">
        <v>142</v>
      </c>
      <c r="D3908" t="s">
        <v>121</v>
      </c>
      <c r="E3908" t="s">
        <v>53</v>
      </c>
      <c r="F3908" t="s">
        <v>114</v>
      </c>
      <c r="G3908">
        <v>122639</v>
      </c>
      <c r="H3908" s="75">
        <v>44612</v>
      </c>
      <c r="I3908" t="s">
        <v>115</v>
      </c>
      <c r="J3908">
        <v>5000</v>
      </c>
      <c r="K3908">
        <v>142.63999999999999</v>
      </c>
      <c r="L3908">
        <v>35.053199999999997</v>
      </c>
      <c r="M3908">
        <v>12185.8</v>
      </c>
      <c r="N3908" t="s">
        <v>15</v>
      </c>
    </row>
    <row r="3909" spans="1:14" x14ac:dyDescent="0.2">
      <c r="A3909" t="s">
        <v>119</v>
      </c>
      <c r="B3909" t="s">
        <v>143</v>
      </c>
      <c r="C3909" t="s">
        <v>142</v>
      </c>
      <c r="D3909" t="s">
        <v>121</v>
      </c>
      <c r="E3909" t="s">
        <v>53</v>
      </c>
      <c r="F3909" t="s">
        <v>114</v>
      </c>
      <c r="G3909">
        <v>122639</v>
      </c>
      <c r="H3909" s="75">
        <v>44642</v>
      </c>
      <c r="I3909" t="s">
        <v>115</v>
      </c>
      <c r="J3909">
        <v>5000</v>
      </c>
      <c r="K3909">
        <v>141.21199999999999</v>
      </c>
      <c r="L3909">
        <v>35.407600000000002</v>
      </c>
      <c r="M3909">
        <v>12327.012000000001</v>
      </c>
      <c r="N3909" t="s">
        <v>15</v>
      </c>
    </row>
    <row r="3910" spans="1:14" x14ac:dyDescent="0.2">
      <c r="A3910" t="s">
        <v>119</v>
      </c>
      <c r="B3910" t="s">
        <v>143</v>
      </c>
      <c r="C3910" t="s">
        <v>142</v>
      </c>
      <c r="D3910" t="s">
        <v>121</v>
      </c>
      <c r="E3910" t="s">
        <v>53</v>
      </c>
      <c r="F3910" t="s">
        <v>114</v>
      </c>
      <c r="G3910">
        <v>122639</v>
      </c>
      <c r="H3910" s="75">
        <v>44672</v>
      </c>
      <c r="I3910" t="s">
        <v>115</v>
      </c>
      <c r="J3910">
        <v>5000</v>
      </c>
      <c r="K3910">
        <v>142.78</v>
      </c>
      <c r="L3910">
        <v>35.018999999999998</v>
      </c>
      <c r="M3910">
        <v>12469.791999999999</v>
      </c>
      <c r="N3910" t="s">
        <v>15</v>
      </c>
    </row>
    <row r="3911" spans="1:14" x14ac:dyDescent="0.2">
      <c r="A3911" t="s">
        <v>119</v>
      </c>
      <c r="B3911" t="s">
        <v>143</v>
      </c>
      <c r="C3911" t="s">
        <v>142</v>
      </c>
      <c r="D3911" t="s">
        <v>121</v>
      </c>
      <c r="E3911" t="s">
        <v>53</v>
      </c>
      <c r="F3911" t="s">
        <v>114</v>
      </c>
      <c r="G3911">
        <v>122639</v>
      </c>
      <c r="H3911" s="75">
        <v>44672</v>
      </c>
      <c r="I3911" t="s">
        <v>117</v>
      </c>
      <c r="J3911">
        <v>2.5</v>
      </c>
      <c r="K3911">
        <v>0</v>
      </c>
      <c r="M3911">
        <v>12469.791999999999</v>
      </c>
      <c r="N3911" t="s">
        <v>46</v>
      </c>
    </row>
    <row r="3912" spans="1:14" x14ac:dyDescent="0.2">
      <c r="A3912" t="s">
        <v>119</v>
      </c>
      <c r="B3912" t="s">
        <v>143</v>
      </c>
      <c r="C3912" t="s">
        <v>142</v>
      </c>
      <c r="D3912" t="s">
        <v>121</v>
      </c>
      <c r="E3912" t="s">
        <v>53</v>
      </c>
      <c r="F3912" t="s">
        <v>114</v>
      </c>
      <c r="G3912">
        <v>122639</v>
      </c>
      <c r="H3912" s="75">
        <v>44702</v>
      </c>
      <c r="I3912" t="s">
        <v>115</v>
      </c>
      <c r="J3912">
        <v>5000</v>
      </c>
      <c r="K3912">
        <v>138.892</v>
      </c>
      <c r="L3912">
        <v>35.999200000000002</v>
      </c>
      <c r="M3912">
        <v>12608.683999999999</v>
      </c>
      <c r="N3912" t="s">
        <v>15</v>
      </c>
    </row>
    <row r="3913" spans="1:14" x14ac:dyDescent="0.2">
      <c r="A3913" t="s">
        <v>119</v>
      </c>
      <c r="B3913" t="s">
        <v>143</v>
      </c>
      <c r="C3913" t="s">
        <v>142</v>
      </c>
      <c r="D3913" t="s">
        <v>121</v>
      </c>
      <c r="E3913" t="s">
        <v>53</v>
      </c>
      <c r="F3913" t="s">
        <v>114</v>
      </c>
      <c r="G3913">
        <v>122639</v>
      </c>
      <c r="H3913" s="75">
        <v>44732</v>
      </c>
      <c r="I3913" t="s">
        <v>115</v>
      </c>
      <c r="J3913">
        <v>5000</v>
      </c>
      <c r="K3913">
        <v>134.922</v>
      </c>
      <c r="L3913">
        <v>37.058599999999998</v>
      </c>
      <c r="M3913">
        <v>12743.605</v>
      </c>
      <c r="N3913" t="s">
        <v>15</v>
      </c>
    </row>
    <row r="3914" spans="1:14" x14ac:dyDescent="0.2">
      <c r="A3914" t="s">
        <v>119</v>
      </c>
      <c r="B3914" t="s">
        <v>143</v>
      </c>
      <c r="C3914" t="s">
        <v>142</v>
      </c>
      <c r="D3914" t="s">
        <v>121</v>
      </c>
      <c r="E3914" t="s">
        <v>53</v>
      </c>
      <c r="F3914" t="s">
        <v>114</v>
      </c>
      <c r="G3914">
        <v>122639</v>
      </c>
      <c r="H3914" s="75">
        <v>44762</v>
      </c>
      <c r="I3914" t="s">
        <v>115</v>
      </c>
      <c r="J3914">
        <v>5000</v>
      </c>
      <c r="K3914">
        <v>133.173</v>
      </c>
      <c r="L3914">
        <v>37.545099999999998</v>
      </c>
      <c r="M3914">
        <v>12876.778</v>
      </c>
      <c r="N3914" t="s">
        <v>15</v>
      </c>
    </row>
    <row r="3915" spans="1:14" x14ac:dyDescent="0.2">
      <c r="A3915" t="s">
        <v>119</v>
      </c>
      <c r="B3915" t="s">
        <v>143</v>
      </c>
      <c r="C3915" t="s">
        <v>142</v>
      </c>
      <c r="D3915" t="s">
        <v>121</v>
      </c>
      <c r="E3915" t="s">
        <v>53</v>
      </c>
      <c r="F3915" t="s">
        <v>114</v>
      </c>
      <c r="G3915">
        <v>122639</v>
      </c>
      <c r="H3915" s="75">
        <v>44792</v>
      </c>
      <c r="I3915" t="s">
        <v>115</v>
      </c>
      <c r="J3915">
        <v>5000</v>
      </c>
      <c r="K3915">
        <v>130.25</v>
      </c>
      <c r="L3915">
        <v>38.387599999999999</v>
      </c>
      <c r="M3915">
        <v>13007.029</v>
      </c>
      <c r="N3915" t="s">
        <v>15</v>
      </c>
    </row>
    <row r="3916" spans="1:14" x14ac:dyDescent="0.2">
      <c r="A3916" t="s">
        <v>119</v>
      </c>
      <c r="B3916" t="s">
        <v>143</v>
      </c>
      <c r="C3916" t="s">
        <v>142</v>
      </c>
      <c r="D3916" t="s">
        <v>121</v>
      </c>
      <c r="E3916" t="s">
        <v>53</v>
      </c>
      <c r="F3916" t="s">
        <v>114</v>
      </c>
      <c r="G3916">
        <v>122639</v>
      </c>
      <c r="H3916" s="75">
        <v>44822</v>
      </c>
      <c r="I3916" t="s">
        <v>115</v>
      </c>
      <c r="J3916">
        <v>5000</v>
      </c>
      <c r="K3916">
        <v>126.871</v>
      </c>
      <c r="L3916">
        <v>39.4101</v>
      </c>
      <c r="M3916">
        <v>13133.9</v>
      </c>
      <c r="N3916" t="s">
        <v>15</v>
      </c>
    </row>
    <row r="3917" spans="1:14" x14ac:dyDescent="0.2">
      <c r="A3917" t="s">
        <v>119</v>
      </c>
      <c r="B3917" t="s">
        <v>143</v>
      </c>
      <c r="C3917" t="s">
        <v>142</v>
      </c>
      <c r="D3917" t="s">
        <v>121</v>
      </c>
      <c r="E3917" t="s">
        <v>53</v>
      </c>
      <c r="F3917" t="s">
        <v>114</v>
      </c>
      <c r="G3917">
        <v>122639</v>
      </c>
      <c r="H3917" s="75">
        <v>44822</v>
      </c>
      <c r="I3917" t="s">
        <v>117</v>
      </c>
      <c r="J3917">
        <v>2.5</v>
      </c>
      <c r="K3917">
        <v>0</v>
      </c>
      <c r="M3917">
        <v>13133.9</v>
      </c>
      <c r="N3917" t="s">
        <v>46</v>
      </c>
    </row>
    <row r="3918" spans="1:14" x14ac:dyDescent="0.2">
      <c r="A3918" t="s">
        <v>119</v>
      </c>
      <c r="B3918" t="s">
        <v>143</v>
      </c>
      <c r="C3918" t="s">
        <v>142</v>
      </c>
      <c r="D3918" t="s">
        <v>121</v>
      </c>
      <c r="E3918" t="s">
        <v>53</v>
      </c>
      <c r="F3918" t="s">
        <v>114</v>
      </c>
      <c r="G3918">
        <v>122639</v>
      </c>
      <c r="H3918" s="75">
        <v>44852</v>
      </c>
      <c r="I3918" t="s">
        <v>115</v>
      </c>
      <c r="J3918">
        <v>5000</v>
      </c>
      <c r="K3918">
        <v>127.01300000000001</v>
      </c>
      <c r="L3918">
        <v>39.366100000000003</v>
      </c>
      <c r="M3918">
        <v>13260.913</v>
      </c>
      <c r="N3918" t="s">
        <v>15</v>
      </c>
    </row>
    <row r="3919" spans="1:14" x14ac:dyDescent="0.2">
      <c r="A3919" t="s">
        <v>119</v>
      </c>
      <c r="B3919" t="s">
        <v>143</v>
      </c>
      <c r="C3919" t="s">
        <v>142</v>
      </c>
      <c r="D3919" t="s">
        <v>121</v>
      </c>
      <c r="E3919" t="s">
        <v>53</v>
      </c>
      <c r="F3919" t="s">
        <v>114</v>
      </c>
      <c r="G3919">
        <v>122639</v>
      </c>
      <c r="H3919" s="75">
        <v>44882</v>
      </c>
      <c r="I3919" t="s">
        <v>115</v>
      </c>
      <c r="J3919">
        <v>5000</v>
      </c>
      <c r="K3919">
        <v>129.36500000000001</v>
      </c>
      <c r="L3919">
        <v>38.650399999999998</v>
      </c>
      <c r="M3919">
        <v>13390.277</v>
      </c>
      <c r="N3919" t="s">
        <v>15</v>
      </c>
    </row>
    <row r="3920" spans="1:14" x14ac:dyDescent="0.2">
      <c r="A3920" t="s">
        <v>119</v>
      </c>
      <c r="B3920" t="s">
        <v>143</v>
      </c>
      <c r="C3920" t="s">
        <v>142</v>
      </c>
      <c r="D3920" t="s">
        <v>121</v>
      </c>
      <c r="E3920" t="s">
        <v>53</v>
      </c>
      <c r="F3920" t="s">
        <v>114</v>
      </c>
      <c r="G3920">
        <v>122639</v>
      </c>
      <c r="H3920" s="75">
        <v>44882</v>
      </c>
      <c r="I3920" t="s">
        <v>117</v>
      </c>
      <c r="J3920">
        <v>2.5</v>
      </c>
      <c r="K3920">
        <v>0</v>
      </c>
      <c r="M3920">
        <v>13390.277</v>
      </c>
      <c r="N3920" t="s">
        <v>46</v>
      </c>
    </row>
    <row r="3921" spans="1:15" x14ac:dyDescent="0.2">
      <c r="A3921" t="s">
        <v>119</v>
      </c>
      <c r="B3921" t="s">
        <v>143</v>
      </c>
      <c r="C3921" t="s">
        <v>142</v>
      </c>
      <c r="D3921" t="s">
        <v>121</v>
      </c>
      <c r="E3921" t="s">
        <v>53</v>
      </c>
      <c r="F3921" t="s">
        <v>114</v>
      </c>
      <c r="G3921">
        <v>122639</v>
      </c>
      <c r="H3921" s="75">
        <v>44912</v>
      </c>
      <c r="I3921" t="s">
        <v>115</v>
      </c>
      <c r="J3921">
        <v>5000</v>
      </c>
      <c r="K3921">
        <v>127.012</v>
      </c>
      <c r="L3921">
        <v>39.366300000000003</v>
      </c>
      <c r="M3921">
        <v>13517.29</v>
      </c>
      <c r="N3921" t="s">
        <v>15</v>
      </c>
    </row>
    <row r="3922" spans="1:15" x14ac:dyDescent="0.2">
      <c r="A3922" t="s">
        <v>119</v>
      </c>
      <c r="B3922" t="s">
        <v>143</v>
      </c>
      <c r="C3922" t="s">
        <v>142</v>
      </c>
      <c r="D3922" t="s">
        <v>121</v>
      </c>
      <c r="E3922" t="s">
        <v>53</v>
      </c>
      <c r="F3922" t="s">
        <v>114</v>
      </c>
      <c r="G3922">
        <v>122639</v>
      </c>
      <c r="H3922" s="75">
        <v>44942</v>
      </c>
      <c r="I3922" t="s">
        <v>115</v>
      </c>
      <c r="J3922">
        <v>5000</v>
      </c>
      <c r="K3922">
        <v>129.33199999999999</v>
      </c>
      <c r="L3922">
        <v>38.6601</v>
      </c>
      <c r="M3922">
        <v>13646.621999999999</v>
      </c>
      <c r="N3922" t="s">
        <v>15</v>
      </c>
    </row>
    <row r="3923" spans="1:15" x14ac:dyDescent="0.2">
      <c r="A3923" t="s">
        <v>119</v>
      </c>
      <c r="B3923" t="s">
        <v>143</v>
      </c>
      <c r="C3923" t="s">
        <v>142</v>
      </c>
      <c r="D3923" t="s">
        <v>121</v>
      </c>
      <c r="E3923" t="s">
        <v>53</v>
      </c>
      <c r="F3923" t="s">
        <v>114</v>
      </c>
      <c r="G3923">
        <v>122639</v>
      </c>
      <c r="H3923" s="75">
        <v>44972</v>
      </c>
      <c r="I3923" t="s">
        <v>115</v>
      </c>
      <c r="J3923">
        <v>5000</v>
      </c>
      <c r="K3923">
        <v>129.42599999999999</v>
      </c>
      <c r="L3923">
        <v>38.631999999999998</v>
      </c>
      <c r="M3923">
        <v>13776.048000000001</v>
      </c>
      <c r="N3923" t="s">
        <v>15</v>
      </c>
    </row>
    <row r="3924" spans="1:15" x14ac:dyDescent="0.2">
      <c r="A3924" t="s">
        <v>119</v>
      </c>
      <c r="B3924" t="s">
        <v>143</v>
      </c>
      <c r="C3924" t="s">
        <v>142</v>
      </c>
      <c r="D3924" t="s">
        <v>121</v>
      </c>
      <c r="E3924" t="s">
        <v>53</v>
      </c>
      <c r="F3924" t="s">
        <v>114</v>
      </c>
      <c r="G3924">
        <v>122639</v>
      </c>
      <c r="H3924" s="75">
        <v>45002</v>
      </c>
      <c r="I3924" t="s">
        <v>115</v>
      </c>
      <c r="J3924">
        <v>5000</v>
      </c>
      <c r="K3924">
        <v>130.40600000000001</v>
      </c>
      <c r="L3924">
        <v>38.341799999999999</v>
      </c>
      <c r="M3924">
        <v>13906.454</v>
      </c>
      <c r="N3924" t="s">
        <v>15</v>
      </c>
    </row>
    <row r="3925" spans="1:15" x14ac:dyDescent="0.2">
      <c r="A3925" t="s">
        <v>119</v>
      </c>
      <c r="B3925" t="s">
        <v>143</v>
      </c>
      <c r="C3925" t="s">
        <v>142</v>
      </c>
      <c r="D3925" t="s">
        <v>121</v>
      </c>
      <c r="E3925" t="s">
        <v>53</v>
      </c>
      <c r="F3925" t="s">
        <v>114</v>
      </c>
      <c r="G3925">
        <v>122639</v>
      </c>
      <c r="H3925" s="75">
        <v>45032</v>
      </c>
      <c r="I3925" t="s">
        <v>115</v>
      </c>
      <c r="J3925">
        <v>5000</v>
      </c>
      <c r="K3925">
        <v>127.43899999999999</v>
      </c>
      <c r="L3925">
        <v>39.234499999999997</v>
      </c>
      <c r="M3925">
        <v>14033.893</v>
      </c>
      <c r="N3925" t="s">
        <v>15</v>
      </c>
    </row>
    <row r="3926" spans="1:15" x14ac:dyDescent="0.2">
      <c r="A3926" t="s">
        <v>119</v>
      </c>
      <c r="B3926" t="s">
        <v>143</v>
      </c>
      <c r="C3926" t="s">
        <v>142</v>
      </c>
      <c r="D3926" t="s">
        <v>121</v>
      </c>
      <c r="E3926" t="s">
        <v>53</v>
      </c>
      <c r="F3926" t="s">
        <v>114</v>
      </c>
      <c r="G3926">
        <v>122639</v>
      </c>
      <c r="H3926" s="75">
        <v>45062</v>
      </c>
      <c r="I3926" t="s">
        <v>115</v>
      </c>
      <c r="J3926">
        <v>5000</v>
      </c>
      <c r="K3926">
        <v>124.07899999999999</v>
      </c>
      <c r="L3926">
        <v>40.296999999999997</v>
      </c>
      <c r="M3926">
        <v>14157.972</v>
      </c>
      <c r="N3926" t="s">
        <v>15</v>
      </c>
    </row>
    <row r="3927" spans="1:15" x14ac:dyDescent="0.2">
      <c r="A3927" t="s">
        <v>119</v>
      </c>
      <c r="B3927" t="s">
        <v>143</v>
      </c>
      <c r="C3927" t="s">
        <v>142</v>
      </c>
      <c r="D3927" t="s">
        <v>121</v>
      </c>
      <c r="E3927" t="s">
        <v>53</v>
      </c>
      <c r="F3927" t="s">
        <v>114</v>
      </c>
      <c r="G3927">
        <v>122639</v>
      </c>
      <c r="H3927" s="75">
        <v>45092</v>
      </c>
      <c r="I3927" t="s">
        <v>115</v>
      </c>
      <c r="J3927">
        <v>5000</v>
      </c>
      <c r="K3927">
        <v>123.492</v>
      </c>
      <c r="L3927">
        <v>40.488300000000002</v>
      </c>
      <c r="M3927">
        <v>14281.464</v>
      </c>
      <c r="N3927" t="s">
        <v>15</v>
      </c>
    </row>
    <row r="3928" spans="1:15" x14ac:dyDescent="0.2">
      <c r="A3928" t="s">
        <v>119</v>
      </c>
      <c r="B3928" t="s">
        <v>143</v>
      </c>
      <c r="C3928" t="s">
        <v>142</v>
      </c>
      <c r="D3928" t="s">
        <v>121</v>
      </c>
      <c r="E3928" t="s">
        <v>53</v>
      </c>
      <c r="F3928" t="s">
        <v>114</v>
      </c>
      <c r="G3928">
        <v>122639</v>
      </c>
      <c r="H3928" s="75">
        <v>45092</v>
      </c>
      <c r="I3928" t="s">
        <v>118</v>
      </c>
      <c r="J3928">
        <v>7140.73</v>
      </c>
      <c r="K3928">
        <v>0</v>
      </c>
      <c r="M3928">
        <v>14281.464</v>
      </c>
      <c r="N3928" t="s">
        <v>19</v>
      </c>
      <c r="O3928">
        <v>7140.73</v>
      </c>
    </row>
    <row r="3929" spans="1:15" x14ac:dyDescent="0.2">
      <c r="A3929" t="s">
        <v>119</v>
      </c>
      <c r="B3929" t="s">
        <v>143</v>
      </c>
      <c r="C3929" t="s">
        <v>142</v>
      </c>
      <c r="D3929" t="s">
        <v>121</v>
      </c>
      <c r="E3929" t="s">
        <v>53</v>
      </c>
      <c r="F3929" t="s">
        <v>114</v>
      </c>
      <c r="G3929">
        <v>122639</v>
      </c>
      <c r="H3929" s="75">
        <v>45122</v>
      </c>
      <c r="I3929" t="s">
        <v>115</v>
      </c>
      <c r="J3929">
        <v>5000</v>
      </c>
      <c r="K3929">
        <v>125.376</v>
      </c>
      <c r="L3929">
        <v>39.879899999999999</v>
      </c>
      <c r="M3929">
        <v>14406.841</v>
      </c>
      <c r="N3929" t="s">
        <v>15</v>
      </c>
    </row>
    <row r="3930" spans="1:15" x14ac:dyDescent="0.2">
      <c r="A3930" t="s">
        <v>119</v>
      </c>
      <c r="B3930" t="s">
        <v>143</v>
      </c>
      <c r="C3930" t="s">
        <v>142</v>
      </c>
      <c r="D3930" t="s">
        <v>121</v>
      </c>
      <c r="E3930" t="s">
        <v>53</v>
      </c>
      <c r="F3930" t="s">
        <v>114</v>
      </c>
      <c r="G3930">
        <v>122639</v>
      </c>
      <c r="H3930" s="75">
        <v>45152</v>
      </c>
      <c r="I3930" t="s">
        <v>115</v>
      </c>
      <c r="J3930">
        <v>5000</v>
      </c>
      <c r="K3930">
        <v>125.392</v>
      </c>
      <c r="L3930">
        <v>39.874899999999997</v>
      </c>
      <c r="M3930">
        <v>14532.233</v>
      </c>
      <c r="N3930" t="s">
        <v>15</v>
      </c>
    </row>
    <row r="3931" spans="1:15" x14ac:dyDescent="0.2">
      <c r="A3931" t="s">
        <v>119</v>
      </c>
      <c r="B3931" t="s">
        <v>143</v>
      </c>
      <c r="C3931" t="s">
        <v>142</v>
      </c>
      <c r="D3931" t="s">
        <v>121</v>
      </c>
      <c r="E3931" t="s">
        <v>53</v>
      </c>
      <c r="F3931" t="s">
        <v>114</v>
      </c>
      <c r="G3931">
        <v>122639</v>
      </c>
      <c r="H3931" s="75">
        <v>45182</v>
      </c>
      <c r="I3931" t="s">
        <v>115</v>
      </c>
      <c r="J3931">
        <v>5000</v>
      </c>
      <c r="K3931">
        <v>124.462</v>
      </c>
      <c r="L3931">
        <v>40.172800000000002</v>
      </c>
      <c r="M3931">
        <v>14656.695</v>
      </c>
      <c r="N3931" t="s">
        <v>15</v>
      </c>
    </row>
    <row r="3932" spans="1:15" x14ac:dyDescent="0.2">
      <c r="A3932" t="s">
        <v>119</v>
      </c>
      <c r="B3932" t="s">
        <v>143</v>
      </c>
      <c r="C3932" t="s">
        <v>142</v>
      </c>
      <c r="D3932" t="s">
        <v>121</v>
      </c>
      <c r="E3932" t="s">
        <v>53</v>
      </c>
      <c r="F3932" t="s">
        <v>114</v>
      </c>
      <c r="G3932">
        <v>122639</v>
      </c>
      <c r="H3932" s="75">
        <v>45212</v>
      </c>
      <c r="I3932" t="s">
        <v>115</v>
      </c>
      <c r="J3932">
        <v>5000</v>
      </c>
      <c r="K3932">
        <v>123.864</v>
      </c>
      <c r="L3932">
        <v>40.366900000000001</v>
      </c>
      <c r="M3932">
        <v>14780.558999999999</v>
      </c>
      <c r="N3932" t="s">
        <v>15</v>
      </c>
    </row>
    <row r="3933" spans="1:15" x14ac:dyDescent="0.2">
      <c r="A3933" t="s">
        <v>119</v>
      </c>
      <c r="B3933" t="s">
        <v>143</v>
      </c>
      <c r="C3933" t="s">
        <v>142</v>
      </c>
      <c r="D3933" t="s">
        <v>121</v>
      </c>
      <c r="E3933" t="s">
        <v>53</v>
      </c>
      <c r="F3933" t="s">
        <v>114</v>
      </c>
      <c r="G3933">
        <v>122639</v>
      </c>
      <c r="H3933" s="75">
        <v>45242</v>
      </c>
      <c r="I3933" t="s">
        <v>115</v>
      </c>
      <c r="J3933">
        <v>5000</v>
      </c>
      <c r="K3933">
        <v>120.512</v>
      </c>
      <c r="L3933">
        <v>41.489699999999999</v>
      </c>
      <c r="M3933">
        <v>14901.071</v>
      </c>
      <c r="N3933" t="s">
        <v>15</v>
      </c>
    </row>
    <row r="3934" spans="1:15" x14ac:dyDescent="0.2">
      <c r="A3934" t="s">
        <v>119</v>
      </c>
      <c r="B3934" t="s">
        <v>143</v>
      </c>
      <c r="C3934" t="s">
        <v>142</v>
      </c>
      <c r="D3934" t="s">
        <v>121</v>
      </c>
      <c r="E3934" t="s">
        <v>53</v>
      </c>
      <c r="F3934" t="s">
        <v>114</v>
      </c>
      <c r="G3934">
        <v>122639</v>
      </c>
      <c r="H3934" s="75">
        <v>45272</v>
      </c>
      <c r="I3934" t="s">
        <v>115</v>
      </c>
      <c r="J3934">
        <v>5000</v>
      </c>
      <c r="K3934">
        <v>121.77200000000001</v>
      </c>
      <c r="L3934">
        <v>41.060200000000002</v>
      </c>
      <c r="M3934">
        <v>15022.843000000001</v>
      </c>
      <c r="N3934" t="s">
        <v>15</v>
      </c>
    </row>
    <row r="3935" spans="1:15" x14ac:dyDescent="0.2">
      <c r="A3935" t="s">
        <v>119</v>
      </c>
      <c r="B3935" t="s">
        <v>143</v>
      </c>
      <c r="C3935" t="s">
        <v>142</v>
      </c>
      <c r="D3935" t="s">
        <v>121</v>
      </c>
      <c r="E3935" t="s">
        <v>53</v>
      </c>
      <c r="F3935" t="s">
        <v>114</v>
      </c>
      <c r="G3935">
        <v>122639</v>
      </c>
      <c r="H3935" s="75">
        <v>45302</v>
      </c>
      <c r="I3935" t="s">
        <v>115</v>
      </c>
      <c r="J3935">
        <v>5000</v>
      </c>
      <c r="K3935">
        <v>120.005</v>
      </c>
      <c r="L3935">
        <v>41.665100000000002</v>
      </c>
      <c r="M3935">
        <v>15142.848</v>
      </c>
      <c r="N3935" t="s">
        <v>15</v>
      </c>
    </row>
    <row r="3936" spans="1:15" x14ac:dyDescent="0.2">
      <c r="A3936" t="s">
        <v>119</v>
      </c>
      <c r="B3936" t="s">
        <v>143</v>
      </c>
      <c r="C3936" t="s">
        <v>142</v>
      </c>
      <c r="D3936" t="s">
        <v>121</v>
      </c>
      <c r="E3936" t="s">
        <v>53</v>
      </c>
      <c r="F3936" t="s">
        <v>114</v>
      </c>
      <c r="G3936">
        <v>122639</v>
      </c>
      <c r="H3936" s="75">
        <v>45332</v>
      </c>
      <c r="I3936" t="s">
        <v>115</v>
      </c>
      <c r="J3936">
        <v>5000</v>
      </c>
      <c r="K3936">
        <v>121.863</v>
      </c>
      <c r="L3936">
        <v>41.029600000000002</v>
      </c>
      <c r="M3936">
        <v>15264.710999999999</v>
      </c>
      <c r="N3936" t="s">
        <v>15</v>
      </c>
    </row>
    <row r="3937" spans="1:15" x14ac:dyDescent="0.2">
      <c r="A3937" t="s">
        <v>119</v>
      </c>
      <c r="B3937" t="s">
        <v>143</v>
      </c>
      <c r="C3937" t="s">
        <v>142</v>
      </c>
      <c r="D3937" t="s">
        <v>121</v>
      </c>
      <c r="E3937" t="s">
        <v>53</v>
      </c>
      <c r="F3937" t="s">
        <v>114</v>
      </c>
      <c r="G3937">
        <v>122639</v>
      </c>
      <c r="H3937" s="75">
        <v>45362</v>
      </c>
      <c r="I3937" t="s">
        <v>115</v>
      </c>
      <c r="J3937">
        <v>5000</v>
      </c>
      <c r="K3937">
        <v>119.20699999999999</v>
      </c>
      <c r="L3937">
        <v>41.944000000000003</v>
      </c>
      <c r="M3937">
        <v>15383.918</v>
      </c>
      <c r="N3937" t="s">
        <v>15</v>
      </c>
    </row>
    <row r="3938" spans="1:15" x14ac:dyDescent="0.2">
      <c r="A3938" t="s">
        <v>119</v>
      </c>
      <c r="B3938" t="s">
        <v>143</v>
      </c>
      <c r="C3938" t="s">
        <v>142</v>
      </c>
      <c r="D3938" t="s">
        <v>121</v>
      </c>
      <c r="E3938" t="s">
        <v>53</v>
      </c>
      <c r="F3938" t="s">
        <v>114</v>
      </c>
      <c r="G3938">
        <v>122639</v>
      </c>
      <c r="H3938" s="75">
        <v>45392</v>
      </c>
      <c r="I3938" t="s">
        <v>115</v>
      </c>
      <c r="J3938">
        <v>5000</v>
      </c>
      <c r="K3938">
        <v>119.348</v>
      </c>
      <c r="L3938">
        <v>41.894100000000002</v>
      </c>
      <c r="M3938">
        <v>15503.266</v>
      </c>
      <c r="N3938" t="s">
        <v>15</v>
      </c>
    </row>
    <row r="3939" spans="1:15" x14ac:dyDescent="0.2">
      <c r="A3939" t="s">
        <v>119</v>
      </c>
      <c r="B3939" t="s">
        <v>143</v>
      </c>
      <c r="C3939" t="s">
        <v>142</v>
      </c>
      <c r="D3939" t="s">
        <v>121</v>
      </c>
      <c r="E3939" t="s">
        <v>53</v>
      </c>
      <c r="F3939" t="s">
        <v>114</v>
      </c>
      <c r="G3939">
        <v>122639</v>
      </c>
      <c r="H3939" s="75">
        <v>45422</v>
      </c>
      <c r="I3939" t="s">
        <v>115</v>
      </c>
      <c r="J3939">
        <v>5000</v>
      </c>
      <c r="K3939">
        <v>119.883</v>
      </c>
      <c r="L3939">
        <v>41.7072</v>
      </c>
      <c r="M3939">
        <v>15623.15</v>
      </c>
      <c r="N3939" t="s">
        <v>15</v>
      </c>
    </row>
    <row r="3940" spans="1:15" x14ac:dyDescent="0.2">
      <c r="A3940" t="s">
        <v>119</v>
      </c>
      <c r="B3940" t="s">
        <v>143</v>
      </c>
      <c r="C3940" t="s">
        <v>142</v>
      </c>
      <c r="D3940" t="s">
        <v>121</v>
      </c>
      <c r="E3940" t="s">
        <v>53</v>
      </c>
      <c r="F3940" t="s">
        <v>114</v>
      </c>
      <c r="G3940">
        <v>122639</v>
      </c>
      <c r="H3940" s="75">
        <v>45422</v>
      </c>
      <c r="I3940" t="s">
        <v>116</v>
      </c>
      <c r="J3940">
        <v>2.5</v>
      </c>
      <c r="K3940">
        <v>0</v>
      </c>
      <c r="M3940">
        <v>15623.15</v>
      </c>
      <c r="N3940" t="s">
        <v>17</v>
      </c>
    </row>
    <row r="3941" spans="1:15" x14ac:dyDescent="0.2">
      <c r="A3941" t="s">
        <v>119</v>
      </c>
      <c r="B3941" t="s">
        <v>143</v>
      </c>
      <c r="C3941" t="s">
        <v>142</v>
      </c>
      <c r="D3941" t="s">
        <v>121</v>
      </c>
      <c r="E3941" t="s">
        <v>53</v>
      </c>
      <c r="F3941" t="s">
        <v>114</v>
      </c>
      <c r="G3941">
        <v>122639</v>
      </c>
      <c r="H3941" s="75">
        <v>45452</v>
      </c>
      <c r="I3941" t="s">
        <v>115</v>
      </c>
      <c r="J3941">
        <v>5000</v>
      </c>
      <c r="K3941">
        <v>117.74</v>
      </c>
      <c r="L3941">
        <v>42.466299999999997</v>
      </c>
      <c r="M3941">
        <v>15740.89</v>
      </c>
      <c r="N3941" t="s">
        <v>15</v>
      </c>
    </row>
    <row r="3942" spans="1:15" x14ac:dyDescent="0.2">
      <c r="A3942" t="s">
        <v>119</v>
      </c>
      <c r="B3942" t="s">
        <v>143</v>
      </c>
      <c r="C3942" t="s">
        <v>142</v>
      </c>
      <c r="D3942" t="s">
        <v>121</v>
      </c>
      <c r="E3942" t="s">
        <v>53</v>
      </c>
      <c r="F3942" t="s">
        <v>114</v>
      </c>
      <c r="G3942">
        <v>122639</v>
      </c>
      <c r="H3942" s="75">
        <v>45482</v>
      </c>
      <c r="I3942" t="s">
        <v>115</v>
      </c>
      <c r="J3942">
        <v>5000</v>
      </c>
      <c r="K3942">
        <v>114.688</v>
      </c>
      <c r="L3942">
        <v>43.596400000000003</v>
      </c>
      <c r="M3942">
        <v>15855.578</v>
      </c>
      <c r="N3942" t="s">
        <v>15</v>
      </c>
    </row>
    <row r="3943" spans="1:15" x14ac:dyDescent="0.2">
      <c r="A3943" t="s">
        <v>119</v>
      </c>
      <c r="B3943" t="s">
        <v>143</v>
      </c>
      <c r="C3943" t="s">
        <v>142</v>
      </c>
      <c r="D3943" t="s">
        <v>121</v>
      </c>
      <c r="E3943" t="s">
        <v>53</v>
      </c>
      <c r="F3943" t="s">
        <v>114</v>
      </c>
      <c r="G3943">
        <v>122639</v>
      </c>
      <c r="H3943" s="75">
        <v>45512</v>
      </c>
      <c r="I3943" t="s">
        <v>115</v>
      </c>
      <c r="J3943">
        <v>5000</v>
      </c>
      <c r="K3943">
        <v>112.735</v>
      </c>
      <c r="L3943">
        <v>44.351599999999998</v>
      </c>
      <c r="M3943">
        <v>15968.314</v>
      </c>
      <c r="N3943" t="s">
        <v>15</v>
      </c>
    </row>
    <row r="3944" spans="1:15" x14ac:dyDescent="0.2">
      <c r="A3944" t="s">
        <v>119</v>
      </c>
      <c r="B3944" t="s">
        <v>143</v>
      </c>
      <c r="C3944" t="s">
        <v>142</v>
      </c>
      <c r="D3944" t="s">
        <v>121</v>
      </c>
      <c r="E3944" t="s">
        <v>53</v>
      </c>
      <c r="F3944" t="s">
        <v>114</v>
      </c>
      <c r="G3944">
        <v>122639</v>
      </c>
      <c r="H3944" s="75">
        <v>45542</v>
      </c>
      <c r="I3944" t="s">
        <v>115</v>
      </c>
      <c r="J3944">
        <v>5000</v>
      </c>
      <c r="K3944">
        <v>110.357</v>
      </c>
      <c r="L3944">
        <v>45.307600000000001</v>
      </c>
      <c r="M3944">
        <v>16078.671</v>
      </c>
      <c r="N3944" t="s">
        <v>15</v>
      </c>
    </row>
    <row r="3945" spans="1:15" x14ac:dyDescent="0.2">
      <c r="A3945" t="s">
        <v>119</v>
      </c>
      <c r="B3945" t="s">
        <v>143</v>
      </c>
      <c r="C3945" t="s">
        <v>142</v>
      </c>
      <c r="D3945" t="s">
        <v>121</v>
      </c>
      <c r="E3945" t="s">
        <v>53</v>
      </c>
      <c r="F3945" t="s">
        <v>114</v>
      </c>
      <c r="G3945">
        <v>122639</v>
      </c>
      <c r="H3945" s="75">
        <v>45542</v>
      </c>
      <c r="I3945" t="s">
        <v>117</v>
      </c>
      <c r="J3945">
        <v>2.5</v>
      </c>
      <c r="K3945">
        <v>0</v>
      </c>
      <c r="M3945">
        <v>16078.671</v>
      </c>
      <c r="N3945" t="s">
        <v>46</v>
      </c>
    </row>
    <row r="3946" spans="1:15" x14ac:dyDescent="0.2">
      <c r="A3946" t="s">
        <v>119</v>
      </c>
      <c r="B3946" t="s">
        <v>143</v>
      </c>
      <c r="C3946" t="s">
        <v>142</v>
      </c>
      <c r="D3946" t="s">
        <v>121</v>
      </c>
      <c r="E3946" t="s">
        <v>53</v>
      </c>
      <c r="F3946" t="s">
        <v>114</v>
      </c>
      <c r="G3946">
        <v>122639</v>
      </c>
      <c r="H3946" s="75">
        <v>45572</v>
      </c>
      <c r="I3946" t="s">
        <v>115</v>
      </c>
      <c r="J3946">
        <v>5000</v>
      </c>
      <c r="K3946">
        <v>109.63</v>
      </c>
      <c r="L3946">
        <v>45.607900000000001</v>
      </c>
      <c r="M3946">
        <v>16188.300999999999</v>
      </c>
      <c r="N3946" t="s">
        <v>15</v>
      </c>
    </row>
    <row r="3947" spans="1:15" x14ac:dyDescent="0.2">
      <c r="A3947" t="s">
        <v>119</v>
      </c>
      <c r="B3947" t="s">
        <v>143</v>
      </c>
      <c r="C3947" t="s">
        <v>142</v>
      </c>
      <c r="D3947" t="s">
        <v>121</v>
      </c>
      <c r="E3947" t="s">
        <v>53</v>
      </c>
      <c r="F3947" t="s">
        <v>114</v>
      </c>
      <c r="G3947">
        <v>122639</v>
      </c>
      <c r="H3947" s="75">
        <v>45602</v>
      </c>
      <c r="I3947" t="s">
        <v>115</v>
      </c>
      <c r="J3947">
        <v>5000</v>
      </c>
      <c r="K3947">
        <v>108.79</v>
      </c>
      <c r="L3947">
        <v>45.9602</v>
      </c>
      <c r="M3947">
        <v>16297.09</v>
      </c>
      <c r="N3947" t="s">
        <v>15</v>
      </c>
    </row>
    <row r="3948" spans="1:15" x14ac:dyDescent="0.2">
      <c r="A3948" t="s">
        <v>119</v>
      </c>
      <c r="B3948" t="s">
        <v>143</v>
      </c>
      <c r="C3948" t="s">
        <v>142</v>
      </c>
      <c r="D3948" t="s">
        <v>121</v>
      </c>
      <c r="E3948" t="s">
        <v>53</v>
      </c>
      <c r="F3948" t="s">
        <v>114</v>
      </c>
      <c r="G3948">
        <v>122639</v>
      </c>
      <c r="H3948" s="75">
        <v>45602</v>
      </c>
      <c r="I3948" t="s">
        <v>118</v>
      </c>
      <c r="J3948">
        <v>8148.55</v>
      </c>
      <c r="K3948">
        <v>0</v>
      </c>
      <c r="M3948">
        <v>16297.09</v>
      </c>
      <c r="N3948" t="s">
        <v>19</v>
      </c>
      <c r="O3948">
        <v>8148.55</v>
      </c>
    </row>
    <row r="3949" spans="1:15" x14ac:dyDescent="0.2">
      <c r="A3949" t="s">
        <v>119</v>
      </c>
      <c r="B3949" t="s">
        <v>143</v>
      </c>
      <c r="C3949" t="s">
        <v>142</v>
      </c>
      <c r="D3949" t="s">
        <v>121</v>
      </c>
      <c r="E3949" t="s">
        <v>53</v>
      </c>
      <c r="F3949" t="s">
        <v>114</v>
      </c>
      <c r="G3949">
        <v>122639</v>
      </c>
      <c r="H3949" s="75">
        <v>45632</v>
      </c>
      <c r="I3949" t="s">
        <v>115</v>
      </c>
      <c r="J3949">
        <v>5000</v>
      </c>
      <c r="K3949">
        <v>110.946</v>
      </c>
      <c r="L3949">
        <v>45.066899999999997</v>
      </c>
      <c r="M3949">
        <v>16408.037</v>
      </c>
      <c r="N3949" t="s">
        <v>15</v>
      </c>
    </row>
    <row r="3950" spans="1:15" x14ac:dyDescent="0.2">
      <c r="A3950" t="s">
        <v>119</v>
      </c>
      <c r="B3950" t="s">
        <v>143</v>
      </c>
      <c r="C3950" t="s">
        <v>142</v>
      </c>
      <c r="D3950" t="s">
        <v>121</v>
      </c>
      <c r="E3950" t="s">
        <v>53</v>
      </c>
      <c r="F3950" t="s">
        <v>114</v>
      </c>
      <c r="G3950">
        <v>122639</v>
      </c>
      <c r="H3950" s="75">
        <v>45662</v>
      </c>
      <c r="I3950" t="s">
        <v>115</v>
      </c>
      <c r="J3950">
        <v>5000</v>
      </c>
      <c r="K3950">
        <v>110.176</v>
      </c>
      <c r="L3950">
        <v>45.381799999999998</v>
      </c>
      <c r="M3950">
        <v>16518.213</v>
      </c>
      <c r="N3950" t="s">
        <v>15</v>
      </c>
    </row>
    <row r="3951" spans="1:15" x14ac:dyDescent="0.2">
      <c r="A3951" t="s">
        <v>119</v>
      </c>
      <c r="B3951" t="s">
        <v>143</v>
      </c>
      <c r="C3951" t="s">
        <v>142</v>
      </c>
      <c r="D3951" t="s">
        <v>121</v>
      </c>
      <c r="E3951" t="s">
        <v>53</v>
      </c>
      <c r="F3951" t="s">
        <v>114</v>
      </c>
      <c r="G3951">
        <v>122639</v>
      </c>
      <c r="H3951" s="75">
        <v>45692</v>
      </c>
      <c r="I3951" t="s">
        <v>115</v>
      </c>
      <c r="J3951">
        <v>5000</v>
      </c>
      <c r="K3951">
        <v>107.203</v>
      </c>
      <c r="L3951">
        <v>46.640300000000003</v>
      </c>
      <c r="M3951">
        <v>16625.416000000001</v>
      </c>
      <c r="N3951" t="s">
        <v>15</v>
      </c>
    </row>
    <row r="3952" spans="1:15" x14ac:dyDescent="0.2">
      <c r="A3952" t="s">
        <v>119</v>
      </c>
      <c r="B3952" t="s">
        <v>143</v>
      </c>
      <c r="C3952" t="s">
        <v>142</v>
      </c>
      <c r="D3952" t="s">
        <v>121</v>
      </c>
      <c r="E3952" t="s">
        <v>53</v>
      </c>
      <c r="F3952" t="s">
        <v>114</v>
      </c>
      <c r="G3952">
        <v>122639</v>
      </c>
      <c r="H3952" s="75">
        <v>45692</v>
      </c>
      <c r="I3952" t="s">
        <v>118</v>
      </c>
      <c r="J3952">
        <v>8312.7099999999991</v>
      </c>
      <c r="K3952">
        <v>0</v>
      </c>
      <c r="M3952">
        <v>16625.416000000001</v>
      </c>
      <c r="N3952" t="s">
        <v>19</v>
      </c>
      <c r="O3952">
        <v>8312.7099999999991</v>
      </c>
    </row>
    <row r="3953" spans="1:14" x14ac:dyDescent="0.2">
      <c r="A3953" t="s">
        <v>119</v>
      </c>
      <c r="B3953" t="s">
        <v>143</v>
      </c>
      <c r="C3953" t="s">
        <v>142</v>
      </c>
      <c r="D3953" t="s">
        <v>121</v>
      </c>
      <c r="E3953" t="s">
        <v>53</v>
      </c>
      <c r="F3953" t="s">
        <v>114</v>
      </c>
      <c r="G3953">
        <v>122639</v>
      </c>
      <c r="H3953" s="75">
        <v>45722</v>
      </c>
      <c r="I3953" t="s">
        <v>115</v>
      </c>
      <c r="J3953">
        <v>5000</v>
      </c>
      <c r="K3953">
        <v>106.521</v>
      </c>
      <c r="L3953">
        <v>46.939</v>
      </c>
      <c r="M3953">
        <v>16731.937999999998</v>
      </c>
      <c r="N3953" t="s">
        <v>15</v>
      </c>
    </row>
    <row r="3954" spans="1:14" x14ac:dyDescent="0.2">
      <c r="A3954" t="s">
        <v>119</v>
      </c>
      <c r="B3954" t="s">
        <v>143</v>
      </c>
      <c r="C3954" t="s">
        <v>142</v>
      </c>
      <c r="D3954" t="s">
        <v>121</v>
      </c>
      <c r="E3954" t="s">
        <v>53</v>
      </c>
      <c r="F3954" t="s">
        <v>114</v>
      </c>
      <c r="G3954">
        <v>122639</v>
      </c>
      <c r="H3954" s="75">
        <v>45722</v>
      </c>
      <c r="I3954" t="s">
        <v>117</v>
      </c>
      <c r="J3954">
        <v>2.5</v>
      </c>
      <c r="K3954">
        <v>0</v>
      </c>
      <c r="M3954">
        <v>16731.937999999998</v>
      </c>
      <c r="N3954" t="s">
        <v>46</v>
      </c>
    </row>
    <row r="3955" spans="1:14" x14ac:dyDescent="0.2">
      <c r="A3955" t="s">
        <v>119</v>
      </c>
      <c r="B3955" t="s">
        <v>143</v>
      </c>
      <c r="C3955" t="s">
        <v>142</v>
      </c>
      <c r="D3955" t="s">
        <v>121</v>
      </c>
      <c r="E3955" t="s">
        <v>53</v>
      </c>
      <c r="F3955" t="s">
        <v>114</v>
      </c>
      <c r="G3955">
        <v>122639</v>
      </c>
      <c r="H3955" s="75">
        <v>45752</v>
      </c>
      <c r="I3955" t="s">
        <v>115</v>
      </c>
      <c r="J3955">
        <v>5000</v>
      </c>
      <c r="K3955">
        <v>107.223</v>
      </c>
      <c r="L3955">
        <v>46.631599999999999</v>
      </c>
      <c r="M3955">
        <v>16839.161</v>
      </c>
      <c r="N3955" t="s">
        <v>15</v>
      </c>
    </row>
    <row r="3956" spans="1:14" x14ac:dyDescent="0.2">
      <c r="A3956" t="s">
        <v>119</v>
      </c>
      <c r="B3956" t="s">
        <v>143</v>
      </c>
      <c r="C3956" t="s">
        <v>142</v>
      </c>
      <c r="D3956" t="s">
        <v>121</v>
      </c>
      <c r="E3956" t="s">
        <v>53</v>
      </c>
      <c r="F3956" t="s">
        <v>114</v>
      </c>
      <c r="G3956">
        <v>122639</v>
      </c>
      <c r="H3956" s="75">
        <v>45782</v>
      </c>
      <c r="I3956" t="s">
        <v>115</v>
      </c>
      <c r="J3956">
        <v>5000</v>
      </c>
      <c r="K3956">
        <v>105.749</v>
      </c>
      <c r="L3956">
        <v>47.281700000000001</v>
      </c>
      <c r="M3956">
        <v>16944.91</v>
      </c>
      <c r="N3956" t="s">
        <v>15</v>
      </c>
    </row>
    <row r="3957" spans="1:14" x14ac:dyDescent="0.2">
      <c r="A3957" t="s">
        <v>119</v>
      </c>
      <c r="B3957" t="s">
        <v>143</v>
      </c>
      <c r="C3957" t="s">
        <v>142</v>
      </c>
      <c r="D3957" t="s">
        <v>121</v>
      </c>
      <c r="E3957" t="s">
        <v>53</v>
      </c>
      <c r="F3957" t="s">
        <v>114</v>
      </c>
      <c r="G3957">
        <v>122639</v>
      </c>
      <c r="H3957" s="75">
        <v>45812</v>
      </c>
      <c r="I3957" t="s">
        <v>115</v>
      </c>
      <c r="J3957">
        <v>5000</v>
      </c>
      <c r="K3957">
        <v>106.44</v>
      </c>
      <c r="L3957">
        <v>46.974899999999998</v>
      </c>
      <c r="M3957">
        <v>17051.349999999999</v>
      </c>
      <c r="N3957" t="s">
        <v>15</v>
      </c>
    </row>
    <row r="3958" spans="1:14" x14ac:dyDescent="0.2">
      <c r="A3958" t="s">
        <v>119</v>
      </c>
      <c r="B3958" t="s">
        <v>143</v>
      </c>
      <c r="C3958" t="s">
        <v>142</v>
      </c>
      <c r="D3958" t="s">
        <v>121</v>
      </c>
      <c r="E3958" t="s">
        <v>53</v>
      </c>
      <c r="F3958" t="s">
        <v>114</v>
      </c>
      <c r="G3958">
        <v>122639</v>
      </c>
      <c r="H3958" s="75">
        <v>45812</v>
      </c>
      <c r="I3958" t="s">
        <v>116</v>
      </c>
      <c r="J3958">
        <v>2.5</v>
      </c>
      <c r="K3958">
        <v>0</v>
      </c>
      <c r="M3958">
        <v>17051.349999999999</v>
      </c>
      <c r="N3958" t="s">
        <v>17</v>
      </c>
    </row>
    <row r="3959" spans="1:14" x14ac:dyDescent="0.2">
      <c r="A3959" t="s">
        <v>119</v>
      </c>
      <c r="B3959" t="s">
        <v>143</v>
      </c>
      <c r="C3959" t="s">
        <v>142</v>
      </c>
      <c r="D3959" t="s">
        <v>121</v>
      </c>
      <c r="E3959" t="s">
        <v>53</v>
      </c>
      <c r="F3959" t="s">
        <v>114</v>
      </c>
      <c r="G3959">
        <v>122639</v>
      </c>
      <c r="H3959" s="75">
        <v>45842</v>
      </c>
      <c r="I3959" t="s">
        <v>115</v>
      </c>
      <c r="J3959">
        <v>5000</v>
      </c>
      <c r="K3959">
        <v>104.67700000000001</v>
      </c>
      <c r="L3959">
        <v>47.766100000000002</v>
      </c>
      <c r="M3959">
        <v>17156.026999999998</v>
      </c>
      <c r="N3959" t="s">
        <v>15</v>
      </c>
    </row>
    <row r="3960" spans="1:14" x14ac:dyDescent="0.2">
      <c r="A3960" t="s">
        <v>119</v>
      </c>
      <c r="B3960" t="s">
        <v>143</v>
      </c>
      <c r="C3960" t="s">
        <v>142</v>
      </c>
      <c r="D3960" t="s">
        <v>121</v>
      </c>
      <c r="E3960" t="s">
        <v>53</v>
      </c>
      <c r="F3960" t="s">
        <v>114</v>
      </c>
      <c r="G3960">
        <v>122639</v>
      </c>
      <c r="H3960" s="75">
        <v>45842</v>
      </c>
      <c r="I3960" t="s">
        <v>116</v>
      </c>
      <c r="J3960">
        <v>2.5</v>
      </c>
      <c r="K3960">
        <v>0</v>
      </c>
      <c r="M3960">
        <v>17156.026999999998</v>
      </c>
      <c r="N3960" t="s">
        <v>17</v>
      </c>
    </row>
    <row r="3961" spans="1:14" x14ac:dyDescent="0.2">
      <c r="A3961" t="s">
        <v>119</v>
      </c>
      <c r="B3961" t="s">
        <v>143</v>
      </c>
      <c r="C3961" t="s">
        <v>142</v>
      </c>
      <c r="D3961" t="s">
        <v>121</v>
      </c>
      <c r="E3961" t="s">
        <v>53</v>
      </c>
      <c r="F3961" t="s">
        <v>114</v>
      </c>
      <c r="G3961">
        <v>122639</v>
      </c>
      <c r="H3961" s="75">
        <v>45872</v>
      </c>
      <c r="I3961" t="s">
        <v>115</v>
      </c>
      <c r="J3961">
        <v>5000</v>
      </c>
      <c r="K3961">
        <v>103.12</v>
      </c>
      <c r="L3961">
        <v>48.487299999999998</v>
      </c>
      <c r="M3961">
        <v>17259.146000000001</v>
      </c>
      <c r="N3961" t="s">
        <v>15</v>
      </c>
    </row>
    <row r="3962" spans="1:14" x14ac:dyDescent="0.2">
      <c r="A3962" t="s">
        <v>119</v>
      </c>
      <c r="B3962" t="s">
        <v>143</v>
      </c>
      <c r="C3962" t="s">
        <v>142</v>
      </c>
      <c r="D3962" t="s">
        <v>121</v>
      </c>
      <c r="E3962" t="s">
        <v>53</v>
      </c>
      <c r="F3962" t="s">
        <v>114</v>
      </c>
      <c r="G3962">
        <v>122639</v>
      </c>
      <c r="H3962" s="75">
        <v>45902</v>
      </c>
      <c r="I3962" t="s">
        <v>115</v>
      </c>
      <c r="J3962">
        <v>5000</v>
      </c>
      <c r="K3962">
        <v>101.44</v>
      </c>
      <c r="L3962">
        <v>49.290300000000002</v>
      </c>
      <c r="M3962">
        <v>17360.585999999999</v>
      </c>
      <c r="N3962" t="s">
        <v>15</v>
      </c>
    </row>
    <row r="3963" spans="1:14" x14ac:dyDescent="0.2">
      <c r="A3963" t="s">
        <v>119</v>
      </c>
      <c r="B3963" t="s">
        <v>143</v>
      </c>
      <c r="C3963" t="s">
        <v>142</v>
      </c>
      <c r="D3963" t="s">
        <v>121</v>
      </c>
      <c r="E3963" t="s">
        <v>53</v>
      </c>
      <c r="F3963" t="s">
        <v>114</v>
      </c>
      <c r="G3963">
        <v>122639</v>
      </c>
      <c r="H3963" s="75">
        <v>45932</v>
      </c>
      <c r="I3963" t="s">
        <v>115</v>
      </c>
      <c r="J3963">
        <v>5000</v>
      </c>
      <c r="K3963">
        <v>98.650999999999996</v>
      </c>
      <c r="L3963">
        <v>50.683999999999997</v>
      </c>
      <c r="M3963">
        <v>17459.237000000001</v>
      </c>
      <c r="N3963" t="s">
        <v>15</v>
      </c>
    </row>
    <row r="3964" spans="1:14" x14ac:dyDescent="0.2">
      <c r="A3964" t="s">
        <v>119</v>
      </c>
      <c r="B3964" t="s">
        <v>143</v>
      </c>
      <c r="C3964" t="s">
        <v>142</v>
      </c>
      <c r="D3964" t="s">
        <v>121</v>
      </c>
      <c r="E3964" t="s">
        <v>53</v>
      </c>
      <c r="F3964" t="s">
        <v>114</v>
      </c>
      <c r="G3964">
        <v>122639</v>
      </c>
      <c r="H3964" s="75">
        <v>45962</v>
      </c>
      <c r="I3964" t="s">
        <v>115</v>
      </c>
      <c r="J3964">
        <v>5000</v>
      </c>
      <c r="K3964">
        <v>98.668999999999997</v>
      </c>
      <c r="L3964">
        <v>50.674700000000001</v>
      </c>
      <c r="M3964">
        <v>17557.904999999999</v>
      </c>
      <c r="N3964" t="s">
        <v>15</v>
      </c>
    </row>
    <row r="3965" spans="1:14" x14ac:dyDescent="0.2">
      <c r="A3965" t="s">
        <v>119</v>
      </c>
      <c r="B3965" t="s">
        <v>143</v>
      </c>
      <c r="C3965" t="s">
        <v>142</v>
      </c>
      <c r="D3965" t="s">
        <v>121</v>
      </c>
      <c r="E3965" t="s">
        <v>53</v>
      </c>
      <c r="F3965" t="s">
        <v>114</v>
      </c>
      <c r="G3965">
        <v>122639</v>
      </c>
      <c r="H3965" s="75">
        <v>45962</v>
      </c>
      <c r="I3965" t="s">
        <v>117</v>
      </c>
      <c r="J3965">
        <v>2.5</v>
      </c>
      <c r="K3965">
        <v>0</v>
      </c>
      <c r="M3965">
        <v>17557.904999999999</v>
      </c>
      <c r="N3965" t="s">
        <v>46</v>
      </c>
    </row>
    <row r="3966" spans="1:14" x14ac:dyDescent="0.2">
      <c r="A3966" t="s">
        <v>119</v>
      </c>
      <c r="B3966" t="s">
        <v>143</v>
      </c>
      <c r="C3966" t="s">
        <v>142</v>
      </c>
      <c r="D3966" t="s">
        <v>121</v>
      </c>
      <c r="E3966" t="s">
        <v>53</v>
      </c>
      <c r="F3966" t="s">
        <v>114</v>
      </c>
      <c r="G3966">
        <v>122639</v>
      </c>
      <c r="H3966" s="75">
        <v>45992</v>
      </c>
      <c r="I3966" t="s">
        <v>115</v>
      </c>
      <c r="J3966">
        <v>5000</v>
      </c>
      <c r="K3966">
        <v>96.611999999999995</v>
      </c>
      <c r="L3966">
        <v>51.7532</v>
      </c>
      <c r="M3966">
        <v>17654.518</v>
      </c>
      <c r="N3966" t="s">
        <v>15</v>
      </c>
    </row>
    <row r="3967" spans="1:14" x14ac:dyDescent="0.2">
      <c r="A3967" t="s">
        <v>119</v>
      </c>
      <c r="B3967" t="s">
        <v>143</v>
      </c>
      <c r="C3967" t="s">
        <v>142</v>
      </c>
      <c r="D3967" t="s">
        <v>121</v>
      </c>
      <c r="E3967" t="s">
        <v>53</v>
      </c>
      <c r="F3967" t="s">
        <v>114</v>
      </c>
      <c r="G3967">
        <v>122639</v>
      </c>
      <c r="H3967" s="75">
        <v>46022</v>
      </c>
      <c r="I3967" t="s">
        <v>115</v>
      </c>
      <c r="J3967">
        <v>5000</v>
      </c>
      <c r="K3967">
        <v>94.331999999999994</v>
      </c>
      <c r="L3967">
        <v>53.004300000000001</v>
      </c>
      <c r="M3967">
        <v>17748.849999999999</v>
      </c>
      <c r="N3967" t="s">
        <v>15</v>
      </c>
    </row>
    <row r="3968" spans="1:14" x14ac:dyDescent="0.2">
      <c r="A3968" t="s">
        <v>119</v>
      </c>
      <c r="B3968" t="s">
        <v>143</v>
      </c>
      <c r="C3968" t="s">
        <v>142</v>
      </c>
      <c r="D3968" t="s">
        <v>121</v>
      </c>
      <c r="E3968" t="s">
        <v>53</v>
      </c>
      <c r="F3968" t="s">
        <v>114</v>
      </c>
      <c r="G3968">
        <v>122639</v>
      </c>
      <c r="H3968" s="75">
        <v>46052</v>
      </c>
      <c r="I3968" t="s">
        <v>115</v>
      </c>
      <c r="J3968">
        <v>5000</v>
      </c>
      <c r="K3968">
        <v>92.19</v>
      </c>
      <c r="L3968">
        <v>54.235999999999997</v>
      </c>
      <c r="M3968">
        <v>17841.039000000001</v>
      </c>
      <c r="N3968" t="s">
        <v>15</v>
      </c>
    </row>
    <row r="3969" spans="1:14" x14ac:dyDescent="0.2">
      <c r="A3969" t="s">
        <v>119</v>
      </c>
      <c r="B3969" t="s">
        <v>143</v>
      </c>
      <c r="C3969" t="s">
        <v>142</v>
      </c>
      <c r="D3969" t="s">
        <v>121</v>
      </c>
      <c r="E3969" t="s">
        <v>53</v>
      </c>
      <c r="F3969" t="s">
        <v>114</v>
      </c>
      <c r="G3969">
        <v>122639</v>
      </c>
      <c r="H3969" s="75">
        <v>46082</v>
      </c>
      <c r="I3969" t="s">
        <v>115</v>
      </c>
      <c r="J3969">
        <v>5000</v>
      </c>
      <c r="K3969">
        <v>92.442999999999998</v>
      </c>
      <c r="L3969">
        <v>54.087499999999999</v>
      </c>
      <c r="M3969">
        <v>17933.482</v>
      </c>
      <c r="N3969" t="s">
        <v>15</v>
      </c>
    </row>
    <row r="3970" spans="1:14" x14ac:dyDescent="0.2">
      <c r="A3970" t="s">
        <v>119</v>
      </c>
      <c r="B3970" t="s">
        <v>143</v>
      </c>
      <c r="C3970" t="s">
        <v>142</v>
      </c>
      <c r="D3970" t="s">
        <v>121</v>
      </c>
      <c r="E3970" t="s">
        <v>53</v>
      </c>
      <c r="F3970" t="s">
        <v>114</v>
      </c>
      <c r="G3970">
        <v>122639</v>
      </c>
      <c r="H3970" s="75">
        <v>46112</v>
      </c>
      <c r="I3970" t="s">
        <v>115</v>
      </c>
      <c r="J3970">
        <v>5000</v>
      </c>
      <c r="K3970">
        <v>91.674000000000007</v>
      </c>
      <c r="L3970">
        <v>54.541400000000003</v>
      </c>
      <c r="M3970">
        <v>18025.155999999999</v>
      </c>
      <c r="N3970" t="s">
        <v>15</v>
      </c>
    </row>
    <row r="3971" spans="1:14" x14ac:dyDescent="0.2">
      <c r="A3971" t="s">
        <v>119</v>
      </c>
      <c r="B3971" t="s">
        <v>143</v>
      </c>
      <c r="C3971" t="s">
        <v>142</v>
      </c>
      <c r="D3971" t="s">
        <v>121</v>
      </c>
      <c r="E3971" t="s">
        <v>53</v>
      </c>
      <c r="F3971" t="s">
        <v>114</v>
      </c>
      <c r="G3971">
        <v>122639</v>
      </c>
      <c r="H3971" s="75">
        <v>46142</v>
      </c>
      <c r="I3971" t="s">
        <v>115</v>
      </c>
      <c r="J3971">
        <v>5000</v>
      </c>
      <c r="K3971">
        <v>89.177000000000007</v>
      </c>
      <c r="L3971">
        <v>56.068100000000001</v>
      </c>
      <c r="M3971">
        <v>18114.332999999999</v>
      </c>
      <c r="N3971" t="s">
        <v>15</v>
      </c>
    </row>
    <row r="3972" spans="1:14" x14ac:dyDescent="0.2">
      <c r="A3972" t="s">
        <v>119</v>
      </c>
      <c r="B3972" t="s">
        <v>143</v>
      </c>
      <c r="C3972" t="s">
        <v>142</v>
      </c>
      <c r="D3972" t="s">
        <v>121</v>
      </c>
      <c r="E3972" t="s">
        <v>53</v>
      </c>
      <c r="F3972" t="s">
        <v>114</v>
      </c>
      <c r="G3972">
        <v>122639</v>
      </c>
      <c r="H3972" s="75">
        <v>46172</v>
      </c>
      <c r="I3972" t="s">
        <v>115</v>
      </c>
      <c r="J3972">
        <v>5000</v>
      </c>
      <c r="K3972">
        <v>89.159000000000006</v>
      </c>
      <c r="L3972">
        <v>56.0794</v>
      </c>
      <c r="M3972">
        <v>18203.491999999998</v>
      </c>
      <c r="N3972" t="s">
        <v>15</v>
      </c>
    </row>
    <row r="3973" spans="1:14" x14ac:dyDescent="0.2">
      <c r="A3973" t="s">
        <v>119</v>
      </c>
      <c r="B3973" t="s">
        <v>143</v>
      </c>
      <c r="C3973" t="s">
        <v>142</v>
      </c>
      <c r="D3973" t="s">
        <v>121</v>
      </c>
      <c r="E3973" t="s">
        <v>53</v>
      </c>
      <c r="F3973" t="s">
        <v>114</v>
      </c>
      <c r="G3973">
        <v>122639</v>
      </c>
      <c r="H3973" s="75">
        <v>46172</v>
      </c>
      <c r="I3973" t="s">
        <v>117</v>
      </c>
      <c r="J3973">
        <v>2.5</v>
      </c>
      <c r="K3973">
        <v>0</v>
      </c>
      <c r="M3973">
        <v>18203.491999999998</v>
      </c>
      <c r="N3973" t="s">
        <v>46</v>
      </c>
    </row>
    <row r="3974" spans="1:14" x14ac:dyDescent="0.2">
      <c r="A3974" t="s">
        <v>119</v>
      </c>
      <c r="B3974" t="s">
        <v>143</v>
      </c>
      <c r="C3974" t="s">
        <v>142</v>
      </c>
      <c r="D3974" t="s">
        <v>121</v>
      </c>
      <c r="E3974" t="s">
        <v>53</v>
      </c>
      <c r="F3974" t="s">
        <v>114</v>
      </c>
      <c r="G3974">
        <v>122639</v>
      </c>
      <c r="H3974" s="75">
        <v>46202</v>
      </c>
      <c r="I3974" t="s">
        <v>115</v>
      </c>
      <c r="J3974">
        <v>5000</v>
      </c>
      <c r="K3974">
        <v>86.86</v>
      </c>
      <c r="L3974">
        <v>57.564100000000003</v>
      </c>
      <c r="M3974">
        <v>18290.351999999999</v>
      </c>
      <c r="N3974" t="s">
        <v>15</v>
      </c>
    </row>
    <row r="3975" spans="1:14" x14ac:dyDescent="0.2">
      <c r="A3975" t="s">
        <v>56</v>
      </c>
      <c r="B3975" t="s">
        <v>144</v>
      </c>
      <c r="C3975" t="s">
        <v>142</v>
      </c>
      <c r="D3975" t="s">
        <v>57</v>
      </c>
      <c r="E3975" t="s">
        <v>53</v>
      </c>
      <c r="F3975" t="s">
        <v>114</v>
      </c>
      <c r="G3975">
        <v>119598</v>
      </c>
      <c r="H3975" s="75">
        <v>40479</v>
      </c>
      <c r="I3975" t="s">
        <v>115</v>
      </c>
      <c r="J3975">
        <v>5000</v>
      </c>
      <c r="K3975">
        <v>244.75899999999999</v>
      </c>
      <c r="L3975">
        <v>20.4282</v>
      </c>
      <c r="M3975">
        <v>244.75899999999999</v>
      </c>
      <c r="N3975" t="s">
        <v>15</v>
      </c>
    </row>
    <row r="3976" spans="1:14" x14ac:dyDescent="0.2">
      <c r="A3976" t="s">
        <v>56</v>
      </c>
      <c r="B3976" t="s">
        <v>144</v>
      </c>
      <c r="C3976" t="s">
        <v>142</v>
      </c>
      <c r="D3976" t="s">
        <v>57</v>
      </c>
      <c r="E3976" t="s">
        <v>53</v>
      </c>
      <c r="F3976" t="s">
        <v>114</v>
      </c>
      <c r="G3976">
        <v>119598</v>
      </c>
      <c r="H3976" s="75">
        <v>40509</v>
      </c>
      <c r="I3976" t="s">
        <v>115</v>
      </c>
      <c r="J3976">
        <v>5000</v>
      </c>
      <c r="K3976">
        <v>238.46</v>
      </c>
      <c r="L3976">
        <v>20.9679</v>
      </c>
      <c r="M3976">
        <v>483.21899999999999</v>
      </c>
      <c r="N3976" t="s">
        <v>15</v>
      </c>
    </row>
    <row r="3977" spans="1:14" x14ac:dyDescent="0.2">
      <c r="A3977" t="s">
        <v>56</v>
      </c>
      <c r="B3977" t="s">
        <v>144</v>
      </c>
      <c r="C3977" t="s">
        <v>142</v>
      </c>
      <c r="D3977" t="s">
        <v>57</v>
      </c>
      <c r="E3977" t="s">
        <v>53</v>
      </c>
      <c r="F3977" t="s">
        <v>114</v>
      </c>
      <c r="G3977">
        <v>119598</v>
      </c>
      <c r="H3977" s="75">
        <v>40539</v>
      </c>
      <c r="I3977" t="s">
        <v>115</v>
      </c>
      <c r="J3977">
        <v>5000</v>
      </c>
      <c r="K3977">
        <v>241.316</v>
      </c>
      <c r="L3977">
        <v>20.719799999999999</v>
      </c>
      <c r="M3977">
        <v>724.53499999999997</v>
      </c>
      <c r="N3977" t="s">
        <v>15</v>
      </c>
    </row>
    <row r="3978" spans="1:14" x14ac:dyDescent="0.2">
      <c r="A3978" t="s">
        <v>56</v>
      </c>
      <c r="B3978" t="s">
        <v>144</v>
      </c>
      <c r="C3978" t="s">
        <v>142</v>
      </c>
      <c r="D3978" t="s">
        <v>57</v>
      </c>
      <c r="E3978" t="s">
        <v>53</v>
      </c>
      <c r="F3978" t="s">
        <v>114</v>
      </c>
      <c r="G3978">
        <v>119598</v>
      </c>
      <c r="H3978" s="75">
        <v>40569</v>
      </c>
      <c r="I3978" t="s">
        <v>115</v>
      </c>
      <c r="J3978">
        <v>5000</v>
      </c>
      <c r="K3978">
        <v>239.85900000000001</v>
      </c>
      <c r="L3978">
        <v>20.845600000000001</v>
      </c>
      <c r="M3978">
        <v>964.39400000000001</v>
      </c>
      <c r="N3978" t="s">
        <v>15</v>
      </c>
    </row>
    <row r="3979" spans="1:14" x14ac:dyDescent="0.2">
      <c r="A3979" t="s">
        <v>56</v>
      </c>
      <c r="B3979" t="s">
        <v>144</v>
      </c>
      <c r="C3979" t="s">
        <v>142</v>
      </c>
      <c r="D3979" t="s">
        <v>57</v>
      </c>
      <c r="E3979" t="s">
        <v>53</v>
      </c>
      <c r="F3979" t="s">
        <v>114</v>
      </c>
      <c r="G3979">
        <v>119598</v>
      </c>
      <c r="H3979" s="75">
        <v>40599</v>
      </c>
      <c r="I3979" t="s">
        <v>115</v>
      </c>
      <c r="J3979">
        <v>5000</v>
      </c>
      <c r="K3979">
        <v>239.852</v>
      </c>
      <c r="L3979">
        <v>20.8462</v>
      </c>
      <c r="M3979">
        <v>1204.2460000000001</v>
      </c>
      <c r="N3979" t="s">
        <v>15</v>
      </c>
    </row>
    <row r="3980" spans="1:14" x14ac:dyDescent="0.2">
      <c r="A3980" t="s">
        <v>56</v>
      </c>
      <c r="B3980" t="s">
        <v>144</v>
      </c>
      <c r="C3980" t="s">
        <v>142</v>
      </c>
      <c r="D3980" t="s">
        <v>57</v>
      </c>
      <c r="E3980" t="s">
        <v>53</v>
      </c>
      <c r="F3980" t="s">
        <v>114</v>
      </c>
      <c r="G3980">
        <v>119598</v>
      </c>
      <c r="H3980" s="75">
        <v>40599</v>
      </c>
      <c r="I3980" t="s">
        <v>116</v>
      </c>
      <c r="J3980">
        <v>2.5</v>
      </c>
      <c r="K3980">
        <v>0</v>
      </c>
      <c r="M3980">
        <v>1204.2460000000001</v>
      </c>
      <c r="N3980" t="s">
        <v>17</v>
      </c>
    </row>
    <row r="3981" spans="1:14" x14ac:dyDescent="0.2">
      <c r="A3981" t="s">
        <v>56</v>
      </c>
      <c r="B3981" t="s">
        <v>144</v>
      </c>
      <c r="C3981" t="s">
        <v>142</v>
      </c>
      <c r="D3981" t="s">
        <v>57</v>
      </c>
      <c r="E3981" t="s">
        <v>53</v>
      </c>
      <c r="F3981" t="s">
        <v>114</v>
      </c>
      <c r="G3981">
        <v>119598</v>
      </c>
      <c r="H3981" s="75">
        <v>40629</v>
      </c>
      <c r="I3981" t="s">
        <v>115</v>
      </c>
      <c r="J3981">
        <v>5000</v>
      </c>
      <c r="K3981">
        <v>235.38499999999999</v>
      </c>
      <c r="L3981">
        <v>21.241800000000001</v>
      </c>
      <c r="M3981">
        <v>1439.6320000000001</v>
      </c>
      <c r="N3981" t="s">
        <v>15</v>
      </c>
    </row>
    <row r="3982" spans="1:14" x14ac:dyDescent="0.2">
      <c r="A3982" t="s">
        <v>56</v>
      </c>
      <c r="B3982" t="s">
        <v>144</v>
      </c>
      <c r="C3982" t="s">
        <v>142</v>
      </c>
      <c r="D3982" t="s">
        <v>57</v>
      </c>
      <c r="E3982" t="s">
        <v>53</v>
      </c>
      <c r="F3982" t="s">
        <v>114</v>
      </c>
      <c r="G3982">
        <v>119598</v>
      </c>
      <c r="H3982" s="75">
        <v>40659</v>
      </c>
      <c r="I3982" t="s">
        <v>115</v>
      </c>
      <c r="J3982">
        <v>5000</v>
      </c>
      <c r="K3982">
        <v>231.965</v>
      </c>
      <c r="L3982">
        <v>21.555</v>
      </c>
      <c r="M3982">
        <v>1671.597</v>
      </c>
      <c r="N3982" t="s">
        <v>15</v>
      </c>
    </row>
    <row r="3983" spans="1:14" x14ac:dyDescent="0.2">
      <c r="A3983" t="s">
        <v>56</v>
      </c>
      <c r="B3983" t="s">
        <v>144</v>
      </c>
      <c r="C3983" t="s">
        <v>142</v>
      </c>
      <c r="D3983" t="s">
        <v>57</v>
      </c>
      <c r="E3983" t="s">
        <v>53</v>
      </c>
      <c r="F3983" t="s">
        <v>114</v>
      </c>
      <c r="G3983">
        <v>119598</v>
      </c>
      <c r="H3983" s="75">
        <v>40659</v>
      </c>
      <c r="I3983" t="s">
        <v>117</v>
      </c>
      <c r="J3983">
        <v>2.5</v>
      </c>
      <c r="K3983">
        <v>0</v>
      </c>
      <c r="M3983">
        <v>1671.597</v>
      </c>
      <c r="N3983" t="s">
        <v>46</v>
      </c>
    </row>
    <row r="3984" spans="1:14" x14ac:dyDescent="0.2">
      <c r="A3984" t="s">
        <v>56</v>
      </c>
      <c r="B3984" t="s">
        <v>144</v>
      </c>
      <c r="C3984" t="s">
        <v>142</v>
      </c>
      <c r="D3984" t="s">
        <v>57</v>
      </c>
      <c r="E3984" t="s">
        <v>53</v>
      </c>
      <c r="F3984" t="s">
        <v>114</v>
      </c>
      <c r="G3984">
        <v>119598</v>
      </c>
      <c r="H3984" s="75">
        <v>40689</v>
      </c>
      <c r="I3984" t="s">
        <v>115</v>
      </c>
      <c r="J3984">
        <v>5000</v>
      </c>
      <c r="K3984">
        <v>229.35</v>
      </c>
      <c r="L3984">
        <v>21.800699999999999</v>
      </c>
      <c r="M3984">
        <v>1900.9469999999999</v>
      </c>
      <c r="N3984" t="s">
        <v>15</v>
      </c>
    </row>
    <row r="3985" spans="1:14" x14ac:dyDescent="0.2">
      <c r="A3985" t="s">
        <v>56</v>
      </c>
      <c r="B3985" t="s">
        <v>144</v>
      </c>
      <c r="C3985" t="s">
        <v>142</v>
      </c>
      <c r="D3985" t="s">
        <v>57</v>
      </c>
      <c r="E3985" t="s">
        <v>53</v>
      </c>
      <c r="F3985" t="s">
        <v>114</v>
      </c>
      <c r="G3985">
        <v>119598</v>
      </c>
      <c r="H3985" s="75">
        <v>40719</v>
      </c>
      <c r="I3985" t="s">
        <v>115</v>
      </c>
      <c r="J3985">
        <v>5000</v>
      </c>
      <c r="K3985">
        <v>233.39099999999999</v>
      </c>
      <c r="L3985">
        <v>21.423300000000001</v>
      </c>
      <c r="M3985">
        <v>2134.337</v>
      </c>
      <c r="N3985" t="s">
        <v>15</v>
      </c>
    </row>
    <row r="3986" spans="1:14" x14ac:dyDescent="0.2">
      <c r="A3986" t="s">
        <v>56</v>
      </c>
      <c r="B3986" t="s">
        <v>144</v>
      </c>
      <c r="C3986" t="s">
        <v>142</v>
      </c>
      <c r="D3986" t="s">
        <v>57</v>
      </c>
      <c r="E3986" t="s">
        <v>53</v>
      </c>
      <c r="F3986" t="s">
        <v>114</v>
      </c>
      <c r="G3986">
        <v>119598</v>
      </c>
      <c r="H3986" s="75">
        <v>40749</v>
      </c>
      <c r="I3986" t="s">
        <v>115</v>
      </c>
      <c r="J3986">
        <v>5000</v>
      </c>
      <c r="K3986">
        <v>235.84100000000001</v>
      </c>
      <c r="L3986">
        <v>21.200700000000001</v>
      </c>
      <c r="M3986">
        <v>2370.1790000000001</v>
      </c>
      <c r="N3986" t="s">
        <v>15</v>
      </c>
    </row>
    <row r="3987" spans="1:14" x14ac:dyDescent="0.2">
      <c r="A3987" t="s">
        <v>56</v>
      </c>
      <c r="B3987" t="s">
        <v>144</v>
      </c>
      <c r="C3987" t="s">
        <v>142</v>
      </c>
      <c r="D3987" t="s">
        <v>57</v>
      </c>
      <c r="E3987" t="s">
        <v>53</v>
      </c>
      <c r="F3987" t="s">
        <v>114</v>
      </c>
      <c r="G3987">
        <v>119598</v>
      </c>
      <c r="H3987" s="75">
        <v>40779</v>
      </c>
      <c r="I3987" t="s">
        <v>115</v>
      </c>
      <c r="J3987">
        <v>5000</v>
      </c>
      <c r="K3987">
        <v>233.90799999999999</v>
      </c>
      <c r="L3987">
        <v>21.375900000000001</v>
      </c>
      <c r="M3987">
        <v>2604.087</v>
      </c>
      <c r="N3987" t="s">
        <v>15</v>
      </c>
    </row>
    <row r="3988" spans="1:14" x14ac:dyDescent="0.2">
      <c r="A3988" t="s">
        <v>56</v>
      </c>
      <c r="B3988" t="s">
        <v>144</v>
      </c>
      <c r="C3988" t="s">
        <v>142</v>
      </c>
      <c r="D3988" t="s">
        <v>57</v>
      </c>
      <c r="E3988" t="s">
        <v>53</v>
      </c>
      <c r="F3988" t="s">
        <v>114</v>
      </c>
      <c r="G3988">
        <v>119598</v>
      </c>
      <c r="H3988" s="75">
        <v>40809</v>
      </c>
      <c r="I3988" t="s">
        <v>115</v>
      </c>
      <c r="J3988">
        <v>5000</v>
      </c>
      <c r="K3988">
        <v>230.88800000000001</v>
      </c>
      <c r="L3988">
        <v>21.6555</v>
      </c>
      <c r="M3988">
        <v>2834.9740000000002</v>
      </c>
      <c r="N3988" t="s">
        <v>15</v>
      </c>
    </row>
    <row r="3989" spans="1:14" x14ac:dyDescent="0.2">
      <c r="A3989" t="s">
        <v>56</v>
      </c>
      <c r="B3989" t="s">
        <v>144</v>
      </c>
      <c r="C3989" t="s">
        <v>142</v>
      </c>
      <c r="D3989" t="s">
        <v>57</v>
      </c>
      <c r="E3989" t="s">
        <v>53</v>
      </c>
      <c r="F3989" t="s">
        <v>114</v>
      </c>
      <c r="G3989">
        <v>119598</v>
      </c>
      <c r="H3989" s="75">
        <v>40839</v>
      </c>
      <c r="I3989" t="s">
        <v>115</v>
      </c>
      <c r="J3989">
        <v>5000</v>
      </c>
      <c r="K3989">
        <v>229.404</v>
      </c>
      <c r="L3989">
        <v>21.7956</v>
      </c>
      <c r="M3989">
        <v>3064.3780000000002</v>
      </c>
      <c r="N3989" t="s">
        <v>15</v>
      </c>
    </row>
    <row r="3990" spans="1:14" x14ac:dyDescent="0.2">
      <c r="A3990" t="s">
        <v>56</v>
      </c>
      <c r="B3990" t="s">
        <v>144</v>
      </c>
      <c r="C3990" t="s">
        <v>142</v>
      </c>
      <c r="D3990" t="s">
        <v>57</v>
      </c>
      <c r="E3990" t="s">
        <v>53</v>
      </c>
      <c r="F3990" t="s">
        <v>114</v>
      </c>
      <c r="G3990">
        <v>119598</v>
      </c>
      <c r="H3990" s="75">
        <v>40869</v>
      </c>
      <c r="I3990" t="s">
        <v>115</v>
      </c>
      <c r="J3990">
        <v>5000</v>
      </c>
      <c r="K3990">
        <v>227.785</v>
      </c>
      <c r="L3990">
        <v>21.950600000000001</v>
      </c>
      <c r="M3990">
        <v>3292.163</v>
      </c>
      <c r="N3990" t="s">
        <v>15</v>
      </c>
    </row>
    <row r="3991" spans="1:14" x14ac:dyDescent="0.2">
      <c r="A3991" t="s">
        <v>56</v>
      </c>
      <c r="B3991" t="s">
        <v>144</v>
      </c>
      <c r="C3991" t="s">
        <v>142</v>
      </c>
      <c r="D3991" t="s">
        <v>57</v>
      </c>
      <c r="E3991" t="s">
        <v>53</v>
      </c>
      <c r="F3991" t="s">
        <v>114</v>
      </c>
      <c r="G3991">
        <v>119598</v>
      </c>
      <c r="H3991" s="75">
        <v>40899</v>
      </c>
      <c r="I3991" t="s">
        <v>115</v>
      </c>
      <c r="J3991">
        <v>5000</v>
      </c>
      <c r="K3991">
        <v>232.00399999999999</v>
      </c>
      <c r="L3991">
        <v>21.551300000000001</v>
      </c>
      <c r="M3991">
        <v>3524.1669999999999</v>
      </c>
      <c r="N3991" t="s">
        <v>15</v>
      </c>
    </row>
    <row r="3992" spans="1:14" x14ac:dyDescent="0.2">
      <c r="A3992" t="s">
        <v>56</v>
      </c>
      <c r="B3992" t="s">
        <v>144</v>
      </c>
      <c r="C3992" t="s">
        <v>142</v>
      </c>
      <c r="D3992" t="s">
        <v>57</v>
      </c>
      <c r="E3992" t="s">
        <v>53</v>
      </c>
      <c r="F3992" t="s">
        <v>114</v>
      </c>
      <c r="G3992">
        <v>119598</v>
      </c>
      <c r="H3992" s="75">
        <v>40899</v>
      </c>
      <c r="I3992" t="s">
        <v>117</v>
      </c>
      <c r="J3992">
        <v>2.5</v>
      </c>
      <c r="K3992">
        <v>0</v>
      </c>
      <c r="M3992">
        <v>3524.1669999999999</v>
      </c>
      <c r="N3992" t="s">
        <v>46</v>
      </c>
    </row>
    <row r="3993" spans="1:14" x14ac:dyDescent="0.2">
      <c r="A3993" t="s">
        <v>56</v>
      </c>
      <c r="B3993" t="s">
        <v>144</v>
      </c>
      <c r="C3993" t="s">
        <v>142</v>
      </c>
      <c r="D3993" t="s">
        <v>57</v>
      </c>
      <c r="E3993" t="s">
        <v>53</v>
      </c>
      <c r="F3993" t="s">
        <v>114</v>
      </c>
      <c r="G3993">
        <v>119598</v>
      </c>
      <c r="H3993" s="75">
        <v>40929</v>
      </c>
      <c r="I3993" t="s">
        <v>115</v>
      </c>
      <c r="J3993">
        <v>5000</v>
      </c>
      <c r="K3993">
        <v>229.75</v>
      </c>
      <c r="L3993">
        <v>21.762799999999999</v>
      </c>
      <c r="M3993">
        <v>3753.9180000000001</v>
      </c>
      <c r="N3993" t="s">
        <v>15</v>
      </c>
    </row>
    <row r="3994" spans="1:14" x14ac:dyDescent="0.2">
      <c r="A3994" t="s">
        <v>56</v>
      </c>
      <c r="B3994" t="s">
        <v>144</v>
      </c>
      <c r="C3994" t="s">
        <v>142</v>
      </c>
      <c r="D3994" t="s">
        <v>57</v>
      </c>
      <c r="E3994" t="s">
        <v>53</v>
      </c>
      <c r="F3994" t="s">
        <v>114</v>
      </c>
      <c r="G3994">
        <v>119598</v>
      </c>
      <c r="H3994" s="75">
        <v>40959</v>
      </c>
      <c r="I3994" t="s">
        <v>115</v>
      </c>
      <c r="J3994">
        <v>5000</v>
      </c>
      <c r="K3994">
        <v>228.25</v>
      </c>
      <c r="L3994">
        <v>21.905799999999999</v>
      </c>
      <c r="M3994">
        <v>3982.1669999999999</v>
      </c>
      <c r="N3994" t="s">
        <v>15</v>
      </c>
    </row>
    <row r="3995" spans="1:14" x14ac:dyDescent="0.2">
      <c r="A3995" t="s">
        <v>56</v>
      </c>
      <c r="B3995" t="s">
        <v>144</v>
      </c>
      <c r="C3995" t="s">
        <v>142</v>
      </c>
      <c r="D3995" t="s">
        <v>57</v>
      </c>
      <c r="E3995" t="s">
        <v>53</v>
      </c>
      <c r="F3995" t="s">
        <v>114</v>
      </c>
      <c r="G3995">
        <v>119598</v>
      </c>
      <c r="H3995" s="75">
        <v>40989</v>
      </c>
      <c r="I3995" t="s">
        <v>115</v>
      </c>
      <c r="J3995">
        <v>5000</v>
      </c>
      <c r="K3995">
        <v>223.66200000000001</v>
      </c>
      <c r="L3995">
        <v>22.3552</v>
      </c>
      <c r="M3995">
        <v>4205.8289999999997</v>
      </c>
      <c r="N3995" t="s">
        <v>15</v>
      </c>
    </row>
    <row r="3996" spans="1:14" x14ac:dyDescent="0.2">
      <c r="A3996" t="s">
        <v>56</v>
      </c>
      <c r="B3996" t="s">
        <v>144</v>
      </c>
      <c r="C3996" t="s">
        <v>142</v>
      </c>
      <c r="D3996" t="s">
        <v>57</v>
      </c>
      <c r="E3996" t="s">
        <v>53</v>
      </c>
      <c r="F3996" t="s">
        <v>114</v>
      </c>
      <c r="G3996">
        <v>119598</v>
      </c>
      <c r="H3996" s="75">
        <v>41019</v>
      </c>
      <c r="I3996" t="s">
        <v>115</v>
      </c>
      <c r="J3996">
        <v>5000</v>
      </c>
      <c r="K3996">
        <v>217.33</v>
      </c>
      <c r="L3996">
        <v>23.006499999999999</v>
      </c>
      <c r="M3996">
        <v>4423.1589999999997</v>
      </c>
      <c r="N3996" t="s">
        <v>15</v>
      </c>
    </row>
    <row r="3997" spans="1:14" x14ac:dyDescent="0.2">
      <c r="A3997" t="s">
        <v>56</v>
      </c>
      <c r="B3997" t="s">
        <v>144</v>
      </c>
      <c r="C3997" t="s">
        <v>142</v>
      </c>
      <c r="D3997" t="s">
        <v>57</v>
      </c>
      <c r="E3997" t="s">
        <v>53</v>
      </c>
      <c r="F3997" t="s">
        <v>114</v>
      </c>
      <c r="G3997">
        <v>119598</v>
      </c>
      <c r="H3997" s="75">
        <v>41049</v>
      </c>
      <c r="I3997" t="s">
        <v>115</v>
      </c>
      <c r="J3997">
        <v>5000</v>
      </c>
      <c r="K3997">
        <v>221.66399999999999</v>
      </c>
      <c r="L3997">
        <v>22.5566</v>
      </c>
      <c r="M3997">
        <v>4644.8239999999996</v>
      </c>
      <c r="N3997" t="s">
        <v>15</v>
      </c>
    </row>
    <row r="3998" spans="1:14" x14ac:dyDescent="0.2">
      <c r="A3998" t="s">
        <v>56</v>
      </c>
      <c r="B3998" t="s">
        <v>144</v>
      </c>
      <c r="C3998" t="s">
        <v>142</v>
      </c>
      <c r="D3998" t="s">
        <v>57</v>
      </c>
      <c r="E3998" t="s">
        <v>53</v>
      </c>
      <c r="F3998" t="s">
        <v>114</v>
      </c>
      <c r="G3998">
        <v>119598</v>
      </c>
      <c r="H3998" s="75">
        <v>41049</v>
      </c>
      <c r="I3998" t="s">
        <v>116</v>
      </c>
      <c r="J3998">
        <v>2.5</v>
      </c>
      <c r="K3998">
        <v>0</v>
      </c>
      <c r="M3998">
        <v>4644.8239999999996</v>
      </c>
      <c r="N3998" t="s">
        <v>17</v>
      </c>
    </row>
    <row r="3999" spans="1:14" x14ac:dyDescent="0.2">
      <c r="A3999" t="s">
        <v>56</v>
      </c>
      <c r="B3999" t="s">
        <v>144</v>
      </c>
      <c r="C3999" t="s">
        <v>142</v>
      </c>
      <c r="D3999" t="s">
        <v>57</v>
      </c>
      <c r="E3999" t="s">
        <v>53</v>
      </c>
      <c r="F3999" t="s">
        <v>114</v>
      </c>
      <c r="G3999">
        <v>119598</v>
      </c>
      <c r="H3999" s="75">
        <v>41079</v>
      </c>
      <c r="I3999" t="s">
        <v>115</v>
      </c>
      <c r="J3999">
        <v>5000</v>
      </c>
      <c r="K3999">
        <v>226.047</v>
      </c>
      <c r="L3999">
        <v>22.119199999999999</v>
      </c>
      <c r="M3999">
        <v>4870.8710000000001</v>
      </c>
      <c r="N3999" t="s">
        <v>15</v>
      </c>
    </row>
    <row r="4000" spans="1:14" x14ac:dyDescent="0.2">
      <c r="A4000" t="s">
        <v>56</v>
      </c>
      <c r="B4000" t="s">
        <v>144</v>
      </c>
      <c r="C4000" t="s">
        <v>142</v>
      </c>
      <c r="D4000" t="s">
        <v>57</v>
      </c>
      <c r="E4000" t="s">
        <v>53</v>
      </c>
      <c r="F4000" t="s">
        <v>114</v>
      </c>
      <c r="G4000">
        <v>119598</v>
      </c>
      <c r="H4000" s="75">
        <v>41109</v>
      </c>
      <c r="I4000" t="s">
        <v>115</v>
      </c>
      <c r="J4000">
        <v>5000</v>
      </c>
      <c r="K4000">
        <v>230.35400000000001</v>
      </c>
      <c r="L4000">
        <v>21.7057</v>
      </c>
      <c r="M4000">
        <v>5101.2250000000004</v>
      </c>
      <c r="N4000" t="s">
        <v>15</v>
      </c>
    </row>
    <row r="4001" spans="1:14" x14ac:dyDescent="0.2">
      <c r="A4001" t="s">
        <v>56</v>
      </c>
      <c r="B4001" t="s">
        <v>144</v>
      </c>
      <c r="C4001" t="s">
        <v>142</v>
      </c>
      <c r="D4001" t="s">
        <v>57</v>
      </c>
      <c r="E4001" t="s">
        <v>53</v>
      </c>
      <c r="F4001" t="s">
        <v>114</v>
      </c>
      <c r="G4001">
        <v>119598</v>
      </c>
      <c r="H4001" s="75">
        <v>41139</v>
      </c>
      <c r="I4001" t="s">
        <v>115</v>
      </c>
      <c r="J4001">
        <v>5000</v>
      </c>
      <c r="K4001">
        <v>225.345</v>
      </c>
      <c r="L4001">
        <v>22.188199999999998</v>
      </c>
      <c r="M4001">
        <v>5326.57</v>
      </c>
      <c r="N4001" t="s">
        <v>15</v>
      </c>
    </row>
    <row r="4002" spans="1:14" x14ac:dyDescent="0.2">
      <c r="A4002" t="s">
        <v>56</v>
      </c>
      <c r="B4002" t="s">
        <v>144</v>
      </c>
      <c r="C4002" t="s">
        <v>142</v>
      </c>
      <c r="D4002" t="s">
        <v>57</v>
      </c>
      <c r="E4002" t="s">
        <v>53</v>
      </c>
      <c r="F4002" t="s">
        <v>114</v>
      </c>
      <c r="G4002">
        <v>119598</v>
      </c>
      <c r="H4002" s="75">
        <v>41169</v>
      </c>
      <c r="I4002" t="s">
        <v>115</v>
      </c>
      <c r="J4002">
        <v>5000</v>
      </c>
      <c r="K4002">
        <v>219.18899999999999</v>
      </c>
      <c r="L4002">
        <v>22.811399999999999</v>
      </c>
      <c r="M4002">
        <v>5545.7579999999998</v>
      </c>
      <c r="N4002" t="s">
        <v>15</v>
      </c>
    </row>
    <row r="4003" spans="1:14" x14ac:dyDescent="0.2">
      <c r="A4003" t="s">
        <v>56</v>
      </c>
      <c r="B4003" t="s">
        <v>144</v>
      </c>
      <c r="C4003" t="s">
        <v>142</v>
      </c>
      <c r="D4003" t="s">
        <v>57</v>
      </c>
      <c r="E4003" t="s">
        <v>53</v>
      </c>
      <c r="F4003" t="s">
        <v>114</v>
      </c>
      <c r="G4003">
        <v>119598</v>
      </c>
      <c r="H4003" s="75">
        <v>41199</v>
      </c>
      <c r="I4003" t="s">
        <v>115</v>
      </c>
      <c r="J4003">
        <v>5000</v>
      </c>
      <c r="K4003">
        <v>213.839</v>
      </c>
      <c r="L4003">
        <v>23.382000000000001</v>
      </c>
      <c r="M4003">
        <v>5759.598</v>
      </c>
      <c r="N4003" t="s">
        <v>15</v>
      </c>
    </row>
    <row r="4004" spans="1:14" x14ac:dyDescent="0.2">
      <c r="A4004" t="s">
        <v>56</v>
      </c>
      <c r="B4004" t="s">
        <v>144</v>
      </c>
      <c r="C4004" t="s">
        <v>142</v>
      </c>
      <c r="D4004" t="s">
        <v>57</v>
      </c>
      <c r="E4004" t="s">
        <v>53</v>
      </c>
      <c r="F4004" t="s">
        <v>114</v>
      </c>
      <c r="G4004">
        <v>119598</v>
      </c>
      <c r="H4004" s="75">
        <v>41199</v>
      </c>
      <c r="I4004" t="s">
        <v>116</v>
      </c>
      <c r="J4004">
        <v>2.5</v>
      </c>
      <c r="K4004">
        <v>0</v>
      </c>
      <c r="M4004">
        <v>5759.598</v>
      </c>
      <c r="N4004" t="s">
        <v>17</v>
      </c>
    </row>
    <row r="4005" spans="1:14" x14ac:dyDescent="0.2">
      <c r="A4005" t="s">
        <v>56</v>
      </c>
      <c r="B4005" t="s">
        <v>144</v>
      </c>
      <c r="C4005" t="s">
        <v>142</v>
      </c>
      <c r="D4005" t="s">
        <v>57</v>
      </c>
      <c r="E4005" t="s">
        <v>53</v>
      </c>
      <c r="F4005" t="s">
        <v>114</v>
      </c>
      <c r="G4005">
        <v>119598</v>
      </c>
      <c r="H4005" s="75">
        <v>41199</v>
      </c>
      <c r="I4005" t="s">
        <v>25</v>
      </c>
      <c r="J4005">
        <v>-26934.23</v>
      </c>
      <c r="K4005">
        <v>-1151.92</v>
      </c>
      <c r="L4005">
        <v>23.382000000000001</v>
      </c>
      <c r="M4005">
        <v>4607.6779999999999</v>
      </c>
      <c r="N4005" t="s">
        <v>16</v>
      </c>
    </row>
    <row r="4006" spans="1:14" x14ac:dyDescent="0.2">
      <c r="A4006" t="s">
        <v>56</v>
      </c>
      <c r="B4006" t="s">
        <v>144</v>
      </c>
      <c r="C4006" t="s">
        <v>142</v>
      </c>
      <c r="D4006" t="s">
        <v>57</v>
      </c>
      <c r="E4006" t="s">
        <v>53</v>
      </c>
      <c r="F4006" t="s">
        <v>114</v>
      </c>
      <c r="G4006">
        <v>119598</v>
      </c>
      <c r="H4006" s="75">
        <v>41229</v>
      </c>
      <c r="I4006" t="s">
        <v>115</v>
      </c>
      <c r="J4006">
        <v>5000</v>
      </c>
      <c r="K4006">
        <v>207.89</v>
      </c>
      <c r="L4006">
        <v>24.051200000000001</v>
      </c>
      <c r="M4006">
        <v>4815.5680000000002</v>
      </c>
      <c r="N4006" t="s">
        <v>15</v>
      </c>
    </row>
    <row r="4007" spans="1:14" x14ac:dyDescent="0.2">
      <c r="A4007" t="s">
        <v>56</v>
      </c>
      <c r="B4007" t="s">
        <v>144</v>
      </c>
      <c r="C4007" t="s">
        <v>142</v>
      </c>
      <c r="D4007" t="s">
        <v>57</v>
      </c>
      <c r="E4007" t="s">
        <v>53</v>
      </c>
      <c r="F4007" t="s">
        <v>114</v>
      </c>
      <c r="G4007">
        <v>119598</v>
      </c>
      <c r="H4007" s="75">
        <v>41259</v>
      </c>
      <c r="I4007" t="s">
        <v>115</v>
      </c>
      <c r="J4007">
        <v>5000</v>
      </c>
      <c r="K4007">
        <v>208.94900000000001</v>
      </c>
      <c r="L4007">
        <v>23.929300000000001</v>
      </c>
      <c r="M4007">
        <v>5024.5169999999998</v>
      </c>
      <c r="N4007" t="s">
        <v>15</v>
      </c>
    </row>
    <row r="4008" spans="1:14" x14ac:dyDescent="0.2">
      <c r="A4008" t="s">
        <v>56</v>
      </c>
      <c r="B4008" t="s">
        <v>144</v>
      </c>
      <c r="C4008" t="s">
        <v>142</v>
      </c>
      <c r="D4008" t="s">
        <v>57</v>
      </c>
      <c r="E4008" t="s">
        <v>53</v>
      </c>
      <c r="F4008" t="s">
        <v>114</v>
      </c>
      <c r="G4008">
        <v>119598</v>
      </c>
      <c r="H4008" s="75">
        <v>41289</v>
      </c>
      <c r="I4008" t="s">
        <v>115</v>
      </c>
      <c r="J4008">
        <v>5000</v>
      </c>
      <c r="K4008">
        <v>209.20400000000001</v>
      </c>
      <c r="L4008">
        <v>23.900200000000002</v>
      </c>
      <c r="M4008">
        <v>5233.7209999999995</v>
      </c>
      <c r="N4008" t="s">
        <v>15</v>
      </c>
    </row>
    <row r="4009" spans="1:14" x14ac:dyDescent="0.2">
      <c r="A4009" t="s">
        <v>56</v>
      </c>
      <c r="B4009" t="s">
        <v>144</v>
      </c>
      <c r="C4009" t="s">
        <v>142</v>
      </c>
      <c r="D4009" t="s">
        <v>57</v>
      </c>
      <c r="E4009" t="s">
        <v>53</v>
      </c>
      <c r="F4009" t="s">
        <v>114</v>
      </c>
      <c r="G4009">
        <v>119598</v>
      </c>
      <c r="H4009" s="75">
        <v>41319</v>
      </c>
      <c r="I4009" t="s">
        <v>115</v>
      </c>
      <c r="J4009">
        <v>5000</v>
      </c>
      <c r="K4009">
        <v>206.767</v>
      </c>
      <c r="L4009">
        <v>24.181799999999999</v>
      </c>
      <c r="M4009">
        <v>5440.4880000000003</v>
      </c>
      <c r="N4009" t="s">
        <v>15</v>
      </c>
    </row>
    <row r="4010" spans="1:14" x14ac:dyDescent="0.2">
      <c r="A4010" t="s">
        <v>56</v>
      </c>
      <c r="B4010" t="s">
        <v>144</v>
      </c>
      <c r="C4010" t="s">
        <v>142</v>
      </c>
      <c r="D4010" t="s">
        <v>57</v>
      </c>
      <c r="E4010" t="s">
        <v>53</v>
      </c>
      <c r="F4010" t="s">
        <v>114</v>
      </c>
      <c r="G4010">
        <v>119598</v>
      </c>
      <c r="H4010" s="75">
        <v>41349</v>
      </c>
      <c r="I4010" t="s">
        <v>115</v>
      </c>
      <c r="J4010">
        <v>5000</v>
      </c>
      <c r="K4010">
        <v>208.68899999999999</v>
      </c>
      <c r="L4010">
        <v>23.959099999999999</v>
      </c>
      <c r="M4010">
        <v>5649.1769999999997</v>
      </c>
      <c r="N4010" t="s">
        <v>15</v>
      </c>
    </row>
    <row r="4011" spans="1:14" x14ac:dyDescent="0.2">
      <c r="A4011" t="s">
        <v>56</v>
      </c>
      <c r="B4011" t="s">
        <v>144</v>
      </c>
      <c r="C4011" t="s">
        <v>142</v>
      </c>
      <c r="D4011" t="s">
        <v>57</v>
      </c>
      <c r="E4011" t="s">
        <v>53</v>
      </c>
      <c r="F4011" t="s">
        <v>114</v>
      </c>
      <c r="G4011">
        <v>119598</v>
      </c>
      <c r="H4011" s="75">
        <v>41379</v>
      </c>
      <c r="I4011" t="s">
        <v>115</v>
      </c>
      <c r="J4011">
        <v>5000</v>
      </c>
      <c r="K4011">
        <v>211.501</v>
      </c>
      <c r="L4011">
        <v>23.640599999999999</v>
      </c>
      <c r="M4011">
        <v>5860.6779999999999</v>
      </c>
      <c r="N4011" t="s">
        <v>15</v>
      </c>
    </row>
    <row r="4012" spans="1:14" x14ac:dyDescent="0.2">
      <c r="A4012" t="s">
        <v>56</v>
      </c>
      <c r="B4012" t="s">
        <v>144</v>
      </c>
      <c r="C4012" t="s">
        <v>142</v>
      </c>
      <c r="D4012" t="s">
        <v>57</v>
      </c>
      <c r="E4012" t="s">
        <v>53</v>
      </c>
      <c r="F4012" t="s">
        <v>114</v>
      </c>
      <c r="G4012">
        <v>119598</v>
      </c>
      <c r="H4012" s="75">
        <v>41409</v>
      </c>
      <c r="I4012" t="s">
        <v>115</v>
      </c>
      <c r="J4012">
        <v>5000</v>
      </c>
      <c r="K4012">
        <v>214.221</v>
      </c>
      <c r="L4012">
        <v>23.340299999999999</v>
      </c>
      <c r="M4012">
        <v>6074.8990000000003</v>
      </c>
      <c r="N4012" t="s">
        <v>15</v>
      </c>
    </row>
    <row r="4013" spans="1:14" x14ac:dyDescent="0.2">
      <c r="A4013" t="s">
        <v>56</v>
      </c>
      <c r="B4013" t="s">
        <v>144</v>
      </c>
      <c r="C4013" t="s">
        <v>142</v>
      </c>
      <c r="D4013" t="s">
        <v>57</v>
      </c>
      <c r="E4013" t="s">
        <v>53</v>
      </c>
      <c r="F4013" t="s">
        <v>114</v>
      </c>
      <c r="G4013">
        <v>119598</v>
      </c>
      <c r="H4013" s="75">
        <v>41409</v>
      </c>
      <c r="I4013" t="s">
        <v>117</v>
      </c>
      <c r="J4013">
        <v>2.5</v>
      </c>
      <c r="K4013">
        <v>0</v>
      </c>
      <c r="M4013">
        <v>6074.8990000000003</v>
      </c>
      <c r="N4013" t="s">
        <v>46</v>
      </c>
    </row>
    <row r="4014" spans="1:14" x14ac:dyDescent="0.2">
      <c r="A4014" t="s">
        <v>56</v>
      </c>
      <c r="B4014" t="s">
        <v>144</v>
      </c>
      <c r="C4014" t="s">
        <v>142</v>
      </c>
      <c r="D4014" t="s">
        <v>57</v>
      </c>
      <c r="E4014" t="s">
        <v>53</v>
      </c>
      <c r="F4014" t="s">
        <v>114</v>
      </c>
      <c r="G4014">
        <v>119598</v>
      </c>
      <c r="H4014" s="75">
        <v>41439</v>
      </c>
      <c r="I4014" t="s">
        <v>115</v>
      </c>
      <c r="J4014">
        <v>5000</v>
      </c>
      <c r="K4014">
        <v>210.74199999999999</v>
      </c>
      <c r="L4014">
        <v>23.7257</v>
      </c>
      <c r="M4014">
        <v>6285.6409999999996</v>
      </c>
      <c r="N4014" t="s">
        <v>15</v>
      </c>
    </row>
    <row r="4015" spans="1:14" x14ac:dyDescent="0.2">
      <c r="A4015" t="s">
        <v>56</v>
      </c>
      <c r="B4015" t="s">
        <v>144</v>
      </c>
      <c r="C4015" t="s">
        <v>142</v>
      </c>
      <c r="D4015" t="s">
        <v>57</v>
      </c>
      <c r="E4015" t="s">
        <v>53</v>
      </c>
      <c r="F4015" t="s">
        <v>114</v>
      </c>
      <c r="G4015">
        <v>119598</v>
      </c>
      <c r="H4015" s="75">
        <v>41469</v>
      </c>
      <c r="I4015" t="s">
        <v>115</v>
      </c>
      <c r="J4015">
        <v>5000</v>
      </c>
      <c r="K4015">
        <v>214.78700000000001</v>
      </c>
      <c r="L4015">
        <v>23.2789</v>
      </c>
      <c r="M4015">
        <v>6500.4279999999999</v>
      </c>
      <c r="N4015" t="s">
        <v>15</v>
      </c>
    </row>
    <row r="4016" spans="1:14" x14ac:dyDescent="0.2">
      <c r="A4016" t="s">
        <v>56</v>
      </c>
      <c r="B4016" t="s">
        <v>144</v>
      </c>
      <c r="C4016" t="s">
        <v>142</v>
      </c>
      <c r="D4016" t="s">
        <v>57</v>
      </c>
      <c r="E4016" t="s">
        <v>53</v>
      </c>
      <c r="F4016" t="s">
        <v>114</v>
      </c>
      <c r="G4016">
        <v>119598</v>
      </c>
      <c r="H4016" s="75">
        <v>41469</v>
      </c>
      <c r="I4016" t="s">
        <v>116</v>
      </c>
      <c r="J4016">
        <v>2.5</v>
      </c>
      <c r="K4016">
        <v>0</v>
      </c>
      <c r="M4016">
        <v>6500.4279999999999</v>
      </c>
      <c r="N4016" t="s">
        <v>17</v>
      </c>
    </row>
    <row r="4017" spans="1:14" x14ac:dyDescent="0.2">
      <c r="A4017" t="s">
        <v>56</v>
      </c>
      <c r="B4017" t="s">
        <v>144</v>
      </c>
      <c r="C4017" t="s">
        <v>142</v>
      </c>
      <c r="D4017" t="s">
        <v>57</v>
      </c>
      <c r="E4017" t="s">
        <v>53</v>
      </c>
      <c r="F4017" t="s">
        <v>114</v>
      </c>
      <c r="G4017">
        <v>119598</v>
      </c>
      <c r="H4017" s="75">
        <v>41499</v>
      </c>
      <c r="I4017" t="s">
        <v>115</v>
      </c>
      <c r="J4017">
        <v>5000</v>
      </c>
      <c r="K4017">
        <v>214.99100000000001</v>
      </c>
      <c r="L4017">
        <v>23.256699999999999</v>
      </c>
      <c r="M4017">
        <v>6715.4189999999999</v>
      </c>
      <c r="N4017" t="s">
        <v>15</v>
      </c>
    </row>
    <row r="4018" spans="1:14" x14ac:dyDescent="0.2">
      <c r="A4018" t="s">
        <v>56</v>
      </c>
      <c r="B4018" t="s">
        <v>144</v>
      </c>
      <c r="C4018" t="s">
        <v>142</v>
      </c>
      <c r="D4018" t="s">
        <v>57</v>
      </c>
      <c r="E4018" t="s">
        <v>53</v>
      </c>
      <c r="F4018" t="s">
        <v>114</v>
      </c>
      <c r="G4018">
        <v>119598</v>
      </c>
      <c r="H4018" s="75">
        <v>41529</v>
      </c>
      <c r="I4018" t="s">
        <v>115</v>
      </c>
      <c r="J4018">
        <v>5000</v>
      </c>
      <c r="K4018">
        <v>215.94</v>
      </c>
      <c r="L4018">
        <v>23.154599999999999</v>
      </c>
      <c r="M4018">
        <v>6931.3590000000004</v>
      </c>
      <c r="N4018" t="s">
        <v>15</v>
      </c>
    </row>
    <row r="4019" spans="1:14" x14ac:dyDescent="0.2">
      <c r="A4019" t="s">
        <v>56</v>
      </c>
      <c r="B4019" t="s">
        <v>144</v>
      </c>
      <c r="C4019" t="s">
        <v>142</v>
      </c>
      <c r="D4019" t="s">
        <v>57</v>
      </c>
      <c r="E4019" t="s">
        <v>53</v>
      </c>
      <c r="F4019" t="s">
        <v>114</v>
      </c>
      <c r="G4019">
        <v>119598</v>
      </c>
      <c r="H4019" s="75">
        <v>41559</v>
      </c>
      <c r="I4019" t="s">
        <v>115</v>
      </c>
      <c r="J4019">
        <v>5000</v>
      </c>
      <c r="K4019">
        <v>217.23400000000001</v>
      </c>
      <c r="L4019">
        <v>23.0167</v>
      </c>
      <c r="M4019">
        <v>7148.5929999999998</v>
      </c>
      <c r="N4019" t="s">
        <v>15</v>
      </c>
    </row>
    <row r="4020" spans="1:14" x14ac:dyDescent="0.2">
      <c r="A4020" t="s">
        <v>56</v>
      </c>
      <c r="B4020" t="s">
        <v>144</v>
      </c>
      <c r="C4020" t="s">
        <v>142</v>
      </c>
      <c r="D4020" t="s">
        <v>57</v>
      </c>
      <c r="E4020" t="s">
        <v>53</v>
      </c>
      <c r="F4020" t="s">
        <v>114</v>
      </c>
      <c r="G4020">
        <v>119598</v>
      </c>
      <c r="H4020" s="75">
        <v>41589</v>
      </c>
      <c r="I4020" t="s">
        <v>115</v>
      </c>
      <c r="J4020">
        <v>5000</v>
      </c>
      <c r="K4020">
        <v>212.77</v>
      </c>
      <c r="L4020">
        <v>23.499600000000001</v>
      </c>
      <c r="M4020">
        <v>7361.3630000000003</v>
      </c>
      <c r="N4020" t="s">
        <v>15</v>
      </c>
    </row>
    <row r="4021" spans="1:14" x14ac:dyDescent="0.2">
      <c r="A4021" t="s">
        <v>56</v>
      </c>
      <c r="B4021" t="s">
        <v>144</v>
      </c>
      <c r="C4021" t="s">
        <v>142</v>
      </c>
      <c r="D4021" t="s">
        <v>57</v>
      </c>
      <c r="E4021" t="s">
        <v>53</v>
      </c>
      <c r="F4021" t="s">
        <v>114</v>
      </c>
      <c r="G4021">
        <v>119598</v>
      </c>
      <c r="H4021" s="75">
        <v>41619</v>
      </c>
      <c r="I4021" t="s">
        <v>115</v>
      </c>
      <c r="J4021">
        <v>5000</v>
      </c>
      <c r="K4021">
        <v>208.34100000000001</v>
      </c>
      <c r="L4021">
        <v>23.999199999999998</v>
      </c>
      <c r="M4021">
        <v>7569.7030000000004</v>
      </c>
      <c r="N4021" t="s">
        <v>15</v>
      </c>
    </row>
    <row r="4022" spans="1:14" x14ac:dyDescent="0.2">
      <c r="A4022" t="s">
        <v>56</v>
      </c>
      <c r="B4022" t="s">
        <v>144</v>
      </c>
      <c r="C4022" t="s">
        <v>142</v>
      </c>
      <c r="D4022" t="s">
        <v>57</v>
      </c>
      <c r="E4022" t="s">
        <v>53</v>
      </c>
      <c r="F4022" t="s">
        <v>114</v>
      </c>
      <c r="G4022">
        <v>119598</v>
      </c>
      <c r="H4022" s="75">
        <v>41619</v>
      </c>
      <c r="I4022" t="s">
        <v>117</v>
      </c>
      <c r="J4022">
        <v>2.5</v>
      </c>
      <c r="K4022">
        <v>0</v>
      </c>
      <c r="M4022">
        <v>7569.7030000000004</v>
      </c>
      <c r="N4022" t="s">
        <v>46</v>
      </c>
    </row>
    <row r="4023" spans="1:14" x14ac:dyDescent="0.2">
      <c r="A4023" t="s">
        <v>56</v>
      </c>
      <c r="B4023" t="s">
        <v>144</v>
      </c>
      <c r="C4023" t="s">
        <v>142</v>
      </c>
      <c r="D4023" t="s">
        <v>57</v>
      </c>
      <c r="E4023" t="s">
        <v>53</v>
      </c>
      <c r="F4023" t="s">
        <v>114</v>
      </c>
      <c r="G4023">
        <v>119598</v>
      </c>
      <c r="H4023" s="75">
        <v>41649</v>
      </c>
      <c r="I4023" t="s">
        <v>115</v>
      </c>
      <c r="J4023">
        <v>5000</v>
      </c>
      <c r="K4023">
        <v>207.584</v>
      </c>
      <c r="L4023">
        <v>24.086600000000001</v>
      </c>
      <c r="M4023">
        <v>7777.2879999999996</v>
      </c>
      <c r="N4023" t="s">
        <v>15</v>
      </c>
    </row>
    <row r="4024" spans="1:14" x14ac:dyDescent="0.2">
      <c r="A4024" t="s">
        <v>56</v>
      </c>
      <c r="B4024" t="s">
        <v>144</v>
      </c>
      <c r="C4024" t="s">
        <v>142</v>
      </c>
      <c r="D4024" t="s">
        <v>57</v>
      </c>
      <c r="E4024" t="s">
        <v>53</v>
      </c>
      <c r="F4024" t="s">
        <v>114</v>
      </c>
      <c r="G4024">
        <v>119598</v>
      </c>
      <c r="H4024" s="75">
        <v>41679</v>
      </c>
      <c r="I4024" t="s">
        <v>115</v>
      </c>
      <c r="J4024">
        <v>5000</v>
      </c>
      <c r="K4024">
        <v>210.934</v>
      </c>
      <c r="L4024">
        <v>23.7041</v>
      </c>
      <c r="M4024">
        <v>7988.2209999999995</v>
      </c>
      <c r="N4024" t="s">
        <v>15</v>
      </c>
    </row>
    <row r="4025" spans="1:14" x14ac:dyDescent="0.2">
      <c r="A4025" t="s">
        <v>56</v>
      </c>
      <c r="B4025" t="s">
        <v>144</v>
      </c>
      <c r="C4025" t="s">
        <v>142</v>
      </c>
      <c r="D4025" t="s">
        <v>57</v>
      </c>
      <c r="E4025" t="s">
        <v>53</v>
      </c>
      <c r="F4025" t="s">
        <v>114</v>
      </c>
      <c r="G4025">
        <v>119598</v>
      </c>
      <c r="H4025" s="75">
        <v>41709</v>
      </c>
      <c r="I4025" t="s">
        <v>115</v>
      </c>
      <c r="J4025">
        <v>5000</v>
      </c>
      <c r="K4025">
        <v>211.36699999999999</v>
      </c>
      <c r="L4025">
        <v>23.6555</v>
      </c>
      <c r="M4025">
        <v>8199.5879999999997</v>
      </c>
      <c r="N4025" t="s">
        <v>15</v>
      </c>
    </row>
    <row r="4026" spans="1:14" x14ac:dyDescent="0.2">
      <c r="A4026" t="s">
        <v>56</v>
      </c>
      <c r="B4026" t="s">
        <v>144</v>
      </c>
      <c r="C4026" t="s">
        <v>142</v>
      </c>
      <c r="D4026" t="s">
        <v>57</v>
      </c>
      <c r="E4026" t="s">
        <v>53</v>
      </c>
      <c r="F4026" t="s">
        <v>114</v>
      </c>
      <c r="G4026">
        <v>119598</v>
      </c>
      <c r="H4026" s="75">
        <v>41739</v>
      </c>
      <c r="I4026" t="s">
        <v>115</v>
      </c>
      <c r="J4026">
        <v>5000</v>
      </c>
      <c r="K4026">
        <v>207.54599999999999</v>
      </c>
      <c r="L4026">
        <v>24.091100000000001</v>
      </c>
      <c r="M4026">
        <v>8407.134</v>
      </c>
      <c r="N4026" t="s">
        <v>15</v>
      </c>
    </row>
    <row r="4027" spans="1:14" x14ac:dyDescent="0.2">
      <c r="A4027" t="s">
        <v>56</v>
      </c>
      <c r="B4027" t="s">
        <v>144</v>
      </c>
      <c r="C4027" t="s">
        <v>142</v>
      </c>
      <c r="D4027" t="s">
        <v>57</v>
      </c>
      <c r="E4027" t="s">
        <v>53</v>
      </c>
      <c r="F4027" t="s">
        <v>114</v>
      </c>
      <c r="G4027">
        <v>119598</v>
      </c>
      <c r="H4027" s="75">
        <v>41769</v>
      </c>
      <c r="I4027" t="s">
        <v>115</v>
      </c>
      <c r="J4027">
        <v>5000</v>
      </c>
      <c r="K4027">
        <v>203.655</v>
      </c>
      <c r="L4027">
        <v>24.551300000000001</v>
      </c>
      <c r="M4027">
        <v>8610.7890000000007</v>
      </c>
      <c r="N4027" t="s">
        <v>15</v>
      </c>
    </row>
    <row r="4028" spans="1:14" x14ac:dyDescent="0.2">
      <c r="A4028" t="s">
        <v>56</v>
      </c>
      <c r="B4028" t="s">
        <v>144</v>
      </c>
      <c r="C4028" t="s">
        <v>142</v>
      </c>
      <c r="D4028" t="s">
        <v>57</v>
      </c>
      <c r="E4028" t="s">
        <v>53</v>
      </c>
      <c r="F4028" t="s">
        <v>114</v>
      </c>
      <c r="G4028">
        <v>119598</v>
      </c>
      <c r="H4028" s="75">
        <v>41799</v>
      </c>
      <c r="I4028" t="s">
        <v>115</v>
      </c>
      <c r="J4028">
        <v>5000</v>
      </c>
      <c r="K4028">
        <v>207.19900000000001</v>
      </c>
      <c r="L4028">
        <v>24.131399999999999</v>
      </c>
      <c r="M4028">
        <v>8817.9879999999994</v>
      </c>
      <c r="N4028" t="s">
        <v>15</v>
      </c>
    </row>
    <row r="4029" spans="1:14" x14ac:dyDescent="0.2">
      <c r="A4029" t="s">
        <v>56</v>
      </c>
      <c r="B4029" t="s">
        <v>144</v>
      </c>
      <c r="C4029" t="s">
        <v>142</v>
      </c>
      <c r="D4029" t="s">
        <v>57</v>
      </c>
      <c r="E4029" t="s">
        <v>53</v>
      </c>
      <c r="F4029" t="s">
        <v>114</v>
      </c>
      <c r="G4029">
        <v>119598</v>
      </c>
      <c r="H4029" s="75">
        <v>41829</v>
      </c>
      <c r="I4029" t="s">
        <v>115</v>
      </c>
      <c r="J4029">
        <v>5000</v>
      </c>
      <c r="K4029">
        <v>205.93199999999999</v>
      </c>
      <c r="L4029">
        <v>24.279900000000001</v>
      </c>
      <c r="M4029">
        <v>9023.92</v>
      </c>
      <c r="N4029" t="s">
        <v>15</v>
      </c>
    </row>
    <row r="4030" spans="1:14" x14ac:dyDescent="0.2">
      <c r="A4030" t="s">
        <v>56</v>
      </c>
      <c r="B4030" t="s">
        <v>144</v>
      </c>
      <c r="C4030" t="s">
        <v>142</v>
      </c>
      <c r="D4030" t="s">
        <v>57</v>
      </c>
      <c r="E4030" t="s">
        <v>53</v>
      </c>
      <c r="F4030" t="s">
        <v>114</v>
      </c>
      <c r="G4030">
        <v>119598</v>
      </c>
      <c r="H4030" s="75">
        <v>41859</v>
      </c>
      <c r="I4030" t="s">
        <v>115</v>
      </c>
      <c r="J4030">
        <v>5000</v>
      </c>
      <c r="K4030">
        <v>204.40799999999999</v>
      </c>
      <c r="L4030">
        <v>24.460899999999999</v>
      </c>
      <c r="M4030">
        <v>9228.3279999999995</v>
      </c>
      <c r="N4030" t="s">
        <v>15</v>
      </c>
    </row>
    <row r="4031" spans="1:14" x14ac:dyDescent="0.2">
      <c r="A4031" t="s">
        <v>56</v>
      </c>
      <c r="B4031" t="s">
        <v>144</v>
      </c>
      <c r="C4031" t="s">
        <v>142</v>
      </c>
      <c r="D4031" t="s">
        <v>57</v>
      </c>
      <c r="E4031" t="s">
        <v>53</v>
      </c>
      <c r="F4031" t="s">
        <v>114</v>
      </c>
      <c r="G4031">
        <v>119598</v>
      </c>
      <c r="H4031" s="75">
        <v>41889</v>
      </c>
      <c r="I4031" t="s">
        <v>115</v>
      </c>
      <c r="J4031">
        <v>5000</v>
      </c>
      <c r="K4031">
        <v>208.35599999999999</v>
      </c>
      <c r="L4031">
        <v>23.997399999999999</v>
      </c>
      <c r="M4031">
        <v>9436.6830000000009</v>
      </c>
      <c r="N4031" t="s">
        <v>15</v>
      </c>
    </row>
    <row r="4032" spans="1:14" x14ac:dyDescent="0.2">
      <c r="A4032" t="s">
        <v>56</v>
      </c>
      <c r="B4032" t="s">
        <v>144</v>
      </c>
      <c r="C4032" t="s">
        <v>142</v>
      </c>
      <c r="D4032" t="s">
        <v>57</v>
      </c>
      <c r="E4032" t="s">
        <v>53</v>
      </c>
      <c r="F4032" t="s">
        <v>114</v>
      </c>
      <c r="G4032">
        <v>119598</v>
      </c>
      <c r="H4032" s="75">
        <v>41889</v>
      </c>
      <c r="I4032" t="s">
        <v>117</v>
      </c>
      <c r="J4032">
        <v>2.5</v>
      </c>
      <c r="K4032">
        <v>0</v>
      </c>
      <c r="M4032">
        <v>9436.6830000000009</v>
      </c>
      <c r="N4032" t="s">
        <v>46</v>
      </c>
    </row>
    <row r="4033" spans="1:14" x14ac:dyDescent="0.2">
      <c r="A4033" t="s">
        <v>56</v>
      </c>
      <c r="B4033" t="s">
        <v>144</v>
      </c>
      <c r="C4033" t="s">
        <v>142</v>
      </c>
      <c r="D4033" t="s">
        <v>57</v>
      </c>
      <c r="E4033" t="s">
        <v>53</v>
      </c>
      <c r="F4033" t="s">
        <v>114</v>
      </c>
      <c r="G4033">
        <v>119598</v>
      </c>
      <c r="H4033" s="75">
        <v>41919</v>
      </c>
      <c r="I4033" t="s">
        <v>115</v>
      </c>
      <c r="J4033">
        <v>5000</v>
      </c>
      <c r="K4033">
        <v>207.495</v>
      </c>
      <c r="L4033">
        <v>24.097000000000001</v>
      </c>
      <c r="M4033">
        <v>9644.1779999999999</v>
      </c>
      <c r="N4033" t="s">
        <v>15</v>
      </c>
    </row>
    <row r="4034" spans="1:14" x14ac:dyDescent="0.2">
      <c r="A4034" t="s">
        <v>56</v>
      </c>
      <c r="B4034" t="s">
        <v>144</v>
      </c>
      <c r="C4034" t="s">
        <v>142</v>
      </c>
      <c r="D4034" t="s">
        <v>57</v>
      </c>
      <c r="E4034" t="s">
        <v>53</v>
      </c>
      <c r="F4034" t="s">
        <v>114</v>
      </c>
      <c r="G4034">
        <v>119598</v>
      </c>
      <c r="H4034" s="75">
        <v>41949</v>
      </c>
      <c r="I4034" t="s">
        <v>115</v>
      </c>
      <c r="J4034">
        <v>5000</v>
      </c>
      <c r="K4034">
        <v>211.15</v>
      </c>
      <c r="L4034">
        <v>23.6799</v>
      </c>
      <c r="M4034">
        <v>9855.3269999999993</v>
      </c>
      <c r="N4034" t="s">
        <v>15</v>
      </c>
    </row>
    <row r="4035" spans="1:14" x14ac:dyDescent="0.2">
      <c r="A4035" t="s">
        <v>56</v>
      </c>
      <c r="B4035" t="s">
        <v>144</v>
      </c>
      <c r="C4035" t="s">
        <v>142</v>
      </c>
      <c r="D4035" t="s">
        <v>57</v>
      </c>
      <c r="E4035" t="s">
        <v>53</v>
      </c>
      <c r="F4035" t="s">
        <v>114</v>
      </c>
      <c r="G4035">
        <v>119598</v>
      </c>
      <c r="H4035" s="75">
        <v>41979</v>
      </c>
      <c r="I4035" t="s">
        <v>115</v>
      </c>
      <c r="J4035">
        <v>5000</v>
      </c>
      <c r="K4035">
        <v>208.54400000000001</v>
      </c>
      <c r="L4035">
        <v>23.9758</v>
      </c>
      <c r="M4035">
        <v>10063.870999999999</v>
      </c>
      <c r="N4035" t="s">
        <v>15</v>
      </c>
    </row>
    <row r="4036" spans="1:14" x14ac:dyDescent="0.2">
      <c r="A4036" t="s">
        <v>56</v>
      </c>
      <c r="B4036" t="s">
        <v>144</v>
      </c>
      <c r="C4036" t="s">
        <v>142</v>
      </c>
      <c r="D4036" t="s">
        <v>57</v>
      </c>
      <c r="E4036" t="s">
        <v>53</v>
      </c>
      <c r="F4036" t="s">
        <v>114</v>
      </c>
      <c r="G4036">
        <v>119598</v>
      </c>
      <c r="H4036" s="75">
        <v>42009</v>
      </c>
      <c r="I4036" t="s">
        <v>115</v>
      </c>
      <c r="J4036">
        <v>5000</v>
      </c>
      <c r="K4036">
        <v>208.00700000000001</v>
      </c>
      <c r="L4036">
        <v>24.037600000000001</v>
      </c>
      <c r="M4036">
        <v>10271.878000000001</v>
      </c>
      <c r="N4036" t="s">
        <v>15</v>
      </c>
    </row>
    <row r="4037" spans="1:14" x14ac:dyDescent="0.2">
      <c r="A4037" t="s">
        <v>56</v>
      </c>
      <c r="B4037" t="s">
        <v>144</v>
      </c>
      <c r="C4037" t="s">
        <v>142</v>
      </c>
      <c r="D4037" t="s">
        <v>57</v>
      </c>
      <c r="E4037" t="s">
        <v>53</v>
      </c>
      <c r="F4037" t="s">
        <v>114</v>
      </c>
      <c r="G4037">
        <v>119598</v>
      </c>
      <c r="H4037" s="75">
        <v>42039</v>
      </c>
      <c r="I4037" t="s">
        <v>115</v>
      </c>
      <c r="J4037">
        <v>5000</v>
      </c>
      <c r="K4037">
        <v>204.077</v>
      </c>
      <c r="L4037">
        <v>24.500499999999999</v>
      </c>
      <c r="M4037">
        <v>10475.955</v>
      </c>
      <c r="N4037" t="s">
        <v>15</v>
      </c>
    </row>
    <row r="4038" spans="1:14" x14ac:dyDescent="0.2">
      <c r="A4038" t="s">
        <v>56</v>
      </c>
      <c r="B4038" t="s">
        <v>144</v>
      </c>
      <c r="C4038" t="s">
        <v>142</v>
      </c>
      <c r="D4038" t="s">
        <v>57</v>
      </c>
      <c r="E4038" t="s">
        <v>53</v>
      </c>
      <c r="F4038" t="s">
        <v>114</v>
      </c>
      <c r="G4038">
        <v>119598</v>
      </c>
      <c r="H4038" s="75">
        <v>42069</v>
      </c>
      <c r="I4038" t="s">
        <v>115</v>
      </c>
      <c r="J4038">
        <v>5000</v>
      </c>
      <c r="K4038">
        <v>202.63</v>
      </c>
      <c r="L4038">
        <v>24.6755</v>
      </c>
      <c r="M4038">
        <v>10678.584999999999</v>
      </c>
      <c r="N4038" t="s">
        <v>15</v>
      </c>
    </row>
    <row r="4039" spans="1:14" x14ac:dyDescent="0.2">
      <c r="A4039" t="s">
        <v>56</v>
      </c>
      <c r="B4039" t="s">
        <v>144</v>
      </c>
      <c r="C4039" t="s">
        <v>142</v>
      </c>
      <c r="D4039" t="s">
        <v>57</v>
      </c>
      <c r="E4039" t="s">
        <v>53</v>
      </c>
      <c r="F4039" t="s">
        <v>114</v>
      </c>
      <c r="G4039">
        <v>119598</v>
      </c>
      <c r="H4039" s="75">
        <v>42099</v>
      </c>
      <c r="I4039" t="s">
        <v>115</v>
      </c>
      <c r="J4039">
        <v>5000</v>
      </c>
      <c r="K4039">
        <v>204.27699999999999</v>
      </c>
      <c r="L4039">
        <v>24.476600000000001</v>
      </c>
      <c r="M4039">
        <v>10882.861999999999</v>
      </c>
      <c r="N4039" t="s">
        <v>15</v>
      </c>
    </row>
    <row r="4040" spans="1:14" x14ac:dyDescent="0.2">
      <c r="A4040" t="s">
        <v>56</v>
      </c>
      <c r="B4040" t="s">
        <v>144</v>
      </c>
      <c r="C4040" t="s">
        <v>142</v>
      </c>
      <c r="D4040" t="s">
        <v>57</v>
      </c>
      <c r="E4040" t="s">
        <v>53</v>
      </c>
      <c r="F4040" t="s">
        <v>114</v>
      </c>
      <c r="G4040">
        <v>119598</v>
      </c>
      <c r="H4040" s="75">
        <v>42129</v>
      </c>
      <c r="I4040" t="s">
        <v>115</v>
      </c>
      <c r="J4040">
        <v>5000</v>
      </c>
      <c r="K4040">
        <v>203.608</v>
      </c>
      <c r="L4040">
        <v>24.556999999999999</v>
      </c>
      <c r="M4040">
        <v>11086.47</v>
      </c>
      <c r="N4040" t="s">
        <v>15</v>
      </c>
    </row>
    <row r="4041" spans="1:14" x14ac:dyDescent="0.2">
      <c r="A4041" t="s">
        <v>56</v>
      </c>
      <c r="B4041" t="s">
        <v>144</v>
      </c>
      <c r="C4041" t="s">
        <v>142</v>
      </c>
      <c r="D4041" t="s">
        <v>57</v>
      </c>
      <c r="E4041" t="s">
        <v>53</v>
      </c>
      <c r="F4041" t="s">
        <v>114</v>
      </c>
      <c r="G4041">
        <v>119598</v>
      </c>
      <c r="H4041" s="75">
        <v>42159</v>
      </c>
      <c r="I4041" t="s">
        <v>115</v>
      </c>
      <c r="J4041">
        <v>5000</v>
      </c>
      <c r="K4041">
        <v>198.74</v>
      </c>
      <c r="L4041">
        <v>25.1584</v>
      </c>
      <c r="M4041">
        <v>11285.21</v>
      </c>
      <c r="N4041" t="s">
        <v>15</v>
      </c>
    </row>
    <row r="4042" spans="1:14" x14ac:dyDescent="0.2">
      <c r="A4042" t="s">
        <v>56</v>
      </c>
      <c r="B4042" t="s">
        <v>144</v>
      </c>
      <c r="C4042" t="s">
        <v>142</v>
      </c>
      <c r="D4042" t="s">
        <v>57</v>
      </c>
      <c r="E4042" t="s">
        <v>53</v>
      </c>
      <c r="F4042" t="s">
        <v>114</v>
      </c>
      <c r="G4042">
        <v>119598</v>
      </c>
      <c r="H4042" s="75">
        <v>42159</v>
      </c>
      <c r="I4042" t="s">
        <v>117</v>
      </c>
      <c r="J4042">
        <v>2.5</v>
      </c>
      <c r="K4042">
        <v>0</v>
      </c>
      <c r="M4042">
        <v>11285.21</v>
      </c>
      <c r="N4042" t="s">
        <v>46</v>
      </c>
    </row>
    <row r="4043" spans="1:14" x14ac:dyDescent="0.2">
      <c r="A4043" t="s">
        <v>56</v>
      </c>
      <c r="B4043" t="s">
        <v>144</v>
      </c>
      <c r="C4043" t="s">
        <v>142</v>
      </c>
      <c r="D4043" t="s">
        <v>57</v>
      </c>
      <c r="E4043" t="s">
        <v>53</v>
      </c>
      <c r="F4043" t="s">
        <v>114</v>
      </c>
      <c r="G4043">
        <v>119598</v>
      </c>
      <c r="H4043" s="75">
        <v>42189</v>
      </c>
      <c r="I4043" t="s">
        <v>115</v>
      </c>
      <c r="J4043">
        <v>5000</v>
      </c>
      <c r="K4043">
        <v>195.489</v>
      </c>
      <c r="L4043">
        <v>25.576899999999998</v>
      </c>
      <c r="M4043">
        <v>11480.699000000001</v>
      </c>
      <c r="N4043" t="s">
        <v>15</v>
      </c>
    </row>
    <row r="4044" spans="1:14" x14ac:dyDescent="0.2">
      <c r="A4044" t="s">
        <v>56</v>
      </c>
      <c r="B4044" t="s">
        <v>144</v>
      </c>
      <c r="C4044" t="s">
        <v>142</v>
      </c>
      <c r="D4044" t="s">
        <v>57</v>
      </c>
      <c r="E4044" t="s">
        <v>53</v>
      </c>
      <c r="F4044" t="s">
        <v>114</v>
      </c>
      <c r="G4044">
        <v>119598</v>
      </c>
      <c r="H4044" s="75">
        <v>42219</v>
      </c>
      <c r="I4044" t="s">
        <v>115</v>
      </c>
      <c r="J4044">
        <v>5000</v>
      </c>
      <c r="K4044">
        <v>190.92599999999999</v>
      </c>
      <c r="L4044">
        <v>26.188099999999999</v>
      </c>
      <c r="M4044">
        <v>11671.626</v>
      </c>
      <c r="N4044" t="s">
        <v>15</v>
      </c>
    </row>
    <row r="4045" spans="1:14" x14ac:dyDescent="0.2">
      <c r="A4045" t="s">
        <v>56</v>
      </c>
      <c r="B4045" t="s">
        <v>144</v>
      </c>
      <c r="C4045" t="s">
        <v>142</v>
      </c>
      <c r="D4045" t="s">
        <v>57</v>
      </c>
      <c r="E4045" t="s">
        <v>53</v>
      </c>
      <c r="F4045" t="s">
        <v>114</v>
      </c>
      <c r="G4045">
        <v>119598</v>
      </c>
      <c r="H4045" s="75">
        <v>42249</v>
      </c>
      <c r="I4045" t="s">
        <v>115</v>
      </c>
      <c r="J4045">
        <v>5000</v>
      </c>
      <c r="K4045">
        <v>192.767</v>
      </c>
      <c r="L4045">
        <v>25.938099999999999</v>
      </c>
      <c r="M4045">
        <v>11864.392</v>
      </c>
      <c r="N4045" t="s">
        <v>15</v>
      </c>
    </row>
    <row r="4046" spans="1:14" x14ac:dyDescent="0.2">
      <c r="A4046" t="s">
        <v>56</v>
      </c>
      <c r="B4046" t="s">
        <v>144</v>
      </c>
      <c r="C4046" t="s">
        <v>142</v>
      </c>
      <c r="D4046" t="s">
        <v>57</v>
      </c>
      <c r="E4046" t="s">
        <v>53</v>
      </c>
      <c r="F4046" t="s">
        <v>114</v>
      </c>
      <c r="G4046">
        <v>119598</v>
      </c>
      <c r="H4046" s="75">
        <v>42279</v>
      </c>
      <c r="I4046" t="s">
        <v>115</v>
      </c>
      <c r="J4046">
        <v>5000</v>
      </c>
      <c r="K4046">
        <v>195.99100000000001</v>
      </c>
      <c r="L4046">
        <v>25.511299999999999</v>
      </c>
      <c r="M4046">
        <v>12060.384</v>
      </c>
      <c r="N4046" t="s">
        <v>15</v>
      </c>
    </row>
    <row r="4047" spans="1:14" x14ac:dyDescent="0.2">
      <c r="A4047" t="s">
        <v>56</v>
      </c>
      <c r="B4047" t="s">
        <v>144</v>
      </c>
      <c r="C4047" t="s">
        <v>142</v>
      </c>
      <c r="D4047" t="s">
        <v>57</v>
      </c>
      <c r="E4047" t="s">
        <v>53</v>
      </c>
      <c r="F4047" t="s">
        <v>114</v>
      </c>
      <c r="G4047">
        <v>119598</v>
      </c>
      <c r="H4047" s="75">
        <v>42279</v>
      </c>
      <c r="I4047" t="s">
        <v>117</v>
      </c>
      <c r="J4047">
        <v>2.5</v>
      </c>
      <c r="K4047">
        <v>0</v>
      </c>
      <c r="M4047">
        <v>12060.384</v>
      </c>
      <c r="N4047" t="s">
        <v>46</v>
      </c>
    </row>
    <row r="4048" spans="1:14" x14ac:dyDescent="0.2">
      <c r="A4048" t="s">
        <v>56</v>
      </c>
      <c r="B4048" t="s">
        <v>144</v>
      </c>
      <c r="C4048" t="s">
        <v>142</v>
      </c>
      <c r="D4048" t="s">
        <v>57</v>
      </c>
      <c r="E4048" t="s">
        <v>53</v>
      </c>
      <c r="F4048" t="s">
        <v>114</v>
      </c>
      <c r="G4048">
        <v>119598</v>
      </c>
      <c r="H4048" s="75">
        <v>42309</v>
      </c>
      <c r="I4048" t="s">
        <v>115</v>
      </c>
      <c r="J4048">
        <v>5000</v>
      </c>
      <c r="K4048">
        <v>197.648</v>
      </c>
      <c r="L4048">
        <v>25.297499999999999</v>
      </c>
      <c r="M4048">
        <v>12258.031999999999</v>
      </c>
      <c r="N4048" t="s">
        <v>15</v>
      </c>
    </row>
    <row r="4049" spans="1:14" x14ac:dyDescent="0.2">
      <c r="A4049" t="s">
        <v>56</v>
      </c>
      <c r="B4049" t="s">
        <v>144</v>
      </c>
      <c r="C4049" t="s">
        <v>142</v>
      </c>
      <c r="D4049" t="s">
        <v>57</v>
      </c>
      <c r="E4049" t="s">
        <v>53</v>
      </c>
      <c r="F4049" t="s">
        <v>114</v>
      </c>
      <c r="G4049">
        <v>119598</v>
      </c>
      <c r="H4049" s="75">
        <v>42339</v>
      </c>
      <c r="I4049" t="s">
        <v>115</v>
      </c>
      <c r="J4049">
        <v>5000</v>
      </c>
      <c r="K4049">
        <v>197.83699999999999</v>
      </c>
      <c r="L4049">
        <v>25.273399999999999</v>
      </c>
      <c r="M4049">
        <v>12455.869000000001</v>
      </c>
      <c r="N4049" t="s">
        <v>15</v>
      </c>
    </row>
    <row r="4050" spans="1:14" x14ac:dyDescent="0.2">
      <c r="A4050" t="s">
        <v>56</v>
      </c>
      <c r="B4050" t="s">
        <v>144</v>
      </c>
      <c r="C4050" t="s">
        <v>142</v>
      </c>
      <c r="D4050" t="s">
        <v>57</v>
      </c>
      <c r="E4050" t="s">
        <v>53</v>
      </c>
      <c r="F4050" t="s">
        <v>114</v>
      </c>
      <c r="G4050">
        <v>119598</v>
      </c>
      <c r="H4050" s="75">
        <v>42339</v>
      </c>
      <c r="I4050" t="s">
        <v>116</v>
      </c>
      <c r="J4050">
        <v>2.5</v>
      </c>
      <c r="K4050">
        <v>0</v>
      </c>
      <c r="M4050">
        <v>12455.869000000001</v>
      </c>
      <c r="N4050" t="s">
        <v>17</v>
      </c>
    </row>
    <row r="4051" spans="1:14" x14ac:dyDescent="0.2">
      <c r="A4051" t="s">
        <v>56</v>
      </c>
      <c r="B4051" t="s">
        <v>144</v>
      </c>
      <c r="C4051" t="s">
        <v>142</v>
      </c>
      <c r="D4051" t="s">
        <v>57</v>
      </c>
      <c r="E4051" t="s">
        <v>53</v>
      </c>
      <c r="F4051" t="s">
        <v>114</v>
      </c>
      <c r="G4051">
        <v>119598</v>
      </c>
      <c r="H4051" s="75">
        <v>42369</v>
      </c>
      <c r="I4051" t="s">
        <v>115</v>
      </c>
      <c r="J4051">
        <v>5000</v>
      </c>
      <c r="K4051">
        <v>194.28100000000001</v>
      </c>
      <c r="L4051">
        <v>25.735900000000001</v>
      </c>
      <c r="M4051">
        <v>12650.15</v>
      </c>
      <c r="N4051" t="s">
        <v>15</v>
      </c>
    </row>
    <row r="4052" spans="1:14" x14ac:dyDescent="0.2">
      <c r="A4052" t="s">
        <v>56</v>
      </c>
      <c r="B4052" t="s">
        <v>144</v>
      </c>
      <c r="C4052" t="s">
        <v>142</v>
      </c>
      <c r="D4052" t="s">
        <v>57</v>
      </c>
      <c r="E4052" t="s">
        <v>53</v>
      </c>
      <c r="F4052" t="s">
        <v>114</v>
      </c>
      <c r="G4052">
        <v>119598</v>
      </c>
      <c r="H4052" s="75">
        <v>42399</v>
      </c>
      <c r="I4052" t="s">
        <v>115</v>
      </c>
      <c r="J4052">
        <v>5000</v>
      </c>
      <c r="K4052">
        <v>196.62700000000001</v>
      </c>
      <c r="L4052">
        <v>25.428799999999999</v>
      </c>
      <c r="M4052">
        <v>12846.777</v>
      </c>
      <c r="N4052" t="s">
        <v>15</v>
      </c>
    </row>
    <row r="4053" spans="1:14" x14ac:dyDescent="0.2">
      <c r="A4053" t="s">
        <v>56</v>
      </c>
      <c r="B4053" t="s">
        <v>144</v>
      </c>
      <c r="C4053" t="s">
        <v>142</v>
      </c>
      <c r="D4053" t="s">
        <v>57</v>
      </c>
      <c r="E4053" t="s">
        <v>53</v>
      </c>
      <c r="F4053" t="s">
        <v>114</v>
      </c>
      <c r="G4053">
        <v>119598</v>
      </c>
      <c r="H4053" s="75">
        <v>42429</v>
      </c>
      <c r="I4053" t="s">
        <v>115</v>
      </c>
      <c r="J4053">
        <v>5000</v>
      </c>
      <c r="K4053">
        <v>200.19499999999999</v>
      </c>
      <c r="L4053">
        <v>24.9756</v>
      </c>
      <c r="M4053">
        <v>13046.972</v>
      </c>
      <c r="N4053" t="s">
        <v>15</v>
      </c>
    </row>
    <row r="4054" spans="1:14" x14ac:dyDescent="0.2">
      <c r="A4054" t="s">
        <v>56</v>
      </c>
      <c r="B4054" t="s">
        <v>144</v>
      </c>
      <c r="C4054" t="s">
        <v>142</v>
      </c>
      <c r="D4054" t="s">
        <v>57</v>
      </c>
      <c r="E4054" t="s">
        <v>53</v>
      </c>
      <c r="F4054" t="s">
        <v>114</v>
      </c>
      <c r="G4054">
        <v>119598</v>
      </c>
      <c r="H4054" s="75">
        <v>42459</v>
      </c>
      <c r="I4054" t="s">
        <v>115</v>
      </c>
      <c r="J4054">
        <v>5000</v>
      </c>
      <c r="K4054">
        <v>202.745</v>
      </c>
      <c r="L4054">
        <v>24.6615</v>
      </c>
      <c r="M4054">
        <v>13249.717000000001</v>
      </c>
      <c r="N4054" t="s">
        <v>15</v>
      </c>
    </row>
    <row r="4055" spans="1:14" x14ac:dyDescent="0.2">
      <c r="A4055" t="s">
        <v>56</v>
      </c>
      <c r="B4055" t="s">
        <v>144</v>
      </c>
      <c r="C4055" t="s">
        <v>142</v>
      </c>
      <c r="D4055" t="s">
        <v>57</v>
      </c>
      <c r="E4055" t="s">
        <v>53</v>
      </c>
      <c r="F4055" t="s">
        <v>114</v>
      </c>
      <c r="G4055">
        <v>119598</v>
      </c>
      <c r="H4055" s="75">
        <v>42489</v>
      </c>
      <c r="I4055" t="s">
        <v>115</v>
      </c>
      <c r="J4055">
        <v>5000</v>
      </c>
      <c r="K4055">
        <v>202.88</v>
      </c>
      <c r="L4055">
        <v>24.645099999999999</v>
      </c>
      <c r="M4055">
        <v>13452.597</v>
      </c>
      <c r="N4055" t="s">
        <v>15</v>
      </c>
    </row>
    <row r="4056" spans="1:14" x14ac:dyDescent="0.2">
      <c r="A4056" t="s">
        <v>56</v>
      </c>
      <c r="B4056" t="s">
        <v>144</v>
      </c>
      <c r="C4056" t="s">
        <v>142</v>
      </c>
      <c r="D4056" t="s">
        <v>57</v>
      </c>
      <c r="E4056" t="s">
        <v>53</v>
      </c>
      <c r="F4056" t="s">
        <v>114</v>
      </c>
      <c r="G4056">
        <v>119598</v>
      </c>
      <c r="H4056" s="75">
        <v>42519</v>
      </c>
      <c r="I4056" t="s">
        <v>115</v>
      </c>
      <c r="J4056">
        <v>5000</v>
      </c>
      <c r="K4056">
        <v>197.804</v>
      </c>
      <c r="L4056">
        <v>25.2775</v>
      </c>
      <c r="M4056">
        <v>13650.401</v>
      </c>
      <c r="N4056" t="s">
        <v>15</v>
      </c>
    </row>
    <row r="4057" spans="1:14" x14ac:dyDescent="0.2">
      <c r="A4057" t="s">
        <v>56</v>
      </c>
      <c r="B4057" t="s">
        <v>144</v>
      </c>
      <c r="C4057" t="s">
        <v>142</v>
      </c>
      <c r="D4057" t="s">
        <v>57</v>
      </c>
      <c r="E4057" t="s">
        <v>53</v>
      </c>
      <c r="F4057" t="s">
        <v>114</v>
      </c>
      <c r="G4057">
        <v>119598</v>
      </c>
      <c r="H4057" s="75">
        <v>42549</v>
      </c>
      <c r="I4057" t="s">
        <v>115</v>
      </c>
      <c r="J4057">
        <v>5000</v>
      </c>
      <c r="K4057">
        <v>196.43199999999999</v>
      </c>
      <c r="L4057">
        <v>25.4541</v>
      </c>
      <c r="M4057">
        <v>13846.833000000001</v>
      </c>
      <c r="N4057" t="s">
        <v>15</v>
      </c>
    </row>
    <row r="4058" spans="1:14" x14ac:dyDescent="0.2">
      <c r="A4058" t="s">
        <v>56</v>
      </c>
      <c r="B4058" t="s">
        <v>144</v>
      </c>
      <c r="C4058" t="s">
        <v>142</v>
      </c>
      <c r="D4058" t="s">
        <v>57</v>
      </c>
      <c r="E4058" t="s">
        <v>53</v>
      </c>
      <c r="F4058" t="s">
        <v>114</v>
      </c>
      <c r="G4058">
        <v>119598</v>
      </c>
      <c r="H4058" s="75">
        <v>42579</v>
      </c>
      <c r="I4058" t="s">
        <v>115</v>
      </c>
      <c r="J4058">
        <v>5000</v>
      </c>
      <c r="K4058">
        <v>192.09100000000001</v>
      </c>
      <c r="L4058">
        <v>26.029399999999999</v>
      </c>
      <c r="M4058">
        <v>14038.924000000001</v>
      </c>
      <c r="N4058" t="s">
        <v>15</v>
      </c>
    </row>
    <row r="4059" spans="1:14" x14ac:dyDescent="0.2">
      <c r="A4059" t="s">
        <v>56</v>
      </c>
      <c r="B4059" t="s">
        <v>144</v>
      </c>
      <c r="C4059" t="s">
        <v>142</v>
      </c>
      <c r="D4059" t="s">
        <v>57</v>
      </c>
      <c r="E4059" t="s">
        <v>53</v>
      </c>
      <c r="F4059" t="s">
        <v>114</v>
      </c>
      <c r="G4059">
        <v>119598</v>
      </c>
      <c r="H4059" s="75">
        <v>42609</v>
      </c>
      <c r="I4059" t="s">
        <v>115</v>
      </c>
      <c r="J4059">
        <v>5000</v>
      </c>
      <c r="K4059">
        <v>189.024</v>
      </c>
      <c r="L4059">
        <v>26.451699999999999</v>
      </c>
      <c r="M4059">
        <v>14227.948</v>
      </c>
      <c r="N4059" t="s">
        <v>15</v>
      </c>
    </row>
    <row r="4060" spans="1:14" x14ac:dyDescent="0.2">
      <c r="A4060" t="s">
        <v>56</v>
      </c>
      <c r="B4060" t="s">
        <v>144</v>
      </c>
      <c r="C4060" t="s">
        <v>142</v>
      </c>
      <c r="D4060" t="s">
        <v>57</v>
      </c>
      <c r="E4060" t="s">
        <v>53</v>
      </c>
      <c r="F4060" t="s">
        <v>114</v>
      </c>
      <c r="G4060">
        <v>119598</v>
      </c>
      <c r="H4060" s="75">
        <v>42639</v>
      </c>
      <c r="I4060" t="s">
        <v>115</v>
      </c>
      <c r="J4060">
        <v>5000</v>
      </c>
      <c r="K4060">
        <v>189.44900000000001</v>
      </c>
      <c r="L4060">
        <v>26.392299999999999</v>
      </c>
      <c r="M4060">
        <v>14417.397000000001</v>
      </c>
      <c r="N4060" t="s">
        <v>15</v>
      </c>
    </row>
    <row r="4061" spans="1:14" x14ac:dyDescent="0.2">
      <c r="A4061" t="s">
        <v>56</v>
      </c>
      <c r="B4061" t="s">
        <v>144</v>
      </c>
      <c r="C4061" t="s">
        <v>142</v>
      </c>
      <c r="D4061" t="s">
        <v>57</v>
      </c>
      <c r="E4061" t="s">
        <v>53</v>
      </c>
      <c r="F4061" t="s">
        <v>114</v>
      </c>
      <c r="G4061">
        <v>119598</v>
      </c>
      <c r="H4061" s="75">
        <v>42669</v>
      </c>
      <c r="I4061" t="s">
        <v>115</v>
      </c>
      <c r="J4061">
        <v>5000</v>
      </c>
      <c r="K4061">
        <v>189.279</v>
      </c>
      <c r="L4061">
        <v>26.4161</v>
      </c>
      <c r="M4061">
        <v>14606.675999999999</v>
      </c>
      <c r="N4061" t="s">
        <v>15</v>
      </c>
    </row>
    <row r="4062" spans="1:14" x14ac:dyDescent="0.2">
      <c r="A4062" t="s">
        <v>56</v>
      </c>
      <c r="B4062" t="s">
        <v>144</v>
      </c>
      <c r="C4062" t="s">
        <v>142</v>
      </c>
      <c r="D4062" t="s">
        <v>57</v>
      </c>
      <c r="E4062" t="s">
        <v>53</v>
      </c>
      <c r="F4062" t="s">
        <v>114</v>
      </c>
      <c r="G4062">
        <v>119598</v>
      </c>
      <c r="H4062" s="75">
        <v>42699</v>
      </c>
      <c r="I4062" t="s">
        <v>115</v>
      </c>
      <c r="J4062">
        <v>5000</v>
      </c>
      <c r="K4062">
        <v>187.80799999999999</v>
      </c>
      <c r="L4062">
        <v>26.622900000000001</v>
      </c>
      <c r="M4062">
        <v>14794.485000000001</v>
      </c>
      <c r="N4062" t="s">
        <v>15</v>
      </c>
    </row>
    <row r="4063" spans="1:14" x14ac:dyDescent="0.2">
      <c r="A4063" t="s">
        <v>56</v>
      </c>
      <c r="B4063" t="s">
        <v>144</v>
      </c>
      <c r="C4063" t="s">
        <v>142</v>
      </c>
      <c r="D4063" t="s">
        <v>57</v>
      </c>
      <c r="E4063" t="s">
        <v>53</v>
      </c>
      <c r="F4063" t="s">
        <v>114</v>
      </c>
      <c r="G4063">
        <v>119598</v>
      </c>
      <c r="H4063" s="75">
        <v>42729</v>
      </c>
      <c r="I4063" t="s">
        <v>115</v>
      </c>
      <c r="J4063">
        <v>5000</v>
      </c>
      <c r="K4063">
        <v>184.726</v>
      </c>
      <c r="L4063">
        <v>27.0672</v>
      </c>
      <c r="M4063">
        <v>14979.21</v>
      </c>
      <c r="N4063" t="s">
        <v>15</v>
      </c>
    </row>
    <row r="4064" spans="1:14" x14ac:dyDescent="0.2">
      <c r="A4064" t="s">
        <v>56</v>
      </c>
      <c r="B4064" t="s">
        <v>144</v>
      </c>
      <c r="C4064" t="s">
        <v>142</v>
      </c>
      <c r="D4064" t="s">
        <v>57</v>
      </c>
      <c r="E4064" t="s">
        <v>53</v>
      </c>
      <c r="F4064" t="s">
        <v>114</v>
      </c>
      <c r="G4064">
        <v>119598</v>
      </c>
      <c r="H4064" s="75">
        <v>42759</v>
      </c>
      <c r="I4064" t="s">
        <v>115</v>
      </c>
      <c r="J4064">
        <v>5000</v>
      </c>
      <c r="K4064">
        <v>181.53200000000001</v>
      </c>
      <c r="L4064">
        <v>27.543399999999998</v>
      </c>
      <c r="M4064">
        <v>15160.742</v>
      </c>
      <c r="N4064" t="s">
        <v>15</v>
      </c>
    </row>
    <row r="4065" spans="1:14" x14ac:dyDescent="0.2">
      <c r="A4065" t="s">
        <v>56</v>
      </c>
      <c r="B4065" t="s">
        <v>144</v>
      </c>
      <c r="C4065" t="s">
        <v>142</v>
      </c>
      <c r="D4065" t="s">
        <v>57</v>
      </c>
      <c r="E4065" t="s">
        <v>53</v>
      </c>
      <c r="F4065" t="s">
        <v>114</v>
      </c>
      <c r="G4065">
        <v>119598</v>
      </c>
      <c r="H4065" s="75">
        <v>42759</v>
      </c>
      <c r="I4065" t="s">
        <v>25</v>
      </c>
      <c r="J4065">
        <v>-83515.63</v>
      </c>
      <c r="K4065">
        <v>-3032.1480000000001</v>
      </c>
      <c r="L4065">
        <v>27.543399999999998</v>
      </c>
      <c r="M4065">
        <v>12128.593999999999</v>
      </c>
      <c r="N4065" t="s">
        <v>16</v>
      </c>
    </row>
    <row r="4066" spans="1:14" x14ac:dyDescent="0.2">
      <c r="A4066" t="s">
        <v>56</v>
      </c>
      <c r="B4066" t="s">
        <v>144</v>
      </c>
      <c r="C4066" t="s">
        <v>142</v>
      </c>
      <c r="D4066" t="s">
        <v>57</v>
      </c>
      <c r="E4066" t="s">
        <v>53</v>
      </c>
      <c r="F4066" t="s">
        <v>114</v>
      </c>
      <c r="G4066">
        <v>119598</v>
      </c>
      <c r="H4066" s="75">
        <v>42789</v>
      </c>
      <c r="I4066" t="s">
        <v>115</v>
      </c>
      <c r="J4066">
        <v>5000</v>
      </c>
      <c r="K4066">
        <v>177.989</v>
      </c>
      <c r="L4066">
        <v>28.0916</v>
      </c>
      <c r="M4066">
        <v>12306.583000000001</v>
      </c>
      <c r="N4066" t="s">
        <v>15</v>
      </c>
    </row>
    <row r="4067" spans="1:14" x14ac:dyDescent="0.2">
      <c r="A4067" t="s">
        <v>56</v>
      </c>
      <c r="B4067" t="s">
        <v>144</v>
      </c>
      <c r="C4067" t="s">
        <v>142</v>
      </c>
      <c r="D4067" t="s">
        <v>57</v>
      </c>
      <c r="E4067" t="s">
        <v>53</v>
      </c>
      <c r="F4067" t="s">
        <v>114</v>
      </c>
      <c r="G4067">
        <v>119598</v>
      </c>
      <c r="H4067" s="75">
        <v>42819</v>
      </c>
      <c r="I4067" t="s">
        <v>115</v>
      </c>
      <c r="J4067">
        <v>5000</v>
      </c>
      <c r="K4067">
        <v>173.40899999999999</v>
      </c>
      <c r="L4067">
        <v>28.833500000000001</v>
      </c>
      <c r="M4067">
        <v>12479.993</v>
      </c>
      <c r="N4067" t="s">
        <v>15</v>
      </c>
    </row>
    <row r="4068" spans="1:14" x14ac:dyDescent="0.2">
      <c r="A4068" t="s">
        <v>56</v>
      </c>
      <c r="B4068" t="s">
        <v>144</v>
      </c>
      <c r="C4068" t="s">
        <v>142</v>
      </c>
      <c r="D4068" t="s">
        <v>57</v>
      </c>
      <c r="E4068" t="s">
        <v>53</v>
      </c>
      <c r="F4068" t="s">
        <v>114</v>
      </c>
      <c r="G4068">
        <v>119598</v>
      </c>
      <c r="H4068" s="75">
        <v>42849</v>
      </c>
      <c r="I4068" t="s">
        <v>115</v>
      </c>
      <c r="J4068">
        <v>5000</v>
      </c>
      <c r="K4068">
        <v>175.23500000000001</v>
      </c>
      <c r="L4068">
        <v>28.533100000000001</v>
      </c>
      <c r="M4068">
        <v>12655.227999999999</v>
      </c>
      <c r="N4068" t="s">
        <v>15</v>
      </c>
    </row>
    <row r="4069" spans="1:14" x14ac:dyDescent="0.2">
      <c r="A4069" t="s">
        <v>56</v>
      </c>
      <c r="B4069" t="s">
        <v>144</v>
      </c>
      <c r="C4069" t="s">
        <v>142</v>
      </c>
      <c r="D4069" t="s">
        <v>57</v>
      </c>
      <c r="E4069" t="s">
        <v>53</v>
      </c>
      <c r="F4069" t="s">
        <v>114</v>
      </c>
      <c r="G4069">
        <v>119598</v>
      </c>
      <c r="H4069" s="75">
        <v>42849</v>
      </c>
      <c r="I4069" t="s">
        <v>116</v>
      </c>
      <c r="J4069">
        <v>2.5</v>
      </c>
      <c r="K4069">
        <v>0</v>
      </c>
      <c r="M4069">
        <v>12655.227999999999</v>
      </c>
      <c r="N4069" t="s">
        <v>17</v>
      </c>
    </row>
    <row r="4070" spans="1:14" x14ac:dyDescent="0.2">
      <c r="A4070" t="s">
        <v>56</v>
      </c>
      <c r="B4070" t="s">
        <v>144</v>
      </c>
      <c r="C4070" t="s">
        <v>142</v>
      </c>
      <c r="D4070" t="s">
        <v>57</v>
      </c>
      <c r="E4070" t="s">
        <v>53</v>
      </c>
      <c r="F4070" t="s">
        <v>114</v>
      </c>
      <c r="G4070">
        <v>119598</v>
      </c>
      <c r="H4070" s="75">
        <v>42879</v>
      </c>
      <c r="I4070" t="s">
        <v>115</v>
      </c>
      <c r="J4070">
        <v>5000</v>
      </c>
      <c r="K4070">
        <v>176.69300000000001</v>
      </c>
      <c r="L4070">
        <v>28.297599999999999</v>
      </c>
      <c r="M4070">
        <v>12831.921</v>
      </c>
      <c r="N4070" t="s">
        <v>15</v>
      </c>
    </row>
    <row r="4071" spans="1:14" x14ac:dyDescent="0.2">
      <c r="A4071" t="s">
        <v>56</v>
      </c>
      <c r="B4071" t="s">
        <v>144</v>
      </c>
      <c r="C4071" t="s">
        <v>142</v>
      </c>
      <c r="D4071" t="s">
        <v>57</v>
      </c>
      <c r="E4071" t="s">
        <v>53</v>
      </c>
      <c r="F4071" t="s">
        <v>114</v>
      </c>
      <c r="G4071">
        <v>119598</v>
      </c>
      <c r="H4071" s="75">
        <v>42909</v>
      </c>
      <c r="I4071" t="s">
        <v>115</v>
      </c>
      <c r="J4071">
        <v>5000</v>
      </c>
      <c r="K4071">
        <v>179.18</v>
      </c>
      <c r="L4071">
        <v>27.904900000000001</v>
      </c>
      <c r="M4071">
        <v>13011.101000000001</v>
      </c>
      <c r="N4071" t="s">
        <v>15</v>
      </c>
    </row>
    <row r="4072" spans="1:14" x14ac:dyDescent="0.2">
      <c r="A4072" t="s">
        <v>56</v>
      </c>
      <c r="B4072" t="s">
        <v>144</v>
      </c>
      <c r="C4072" t="s">
        <v>142</v>
      </c>
      <c r="D4072" t="s">
        <v>57</v>
      </c>
      <c r="E4072" t="s">
        <v>53</v>
      </c>
      <c r="F4072" t="s">
        <v>114</v>
      </c>
      <c r="G4072">
        <v>119598</v>
      </c>
      <c r="H4072" s="75">
        <v>42939</v>
      </c>
      <c r="I4072" t="s">
        <v>115</v>
      </c>
      <c r="J4072">
        <v>5000</v>
      </c>
      <c r="K4072">
        <v>180.43799999999999</v>
      </c>
      <c r="L4072">
        <v>27.7103</v>
      </c>
      <c r="M4072">
        <v>13191.539000000001</v>
      </c>
      <c r="N4072" t="s">
        <v>15</v>
      </c>
    </row>
    <row r="4073" spans="1:14" x14ac:dyDescent="0.2">
      <c r="A4073" t="s">
        <v>56</v>
      </c>
      <c r="B4073" t="s">
        <v>144</v>
      </c>
      <c r="C4073" t="s">
        <v>142</v>
      </c>
      <c r="D4073" t="s">
        <v>57</v>
      </c>
      <c r="E4073" t="s">
        <v>53</v>
      </c>
      <c r="F4073" t="s">
        <v>114</v>
      </c>
      <c r="G4073">
        <v>119598</v>
      </c>
      <c r="H4073" s="75">
        <v>42939</v>
      </c>
      <c r="I4073" t="s">
        <v>25</v>
      </c>
      <c r="J4073">
        <v>-73108.320000000007</v>
      </c>
      <c r="K4073">
        <v>-2638.308</v>
      </c>
      <c r="L4073">
        <v>27.7103</v>
      </c>
      <c r="M4073">
        <v>10553.231</v>
      </c>
      <c r="N4073" t="s">
        <v>16</v>
      </c>
    </row>
    <row r="4074" spans="1:14" x14ac:dyDescent="0.2">
      <c r="A4074" t="s">
        <v>56</v>
      </c>
      <c r="B4074" t="s">
        <v>144</v>
      </c>
      <c r="C4074" t="s">
        <v>142</v>
      </c>
      <c r="D4074" t="s">
        <v>57</v>
      </c>
      <c r="E4074" t="s">
        <v>53</v>
      </c>
      <c r="F4074" t="s">
        <v>114</v>
      </c>
      <c r="G4074">
        <v>119598</v>
      </c>
      <c r="H4074" s="75">
        <v>42969</v>
      </c>
      <c r="I4074" t="s">
        <v>115</v>
      </c>
      <c r="J4074">
        <v>5000</v>
      </c>
      <c r="K4074">
        <v>181.339</v>
      </c>
      <c r="L4074">
        <v>27.572700000000001</v>
      </c>
      <c r="M4074">
        <v>10734.57</v>
      </c>
      <c r="N4074" t="s">
        <v>15</v>
      </c>
    </row>
    <row r="4075" spans="1:14" x14ac:dyDescent="0.2">
      <c r="A4075" t="s">
        <v>56</v>
      </c>
      <c r="B4075" t="s">
        <v>144</v>
      </c>
      <c r="C4075" t="s">
        <v>142</v>
      </c>
      <c r="D4075" t="s">
        <v>57</v>
      </c>
      <c r="E4075" t="s">
        <v>53</v>
      </c>
      <c r="F4075" t="s">
        <v>114</v>
      </c>
      <c r="G4075">
        <v>119598</v>
      </c>
      <c r="H4075" s="75">
        <v>42999</v>
      </c>
      <c r="I4075" t="s">
        <v>115</v>
      </c>
      <c r="J4075">
        <v>5000</v>
      </c>
      <c r="K4075">
        <v>176.23099999999999</v>
      </c>
      <c r="L4075">
        <v>28.3719</v>
      </c>
      <c r="M4075">
        <v>10910.800999999999</v>
      </c>
      <c r="N4075" t="s">
        <v>15</v>
      </c>
    </row>
    <row r="4076" spans="1:14" x14ac:dyDescent="0.2">
      <c r="A4076" t="s">
        <v>56</v>
      </c>
      <c r="B4076" t="s">
        <v>144</v>
      </c>
      <c r="C4076" t="s">
        <v>142</v>
      </c>
      <c r="D4076" t="s">
        <v>57</v>
      </c>
      <c r="E4076" t="s">
        <v>53</v>
      </c>
      <c r="F4076" t="s">
        <v>114</v>
      </c>
      <c r="G4076">
        <v>119598</v>
      </c>
      <c r="H4076" s="75">
        <v>43029</v>
      </c>
      <c r="I4076" t="s">
        <v>115</v>
      </c>
      <c r="J4076">
        <v>5000</v>
      </c>
      <c r="K4076">
        <v>176.67400000000001</v>
      </c>
      <c r="L4076">
        <v>28.300699999999999</v>
      </c>
      <c r="M4076">
        <v>11087.475</v>
      </c>
      <c r="N4076" t="s">
        <v>15</v>
      </c>
    </row>
    <row r="4077" spans="1:14" x14ac:dyDescent="0.2">
      <c r="A4077" t="s">
        <v>56</v>
      </c>
      <c r="B4077" t="s">
        <v>144</v>
      </c>
      <c r="C4077" t="s">
        <v>142</v>
      </c>
      <c r="D4077" t="s">
        <v>57</v>
      </c>
      <c r="E4077" t="s">
        <v>53</v>
      </c>
      <c r="F4077" t="s">
        <v>114</v>
      </c>
      <c r="G4077">
        <v>119598</v>
      </c>
      <c r="H4077" s="75">
        <v>43029</v>
      </c>
      <c r="I4077" t="s">
        <v>116</v>
      </c>
      <c r="J4077">
        <v>2.5</v>
      </c>
      <c r="K4077">
        <v>0</v>
      </c>
      <c r="M4077">
        <v>11087.475</v>
      </c>
      <c r="N4077" t="s">
        <v>17</v>
      </c>
    </row>
    <row r="4078" spans="1:14" x14ac:dyDescent="0.2">
      <c r="A4078" t="s">
        <v>56</v>
      </c>
      <c r="B4078" t="s">
        <v>144</v>
      </c>
      <c r="C4078" t="s">
        <v>142</v>
      </c>
      <c r="D4078" t="s">
        <v>57</v>
      </c>
      <c r="E4078" t="s">
        <v>53</v>
      </c>
      <c r="F4078" t="s">
        <v>114</v>
      </c>
      <c r="G4078">
        <v>119598</v>
      </c>
      <c r="H4078" s="75">
        <v>43059</v>
      </c>
      <c r="I4078" t="s">
        <v>115</v>
      </c>
      <c r="J4078">
        <v>5000</v>
      </c>
      <c r="K4078">
        <v>178.78899999999999</v>
      </c>
      <c r="L4078">
        <v>27.965900000000001</v>
      </c>
      <c r="M4078">
        <v>11266.264999999999</v>
      </c>
      <c r="N4078" t="s">
        <v>15</v>
      </c>
    </row>
    <row r="4079" spans="1:14" x14ac:dyDescent="0.2">
      <c r="A4079" t="s">
        <v>56</v>
      </c>
      <c r="B4079" t="s">
        <v>144</v>
      </c>
      <c r="C4079" t="s">
        <v>142</v>
      </c>
      <c r="D4079" t="s">
        <v>57</v>
      </c>
      <c r="E4079" t="s">
        <v>53</v>
      </c>
      <c r="F4079" t="s">
        <v>114</v>
      </c>
      <c r="G4079">
        <v>119598</v>
      </c>
      <c r="H4079" s="75">
        <v>43089</v>
      </c>
      <c r="I4079" t="s">
        <v>115</v>
      </c>
      <c r="J4079">
        <v>5000</v>
      </c>
      <c r="K4079">
        <v>180.81700000000001</v>
      </c>
      <c r="L4079">
        <v>27.6523</v>
      </c>
      <c r="M4079">
        <v>11447.081</v>
      </c>
      <c r="N4079" t="s">
        <v>15</v>
      </c>
    </row>
    <row r="4080" spans="1:14" x14ac:dyDescent="0.2">
      <c r="A4080" t="s">
        <v>56</v>
      </c>
      <c r="B4080" t="s">
        <v>144</v>
      </c>
      <c r="C4080" t="s">
        <v>142</v>
      </c>
      <c r="D4080" t="s">
        <v>57</v>
      </c>
      <c r="E4080" t="s">
        <v>53</v>
      </c>
      <c r="F4080" t="s">
        <v>114</v>
      </c>
      <c r="G4080">
        <v>119598</v>
      </c>
      <c r="H4080" s="75">
        <v>43119</v>
      </c>
      <c r="I4080" t="s">
        <v>115</v>
      </c>
      <c r="J4080">
        <v>5000</v>
      </c>
      <c r="K4080">
        <v>176.47900000000001</v>
      </c>
      <c r="L4080">
        <v>28.331900000000001</v>
      </c>
      <c r="M4080">
        <v>11623.561</v>
      </c>
      <c r="N4080" t="s">
        <v>15</v>
      </c>
    </row>
    <row r="4081" spans="1:14" x14ac:dyDescent="0.2">
      <c r="A4081" t="s">
        <v>56</v>
      </c>
      <c r="B4081" t="s">
        <v>144</v>
      </c>
      <c r="C4081" t="s">
        <v>142</v>
      </c>
      <c r="D4081" t="s">
        <v>57</v>
      </c>
      <c r="E4081" t="s">
        <v>53</v>
      </c>
      <c r="F4081" t="s">
        <v>114</v>
      </c>
      <c r="G4081">
        <v>119598</v>
      </c>
      <c r="H4081" s="75">
        <v>43149</v>
      </c>
      <c r="I4081" t="s">
        <v>115</v>
      </c>
      <c r="J4081">
        <v>5000</v>
      </c>
      <c r="K4081">
        <v>173.41</v>
      </c>
      <c r="L4081">
        <v>28.833300000000001</v>
      </c>
      <c r="M4081">
        <v>11796.971</v>
      </c>
      <c r="N4081" t="s">
        <v>15</v>
      </c>
    </row>
    <row r="4082" spans="1:14" x14ac:dyDescent="0.2">
      <c r="A4082" t="s">
        <v>56</v>
      </c>
      <c r="B4082" t="s">
        <v>144</v>
      </c>
      <c r="C4082" t="s">
        <v>142</v>
      </c>
      <c r="D4082" t="s">
        <v>57</v>
      </c>
      <c r="E4082" t="s">
        <v>53</v>
      </c>
      <c r="F4082" t="s">
        <v>114</v>
      </c>
      <c r="G4082">
        <v>119598</v>
      </c>
      <c r="H4082" s="75">
        <v>43179</v>
      </c>
      <c r="I4082" t="s">
        <v>115</v>
      </c>
      <c r="J4082">
        <v>5000</v>
      </c>
      <c r="K4082">
        <v>170.13399999999999</v>
      </c>
      <c r="L4082">
        <v>29.3886</v>
      </c>
      <c r="M4082">
        <v>11967.105</v>
      </c>
      <c r="N4082" t="s">
        <v>15</v>
      </c>
    </row>
    <row r="4083" spans="1:14" x14ac:dyDescent="0.2">
      <c r="A4083" t="s">
        <v>56</v>
      </c>
      <c r="B4083" t="s">
        <v>144</v>
      </c>
      <c r="C4083" t="s">
        <v>142</v>
      </c>
      <c r="D4083" t="s">
        <v>57</v>
      </c>
      <c r="E4083" t="s">
        <v>53</v>
      </c>
      <c r="F4083" t="s">
        <v>114</v>
      </c>
      <c r="G4083">
        <v>119598</v>
      </c>
      <c r="H4083" s="75">
        <v>43209</v>
      </c>
      <c r="I4083" t="s">
        <v>115</v>
      </c>
      <c r="J4083">
        <v>5000</v>
      </c>
      <c r="K4083">
        <v>167.374</v>
      </c>
      <c r="L4083">
        <v>29.8733</v>
      </c>
      <c r="M4083">
        <v>12134.478999999999</v>
      </c>
      <c r="N4083" t="s">
        <v>15</v>
      </c>
    </row>
    <row r="4084" spans="1:14" x14ac:dyDescent="0.2">
      <c r="A4084" t="s">
        <v>56</v>
      </c>
      <c r="B4084" t="s">
        <v>144</v>
      </c>
      <c r="C4084" t="s">
        <v>142</v>
      </c>
      <c r="D4084" t="s">
        <v>57</v>
      </c>
      <c r="E4084" t="s">
        <v>53</v>
      </c>
      <c r="F4084" t="s">
        <v>114</v>
      </c>
      <c r="G4084">
        <v>119598</v>
      </c>
      <c r="H4084" s="75">
        <v>43239</v>
      </c>
      <c r="I4084" t="s">
        <v>115</v>
      </c>
      <c r="J4084">
        <v>5000</v>
      </c>
      <c r="K4084">
        <v>168.39500000000001</v>
      </c>
      <c r="L4084">
        <v>29.6922</v>
      </c>
      <c r="M4084">
        <v>12302.873</v>
      </c>
      <c r="N4084" t="s">
        <v>15</v>
      </c>
    </row>
    <row r="4085" spans="1:14" x14ac:dyDescent="0.2">
      <c r="A4085" t="s">
        <v>56</v>
      </c>
      <c r="B4085" t="s">
        <v>144</v>
      </c>
      <c r="C4085" t="s">
        <v>142</v>
      </c>
      <c r="D4085" t="s">
        <v>57</v>
      </c>
      <c r="E4085" t="s">
        <v>53</v>
      </c>
      <c r="F4085" t="s">
        <v>114</v>
      </c>
      <c r="G4085">
        <v>119598</v>
      </c>
      <c r="H4085" s="75">
        <v>43239</v>
      </c>
      <c r="I4085" t="s">
        <v>117</v>
      </c>
      <c r="J4085">
        <v>2.5</v>
      </c>
      <c r="K4085">
        <v>0</v>
      </c>
      <c r="M4085">
        <v>12302.873</v>
      </c>
      <c r="N4085" t="s">
        <v>46</v>
      </c>
    </row>
    <row r="4086" spans="1:14" x14ac:dyDescent="0.2">
      <c r="A4086" t="s">
        <v>56</v>
      </c>
      <c r="B4086" t="s">
        <v>144</v>
      </c>
      <c r="C4086" t="s">
        <v>142</v>
      </c>
      <c r="D4086" t="s">
        <v>57</v>
      </c>
      <c r="E4086" t="s">
        <v>53</v>
      </c>
      <c r="F4086" t="s">
        <v>114</v>
      </c>
      <c r="G4086">
        <v>119598</v>
      </c>
      <c r="H4086" s="75">
        <v>43269</v>
      </c>
      <c r="I4086" t="s">
        <v>115</v>
      </c>
      <c r="J4086">
        <v>5000</v>
      </c>
      <c r="K4086">
        <v>171.1</v>
      </c>
      <c r="L4086">
        <v>29.2227</v>
      </c>
      <c r="M4086">
        <v>12473.973</v>
      </c>
      <c r="N4086" t="s">
        <v>15</v>
      </c>
    </row>
    <row r="4087" spans="1:14" x14ac:dyDescent="0.2">
      <c r="A4087" t="s">
        <v>56</v>
      </c>
      <c r="B4087" t="s">
        <v>144</v>
      </c>
      <c r="C4087" t="s">
        <v>142</v>
      </c>
      <c r="D4087" t="s">
        <v>57</v>
      </c>
      <c r="E4087" t="s">
        <v>53</v>
      </c>
      <c r="F4087" t="s">
        <v>114</v>
      </c>
      <c r="G4087">
        <v>119598</v>
      </c>
      <c r="H4087" s="75">
        <v>43299</v>
      </c>
      <c r="I4087" t="s">
        <v>115</v>
      </c>
      <c r="J4087">
        <v>5000</v>
      </c>
      <c r="K4087">
        <v>173.18700000000001</v>
      </c>
      <c r="L4087">
        <v>28.8705</v>
      </c>
      <c r="M4087">
        <v>12647.16</v>
      </c>
      <c r="N4087" t="s">
        <v>15</v>
      </c>
    </row>
    <row r="4088" spans="1:14" x14ac:dyDescent="0.2">
      <c r="A4088" t="s">
        <v>56</v>
      </c>
      <c r="B4088" t="s">
        <v>144</v>
      </c>
      <c r="C4088" t="s">
        <v>142</v>
      </c>
      <c r="D4088" t="s">
        <v>57</v>
      </c>
      <c r="E4088" t="s">
        <v>53</v>
      </c>
      <c r="F4088" t="s">
        <v>114</v>
      </c>
      <c r="G4088">
        <v>119598</v>
      </c>
      <c r="H4088" s="75">
        <v>43299</v>
      </c>
      <c r="I4088" t="s">
        <v>116</v>
      </c>
      <c r="J4088">
        <v>2.5</v>
      </c>
      <c r="K4088">
        <v>0</v>
      </c>
      <c r="M4088">
        <v>12647.16</v>
      </c>
      <c r="N4088" t="s">
        <v>17</v>
      </c>
    </row>
    <row r="4089" spans="1:14" x14ac:dyDescent="0.2">
      <c r="A4089" t="s">
        <v>56</v>
      </c>
      <c r="B4089" t="s">
        <v>144</v>
      </c>
      <c r="C4089" t="s">
        <v>142</v>
      </c>
      <c r="D4089" t="s">
        <v>57</v>
      </c>
      <c r="E4089" t="s">
        <v>53</v>
      </c>
      <c r="F4089" t="s">
        <v>114</v>
      </c>
      <c r="G4089">
        <v>119598</v>
      </c>
      <c r="H4089" s="75">
        <v>43329</v>
      </c>
      <c r="I4089" t="s">
        <v>115</v>
      </c>
      <c r="J4089">
        <v>5000</v>
      </c>
      <c r="K4089">
        <v>176.34399999999999</v>
      </c>
      <c r="L4089">
        <v>28.3537</v>
      </c>
      <c r="M4089">
        <v>12823.504000000001</v>
      </c>
      <c r="N4089" t="s">
        <v>15</v>
      </c>
    </row>
    <row r="4090" spans="1:14" x14ac:dyDescent="0.2">
      <c r="A4090" t="s">
        <v>56</v>
      </c>
      <c r="B4090" t="s">
        <v>144</v>
      </c>
      <c r="C4090" t="s">
        <v>142</v>
      </c>
      <c r="D4090" t="s">
        <v>57</v>
      </c>
      <c r="E4090" t="s">
        <v>53</v>
      </c>
      <c r="F4090" t="s">
        <v>114</v>
      </c>
      <c r="G4090">
        <v>119598</v>
      </c>
      <c r="H4090" s="75">
        <v>43359</v>
      </c>
      <c r="I4090" t="s">
        <v>115</v>
      </c>
      <c r="J4090">
        <v>5000</v>
      </c>
      <c r="K4090">
        <v>176.077</v>
      </c>
      <c r="L4090">
        <v>28.396599999999999</v>
      </c>
      <c r="M4090">
        <v>12999.581</v>
      </c>
      <c r="N4090" t="s">
        <v>15</v>
      </c>
    </row>
    <row r="4091" spans="1:14" x14ac:dyDescent="0.2">
      <c r="A4091" t="s">
        <v>56</v>
      </c>
      <c r="B4091" t="s">
        <v>144</v>
      </c>
      <c r="C4091" t="s">
        <v>142</v>
      </c>
      <c r="D4091" t="s">
        <v>57</v>
      </c>
      <c r="E4091" t="s">
        <v>53</v>
      </c>
      <c r="F4091" t="s">
        <v>114</v>
      </c>
      <c r="G4091">
        <v>119598</v>
      </c>
      <c r="H4091" s="75">
        <v>43389</v>
      </c>
      <c r="I4091" t="s">
        <v>115</v>
      </c>
      <c r="J4091">
        <v>5000</v>
      </c>
      <c r="K4091">
        <v>172.696</v>
      </c>
      <c r="L4091">
        <v>28.9527</v>
      </c>
      <c r="M4091">
        <v>13172.277</v>
      </c>
      <c r="N4091" t="s">
        <v>15</v>
      </c>
    </row>
    <row r="4092" spans="1:14" x14ac:dyDescent="0.2">
      <c r="A4092" t="s">
        <v>56</v>
      </c>
      <c r="B4092" t="s">
        <v>144</v>
      </c>
      <c r="C4092" t="s">
        <v>142</v>
      </c>
      <c r="D4092" t="s">
        <v>57</v>
      </c>
      <c r="E4092" t="s">
        <v>53</v>
      </c>
      <c r="F4092" t="s">
        <v>114</v>
      </c>
      <c r="G4092">
        <v>119598</v>
      </c>
      <c r="H4092" s="75">
        <v>43419</v>
      </c>
      <c r="I4092" t="s">
        <v>115</v>
      </c>
      <c r="J4092">
        <v>5000</v>
      </c>
      <c r="K4092">
        <v>169.935</v>
      </c>
      <c r="L4092">
        <v>29.422999999999998</v>
      </c>
      <c r="M4092">
        <v>13342.212</v>
      </c>
      <c r="N4092" t="s">
        <v>15</v>
      </c>
    </row>
    <row r="4093" spans="1:14" x14ac:dyDescent="0.2">
      <c r="A4093" t="s">
        <v>56</v>
      </c>
      <c r="B4093" t="s">
        <v>144</v>
      </c>
      <c r="C4093" t="s">
        <v>142</v>
      </c>
      <c r="D4093" t="s">
        <v>57</v>
      </c>
      <c r="E4093" t="s">
        <v>53</v>
      </c>
      <c r="F4093" t="s">
        <v>114</v>
      </c>
      <c r="G4093">
        <v>119598</v>
      </c>
      <c r="H4093" s="75">
        <v>43419</v>
      </c>
      <c r="I4093" t="s">
        <v>25</v>
      </c>
      <c r="J4093">
        <v>-78513.69</v>
      </c>
      <c r="K4093">
        <v>-2668.442</v>
      </c>
      <c r="L4093">
        <v>29.422999999999998</v>
      </c>
      <c r="M4093">
        <v>10673.769</v>
      </c>
      <c r="N4093" t="s">
        <v>16</v>
      </c>
    </row>
    <row r="4094" spans="1:14" x14ac:dyDescent="0.2">
      <c r="A4094" t="s">
        <v>56</v>
      </c>
      <c r="B4094" t="s">
        <v>144</v>
      </c>
      <c r="C4094" t="s">
        <v>142</v>
      </c>
      <c r="D4094" t="s">
        <v>57</v>
      </c>
      <c r="E4094" t="s">
        <v>53</v>
      </c>
      <c r="F4094" t="s">
        <v>114</v>
      </c>
      <c r="G4094">
        <v>119598</v>
      </c>
      <c r="H4094" s="75">
        <v>43449</v>
      </c>
      <c r="I4094" t="s">
        <v>115</v>
      </c>
      <c r="J4094">
        <v>5000</v>
      </c>
      <c r="K4094">
        <v>170.18899999999999</v>
      </c>
      <c r="L4094">
        <v>29.379200000000001</v>
      </c>
      <c r="M4094">
        <v>10843.958000000001</v>
      </c>
      <c r="N4094" t="s">
        <v>15</v>
      </c>
    </row>
    <row r="4095" spans="1:14" x14ac:dyDescent="0.2">
      <c r="A4095" t="s">
        <v>56</v>
      </c>
      <c r="B4095" t="s">
        <v>144</v>
      </c>
      <c r="C4095" t="s">
        <v>142</v>
      </c>
      <c r="D4095" t="s">
        <v>57</v>
      </c>
      <c r="E4095" t="s">
        <v>53</v>
      </c>
      <c r="F4095" t="s">
        <v>114</v>
      </c>
      <c r="G4095">
        <v>119598</v>
      </c>
      <c r="H4095" s="75">
        <v>43479</v>
      </c>
      <c r="I4095" t="s">
        <v>115</v>
      </c>
      <c r="J4095">
        <v>5000</v>
      </c>
      <c r="K4095">
        <v>171.56399999999999</v>
      </c>
      <c r="L4095">
        <v>29.143699999999999</v>
      </c>
      <c r="M4095">
        <v>11015.522000000001</v>
      </c>
      <c r="N4095" t="s">
        <v>15</v>
      </c>
    </row>
    <row r="4096" spans="1:14" x14ac:dyDescent="0.2">
      <c r="A4096" t="s">
        <v>56</v>
      </c>
      <c r="B4096" t="s">
        <v>144</v>
      </c>
      <c r="C4096" t="s">
        <v>142</v>
      </c>
      <c r="D4096" t="s">
        <v>57</v>
      </c>
      <c r="E4096" t="s">
        <v>53</v>
      </c>
      <c r="F4096" t="s">
        <v>114</v>
      </c>
      <c r="G4096">
        <v>119598</v>
      </c>
      <c r="H4096" s="75">
        <v>43479</v>
      </c>
      <c r="I4096" t="s">
        <v>116</v>
      </c>
      <c r="J4096">
        <v>2.5</v>
      </c>
      <c r="K4096">
        <v>0</v>
      </c>
      <c r="M4096">
        <v>11015.522000000001</v>
      </c>
      <c r="N4096" t="s">
        <v>17</v>
      </c>
    </row>
    <row r="4097" spans="1:14" x14ac:dyDescent="0.2">
      <c r="A4097" t="s">
        <v>56</v>
      </c>
      <c r="B4097" t="s">
        <v>144</v>
      </c>
      <c r="C4097" t="s">
        <v>142</v>
      </c>
      <c r="D4097" t="s">
        <v>57</v>
      </c>
      <c r="E4097" t="s">
        <v>53</v>
      </c>
      <c r="F4097" t="s">
        <v>114</v>
      </c>
      <c r="G4097">
        <v>119598</v>
      </c>
      <c r="H4097" s="75">
        <v>43509</v>
      </c>
      <c r="I4097" t="s">
        <v>115</v>
      </c>
      <c r="J4097">
        <v>5000</v>
      </c>
      <c r="K4097">
        <v>171.91499999999999</v>
      </c>
      <c r="L4097">
        <v>29.084199999999999</v>
      </c>
      <c r="M4097">
        <v>11187.437</v>
      </c>
      <c r="N4097" t="s">
        <v>15</v>
      </c>
    </row>
    <row r="4098" spans="1:14" x14ac:dyDescent="0.2">
      <c r="A4098" t="s">
        <v>56</v>
      </c>
      <c r="B4098" t="s">
        <v>144</v>
      </c>
      <c r="C4098" t="s">
        <v>142</v>
      </c>
      <c r="D4098" t="s">
        <v>57</v>
      </c>
      <c r="E4098" t="s">
        <v>53</v>
      </c>
      <c r="F4098" t="s">
        <v>114</v>
      </c>
      <c r="G4098">
        <v>119598</v>
      </c>
      <c r="H4098" s="75">
        <v>43539</v>
      </c>
      <c r="I4098" t="s">
        <v>115</v>
      </c>
      <c r="J4098">
        <v>5000</v>
      </c>
      <c r="K4098">
        <v>169.035</v>
      </c>
      <c r="L4098">
        <v>29.579599999999999</v>
      </c>
      <c r="M4098">
        <v>11356.472</v>
      </c>
      <c r="N4098" t="s">
        <v>15</v>
      </c>
    </row>
    <row r="4099" spans="1:14" x14ac:dyDescent="0.2">
      <c r="A4099" t="s">
        <v>56</v>
      </c>
      <c r="B4099" t="s">
        <v>144</v>
      </c>
      <c r="C4099" t="s">
        <v>142</v>
      </c>
      <c r="D4099" t="s">
        <v>57</v>
      </c>
      <c r="E4099" t="s">
        <v>53</v>
      </c>
      <c r="F4099" t="s">
        <v>114</v>
      </c>
      <c r="G4099">
        <v>119598</v>
      </c>
      <c r="H4099" s="75">
        <v>43569</v>
      </c>
      <c r="I4099" t="s">
        <v>115</v>
      </c>
      <c r="J4099">
        <v>5000</v>
      </c>
      <c r="K4099">
        <v>166.18100000000001</v>
      </c>
      <c r="L4099">
        <v>30.087599999999998</v>
      </c>
      <c r="M4099">
        <v>11522.653</v>
      </c>
      <c r="N4099" t="s">
        <v>15</v>
      </c>
    </row>
    <row r="4100" spans="1:14" x14ac:dyDescent="0.2">
      <c r="A4100" t="s">
        <v>56</v>
      </c>
      <c r="B4100" t="s">
        <v>144</v>
      </c>
      <c r="C4100" t="s">
        <v>142</v>
      </c>
      <c r="D4100" t="s">
        <v>57</v>
      </c>
      <c r="E4100" t="s">
        <v>53</v>
      </c>
      <c r="F4100" t="s">
        <v>114</v>
      </c>
      <c r="G4100">
        <v>119598</v>
      </c>
      <c r="H4100" s="75">
        <v>43599</v>
      </c>
      <c r="I4100" t="s">
        <v>115</v>
      </c>
      <c r="J4100">
        <v>5000</v>
      </c>
      <c r="K4100">
        <v>167.13900000000001</v>
      </c>
      <c r="L4100">
        <v>29.915199999999999</v>
      </c>
      <c r="M4100">
        <v>11689.791999999999</v>
      </c>
      <c r="N4100" t="s">
        <v>15</v>
      </c>
    </row>
    <row r="4101" spans="1:14" x14ac:dyDescent="0.2">
      <c r="A4101" t="s">
        <v>56</v>
      </c>
      <c r="B4101" t="s">
        <v>144</v>
      </c>
      <c r="C4101" t="s">
        <v>142</v>
      </c>
      <c r="D4101" t="s">
        <v>57</v>
      </c>
      <c r="E4101" t="s">
        <v>53</v>
      </c>
      <c r="F4101" t="s">
        <v>114</v>
      </c>
      <c r="G4101">
        <v>119598</v>
      </c>
      <c r="H4101" s="75">
        <v>43629</v>
      </c>
      <c r="I4101" t="s">
        <v>115</v>
      </c>
      <c r="J4101">
        <v>5000</v>
      </c>
      <c r="K4101">
        <v>168.56800000000001</v>
      </c>
      <c r="L4101">
        <v>29.6617</v>
      </c>
      <c r="M4101">
        <v>11858.36</v>
      </c>
      <c r="N4101" t="s">
        <v>15</v>
      </c>
    </row>
    <row r="4102" spans="1:14" x14ac:dyDescent="0.2">
      <c r="A4102" t="s">
        <v>56</v>
      </c>
      <c r="B4102" t="s">
        <v>144</v>
      </c>
      <c r="C4102" t="s">
        <v>142</v>
      </c>
      <c r="D4102" t="s">
        <v>57</v>
      </c>
      <c r="E4102" t="s">
        <v>53</v>
      </c>
      <c r="F4102" t="s">
        <v>114</v>
      </c>
      <c r="G4102">
        <v>119598</v>
      </c>
      <c r="H4102" s="75">
        <v>43629</v>
      </c>
      <c r="I4102" t="s">
        <v>116</v>
      </c>
      <c r="J4102">
        <v>2.5</v>
      </c>
      <c r="K4102">
        <v>0</v>
      </c>
      <c r="M4102">
        <v>11858.36</v>
      </c>
      <c r="N4102" t="s">
        <v>17</v>
      </c>
    </row>
    <row r="4103" spans="1:14" x14ac:dyDescent="0.2">
      <c r="A4103" t="s">
        <v>56</v>
      </c>
      <c r="B4103" t="s">
        <v>144</v>
      </c>
      <c r="C4103" t="s">
        <v>142</v>
      </c>
      <c r="D4103" t="s">
        <v>57</v>
      </c>
      <c r="E4103" t="s">
        <v>53</v>
      </c>
      <c r="F4103" t="s">
        <v>114</v>
      </c>
      <c r="G4103">
        <v>119598</v>
      </c>
      <c r="H4103" s="75">
        <v>43629</v>
      </c>
      <c r="I4103" t="s">
        <v>25</v>
      </c>
      <c r="J4103">
        <v>-70347.8</v>
      </c>
      <c r="K4103">
        <v>-2371.672</v>
      </c>
      <c r="L4103">
        <v>29.6617</v>
      </c>
      <c r="M4103">
        <v>9486.6880000000001</v>
      </c>
      <c r="N4103" t="s">
        <v>16</v>
      </c>
    </row>
    <row r="4104" spans="1:14" x14ac:dyDescent="0.2">
      <c r="A4104" t="s">
        <v>56</v>
      </c>
      <c r="B4104" t="s">
        <v>144</v>
      </c>
      <c r="C4104" t="s">
        <v>142</v>
      </c>
      <c r="D4104" t="s">
        <v>57</v>
      </c>
      <c r="E4104" t="s">
        <v>53</v>
      </c>
      <c r="F4104" t="s">
        <v>114</v>
      </c>
      <c r="G4104">
        <v>119598</v>
      </c>
      <c r="H4104" s="75">
        <v>43659</v>
      </c>
      <c r="I4104" t="s">
        <v>115</v>
      </c>
      <c r="J4104">
        <v>5000</v>
      </c>
      <c r="K4104">
        <v>167.22200000000001</v>
      </c>
      <c r="L4104">
        <v>29.900400000000001</v>
      </c>
      <c r="M4104">
        <v>9653.91</v>
      </c>
      <c r="N4104" t="s">
        <v>15</v>
      </c>
    </row>
    <row r="4105" spans="1:14" x14ac:dyDescent="0.2">
      <c r="A4105" t="s">
        <v>56</v>
      </c>
      <c r="B4105" t="s">
        <v>144</v>
      </c>
      <c r="C4105" t="s">
        <v>142</v>
      </c>
      <c r="D4105" t="s">
        <v>57</v>
      </c>
      <c r="E4105" t="s">
        <v>53</v>
      </c>
      <c r="F4105" t="s">
        <v>114</v>
      </c>
      <c r="G4105">
        <v>119598</v>
      </c>
      <c r="H4105" s="75">
        <v>43689</v>
      </c>
      <c r="I4105" t="s">
        <v>115</v>
      </c>
      <c r="J4105">
        <v>5000</v>
      </c>
      <c r="K4105">
        <v>168.42699999999999</v>
      </c>
      <c r="L4105">
        <v>29.686399999999999</v>
      </c>
      <c r="M4105">
        <v>9822.3369999999995</v>
      </c>
      <c r="N4105" t="s">
        <v>15</v>
      </c>
    </row>
    <row r="4106" spans="1:14" x14ac:dyDescent="0.2">
      <c r="A4106" t="s">
        <v>56</v>
      </c>
      <c r="B4106" t="s">
        <v>144</v>
      </c>
      <c r="C4106" t="s">
        <v>142</v>
      </c>
      <c r="D4106" t="s">
        <v>57</v>
      </c>
      <c r="E4106" t="s">
        <v>53</v>
      </c>
      <c r="F4106" t="s">
        <v>114</v>
      </c>
      <c r="G4106">
        <v>119598</v>
      </c>
      <c r="H4106" s="75">
        <v>43719</v>
      </c>
      <c r="I4106" t="s">
        <v>115</v>
      </c>
      <c r="J4106">
        <v>5000</v>
      </c>
      <c r="K4106">
        <v>169.45599999999999</v>
      </c>
      <c r="L4106">
        <v>29.5062</v>
      </c>
      <c r="M4106">
        <v>9991.7929999999997</v>
      </c>
      <c r="N4106" t="s">
        <v>15</v>
      </c>
    </row>
    <row r="4107" spans="1:14" x14ac:dyDescent="0.2">
      <c r="A4107" t="s">
        <v>56</v>
      </c>
      <c r="B4107" t="s">
        <v>144</v>
      </c>
      <c r="C4107" t="s">
        <v>142</v>
      </c>
      <c r="D4107" t="s">
        <v>57</v>
      </c>
      <c r="E4107" t="s">
        <v>53</v>
      </c>
      <c r="F4107" t="s">
        <v>114</v>
      </c>
      <c r="G4107">
        <v>119598</v>
      </c>
      <c r="H4107" s="75">
        <v>43749</v>
      </c>
      <c r="I4107" t="s">
        <v>115</v>
      </c>
      <c r="J4107">
        <v>5000</v>
      </c>
      <c r="K4107">
        <v>166.17</v>
      </c>
      <c r="L4107">
        <v>30.089700000000001</v>
      </c>
      <c r="M4107">
        <v>10157.963</v>
      </c>
      <c r="N4107" t="s">
        <v>15</v>
      </c>
    </row>
    <row r="4108" spans="1:14" x14ac:dyDescent="0.2">
      <c r="A4108" t="s">
        <v>56</v>
      </c>
      <c r="B4108" t="s">
        <v>144</v>
      </c>
      <c r="C4108" t="s">
        <v>142</v>
      </c>
      <c r="D4108" t="s">
        <v>57</v>
      </c>
      <c r="E4108" t="s">
        <v>53</v>
      </c>
      <c r="F4108" t="s">
        <v>114</v>
      </c>
      <c r="G4108">
        <v>119598</v>
      </c>
      <c r="H4108" s="75">
        <v>43779</v>
      </c>
      <c r="I4108" t="s">
        <v>115</v>
      </c>
      <c r="J4108">
        <v>5000</v>
      </c>
      <c r="K4108">
        <v>168.67400000000001</v>
      </c>
      <c r="L4108">
        <v>29.643000000000001</v>
      </c>
      <c r="M4108">
        <v>10326.637000000001</v>
      </c>
      <c r="N4108" t="s">
        <v>15</v>
      </c>
    </row>
    <row r="4109" spans="1:14" x14ac:dyDescent="0.2">
      <c r="A4109" t="s">
        <v>56</v>
      </c>
      <c r="B4109" t="s">
        <v>144</v>
      </c>
      <c r="C4109" t="s">
        <v>142</v>
      </c>
      <c r="D4109" t="s">
        <v>57</v>
      </c>
      <c r="E4109" t="s">
        <v>53</v>
      </c>
      <c r="F4109" t="s">
        <v>114</v>
      </c>
      <c r="G4109">
        <v>119598</v>
      </c>
      <c r="H4109" s="75">
        <v>43809</v>
      </c>
      <c r="I4109" t="s">
        <v>115</v>
      </c>
      <c r="J4109">
        <v>5000</v>
      </c>
      <c r="K4109">
        <v>169.36199999999999</v>
      </c>
      <c r="L4109">
        <v>29.522500000000001</v>
      </c>
      <c r="M4109">
        <v>10495.999</v>
      </c>
      <c r="N4109" t="s">
        <v>15</v>
      </c>
    </row>
    <row r="4110" spans="1:14" x14ac:dyDescent="0.2">
      <c r="A4110" t="s">
        <v>56</v>
      </c>
      <c r="B4110" t="s">
        <v>144</v>
      </c>
      <c r="C4110" t="s">
        <v>142</v>
      </c>
      <c r="D4110" t="s">
        <v>57</v>
      </c>
      <c r="E4110" t="s">
        <v>53</v>
      </c>
      <c r="F4110" t="s">
        <v>114</v>
      </c>
      <c r="G4110">
        <v>119598</v>
      </c>
      <c r="H4110" s="75">
        <v>43839</v>
      </c>
      <c r="I4110" t="s">
        <v>115</v>
      </c>
      <c r="J4110">
        <v>5000</v>
      </c>
      <c r="K4110">
        <v>165.22900000000001</v>
      </c>
      <c r="L4110">
        <v>30.261099999999999</v>
      </c>
      <c r="M4110">
        <v>10661.227999999999</v>
      </c>
      <c r="N4110" t="s">
        <v>15</v>
      </c>
    </row>
    <row r="4111" spans="1:14" x14ac:dyDescent="0.2">
      <c r="A4111" t="s">
        <v>56</v>
      </c>
      <c r="B4111" t="s">
        <v>144</v>
      </c>
      <c r="C4111" t="s">
        <v>142</v>
      </c>
      <c r="D4111" t="s">
        <v>57</v>
      </c>
      <c r="E4111" t="s">
        <v>53</v>
      </c>
      <c r="F4111" t="s">
        <v>114</v>
      </c>
      <c r="G4111">
        <v>119598</v>
      </c>
      <c r="H4111" s="75">
        <v>43839</v>
      </c>
      <c r="I4111" t="s">
        <v>117</v>
      </c>
      <c r="J4111">
        <v>2.5</v>
      </c>
      <c r="K4111">
        <v>0</v>
      </c>
      <c r="M4111">
        <v>10661.227999999999</v>
      </c>
      <c r="N4111" t="s">
        <v>46</v>
      </c>
    </row>
    <row r="4112" spans="1:14" x14ac:dyDescent="0.2">
      <c r="A4112" t="s">
        <v>56</v>
      </c>
      <c r="B4112" t="s">
        <v>144</v>
      </c>
      <c r="C4112" t="s">
        <v>142</v>
      </c>
      <c r="D4112" t="s">
        <v>57</v>
      </c>
      <c r="E4112" t="s">
        <v>53</v>
      </c>
      <c r="F4112" t="s">
        <v>114</v>
      </c>
      <c r="G4112">
        <v>119598</v>
      </c>
      <c r="H4112" s="75">
        <v>43869</v>
      </c>
      <c r="I4112" t="s">
        <v>115</v>
      </c>
      <c r="J4112">
        <v>5000</v>
      </c>
      <c r="K4112">
        <v>165.76</v>
      </c>
      <c r="L4112">
        <v>30.164100000000001</v>
      </c>
      <c r="M4112">
        <v>10826.987999999999</v>
      </c>
      <c r="N4112" t="s">
        <v>15</v>
      </c>
    </row>
    <row r="4113" spans="1:14" x14ac:dyDescent="0.2">
      <c r="A4113" t="s">
        <v>56</v>
      </c>
      <c r="B4113" t="s">
        <v>144</v>
      </c>
      <c r="C4113" t="s">
        <v>142</v>
      </c>
      <c r="D4113" t="s">
        <v>57</v>
      </c>
      <c r="E4113" t="s">
        <v>53</v>
      </c>
      <c r="F4113" t="s">
        <v>114</v>
      </c>
      <c r="G4113">
        <v>119598</v>
      </c>
      <c r="H4113" s="75">
        <v>43899</v>
      </c>
      <c r="I4113" t="s">
        <v>115</v>
      </c>
      <c r="J4113">
        <v>5000</v>
      </c>
      <c r="K4113">
        <v>163.86</v>
      </c>
      <c r="L4113">
        <v>30.5139</v>
      </c>
      <c r="M4113">
        <v>10990.848</v>
      </c>
      <c r="N4113" t="s">
        <v>15</v>
      </c>
    </row>
    <row r="4114" spans="1:14" x14ac:dyDescent="0.2">
      <c r="A4114" t="s">
        <v>56</v>
      </c>
      <c r="B4114" t="s">
        <v>144</v>
      </c>
      <c r="C4114" t="s">
        <v>142</v>
      </c>
      <c r="D4114" t="s">
        <v>57</v>
      </c>
      <c r="E4114" t="s">
        <v>53</v>
      </c>
      <c r="F4114" t="s">
        <v>114</v>
      </c>
      <c r="G4114">
        <v>119598</v>
      </c>
      <c r="H4114" s="75">
        <v>43929</v>
      </c>
      <c r="I4114" t="s">
        <v>115</v>
      </c>
      <c r="J4114">
        <v>5000</v>
      </c>
      <c r="K4114">
        <v>159.691</v>
      </c>
      <c r="L4114">
        <v>31.310500000000001</v>
      </c>
      <c r="M4114">
        <v>11150.539000000001</v>
      </c>
      <c r="N4114" t="s">
        <v>15</v>
      </c>
    </row>
    <row r="4115" spans="1:14" x14ac:dyDescent="0.2">
      <c r="A4115" t="s">
        <v>56</v>
      </c>
      <c r="B4115" t="s">
        <v>144</v>
      </c>
      <c r="C4115" t="s">
        <v>142</v>
      </c>
      <c r="D4115" t="s">
        <v>57</v>
      </c>
      <c r="E4115" t="s">
        <v>53</v>
      </c>
      <c r="F4115" t="s">
        <v>114</v>
      </c>
      <c r="G4115">
        <v>119598</v>
      </c>
      <c r="H4115" s="75">
        <v>43959</v>
      </c>
      <c r="I4115" t="s">
        <v>115</v>
      </c>
      <c r="J4115">
        <v>5000</v>
      </c>
      <c r="K4115">
        <v>155.71600000000001</v>
      </c>
      <c r="L4115">
        <v>32.109699999999997</v>
      </c>
      <c r="M4115">
        <v>11306.254999999999</v>
      </c>
      <c r="N4115" t="s">
        <v>15</v>
      </c>
    </row>
    <row r="4116" spans="1:14" x14ac:dyDescent="0.2">
      <c r="A4116" t="s">
        <v>56</v>
      </c>
      <c r="B4116" t="s">
        <v>144</v>
      </c>
      <c r="C4116" t="s">
        <v>142</v>
      </c>
      <c r="D4116" t="s">
        <v>57</v>
      </c>
      <c r="E4116" t="s">
        <v>53</v>
      </c>
      <c r="F4116" t="s">
        <v>114</v>
      </c>
      <c r="G4116">
        <v>119598</v>
      </c>
      <c r="H4116" s="75">
        <v>43989</v>
      </c>
      <c r="I4116" t="s">
        <v>115</v>
      </c>
      <c r="J4116">
        <v>5000</v>
      </c>
      <c r="K4116">
        <v>157.76900000000001</v>
      </c>
      <c r="L4116">
        <v>31.6919</v>
      </c>
      <c r="M4116">
        <v>11464.022999999999</v>
      </c>
      <c r="N4116" t="s">
        <v>15</v>
      </c>
    </row>
    <row r="4117" spans="1:14" x14ac:dyDescent="0.2">
      <c r="A4117" t="s">
        <v>56</v>
      </c>
      <c r="B4117" t="s">
        <v>144</v>
      </c>
      <c r="C4117" t="s">
        <v>142</v>
      </c>
      <c r="D4117" t="s">
        <v>57</v>
      </c>
      <c r="E4117" t="s">
        <v>53</v>
      </c>
      <c r="F4117" t="s">
        <v>114</v>
      </c>
      <c r="G4117">
        <v>119598</v>
      </c>
      <c r="H4117" s="75">
        <v>44019</v>
      </c>
      <c r="I4117" t="s">
        <v>115</v>
      </c>
      <c r="J4117">
        <v>5000</v>
      </c>
      <c r="K4117">
        <v>155.68700000000001</v>
      </c>
      <c r="L4117">
        <v>32.1158</v>
      </c>
      <c r="M4117">
        <v>11619.71</v>
      </c>
      <c r="N4117" t="s">
        <v>15</v>
      </c>
    </row>
    <row r="4118" spans="1:14" x14ac:dyDescent="0.2">
      <c r="A4118" t="s">
        <v>56</v>
      </c>
      <c r="B4118" t="s">
        <v>144</v>
      </c>
      <c r="C4118" t="s">
        <v>142</v>
      </c>
      <c r="D4118" t="s">
        <v>57</v>
      </c>
      <c r="E4118" t="s">
        <v>53</v>
      </c>
      <c r="F4118" t="s">
        <v>114</v>
      </c>
      <c r="G4118">
        <v>119598</v>
      </c>
      <c r="H4118" s="75">
        <v>44049</v>
      </c>
      <c r="I4118" t="s">
        <v>115</v>
      </c>
      <c r="J4118">
        <v>5000</v>
      </c>
      <c r="K4118">
        <v>154.392</v>
      </c>
      <c r="L4118">
        <v>32.384999999999998</v>
      </c>
      <c r="M4118">
        <v>11774.102000000001</v>
      </c>
      <c r="N4118" t="s">
        <v>15</v>
      </c>
    </row>
    <row r="4119" spans="1:14" x14ac:dyDescent="0.2">
      <c r="A4119" t="s">
        <v>56</v>
      </c>
      <c r="B4119" t="s">
        <v>144</v>
      </c>
      <c r="C4119" t="s">
        <v>142</v>
      </c>
      <c r="D4119" t="s">
        <v>57</v>
      </c>
      <c r="E4119" t="s">
        <v>53</v>
      </c>
      <c r="F4119" t="s">
        <v>114</v>
      </c>
      <c r="G4119">
        <v>119598</v>
      </c>
      <c r="H4119" s="75">
        <v>44079</v>
      </c>
      <c r="I4119" t="s">
        <v>115</v>
      </c>
      <c r="J4119">
        <v>5000</v>
      </c>
      <c r="K4119">
        <v>155.54599999999999</v>
      </c>
      <c r="L4119">
        <v>32.144799999999996</v>
      </c>
      <c r="M4119">
        <v>11929.648999999999</v>
      </c>
      <c r="N4119" t="s">
        <v>15</v>
      </c>
    </row>
    <row r="4120" spans="1:14" x14ac:dyDescent="0.2">
      <c r="A4120" t="s">
        <v>56</v>
      </c>
      <c r="B4120" t="s">
        <v>144</v>
      </c>
      <c r="C4120" t="s">
        <v>142</v>
      </c>
      <c r="D4120" t="s">
        <v>57</v>
      </c>
      <c r="E4120" t="s">
        <v>53</v>
      </c>
      <c r="F4120" t="s">
        <v>114</v>
      </c>
      <c r="G4120">
        <v>119598</v>
      </c>
      <c r="H4120" s="75">
        <v>44079</v>
      </c>
      <c r="I4120" t="s">
        <v>25</v>
      </c>
      <c r="J4120">
        <v>-76695.210000000006</v>
      </c>
      <c r="K4120">
        <v>-2385.9299999999998</v>
      </c>
      <c r="L4120">
        <v>32.144799999999996</v>
      </c>
      <c r="M4120">
        <v>9543.7189999999991</v>
      </c>
      <c r="N4120" t="s">
        <v>16</v>
      </c>
    </row>
    <row r="4121" spans="1:14" x14ac:dyDescent="0.2">
      <c r="A4121" t="s">
        <v>56</v>
      </c>
      <c r="B4121" t="s">
        <v>144</v>
      </c>
      <c r="C4121" t="s">
        <v>142</v>
      </c>
      <c r="D4121" t="s">
        <v>57</v>
      </c>
      <c r="E4121" t="s">
        <v>53</v>
      </c>
      <c r="F4121" t="s">
        <v>114</v>
      </c>
      <c r="G4121">
        <v>119598</v>
      </c>
      <c r="H4121" s="75">
        <v>44109</v>
      </c>
      <c r="I4121" t="s">
        <v>115</v>
      </c>
      <c r="J4121">
        <v>5000</v>
      </c>
      <c r="K4121">
        <v>151.32</v>
      </c>
      <c r="L4121">
        <v>33.042499999999997</v>
      </c>
      <c r="M4121">
        <v>9695.0390000000007</v>
      </c>
      <c r="N4121" t="s">
        <v>15</v>
      </c>
    </row>
    <row r="4122" spans="1:14" x14ac:dyDescent="0.2">
      <c r="A4122" t="s">
        <v>56</v>
      </c>
      <c r="B4122" t="s">
        <v>144</v>
      </c>
      <c r="C4122" t="s">
        <v>142</v>
      </c>
      <c r="D4122" t="s">
        <v>57</v>
      </c>
      <c r="E4122" t="s">
        <v>53</v>
      </c>
      <c r="F4122" t="s">
        <v>114</v>
      </c>
      <c r="G4122">
        <v>119598</v>
      </c>
      <c r="H4122" s="75">
        <v>44109</v>
      </c>
      <c r="I4122" t="s">
        <v>117</v>
      </c>
      <c r="J4122">
        <v>2.5</v>
      </c>
      <c r="K4122">
        <v>0</v>
      </c>
      <c r="M4122">
        <v>9695.0390000000007</v>
      </c>
      <c r="N4122" t="s">
        <v>46</v>
      </c>
    </row>
    <row r="4123" spans="1:14" x14ac:dyDescent="0.2">
      <c r="A4123" t="s">
        <v>56</v>
      </c>
      <c r="B4123" t="s">
        <v>144</v>
      </c>
      <c r="C4123" t="s">
        <v>142</v>
      </c>
      <c r="D4123" t="s">
        <v>57</v>
      </c>
      <c r="E4123" t="s">
        <v>53</v>
      </c>
      <c r="F4123" t="s">
        <v>114</v>
      </c>
      <c r="G4123">
        <v>119598</v>
      </c>
      <c r="H4123" s="75">
        <v>44139</v>
      </c>
      <c r="I4123" t="s">
        <v>115</v>
      </c>
      <c r="J4123">
        <v>5000</v>
      </c>
      <c r="K4123">
        <v>152.364</v>
      </c>
      <c r="L4123">
        <v>32.816099999999999</v>
      </c>
      <c r="M4123">
        <v>9847.4030000000002</v>
      </c>
      <c r="N4123" t="s">
        <v>15</v>
      </c>
    </row>
    <row r="4124" spans="1:14" x14ac:dyDescent="0.2">
      <c r="A4124" t="s">
        <v>56</v>
      </c>
      <c r="B4124" t="s">
        <v>144</v>
      </c>
      <c r="C4124" t="s">
        <v>142</v>
      </c>
      <c r="D4124" t="s">
        <v>57</v>
      </c>
      <c r="E4124" t="s">
        <v>53</v>
      </c>
      <c r="F4124" t="s">
        <v>114</v>
      </c>
      <c r="G4124">
        <v>119598</v>
      </c>
      <c r="H4124" s="75">
        <v>44169</v>
      </c>
      <c r="I4124" t="s">
        <v>115</v>
      </c>
      <c r="J4124">
        <v>5000</v>
      </c>
      <c r="K4124">
        <v>151.45599999999999</v>
      </c>
      <c r="L4124">
        <v>33.012900000000002</v>
      </c>
      <c r="M4124">
        <v>9998.8590000000004</v>
      </c>
      <c r="N4124" t="s">
        <v>15</v>
      </c>
    </row>
    <row r="4125" spans="1:14" x14ac:dyDescent="0.2">
      <c r="A4125" t="s">
        <v>56</v>
      </c>
      <c r="B4125" t="s">
        <v>144</v>
      </c>
      <c r="C4125" t="s">
        <v>142</v>
      </c>
      <c r="D4125" t="s">
        <v>57</v>
      </c>
      <c r="E4125" t="s">
        <v>53</v>
      </c>
      <c r="F4125" t="s">
        <v>114</v>
      </c>
      <c r="G4125">
        <v>119598</v>
      </c>
      <c r="H4125" s="75">
        <v>44199</v>
      </c>
      <c r="I4125" t="s">
        <v>115</v>
      </c>
      <c r="J4125">
        <v>5000</v>
      </c>
      <c r="K4125">
        <v>152.69300000000001</v>
      </c>
      <c r="L4125">
        <v>32.745399999999997</v>
      </c>
      <c r="M4125">
        <v>10151.553</v>
      </c>
      <c r="N4125" t="s">
        <v>15</v>
      </c>
    </row>
    <row r="4126" spans="1:14" x14ac:dyDescent="0.2">
      <c r="A4126" t="s">
        <v>56</v>
      </c>
      <c r="B4126" t="s">
        <v>144</v>
      </c>
      <c r="C4126" t="s">
        <v>142</v>
      </c>
      <c r="D4126" t="s">
        <v>57</v>
      </c>
      <c r="E4126" t="s">
        <v>53</v>
      </c>
      <c r="F4126" t="s">
        <v>114</v>
      </c>
      <c r="G4126">
        <v>119598</v>
      </c>
      <c r="H4126" s="75">
        <v>44229</v>
      </c>
      <c r="I4126" t="s">
        <v>115</v>
      </c>
      <c r="J4126">
        <v>5000</v>
      </c>
      <c r="K4126">
        <v>154.59200000000001</v>
      </c>
      <c r="L4126">
        <v>32.343299999999999</v>
      </c>
      <c r="M4126">
        <v>10306.144</v>
      </c>
      <c r="N4126" t="s">
        <v>15</v>
      </c>
    </row>
    <row r="4127" spans="1:14" x14ac:dyDescent="0.2">
      <c r="A4127" t="s">
        <v>56</v>
      </c>
      <c r="B4127" t="s">
        <v>144</v>
      </c>
      <c r="C4127" t="s">
        <v>142</v>
      </c>
      <c r="D4127" t="s">
        <v>57</v>
      </c>
      <c r="E4127" t="s">
        <v>53</v>
      </c>
      <c r="F4127" t="s">
        <v>114</v>
      </c>
      <c r="G4127">
        <v>119598</v>
      </c>
      <c r="H4127" s="75">
        <v>44259</v>
      </c>
      <c r="I4127" t="s">
        <v>115</v>
      </c>
      <c r="J4127">
        <v>5000</v>
      </c>
      <c r="K4127">
        <v>152.965</v>
      </c>
      <c r="L4127">
        <v>32.687199999999997</v>
      </c>
      <c r="M4127">
        <v>10459.109</v>
      </c>
      <c r="N4127" t="s">
        <v>15</v>
      </c>
    </row>
    <row r="4128" spans="1:14" x14ac:dyDescent="0.2">
      <c r="A4128" t="s">
        <v>56</v>
      </c>
      <c r="B4128" t="s">
        <v>144</v>
      </c>
      <c r="C4128" t="s">
        <v>142</v>
      </c>
      <c r="D4128" t="s">
        <v>57</v>
      </c>
      <c r="E4128" t="s">
        <v>53</v>
      </c>
      <c r="F4128" t="s">
        <v>114</v>
      </c>
      <c r="G4128">
        <v>119598</v>
      </c>
      <c r="H4128" s="75">
        <v>44289</v>
      </c>
      <c r="I4128" t="s">
        <v>115</v>
      </c>
      <c r="J4128">
        <v>5000</v>
      </c>
      <c r="K4128">
        <v>150.34399999999999</v>
      </c>
      <c r="L4128">
        <v>33.256999999999998</v>
      </c>
      <c r="M4128">
        <v>10609.454</v>
      </c>
      <c r="N4128" t="s">
        <v>15</v>
      </c>
    </row>
    <row r="4129" spans="1:14" x14ac:dyDescent="0.2">
      <c r="A4129" t="s">
        <v>56</v>
      </c>
      <c r="B4129" t="s">
        <v>144</v>
      </c>
      <c r="C4129" t="s">
        <v>142</v>
      </c>
      <c r="D4129" t="s">
        <v>57</v>
      </c>
      <c r="E4129" t="s">
        <v>53</v>
      </c>
      <c r="F4129" t="s">
        <v>114</v>
      </c>
      <c r="G4129">
        <v>119598</v>
      </c>
      <c r="H4129" s="75">
        <v>44319</v>
      </c>
      <c r="I4129" t="s">
        <v>115</v>
      </c>
      <c r="J4129">
        <v>5000</v>
      </c>
      <c r="K4129">
        <v>147.714</v>
      </c>
      <c r="L4129">
        <v>33.849200000000003</v>
      </c>
      <c r="M4129">
        <v>10757.168</v>
      </c>
      <c r="N4129" t="s">
        <v>15</v>
      </c>
    </row>
    <row r="4130" spans="1:14" x14ac:dyDescent="0.2">
      <c r="A4130" t="s">
        <v>56</v>
      </c>
      <c r="B4130" t="s">
        <v>144</v>
      </c>
      <c r="C4130" t="s">
        <v>142</v>
      </c>
      <c r="D4130" t="s">
        <v>57</v>
      </c>
      <c r="E4130" t="s">
        <v>53</v>
      </c>
      <c r="F4130" t="s">
        <v>114</v>
      </c>
      <c r="G4130">
        <v>119598</v>
      </c>
      <c r="H4130" s="75">
        <v>44349</v>
      </c>
      <c r="I4130" t="s">
        <v>115</v>
      </c>
      <c r="J4130">
        <v>5000</v>
      </c>
      <c r="K4130">
        <v>148.988</v>
      </c>
      <c r="L4130">
        <v>33.559800000000003</v>
      </c>
      <c r="M4130">
        <v>10906.156000000001</v>
      </c>
      <c r="N4130" t="s">
        <v>15</v>
      </c>
    </row>
    <row r="4131" spans="1:14" x14ac:dyDescent="0.2">
      <c r="A4131" t="s">
        <v>56</v>
      </c>
      <c r="B4131" t="s">
        <v>144</v>
      </c>
      <c r="C4131" t="s">
        <v>142</v>
      </c>
      <c r="D4131" t="s">
        <v>57</v>
      </c>
      <c r="E4131" t="s">
        <v>53</v>
      </c>
      <c r="F4131" t="s">
        <v>114</v>
      </c>
      <c r="G4131">
        <v>119598</v>
      </c>
      <c r="H4131" s="75">
        <v>44349</v>
      </c>
      <c r="I4131" t="s">
        <v>116</v>
      </c>
      <c r="J4131">
        <v>2.5</v>
      </c>
      <c r="K4131">
        <v>0</v>
      </c>
      <c r="M4131">
        <v>10906.156000000001</v>
      </c>
      <c r="N4131" t="s">
        <v>17</v>
      </c>
    </row>
    <row r="4132" spans="1:14" x14ac:dyDescent="0.2">
      <c r="A4132" t="s">
        <v>56</v>
      </c>
      <c r="B4132" t="s">
        <v>144</v>
      </c>
      <c r="C4132" t="s">
        <v>142</v>
      </c>
      <c r="D4132" t="s">
        <v>57</v>
      </c>
      <c r="E4132" t="s">
        <v>53</v>
      </c>
      <c r="F4132" t="s">
        <v>114</v>
      </c>
      <c r="G4132">
        <v>119598</v>
      </c>
      <c r="H4132" s="75">
        <v>44379</v>
      </c>
      <c r="I4132" t="s">
        <v>115</v>
      </c>
      <c r="J4132">
        <v>5000</v>
      </c>
      <c r="K4132">
        <v>147.57499999999999</v>
      </c>
      <c r="L4132">
        <v>33.881100000000004</v>
      </c>
      <c r="M4132">
        <v>11053.73</v>
      </c>
      <c r="N4132" t="s">
        <v>15</v>
      </c>
    </row>
    <row r="4133" spans="1:14" x14ac:dyDescent="0.2">
      <c r="A4133" t="s">
        <v>56</v>
      </c>
      <c r="B4133" t="s">
        <v>144</v>
      </c>
      <c r="C4133" t="s">
        <v>142</v>
      </c>
      <c r="D4133" t="s">
        <v>57</v>
      </c>
      <c r="E4133" t="s">
        <v>53</v>
      </c>
      <c r="F4133" t="s">
        <v>114</v>
      </c>
      <c r="G4133">
        <v>119598</v>
      </c>
      <c r="H4133" s="75">
        <v>44409</v>
      </c>
      <c r="I4133" t="s">
        <v>115</v>
      </c>
      <c r="J4133">
        <v>5000</v>
      </c>
      <c r="K4133">
        <v>144.41499999999999</v>
      </c>
      <c r="L4133">
        <v>34.622300000000003</v>
      </c>
      <c r="M4133">
        <v>11198.146000000001</v>
      </c>
      <c r="N4133" t="s">
        <v>15</v>
      </c>
    </row>
    <row r="4134" spans="1:14" x14ac:dyDescent="0.2">
      <c r="A4134" t="s">
        <v>56</v>
      </c>
      <c r="B4134" t="s">
        <v>144</v>
      </c>
      <c r="C4134" t="s">
        <v>142</v>
      </c>
      <c r="D4134" t="s">
        <v>57</v>
      </c>
      <c r="E4134" t="s">
        <v>53</v>
      </c>
      <c r="F4134" t="s">
        <v>114</v>
      </c>
      <c r="G4134">
        <v>119598</v>
      </c>
      <c r="H4134" s="75">
        <v>44439</v>
      </c>
      <c r="I4134" t="s">
        <v>115</v>
      </c>
      <c r="J4134">
        <v>5000</v>
      </c>
      <c r="K4134">
        <v>143.93600000000001</v>
      </c>
      <c r="L4134">
        <v>34.7376</v>
      </c>
      <c r="M4134">
        <v>11342.082</v>
      </c>
      <c r="N4134" t="s">
        <v>15</v>
      </c>
    </row>
    <row r="4135" spans="1:14" x14ac:dyDescent="0.2">
      <c r="A4135" t="s">
        <v>56</v>
      </c>
      <c r="B4135" t="s">
        <v>144</v>
      </c>
      <c r="C4135" t="s">
        <v>142</v>
      </c>
      <c r="D4135" t="s">
        <v>57</v>
      </c>
      <c r="E4135" t="s">
        <v>53</v>
      </c>
      <c r="F4135" t="s">
        <v>114</v>
      </c>
      <c r="G4135">
        <v>119598</v>
      </c>
      <c r="H4135" s="75">
        <v>44469</v>
      </c>
      <c r="I4135" t="s">
        <v>115</v>
      </c>
      <c r="J4135">
        <v>5000</v>
      </c>
      <c r="K4135">
        <v>144.483</v>
      </c>
      <c r="L4135">
        <v>34.606200000000001</v>
      </c>
      <c r="M4135">
        <v>11486.565000000001</v>
      </c>
      <c r="N4135" t="s">
        <v>15</v>
      </c>
    </row>
    <row r="4136" spans="1:14" x14ac:dyDescent="0.2">
      <c r="A4136" t="s">
        <v>56</v>
      </c>
      <c r="B4136" t="s">
        <v>144</v>
      </c>
      <c r="C4136" t="s">
        <v>142</v>
      </c>
      <c r="D4136" t="s">
        <v>57</v>
      </c>
      <c r="E4136" t="s">
        <v>53</v>
      </c>
      <c r="F4136" t="s">
        <v>114</v>
      </c>
      <c r="G4136">
        <v>119598</v>
      </c>
      <c r="H4136" s="75">
        <v>44499</v>
      </c>
      <c r="I4136" t="s">
        <v>115</v>
      </c>
      <c r="J4136">
        <v>5000</v>
      </c>
      <c r="K4136">
        <v>143.268</v>
      </c>
      <c r="L4136">
        <v>34.899700000000003</v>
      </c>
      <c r="M4136">
        <v>11629.833000000001</v>
      </c>
      <c r="N4136" t="s">
        <v>15</v>
      </c>
    </row>
    <row r="4137" spans="1:14" x14ac:dyDescent="0.2">
      <c r="A4137" t="s">
        <v>56</v>
      </c>
      <c r="B4137" t="s">
        <v>144</v>
      </c>
      <c r="C4137" t="s">
        <v>142</v>
      </c>
      <c r="D4137" t="s">
        <v>57</v>
      </c>
      <c r="E4137" t="s">
        <v>53</v>
      </c>
      <c r="F4137" t="s">
        <v>114</v>
      </c>
      <c r="G4137">
        <v>119598</v>
      </c>
      <c r="H4137" s="75">
        <v>44499</v>
      </c>
      <c r="I4137" t="s">
        <v>116</v>
      </c>
      <c r="J4137">
        <v>2.5</v>
      </c>
      <c r="K4137">
        <v>0</v>
      </c>
      <c r="M4137">
        <v>11629.833000000001</v>
      </c>
      <c r="N4137" t="s">
        <v>17</v>
      </c>
    </row>
    <row r="4138" spans="1:14" x14ac:dyDescent="0.2">
      <c r="A4138" t="s">
        <v>56</v>
      </c>
      <c r="B4138" t="s">
        <v>144</v>
      </c>
      <c r="C4138" t="s">
        <v>142</v>
      </c>
      <c r="D4138" t="s">
        <v>57</v>
      </c>
      <c r="E4138" t="s">
        <v>53</v>
      </c>
      <c r="F4138" t="s">
        <v>114</v>
      </c>
      <c r="G4138">
        <v>119598</v>
      </c>
      <c r="H4138" s="75">
        <v>44499</v>
      </c>
      <c r="I4138" t="s">
        <v>25</v>
      </c>
      <c r="J4138">
        <v>-81175.61</v>
      </c>
      <c r="K4138">
        <v>-2325.9670000000001</v>
      </c>
      <c r="L4138">
        <v>34.899700000000003</v>
      </c>
      <c r="M4138">
        <v>9303.866</v>
      </c>
      <c r="N4138" t="s">
        <v>16</v>
      </c>
    </row>
    <row r="4139" spans="1:14" x14ac:dyDescent="0.2">
      <c r="A4139" t="s">
        <v>56</v>
      </c>
      <c r="B4139" t="s">
        <v>144</v>
      </c>
      <c r="C4139" t="s">
        <v>142</v>
      </c>
      <c r="D4139" t="s">
        <v>57</v>
      </c>
      <c r="E4139" t="s">
        <v>53</v>
      </c>
      <c r="F4139" t="s">
        <v>114</v>
      </c>
      <c r="G4139">
        <v>119598</v>
      </c>
      <c r="H4139" s="75">
        <v>44529</v>
      </c>
      <c r="I4139" t="s">
        <v>115</v>
      </c>
      <c r="J4139">
        <v>5000</v>
      </c>
      <c r="K4139">
        <v>144.49</v>
      </c>
      <c r="L4139">
        <v>34.604399999999998</v>
      </c>
      <c r="M4139">
        <v>9448.3559999999998</v>
      </c>
      <c r="N4139" t="s">
        <v>15</v>
      </c>
    </row>
    <row r="4140" spans="1:14" x14ac:dyDescent="0.2">
      <c r="A4140" t="s">
        <v>56</v>
      </c>
      <c r="B4140" t="s">
        <v>144</v>
      </c>
      <c r="C4140" t="s">
        <v>142</v>
      </c>
      <c r="D4140" t="s">
        <v>57</v>
      </c>
      <c r="E4140" t="s">
        <v>53</v>
      </c>
      <c r="F4140" t="s">
        <v>114</v>
      </c>
      <c r="G4140">
        <v>119598</v>
      </c>
      <c r="H4140" s="75">
        <v>44559</v>
      </c>
      <c r="I4140" t="s">
        <v>115</v>
      </c>
      <c r="J4140">
        <v>5000</v>
      </c>
      <c r="K4140">
        <v>144.27500000000001</v>
      </c>
      <c r="L4140">
        <v>34.655999999999999</v>
      </c>
      <c r="M4140">
        <v>9592.6319999999996</v>
      </c>
      <c r="N4140" t="s">
        <v>15</v>
      </c>
    </row>
    <row r="4141" spans="1:14" x14ac:dyDescent="0.2">
      <c r="A4141" t="s">
        <v>56</v>
      </c>
      <c r="B4141" t="s">
        <v>144</v>
      </c>
      <c r="C4141" t="s">
        <v>142</v>
      </c>
      <c r="D4141" t="s">
        <v>57</v>
      </c>
      <c r="E4141" t="s">
        <v>53</v>
      </c>
      <c r="F4141" t="s">
        <v>114</v>
      </c>
      <c r="G4141">
        <v>119598</v>
      </c>
      <c r="H4141" s="75">
        <v>44559</v>
      </c>
      <c r="I4141" t="s">
        <v>117</v>
      </c>
      <c r="J4141">
        <v>2.5</v>
      </c>
      <c r="K4141">
        <v>0</v>
      </c>
      <c r="M4141">
        <v>9592.6319999999996</v>
      </c>
      <c r="N4141" t="s">
        <v>46</v>
      </c>
    </row>
    <row r="4142" spans="1:14" x14ac:dyDescent="0.2">
      <c r="A4142" t="s">
        <v>56</v>
      </c>
      <c r="B4142" t="s">
        <v>144</v>
      </c>
      <c r="C4142" t="s">
        <v>142</v>
      </c>
      <c r="D4142" t="s">
        <v>57</v>
      </c>
      <c r="E4142" t="s">
        <v>53</v>
      </c>
      <c r="F4142" t="s">
        <v>114</v>
      </c>
      <c r="G4142">
        <v>119598</v>
      </c>
      <c r="H4142" s="75">
        <v>44589</v>
      </c>
      <c r="I4142" t="s">
        <v>115</v>
      </c>
      <c r="J4142">
        <v>5000</v>
      </c>
      <c r="K4142">
        <v>140.911</v>
      </c>
      <c r="L4142">
        <v>35.483499999999999</v>
      </c>
      <c r="M4142">
        <v>9733.5419999999995</v>
      </c>
      <c r="N4142" t="s">
        <v>15</v>
      </c>
    </row>
    <row r="4143" spans="1:14" x14ac:dyDescent="0.2">
      <c r="A4143" t="s">
        <v>56</v>
      </c>
      <c r="B4143" t="s">
        <v>144</v>
      </c>
      <c r="C4143" t="s">
        <v>142</v>
      </c>
      <c r="D4143" t="s">
        <v>57</v>
      </c>
      <c r="E4143" t="s">
        <v>53</v>
      </c>
      <c r="F4143" t="s">
        <v>114</v>
      </c>
      <c r="G4143">
        <v>119598</v>
      </c>
      <c r="H4143" s="75">
        <v>44619</v>
      </c>
      <c r="I4143" t="s">
        <v>115</v>
      </c>
      <c r="J4143">
        <v>5000</v>
      </c>
      <c r="K4143">
        <v>137.61799999999999</v>
      </c>
      <c r="L4143">
        <v>36.3324</v>
      </c>
      <c r="M4143">
        <v>9871.16</v>
      </c>
      <c r="N4143" t="s">
        <v>15</v>
      </c>
    </row>
    <row r="4144" spans="1:14" x14ac:dyDescent="0.2">
      <c r="A4144" t="s">
        <v>56</v>
      </c>
      <c r="B4144" t="s">
        <v>144</v>
      </c>
      <c r="C4144" t="s">
        <v>142</v>
      </c>
      <c r="D4144" t="s">
        <v>57</v>
      </c>
      <c r="E4144" t="s">
        <v>53</v>
      </c>
      <c r="F4144" t="s">
        <v>114</v>
      </c>
      <c r="G4144">
        <v>119598</v>
      </c>
      <c r="H4144" s="75">
        <v>44619</v>
      </c>
      <c r="I4144" t="s">
        <v>117</v>
      </c>
      <c r="J4144">
        <v>2.5</v>
      </c>
      <c r="K4144">
        <v>0</v>
      </c>
      <c r="M4144">
        <v>9871.16</v>
      </c>
      <c r="N4144" t="s">
        <v>46</v>
      </c>
    </row>
    <row r="4145" spans="1:14" x14ac:dyDescent="0.2">
      <c r="A4145" t="s">
        <v>56</v>
      </c>
      <c r="B4145" t="s">
        <v>144</v>
      </c>
      <c r="C4145" t="s">
        <v>142</v>
      </c>
      <c r="D4145" t="s">
        <v>57</v>
      </c>
      <c r="E4145" t="s">
        <v>53</v>
      </c>
      <c r="F4145" t="s">
        <v>114</v>
      </c>
      <c r="G4145">
        <v>119598</v>
      </c>
      <c r="H4145" s="75">
        <v>44649</v>
      </c>
      <c r="I4145" t="s">
        <v>115</v>
      </c>
      <c r="J4145">
        <v>5000</v>
      </c>
      <c r="K4145">
        <v>134.726</v>
      </c>
      <c r="L4145">
        <v>37.112400000000001</v>
      </c>
      <c r="M4145">
        <v>10005.886</v>
      </c>
      <c r="N4145" t="s">
        <v>15</v>
      </c>
    </row>
    <row r="4146" spans="1:14" x14ac:dyDescent="0.2">
      <c r="A4146" t="s">
        <v>56</v>
      </c>
      <c r="B4146" t="s">
        <v>144</v>
      </c>
      <c r="C4146" t="s">
        <v>142</v>
      </c>
      <c r="D4146" t="s">
        <v>57</v>
      </c>
      <c r="E4146" t="s">
        <v>53</v>
      </c>
      <c r="F4146" t="s">
        <v>114</v>
      </c>
      <c r="G4146">
        <v>119598</v>
      </c>
      <c r="H4146" s="75">
        <v>44679</v>
      </c>
      <c r="I4146" t="s">
        <v>115</v>
      </c>
      <c r="J4146">
        <v>5000</v>
      </c>
      <c r="K4146">
        <v>131.90600000000001</v>
      </c>
      <c r="L4146">
        <v>37.905799999999999</v>
      </c>
      <c r="M4146">
        <v>10137.791999999999</v>
      </c>
      <c r="N4146" t="s">
        <v>15</v>
      </c>
    </row>
    <row r="4147" spans="1:14" x14ac:dyDescent="0.2">
      <c r="A4147" t="s">
        <v>56</v>
      </c>
      <c r="B4147" t="s">
        <v>144</v>
      </c>
      <c r="C4147" t="s">
        <v>142</v>
      </c>
      <c r="D4147" t="s">
        <v>57</v>
      </c>
      <c r="E4147" t="s">
        <v>53</v>
      </c>
      <c r="F4147" t="s">
        <v>114</v>
      </c>
      <c r="G4147">
        <v>119598</v>
      </c>
      <c r="H4147" s="75">
        <v>44709</v>
      </c>
      <c r="I4147" t="s">
        <v>115</v>
      </c>
      <c r="J4147">
        <v>5000</v>
      </c>
      <c r="K4147">
        <v>130.95699999999999</v>
      </c>
      <c r="L4147">
        <v>38.180399999999999</v>
      </c>
      <c r="M4147">
        <v>10268.75</v>
      </c>
      <c r="N4147" t="s">
        <v>15</v>
      </c>
    </row>
    <row r="4148" spans="1:14" x14ac:dyDescent="0.2">
      <c r="A4148" t="s">
        <v>56</v>
      </c>
      <c r="B4148" t="s">
        <v>144</v>
      </c>
      <c r="C4148" t="s">
        <v>142</v>
      </c>
      <c r="D4148" t="s">
        <v>57</v>
      </c>
      <c r="E4148" t="s">
        <v>53</v>
      </c>
      <c r="F4148" t="s">
        <v>114</v>
      </c>
      <c r="G4148">
        <v>119598</v>
      </c>
      <c r="H4148" s="75">
        <v>44739</v>
      </c>
      <c r="I4148" t="s">
        <v>115</v>
      </c>
      <c r="J4148">
        <v>5000</v>
      </c>
      <c r="K4148">
        <v>127.273</v>
      </c>
      <c r="L4148">
        <v>39.285499999999999</v>
      </c>
      <c r="M4148">
        <v>10396.022999999999</v>
      </c>
      <c r="N4148" t="s">
        <v>15</v>
      </c>
    </row>
    <row r="4149" spans="1:14" x14ac:dyDescent="0.2">
      <c r="A4149" t="s">
        <v>56</v>
      </c>
      <c r="B4149" t="s">
        <v>144</v>
      </c>
      <c r="C4149" t="s">
        <v>142</v>
      </c>
      <c r="D4149" t="s">
        <v>57</v>
      </c>
      <c r="E4149" t="s">
        <v>53</v>
      </c>
      <c r="F4149" t="s">
        <v>114</v>
      </c>
      <c r="G4149">
        <v>119598</v>
      </c>
      <c r="H4149" s="75">
        <v>44769</v>
      </c>
      <c r="I4149" t="s">
        <v>115</v>
      </c>
      <c r="J4149">
        <v>5000</v>
      </c>
      <c r="K4149">
        <v>128.39599999999999</v>
      </c>
      <c r="L4149">
        <v>38.941899999999997</v>
      </c>
      <c r="M4149">
        <v>10524.419</v>
      </c>
      <c r="N4149" t="s">
        <v>15</v>
      </c>
    </row>
    <row r="4150" spans="1:14" x14ac:dyDescent="0.2">
      <c r="A4150" t="s">
        <v>56</v>
      </c>
      <c r="B4150" t="s">
        <v>144</v>
      </c>
      <c r="C4150" t="s">
        <v>142</v>
      </c>
      <c r="D4150" t="s">
        <v>57</v>
      </c>
      <c r="E4150" t="s">
        <v>53</v>
      </c>
      <c r="F4150" t="s">
        <v>114</v>
      </c>
      <c r="G4150">
        <v>119598</v>
      </c>
      <c r="H4150" s="75">
        <v>44769</v>
      </c>
      <c r="I4150" t="s">
        <v>117</v>
      </c>
      <c r="J4150">
        <v>2.5</v>
      </c>
      <c r="K4150">
        <v>0</v>
      </c>
      <c r="M4150">
        <v>10524.419</v>
      </c>
      <c r="N4150" t="s">
        <v>46</v>
      </c>
    </row>
    <row r="4151" spans="1:14" x14ac:dyDescent="0.2">
      <c r="A4151" t="s">
        <v>56</v>
      </c>
      <c r="B4151" t="s">
        <v>144</v>
      </c>
      <c r="C4151" t="s">
        <v>142</v>
      </c>
      <c r="D4151" t="s">
        <v>57</v>
      </c>
      <c r="E4151" t="s">
        <v>53</v>
      </c>
      <c r="F4151" t="s">
        <v>114</v>
      </c>
      <c r="G4151">
        <v>119598</v>
      </c>
      <c r="H4151" s="75">
        <v>44799</v>
      </c>
      <c r="I4151" t="s">
        <v>115</v>
      </c>
      <c r="J4151">
        <v>5000</v>
      </c>
      <c r="K4151">
        <v>125.61</v>
      </c>
      <c r="L4151">
        <v>39.805599999999998</v>
      </c>
      <c r="M4151">
        <v>10650.03</v>
      </c>
      <c r="N4151" t="s">
        <v>15</v>
      </c>
    </row>
    <row r="4152" spans="1:14" x14ac:dyDescent="0.2">
      <c r="A4152" t="s">
        <v>56</v>
      </c>
      <c r="B4152" t="s">
        <v>144</v>
      </c>
      <c r="C4152" t="s">
        <v>142</v>
      </c>
      <c r="D4152" t="s">
        <v>57</v>
      </c>
      <c r="E4152" t="s">
        <v>53</v>
      </c>
      <c r="F4152" t="s">
        <v>114</v>
      </c>
      <c r="G4152">
        <v>119598</v>
      </c>
      <c r="H4152" s="75">
        <v>44829</v>
      </c>
      <c r="I4152" t="s">
        <v>115</v>
      </c>
      <c r="J4152">
        <v>5000</v>
      </c>
      <c r="K4152">
        <v>122.33499999999999</v>
      </c>
      <c r="L4152">
        <v>40.871200000000002</v>
      </c>
      <c r="M4152">
        <v>10772.365</v>
      </c>
      <c r="N4152" t="s">
        <v>15</v>
      </c>
    </row>
    <row r="4153" spans="1:14" x14ac:dyDescent="0.2">
      <c r="A4153" t="s">
        <v>56</v>
      </c>
      <c r="B4153" t="s">
        <v>144</v>
      </c>
      <c r="C4153" t="s">
        <v>142</v>
      </c>
      <c r="D4153" t="s">
        <v>57</v>
      </c>
      <c r="E4153" t="s">
        <v>53</v>
      </c>
      <c r="F4153" t="s">
        <v>114</v>
      </c>
      <c r="G4153">
        <v>119598</v>
      </c>
      <c r="H4153" s="75">
        <v>44859</v>
      </c>
      <c r="I4153" t="s">
        <v>115</v>
      </c>
      <c r="J4153">
        <v>5000</v>
      </c>
      <c r="K4153">
        <v>119.187</v>
      </c>
      <c r="L4153">
        <v>41.950800000000001</v>
      </c>
      <c r="M4153">
        <v>10891.552</v>
      </c>
      <c r="N4153" t="s">
        <v>15</v>
      </c>
    </row>
    <row r="4154" spans="1:14" x14ac:dyDescent="0.2">
      <c r="A4154" t="s">
        <v>56</v>
      </c>
      <c r="B4154" t="s">
        <v>144</v>
      </c>
      <c r="C4154" t="s">
        <v>142</v>
      </c>
      <c r="D4154" t="s">
        <v>57</v>
      </c>
      <c r="E4154" t="s">
        <v>53</v>
      </c>
      <c r="F4154" t="s">
        <v>114</v>
      </c>
      <c r="G4154">
        <v>119598</v>
      </c>
      <c r="H4154" s="75">
        <v>44889</v>
      </c>
      <c r="I4154" t="s">
        <v>115</v>
      </c>
      <c r="J4154">
        <v>5000</v>
      </c>
      <c r="K4154">
        <v>120.928</v>
      </c>
      <c r="L4154">
        <v>41.346899999999998</v>
      </c>
      <c r="M4154">
        <v>11012.48</v>
      </c>
      <c r="N4154" t="s">
        <v>15</v>
      </c>
    </row>
    <row r="4155" spans="1:14" x14ac:dyDescent="0.2">
      <c r="A4155" t="s">
        <v>56</v>
      </c>
      <c r="B4155" t="s">
        <v>144</v>
      </c>
      <c r="C4155" t="s">
        <v>142</v>
      </c>
      <c r="D4155" t="s">
        <v>57</v>
      </c>
      <c r="E4155" t="s">
        <v>53</v>
      </c>
      <c r="F4155" t="s">
        <v>114</v>
      </c>
      <c r="G4155">
        <v>119598</v>
      </c>
      <c r="H4155" s="75">
        <v>44919</v>
      </c>
      <c r="I4155" t="s">
        <v>115</v>
      </c>
      <c r="J4155">
        <v>5000</v>
      </c>
      <c r="K4155">
        <v>120.072</v>
      </c>
      <c r="L4155">
        <v>41.641500000000001</v>
      </c>
      <c r="M4155">
        <v>11132.553</v>
      </c>
      <c r="N4155" t="s">
        <v>15</v>
      </c>
    </row>
    <row r="4156" spans="1:14" x14ac:dyDescent="0.2">
      <c r="A4156" t="s">
        <v>56</v>
      </c>
      <c r="B4156" t="s">
        <v>144</v>
      </c>
      <c r="C4156" t="s">
        <v>142</v>
      </c>
      <c r="D4156" t="s">
        <v>57</v>
      </c>
      <c r="E4156" t="s">
        <v>53</v>
      </c>
      <c r="F4156" t="s">
        <v>114</v>
      </c>
      <c r="G4156">
        <v>119598</v>
      </c>
      <c r="H4156" s="75">
        <v>44949</v>
      </c>
      <c r="I4156" t="s">
        <v>115</v>
      </c>
      <c r="J4156">
        <v>5000</v>
      </c>
      <c r="K4156">
        <v>122.414</v>
      </c>
      <c r="L4156">
        <v>40.844900000000003</v>
      </c>
      <c r="M4156">
        <v>11254.967000000001</v>
      </c>
      <c r="N4156" t="s">
        <v>15</v>
      </c>
    </row>
    <row r="4157" spans="1:14" x14ac:dyDescent="0.2">
      <c r="A4157" t="s">
        <v>56</v>
      </c>
      <c r="B4157" t="s">
        <v>144</v>
      </c>
      <c r="C4157" t="s">
        <v>142</v>
      </c>
      <c r="D4157" t="s">
        <v>57</v>
      </c>
      <c r="E4157" t="s">
        <v>53</v>
      </c>
      <c r="F4157" t="s">
        <v>114</v>
      </c>
      <c r="G4157">
        <v>119598</v>
      </c>
      <c r="H4157" s="75">
        <v>44979</v>
      </c>
      <c r="I4157" t="s">
        <v>115</v>
      </c>
      <c r="J4157">
        <v>5000</v>
      </c>
      <c r="K4157">
        <v>120.682</v>
      </c>
      <c r="L4157">
        <v>41.4313</v>
      </c>
      <c r="M4157">
        <v>11375.648999999999</v>
      </c>
      <c r="N4157" t="s">
        <v>15</v>
      </c>
    </row>
    <row r="4158" spans="1:14" x14ac:dyDescent="0.2">
      <c r="A4158" t="s">
        <v>56</v>
      </c>
      <c r="B4158" t="s">
        <v>144</v>
      </c>
      <c r="C4158" t="s">
        <v>142</v>
      </c>
      <c r="D4158" t="s">
        <v>57</v>
      </c>
      <c r="E4158" t="s">
        <v>53</v>
      </c>
      <c r="F4158" t="s">
        <v>114</v>
      </c>
      <c r="G4158">
        <v>119598</v>
      </c>
      <c r="H4158" s="75">
        <v>45009</v>
      </c>
      <c r="I4158" t="s">
        <v>115</v>
      </c>
      <c r="J4158">
        <v>5000</v>
      </c>
      <c r="K4158">
        <v>120.396</v>
      </c>
      <c r="L4158">
        <v>41.529600000000002</v>
      </c>
      <c r="M4158">
        <v>11496.045</v>
      </c>
      <c r="N4158" t="s">
        <v>15</v>
      </c>
    </row>
    <row r="4159" spans="1:14" x14ac:dyDescent="0.2">
      <c r="A4159" t="s">
        <v>56</v>
      </c>
      <c r="B4159" t="s">
        <v>144</v>
      </c>
      <c r="C4159" t="s">
        <v>142</v>
      </c>
      <c r="D4159" t="s">
        <v>57</v>
      </c>
      <c r="E4159" t="s">
        <v>53</v>
      </c>
      <c r="F4159" t="s">
        <v>114</v>
      </c>
      <c r="G4159">
        <v>119598</v>
      </c>
      <c r="H4159" s="75">
        <v>45039</v>
      </c>
      <c r="I4159" t="s">
        <v>115</v>
      </c>
      <c r="J4159">
        <v>5000</v>
      </c>
      <c r="K4159">
        <v>122.352</v>
      </c>
      <c r="L4159">
        <v>40.865699999999997</v>
      </c>
      <c r="M4159">
        <v>11618.397000000001</v>
      </c>
      <c r="N4159" t="s">
        <v>15</v>
      </c>
    </row>
    <row r="4160" spans="1:14" x14ac:dyDescent="0.2">
      <c r="A4160" t="s">
        <v>56</v>
      </c>
      <c r="B4160" t="s">
        <v>144</v>
      </c>
      <c r="C4160" t="s">
        <v>142</v>
      </c>
      <c r="D4160" t="s">
        <v>57</v>
      </c>
      <c r="E4160" t="s">
        <v>53</v>
      </c>
      <c r="F4160" t="s">
        <v>114</v>
      </c>
      <c r="G4160">
        <v>119598</v>
      </c>
      <c r="H4160" s="75">
        <v>45069</v>
      </c>
      <c r="I4160" t="s">
        <v>115</v>
      </c>
      <c r="J4160">
        <v>5000</v>
      </c>
      <c r="K4160">
        <v>120.5</v>
      </c>
      <c r="L4160">
        <v>41.493600000000001</v>
      </c>
      <c r="M4160">
        <v>11738.897000000001</v>
      </c>
      <c r="N4160" t="s">
        <v>15</v>
      </c>
    </row>
    <row r="4161" spans="1:14" x14ac:dyDescent="0.2">
      <c r="A4161" t="s">
        <v>56</v>
      </c>
      <c r="B4161" t="s">
        <v>144</v>
      </c>
      <c r="C4161" t="s">
        <v>142</v>
      </c>
      <c r="D4161" t="s">
        <v>57</v>
      </c>
      <c r="E4161" t="s">
        <v>53</v>
      </c>
      <c r="F4161" t="s">
        <v>114</v>
      </c>
      <c r="G4161">
        <v>119598</v>
      </c>
      <c r="H4161" s="75">
        <v>45069</v>
      </c>
      <c r="I4161" t="s">
        <v>116</v>
      </c>
      <c r="J4161">
        <v>2.5</v>
      </c>
      <c r="K4161">
        <v>0</v>
      </c>
      <c r="M4161">
        <v>11738.897000000001</v>
      </c>
      <c r="N4161" t="s">
        <v>17</v>
      </c>
    </row>
    <row r="4162" spans="1:14" x14ac:dyDescent="0.2">
      <c r="A4162" t="s">
        <v>56</v>
      </c>
      <c r="B4162" t="s">
        <v>144</v>
      </c>
      <c r="C4162" t="s">
        <v>142</v>
      </c>
      <c r="D4162" t="s">
        <v>57</v>
      </c>
      <c r="E4162" t="s">
        <v>53</v>
      </c>
      <c r="F4162" t="s">
        <v>114</v>
      </c>
      <c r="G4162">
        <v>119598</v>
      </c>
      <c r="H4162" s="75">
        <v>45099</v>
      </c>
      <c r="I4162" t="s">
        <v>115</v>
      </c>
      <c r="J4162">
        <v>5000</v>
      </c>
      <c r="K4162">
        <v>117.181</v>
      </c>
      <c r="L4162">
        <v>42.668900000000001</v>
      </c>
      <c r="M4162">
        <v>11856.079</v>
      </c>
      <c r="N4162" t="s">
        <v>15</v>
      </c>
    </row>
    <row r="4163" spans="1:14" x14ac:dyDescent="0.2">
      <c r="A4163" t="s">
        <v>56</v>
      </c>
      <c r="B4163" t="s">
        <v>144</v>
      </c>
      <c r="C4163" t="s">
        <v>142</v>
      </c>
      <c r="D4163" t="s">
        <v>57</v>
      </c>
      <c r="E4163" t="s">
        <v>53</v>
      </c>
      <c r="F4163" t="s">
        <v>114</v>
      </c>
      <c r="G4163">
        <v>119598</v>
      </c>
      <c r="H4163" s="75">
        <v>45129</v>
      </c>
      <c r="I4163" t="s">
        <v>115</v>
      </c>
      <c r="J4163">
        <v>5000</v>
      </c>
      <c r="K4163">
        <v>114.77200000000001</v>
      </c>
      <c r="L4163">
        <v>43.564500000000002</v>
      </c>
      <c r="M4163">
        <v>11970.851000000001</v>
      </c>
      <c r="N4163" t="s">
        <v>15</v>
      </c>
    </row>
    <row r="4164" spans="1:14" x14ac:dyDescent="0.2">
      <c r="A4164" t="s">
        <v>56</v>
      </c>
      <c r="B4164" t="s">
        <v>144</v>
      </c>
      <c r="C4164" t="s">
        <v>142</v>
      </c>
      <c r="D4164" t="s">
        <v>57</v>
      </c>
      <c r="E4164" t="s">
        <v>53</v>
      </c>
      <c r="F4164" t="s">
        <v>114</v>
      </c>
      <c r="G4164">
        <v>119598</v>
      </c>
      <c r="H4164" s="75">
        <v>45159</v>
      </c>
      <c r="I4164" t="s">
        <v>115</v>
      </c>
      <c r="J4164">
        <v>5000</v>
      </c>
      <c r="K4164">
        <v>112.801</v>
      </c>
      <c r="L4164">
        <v>44.325800000000001</v>
      </c>
      <c r="M4164">
        <v>12083.652</v>
      </c>
      <c r="N4164" t="s">
        <v>15</v>
      </c>
    </row>
    <row r="4165" spans="1:14" x14ac:dyDescent="0.2">
      <c r="A4165" t="s">
        <v>56</v>
      </c>
      <c r="B4165" t="s">
        <v>144</v>
      </c>
      <c r="C4165" t="s">
        <v>142</v>
      </c>
      <c r="D4165" t="s">
        <v>57</v>
      </c>
      <c r="E4165" t="s">
        <v>53</v>
      </c>
      <c r="F4165" t="s">
        <v>114</v>
      </c>
      <c r="G4165">
        <v>119598</v>
      </c>
      <c r="H4165" s="75">
        <v>45159</v>
      </c>
      <c r="I4165" t="s">
        <v>117</v>
      </c>
      <c r="J4165">
        <v>2.5</v>
      </c>
      <c r="K4165">
        <v>0</v>
      </c>
      <c r="M4165">
        <v>12083.652</v>
      </c>
      <c r="N4165" t="s">
        <v>46</v>
      </c>
    </row>
    <row r="4166" spans="1:14" x14ac:dyDescent="0.2">
      <c r="A4166" t="s">
        <v>56</v>
      </c>
      <c r="B4166" t="s">
        <v>144</v>
      </c>
      <c r="C4166" t="s">
        <v>142</v>
      </c>
      <c r="D4166" t="s">
        <v>57</v>
      </c>
      <c r="E4166" t="s">
        <v>53</v>
      </c>
      <c r="F4166" t="s">
        <v>114</v>
      </c>
      <c r="G4166">
        <v>119598</v>
      </c>
      <c r="H4166" s="75">
        <v>45189</v>
      </c>
      <c r="I4166" t="s">
        <v>115</v>
      </c>
      <c r="J4166">
        <v>5000</v>
      </c>
      <c r="K4166">
        <v>112.166</v>
      </c>
      <c r="L4166">
        <v>44.576700000000002</v>
      </c>
      <c r="M4166">
        <v>12195.819</v>
      </c>
      <c r="N4166" t="s">
        <v>15</v>
      </c>
    </row>
    <row r="4167" spans="1:14" x14ac:dyDescent="0.2">
      <c r="A4167" t="s">
        <v>56</v>
      </c>
      <c r="B4167" t="s">
        <v>144</v>
      </c>
      <c r="C4167" t="s">
        <v>142</v>
      </c>
      <c r="D4167" t="s">
        <v>57</v>
      </c>
      <c r="E4167" t="s">
        <v>53</v>
      </c>
      <c r="F4167" t="s">
        <v>114</v>
      </c>
      <c r="G4167">
        <v>119598</v>
      </c>
      <c r="H4167" s="75">
        <v>45189</v>
      </c>
      <c r="I4167" t="s">
        <v>116</v>
      </c>
      <c r="J4167">
        <v>2.5</v>
      </c>
      <c r="K4167">
        <v>0</v>
      </c>
      <c r="M4167">
        <v>12195.819</v>
      </c>
      <c r="N4167" t="s">
        <v>17</v>
      </c>
    </row>
    <row r="4168" spans="1:14" x14ac:dyDescent="0.2">
      <c r="A4168" t="s">
        <v>56</v>
      </c>
      <c r="B4168" t="s">
        <v>144</v>
      </c>
      <c r="C4168" t="s">
        <v>142</v>
      </c>
      <c r="D4168" t="s">
        <v>57</v>
      </c>
      <c r="E4168" t="s">
        <v>53</v>
      </c>
      <c r="F4168" t="s">
        <v>114</v>
      </c>
      <c r="G4168">
        <v>119598</v>
      </c>
      <c r="H4168" s="75">
        <v>45219</v>
      </c>
      <c r="I4168" t="s">
        <v>115</v>
      </c>
      <c r="J4168">
        <v>5000</v>
      </c>
      <c r="K4168">
        <v>110.682</v>
      </c>
      <c r="L4168">
        <v>45.174300000000002</v>
      </c>
      <c r="M4168">
        <v>12306.501</v>
      </c>
      <c r="N4168" t="s">
        <v>15</v>
      </c>
    </row>
    <row r="4169" spans="1:14" x14ac:dyDescent="0.2">
      <c r="A4169" t="s">
        <v>56</v>
      </c>
      <c r="B4169" t="s">
        <v>144</v>
      </c>
      <c r="C4169" t="s">
        <v>142</v>
      </c>
      <c r="D4169" t="s">
        <v>57</v>
      </c>
      <c r="E4169" t="s">
        <v>53</v>
      </c>
      <c r="F4169" t="s">
        <v>114</v>
      </c>
      <c r="G4169">
        <v>119598</v>
      </c>
      <c r="H4169" s="75">
        <v>45249</v>
      </c>
      <c r="I4169" t="s">
        <v>115</v>
      </c>
      <c r="J4169">
        <v>5000</v>
      </c>
      <c r="K4169">
        <v>108.307</v>
      </c>
      <c r="L4169">
        <v>46.165199999999999</v>
      </c>
      <c r="M4169">
        <v>12414.808000000001</v>
      </c>
      <c r="N4169" t="s">
        <v>15</v>
      </c>
    </row>
    <row r="4170" spans="1:14" x14ac:dyDescent="0.2">
      <c r="A4170" t="s">
        <v>56</v>
      </c>
      <c r="B4170" t="s">
        <v>144</v>
      </c>
      <c r="C4170" t="s">
        <v>142</v>
      </c>
      <c r="D4170" t="s">
        <v>57</v>
      </c>
      <c r="E4170" t="s">
        <v>53</v>
      </c>
      <c r="F4170" t="s">
        <v>114</v>
      </c>
      <c r="G4170">
        <v>119598</v>
      </c>
      <c r="H4170" s="75">
        <v>45279</v>
      </c>
      <c r="I4170" t="s">
        <v>115</v>
      </c>
      <c r="J4170">
        <v>5000</v>
      </c>
      <c r="K4170">
        <v>105.71299999999999</v>
      </c>
      <c r="L4170">
        <v>47.297699999999999</v>
      </c>
      <c r="M4170">
        <v>12520.521000000001</v>
      </c>
      <c r="N4170" t="s">
        <v>15</v>
      </c>
    </row>
    <row r="4171" spans="1:14" x14ac:dyDescent="0.2">
      <c r="A4171" t="s">
        <v>56</v>
      </c>
      <c r="B4171" t="s">
        <v>144</v>
      </c>
      <c r="C4171" t="s">
        <v>142</v>
      </c>
      <c r="D4171" t="s">
        <v>57</v>
      </c>
      <c r="E4171" t="s">
        <v>53</v>
      </c>
      <c r="F4171" t="s">
        <v>114</v>
      </c>
      <c r="G4171">
        <v>119598</v>
      </c>
      <c r="H4171" s="75">
        <v>45309</v>
      </c>
      <c r="I4171" t="s">
        <v>115</v>
      </c>
      <c r="J4171">
        <v>5000</v>
      </c>
      <c r="K4171">
        <v>105.824</v>
      </c>
      <c r="L4171">
        <v>47.248399999999997</v>
      </c>
      <c r="M4171">
        <v>12626.344999999999</v>
      </c>
      <c r="N4171" t="s">
        <v>15</v>
      </c>
    </row>
    <row r="4172" spans="1:14" x14ac:dyDescent="0.2">
      <c r="A4172" t="s">
        <v>56</v>
      </c>
      <c r="B4172" t="s">
        <v>144</v>
      </c>
      <c r="C4172" t="s">
        <v>142</v>
      </c>
      <c r="D4172" t="s">
        <v>57</v>
      </c>
      <c r="E4172" t="s">
        <v>53</v>
      </c>
      <c r="F4172" t="s">
        <v>114</v>
      </c>
      <c r="G4172">
        <v>119598</v>
      </c>
      <c r="H4172" s="75">
        <v>45339</v>
      </c>
      <c r="I4172" t="s">
        <v>115</v>
      </c>
      <c r="J4172">
        <v>5000</v>
      </c>
      <c r="K4172">
        <v>105.322</v>
      </c>
      <c r="L4172">
        <v>47.473399999999998</v>
      </c>
      <c r="M4172">
        <v>12731.666999999999</v>
      </c>
      <c r="N4172" t="s">
        <v>15</v>
      </c>
    </row>
    <row r="4173" spans="1:14" x14ac:dyDescent="0.2">
      <c r="A4173" t="s">
        <v>56</v>
      </c>
      <c r="B4173" t="s">
        <v>144</v>
      </c>
      <c r="C4173" t="s">
        <v>142</v>
      </c>
      <c r="D4173" t="s">
        <v>57</v>
      </c>
      <c r="E4173" t="s">
        <v>53</v>
      </c>
      <c r="F4173" t="s">
        <v>114</v>
      </c>
      <c r="G4173">
        <v>119598</v>
      </c>
      <c r="H4173" s="75">
        <v>45369</v>
      </c>
      <c r="I4173" t="s">
        <v>115</v>
      </c>
      <c r="J4173">
        <v>5000</v>
      </c>
      <c r="K4173">
        <v>106.06399999999999</v>
      </c>
      <c r="L4173">
        <v>47.141500000000001</v>
      </c>
      <c r="M4173">
        <v>12837.73</v>
      </c>
      <c r="N4173" t="s">
        <v>15</v>
      </c>
    </row>
    <row r="4174" spans="1:14" x14ac:dyDescent="0.2">
      <c r="A4174" t="s">
        <v>56</v>
      </c>
      <c r="B4174" t="s">
        <v>144</v>
      </c>
      <c r="C4174" t="s">
        <v>142</v>
      </c>
      <c r="D4174" t="s">
        <v>57</v>
      </c>
      <c r="E4174" t="s">
        <v>53</v>
      </c>
      <c r="F4174" t="s">
        <v>114</v>
      </c>
      <c r="G4174">
        <v>119598</v>
      </c>
      <c r="H4174" s="75">
        <v>45369</v>
      </c>
      <c r="I4174" t="s">
        <v>117</v>
      </c>
      <c r="J4174">
        <v>2.5</v>
      </c>
      <c r="K4174">
        <v>0</v>
      </c>
      <c r="M4174">
        <v>12837.73</v>
      </c>
      <c r="N4174" t="s">
        <v>46</v>
      </c>
    </row>
    <row r="4175" spans="1:14" x14ac:dyDescent="0.2">
      <c r="A4175" t="s">
        <v>56</v>
      </c>
      <c r="B4175" t="s">
        <v>144</v>
      </c>
      <c r="C4175" t="s">
        <v>142</v>
      </c>
      <c r="D4175" t="s">
        <v>57</v>
      </c>
      <c r="E4175" t="s">
        <v>53</v>
      </c>
      <c r="F4175" t="s">
        <v>114</v>
      </c>
      <c r="G4175">
        <v>119598</v>
      </c>
      <c r="H4175" s="75">
        <v>45399</v>
      </c>
      <c r="I4175" t="s">
        <v>115</v>
      </c>
      <c r="J4175">
        <v>5000</v>
      </c>
      <c r="K4175">
        <v>106.26300000000001</v>
      </c>
      <c r="L4175">
        <v>47.052999999999997</v>
      </c>
      <c r="M4175">
        <v>12943.994000000001</v>
      </c>
      <c r="N4175" t="s">
        <v>15</v>
      </c>
    </row>
    <row r="4176" spans="1:14" x14ac:dyDescent="0.2">
      <c r="A4176" t="s">
        <v>56</v>
      </c>
      <c r="B4176" t="s">
        <v>144</v>
      </c>
      <c r="C4176" t="s">
        <v>142</v>
      </c>
      <c r="D4176" t="s">
        <v>57</v>
      </c>
      <c r="E4176" t="s">
        <v>53</v>
      </c>
      <c r="F4176" t="s">
        <v>114</v>
      </c>
      <c r="G4176">
        <v>119598</v>
      </c>
      <c r="H4176" s="75">
        <v>45429</v>
      </c>
      <c r="I4176" t="s">
        <v>115</v>
      </c>
      <c r="J4176">
        <v>5000</v>
      </c>
      <c r="K4176">
        <v>104.02200000000001</v>
      </c>
      <c r="L4176">
        <v>48.066699999999997</v>
      </c>
      <c r="M4176">
        <v>13048.016</v>
      </c>
      <c r="N4176" t="s">
        <v>15</v>
      </c>
    </row>
    <row r="4177" spans="1:14" x14ac:dyDescent="0.2">
      <c r="A4177" t="s">
        <v>56</v>
      </c>
      <c r="B4177" t="s">
        <v>144</v>
      </c>
      <c r="C4177" t="s">
        <v>142</v>
      </c>
      <c r="D4177" t="s">
        <v>57</v>
      </c>
      <c r="E4177" t="s">
        <v>53</v>
      </c>
      <c r="F4177" t="s">
        <v>114</v>
      </c>
      <c r="G4177">
        <v>119598</v>
      </c>
      <c r="H4177" s="75">
        <v>45459</v>
      </c>
      <c r="I4177" t="s">
        <v>115</v>
      </c>
      <c r="J4177">
        <v>5000</v>
      </c>
      <c r="K4177">
        <v>104.04900000000001</v>
      </c>
      <c r="L4177">
        <v>48.054499999999997</v>
      </c>
      <c r="M4177">
        <v>13152.064</v>
      </c>
      <c r="N4177" t="s">
        <v>15</v>
      </c>
    </row>
    <row r="4178" spans="1:14" x14ac:dyDescent="0.2">
      <c r="A4178" t="s">
        <v>56</v>
      </c>
      <c r="B4178" t="s">
        <v>144</v>
      </c>
      <c r="C4178" t="s">
        <v>142</v>
      </c>
      <c r="D4178" t="s">
        <v>57</v>
      </c>
      <c r="E4178" t="s">
        <v>53</v>
      </c>
      <c r="F4178" t="s">
        <v>114</v>
      </c>
      <c r="G4178">
        <v>119598</v>
      </c>
      <c r="H4178" s="75">
        <v>45489</v>
      </c>
      <c r="I4178" t="s">
        <v>115</v>
      </c>
      <c r="J4178">
        <v>5000</v>
      </c>
      <c r="K4178">
        <v>101.53</v>
      </c>
      <c r="L4178">
        <v>49.246499999999997</v>
      </c>
      <c r="M4178">
        <v>13253.593999999999</v>
      </c>
      <c r="N4178" t="s">
        <v>15</v>
      </c>
    </row>
    <row r="4179" spans="1:14" x14ac:dyDescent="0.2">
      <c r="A4179" t="s">
        <v>56</v>
      </c>
      <c r="B4179" t="s">
        <v>144</v>
      </c>
      <c r="C4179" t="s">
        <v>142</v>
      </c>
      <c r="D4179" t="s">
        <v>57</v>
      </c>
      <c r="E4179" t="s">
        <v>53</v>
      </c>
      <c r="F4179" t="s">
        <v>114</v>
      </c>
      <c r="G4179">
        <v>119598</v>
      </c>
      <c r="H4179" s="75">
        <v>45519</v>
      </c>
      <c r="I4179" t="s">
        <v>115</v>
      </c>
      <c r="J4179">
        <v>5000</v>
      </c>
      <c r="K4179">
        <v>101.081</v>
      </c>
      <c r="L4179">
        <v>49.4651</v>
      </c>
      <c r="M4179">
        <v>13354.675999999999</v>
      </c>
      <c r="N4179" t="s">
        <v>15</v>
      </c>
    </row>
    <row r="4180" spans="1:14" x14ac:dyDescent="0.2">
      <c r="A4180" t="s">
        <v>56</v>
      </c>
      <c r="B4180" t="s">
        <v>144</v>
      </c>
      <c r="C4180" t="s">
        <v>142</v>
      </c>
      <c r="D4180" t="s">
        <v>57</v>
      </c>
      <c r="E4180" t="s">
        <v>53</v>
      </c>
      <c r="F4180" t="s">
        <v>114</v>
      </c>
      <c r="G4180">
        <v>119598</v>
      </c>
      <c r="H4180" s="75">
        <v>45549</v>
      </c>
      <c r="I4180" t="s">
        <v>115</v>
      </c>
      <c r="J4180">
        <v>5000</v>
      </c>
      <c r="K4180">
        <v>99.418000000000006</v>
      </c>
      <c r="L4180">
        <v>50.292499999999997</v>
      </c>
      <c r="M4180">
        <v>13454.093999999999</v>
      </c>
      <c r="N4180" t="s">
        <v>15</v>
      </c>
    </row>
    <row r="4181" spans="1:14" x14ac:dyDescent="0.2">
      <c r="A4181" t="s">
        <v>56</v>
      </c>
      <c r="B4181" t="s">
        <v>144</v>
      </c>
      <c r="C4181" t="s">
        <v>142</v>
      </c>
      <c r="D4181" t="s">
        <v>57</v>
      </c>
      <c r="E4181" t="s">
        <v>53</v>
      </c>
      <c r="F4181" t="s">
        <v>114</v>
      </c>
      <c r="G4181">
        <v>119598</v>
      </c>
      <c r="H4181" s="75">
        <v>45549</v>
      </c>
      <c r="I4181" t="s">
        <v>117</v>
      </c>
      <c r="J4181">
        <v>2.5</v>
      </c>
      <c r="K4181">
        <v>0</v>
      </c>
      <c r="M4181">
        <v>13454.093999999999</v>
      </c>
      <c r="N4181" t="s">
        <v>46</v>
      </c>
    </row>
    <row r="4182" spans="1:14" x14ac:dyDescent="0.2">
      <c r="A4182" t="s">
        <v>56</v>
      </c>
      <c r="B4182" t="s">
        <v>144</v>
      </c>
      <c r="C4182" t="s">
        <v>142</v>
      </c>
      <c r="D4182" t="s">
        <v>57</v>
      </c>
      <c r="E4182" t="s">
        <v>53</v>
      </c>
      <c r="F4182" t="s">
        <v>114</v>
      </c>
      <c r="G4182">
        <v>119598</v>
      </c>
      <c r="H4182" s="75">
        <v>45579</v>
      </c>
      <c r="I4182" t="s">
        <v>115</v>
      </c>
      <c r="J4182">
        <v>5000</v>
      </c>
      <c r="K4182">
        <v>100.733</v>
      </c>
      <c r="L4182">
        <v>49.636400000000002</v>
      </c>
      <c r="M4182">
        <v>13554.826999999999</v>
      </c>
      <c r="N4182" t="s">
        <v>15</v>
      </c>
    </row>
    <row r="4183" spans="1:14" x14ac:dyDescent="0.2">
      <c r="A4183" t="s">
        <v>56</v>
      </c>
      <c r="B4183" t="s">
        <v>144</v>
      </c>
      <c r="C4183" t="s">
        <v>142</v>
      </c>
      <c r="D4183" t="s">
        <v>57</v>
      </c>
      <c r="E4183" t="s">
        <v>53</v>
      </c>
      <c r="F4183" t="s">
        <v>114</v>
      </c>
      <c r="G4183">
        <v>119598</v>
      </c>
      <c r="H4183" s="75">
        <v>45579</v>
      </c>
      <c r="I4183" t="s">
        <v>117</v>
      </c>
      <c r="J4183">
        <v>2.5</v>
      </c>
      <c r="K4183">
        <v>0</v>
      </c>
      <c r="M4183">
        <v>13554.826999999999</v>
      </c>
      <c r="N4183" t="s">
        <v>46</v>
      </c>
    </row>
    <row r="4184" spans="1:14" x14ac:dyDescent="0.2">
      <c r="A4184" t="s">
        <v>56</v>
      </c>
      <c r="B4184" t="s">
        <v>144</v>
      </c>
      <c r="C4184" t="s">
        <v>142</v>
      </c>
      <c r="D4184" t="s">
        <v>57</v>
      </c>
      <c r="E4184" t="s">
        <v>53</v>
      </c>
      <c r="F4184" t="s">
        <v>114</v>
      </c>
      <c r="G4184">
        <v>119598</v>
      </c>
      <c r="H4184" s="75">
        <v>45609</v>
      </c>
      <c r="I4184" t="s">
        <v>115</v>
      </c>
      <c r="J4184">
        <v>5000</v>
      </c>
      <c r="K4184">
        <v>97.9</v>
      </c>
      <c r="L4184">
        <v>51.072699999999998</v>
      </c>
      <c r="M4184">
        <v>13652.726000000001</v>
      </c>
      <c r="N4184" t="s">
        <v>15</v>
      </c>
    </row>
    <row r="4185" spans="1:14" x14ac:dyDescent="0.2">
      <c r="A4185" t="s">
        <v>56</v>
      </c>
      <c r="B4185" t="s">
        <v>144</v>
      </c>
      <c r="C4185" t="s">
        <v>142</v>
      </c>
      <c r="D4185" t="s">
        <v>57</v>
      </c>
      <c r="E4185" t="s">
        <v>53</v>
      </c>
      <c r="F4185" t="s">
        <v>114</v>
      </c>
      <c r="G4185">
        <v>119598</v>
      </c>
      <c r="H4185" s="75">
        <v>45639</v>
      </c>
      <c r="I4185" t="s">
        <v>115</v>
      </c>
      <c r="J4185">
        <v>5000</v>
      </c>
      <c r="K4185">
        <v>98.432000000000002</v>
      </c>
      <c r="L4185">
        <v>50.796399999999998</v>
      </c>
      <c r="M4185">
        <v>13751.157999999999</v>
      </c>
      <c r="N4185" t="s">
        <v>15</v>
      </c>
    </row>
    <row r="4186" spans="1:14" x14ac:dyDescent="0.2">
      <c r="A4186" t="s">
        <v>56</v>
      </c>
      <c r="B4186" t="s">
        <v>144</v>
      </c>
      <c r="C4186" t="s">
        <v>142</v>
      </c>
      <c r="D4186" t="s">
        <v>57</v>
      </c>
      <c r="E4186" t="s">
        <v>53</v>
      </c>
      <c r="F4186" t="s">
        <v>114</v>
      </c>
      <c r="G4186">
        <v>119598</v>
      </c>
      <c r="H4186" s="75">
        <v>45669</v>
      </c>
      <c r="I4186" t="s">
        <v>115</v>
      </c>
      <c r="J4186">
        <v>5000</v>
      </c>
      <c r="K4186">
        <v>97.853999999999999</v>
      </c>
      <c r="L4186">
        <v>51.096499999999999</v>
      </c>
      <c r="M4186">
        <v>13849.012000000001</v>
      </c>
      <c r="N4186" t="s">
        <v>15</v>
      </c>
    </row>
    <row r="4187" spans="1:14" x14ac:dyDescent="0.2">
      <c r="A4187" t="s">
        <v>56</v>
      </c>
      <c r="B4187" t="s">
        <v>144</v>
      </c>
      <c r="C4187" t="s">
        <v>142</v>
      </c>
      <c r="D4187" t="s">
        <v>57</v>
      </c>
      <c r="E4187" t="s">
        <v>53</v>
      </c>
      <c r="F4187" t="s">
        <v>114</v>
      </c>
      <c r="G4187">
        <v>119598</v>
      </c>
      <c r="H4187" s="75">
        <v>45699</v>
      </c>
      <c r="I4187" t="s">
        <v>115</v>
      </c>
      <c r="J4187">
        <v>5000</v>
      </c>
      <c r="K4187">
        <v>98.403999999999996</v>
      </c>
      <c r="L4187">
        <v>50.811100000000003</v>
      </c>
      <c r="M4187">
        <v>13947.415999999999</v>
      </c>
      <c r="N4187" t="s">
        <v>15</v>
      </c>
    </row>
    <row r="4188" spans="1:14" x14ac:dyDescent="0.2">
      <c r="A4188" t="s">
        <v>56</v>
      </c>
      <c r="B4188" t="s">
        <v>144</v>
      </c>
      <c r="C4188" t="s">
        <v>142</v>
      </c>
      <c r="D4188" t="s">
        <v>57</v>
      </c>
      <c r="E4188" t="s">
        <v>53</v>
      </c>
      <c r="F4188" t="s">
        <v>114</v>
      </c>
      <c r="G4188">
        <v>119598</v>
      </c>
      <c r="H4188" s="75">
        <v>45729</v>
      </c>
      <c r="I4188" t="s">
        <v>115</v>
      </c>
      <c r="J4188">
        <v>5000</v>
      </c>
      <c r="K4188">
        <v>99.629000000000005</v>
      </c>
      <c r="L4188">
        <v>50.186399999999999</v>
      </c>
      <c r="M4188">
        <v>14047.045</v>
      </c>
      <c r="N4188" t="s">
        <v>15</v>
      </c>
    </row>
    <row r="4189" spans="1:14" x14ac:dyDescent="0.2">
      <c r="A4189" t="s">
        <v>56</v>
      </c>
      <c r="B4189" t="s">
        <v>144</v>
      </c>
      <c r="C4189" t="s">
        <v>142</v>
      </c>
      <c r="D4189" t="s">
        <v>57</v>
      </c>
      <c r="E4189" t="s">
        <v>53</v>
      </c>
      <c r="F4189" t="s">
        <v>114</v>
      </c>
      <c r="G4189">
        <v>119598</v>
      </c>
      <c r="H4189" s="75">
        <v>45729</v>
      </c>
      <c r="I4189" t="s">
        <v>116</v>
      </c>
      <c r="J4189">
        <v>2.5</v>
      </c>
      <c r="K4189">
        <v>0</v>
      </c>
      <c r="M4189">
        <v>14047.045</v>
      </c>
      <c r="N4189" t="s">
        <v>17</v>
      </c>
    </row>
    <row r="4190" spans="1:14" x14ac:dyDescent="0.2">
      <c r="A4190" t="s">
        <v>56</v>
      </c>
      <c r="B4190" t="s">
        <v>144</v>
      </c>
      <c r="C4190" t="s">
        <v>142</v>
      </c>
      <c r="D4190" t="s">
        <v>57</v>
      </c>
      <c r="E4190" t="s">
        <v>53</v>
      </c>
      <c r="F4190" t="s">
        <v>114</v>
      </c>
      <c r="G4190">
        <v>119598</v>
      </c>
      <c r="H4190" s="75">
        <v>45759</v>
      </c>
      <c r="I4190" t="s">
        <v>115</v>
      </c>
      <c r="J4190">
        <v>5000</v>
      </c>
      <c r="K4190">
        <v>100.98699999999999</v>
      </c>
      <c r="L4190">
        <v>49.511499999999998</v>
      </c>
      <c r="M4190">
        <v>14148.031000000001</v>
      </c>
      <c r="N4190" t="s">
        <v>15</v>
      </c>
    </row>
    <row r="4191" spans="1:14" x14ac:dyDescent="0.2">
      <c r="A4191" t="s">
        <v>56</v>
      </c>
      <c r="B4191" t="s">
        <v>144</v>
      </c>
      <c r="C4191" t="s">
        <v>142</v>
      </c>
      <c r="D4191" t="s">
        <v>57</v>
      </c>
      <c r="E4191" t="s">
        <v>53</v>
      </c>
      <c r="F4191" t="s">
        <v>114</v>
      </c>
      <c r="G4191">
        <v>119598</v>
      </c>
      <c r="H4191" s="75">
        <v>45789</v>
      </c>
      <c r="I4191" t="s">
        <v>115</v>
      </c>
      <c r="J4191">
        <v>5000</v>
      </c>
      <c r="K4191">
        <v>102.547</v>
      </c>
      <c r="L4191">
        <v>48.758099999999999</v>
      </c>
      <c r="M4191">
        <v>14250.578</v>
      </c>
      <c r="N4191" t="s">
        <v>15</v>
      </c>
    </row>
    <row r="4192" spans="1:14" x14ac:dyDescent="0.2">
      <c r="A4192" t="s">
        <v>56</v>
      </c>
      <c r="B4192" t="s">
        <v>144</v>
      </c>
      <c r="C4192" t="s">
        <v>142</v>
      </c>
      <c r="D4192" t="s">
        <v>57</v>
      </c>
      <c r="E4192" t="s">
        <v>53</v>
      </c>
      <c r="F4192" t="s">
        <v>114</v>
      </c>
      <c r="G4192">
        <v>119598</v>
      </c>
      <c r="H4192" s="75">
        <v>45789</v>
      </c>
      <c r="I4192" t="s">
        <v>25</v>
      </c>
      <c r="J4192">
        <v>-138966.1</v>
      </c>
      <c r="K4192">
        <v>-2850.116</v>
      </c>
      <c r="L4192">
        <v>48.758099999999999</v>
      </c>
      <c r="M4192">
        <v>11400.463</v>
      </c>
      <c r="N4192" t="s">
        <v>16</v>
      </c>
    </row>
    <row r="4193" spans="1:14" x14ac:dyDescent="0.2">
      <c r="A4193" t="s">
        <v>56</v>
      </c>
      <c r="B4193" t="s">
        <v>144</v>
      </c>
      <c r="C4193" t="s">
        <v>142</v>
      </c>
      <c r="D4193" t="s">
        <v>57</v>
      </c>
      <c r="E4193" t="s">
        <v>53</v>
      </c>
      <c r="F4193" t="s">
        <v>114</v>
      </c>
      <c r="G4193">
        <v>119598</v>
      </c>
      <c r="H4193" s="75">
        <v>45819</v>
      </c>
      <c r="I4193" t="s">
        <v>115</v>
      </c>
      <c r="J4193">
        <v>5000</v>
      </c>
      <c r="K4193">
        <v>104.346</v>
      </c>
      <c r="L4193">
        <v>47.917400000000001</v>
      </c>
      <c r="M4193">
        <v>11504.808999999999</v>
      </c>
      <c r="N4193" t="s">
        <v>15</v>
      </c>
    </row>
    <row r="4194" spans="1:14" x14ac:dyDescent="0.2">
      <c r="A4194" t="s">
        <v>56</v>
      </c>
      <c r="B4194" t="s">
        <v>144</v>
      </c>
      <c r="C4194" t="s">
        <v>142</v>
      </c>
      <c r="D4194" t="s">
        <v>57</v>
      </c>
      <c r="E4194" t="s">
        <v>53</v>
      </c>
      <c r="F4194" t="s">
        <v>114</v>
      </c>
      <c r="G4194">
        <v>119598</v>
      </c>
      <c r="H4194" s="75">
        <v>45849</v>
      </c>
      <c r="I4194" t="s">
        <v>115</v>
      </c>
      <c r="J4194">
        <v>5000</v>
      </c>
      <c r="K4194">
        <v>105.938</v>
      </c>
      <c r="L4194">
        <v>47.197200000000002</v>
      </c>
      <c r="M4194">
        <v>11610.748</v>
      </c>
      <c r="N4194" t="s">
        <v>15</v>
      </c>
    </row>
    <row r="4195" spans="1:14" x14ac:dyDescent="0.2">
      <c r="A4195" t="s">
        <v>56</v>
      </c>
      <c r="B4195" t="s">
        <v>144</v>
      </c>
      <c r="C4195" t="s">
        <v>142</v>
      </c>
      <c r="D4195" t="s">
        <v>57</v>
      </c>
      <c r="E4195" t="s">
        <v>53</v>
      </c>
      <c r="F4195" t="s">
        <v>114</v>
      </c>
      <c r="G4195">
        <v>119598</v>
      </c>
      <c r="H4195" s="75">
        <v>45879</v>
      </c>
      <c r="I4195" t="s">
        <v>115</v>
      </c>
      <c r="J4195">
        <v>5000</v>
      </c>
      <c r="K4195">
        <v>105.21899999999999</v>
      </c>
      <c r="L4195">
        <v>47.520200000000003</v>
      </c>
      <c r="M4195">
        <v>11715.966</v>
      </c>
      <c r="N4195" t="s">
        <v>15</v>
      </c>
    </row>
    <row r="4196" spans="1:14" x14ac:dyDescent="0.2">
      <c r="A4196" t="s">
        <v>56</v>
      </c>
      <c r="B4196" t="s">
        <v>144</v>
      </c>
      <c r="C4196" t="s">
        <v>142</v>
      </c>
      <c r="D4196" t="s">
        <v>57</v>
      </c>
      <c r="E4196" t="s">
        <v>53</v>
      </c>
      <c r="F4196" t="s">
        <v>114</v>
      </c>
      <c r="G4196">
        <v>119598</v>
      </c>
      <c r="H4196" s="75">
        <v>45909</v>
      </c>
      <c r="I4196" t="s">
        <v>115</v>
      </c>
      <c r="J4196">
        <v>5000</v>
      </c>
      <c r="K4196">
        <v>103.39100000000001</v>
      </c>
      <c r="L4196">
        <v>48.360300000000002</v>
      </c>
      <c r="M4196">
        <v>11819.357</v>
      </c>
      <c r="N4196" t="s">
        <v>15</v>
      </c>
    </row>
    <row r="4197" spans="1:14" x14ac:dyDescent="0.2">
      <c r="A4197" t="s">
        <v>56</v>
      </c>
      <c r="B4197" t="s">
        <v>144</v>
      </c>
      <c r="C4197" t="s">
        <v>142</v>
      </c>
      <c r="D4197" t="s">
        <v>57</v>
      </c>
      <c r="E4197" t="s">
        <v>53</v>
      </c>
      <c r="F4197" t="s">
        <v>114</v>
      </c>
      <c r="G4197">
        <v>119598</v>
      </c>
      <c r="H4197" s="75">
        <v>45939</v>
      </c>
      <c r="I4197" t="s">
        <v>115</v>
      </c>
      <c r="J4197">
        <v>5000</v>
      </c>
      <c r="K4197">
        <v>102.931</v>
      </c>
      <c r="L4197">
        <v>48.5764</v>
      </c>
      <c r="M4197">
        <v>11922.287</v>
      </c>
      <c r="N4197" t="s">
        <v>15</v>
      </c>
    </row>
    <row r="4198" spans="1:14" x14ac:dyDescent="0.2">
      <c r="A4198" t="s">
        <v>56</v>
      </c>
      <c r="B4198" t="s">
        <v>144</v>
      </c>
      <c r="C4198" t="s">
        <v>142</v>
      </c>
      <c r="D4198" t="s">
        <v>57</v>
      </c>
      <c r="E4198" t="s">
        <v>53</v>
      </c>
      <c r="F4198" t="s">
        <v>114</v>
      </c>
      <c r="G4198">
        <v>119598</v>
      </c>
      <c r="H4198" s="75">
        <v>45939</v>
      </c>
      <c r="I4198" t="s">
        <v>117</v>
      </c>
      <c r="J4198">
        <v>2.5</v>
      </c>
      <c r="K4198">
        <v>0</v>
      </c>
      <c r="M4198">
        <v>11922.287</v>
      </c>
      <c r="N4198" t="s">
        <v>46</v>
      </c>
    </row>
    <row r="4199" spans="1:14" x14ac:dyDescent="0.2">
      <c r="A4199" t="s">
        <v>56</v>
      </c>
      <c r="B4199" t="s">
        <v>144</v>
      </c>
      <c r="C4199" t="s">
        <v>142</v>
      </c>
      <c r="D4199" t="s">
        <v>57</v>
      </c>
      <c r="E4199" t="s">
        <v>53</v>
      </c>
      <c r="F4199" t="s">
        <v>114</v>
      </c>
      <c r="G4199">
        <v>119598</v>
      </c>
      <c r="H4199" s="75">
        <v>45969</v>
      </c>
      <c r="I4199" t="s">
        <v>115</v>
      </c>
      <c r="J4199">
        <v>5000</v>
      </c>
      <c r="K4199">
        <v>102.755</v>
      </c>
      <c r="L4199">
        <v>48.659599999999998</v>
      </c>
      <c r="M4199">
        <v>12025.041999999999</v>
      </c>
      <c r="N4199" t="s">
        <v>15</v>
      </c>
    </row>
    <row r="4200" spans="1:14" x14ac:dyDescent="0.2">
      <c r="A4200" t="s">
        <v>56</v>
      </c>
      <c r="B4200" t="s">
        <v>144</v>
      </c>
      <c r="C4200" t="s">
        <v>142</v>
      </c>
      <c r="D4200" t="s">
        <v>57</v>
      </c>
      <c r="E4200" t="s">
        <v>53</v>
      </c>
      <c r="F4200" t="s">
        <v>114</v>
      </c>
      <c r="G4200">
        <v>119598</v>
      </c>
      <c r="H4200" s="75">
        <v>45999</v>
      </c>
      <c r="I4200" t="s">
        <v>115</v>
      </c>
      <c r="J4200">
        <v>5000</v>
      </c>
      <c r="K4200">
        <v>100.953</v>
      </c>
      <c r="L4200">
        <v>49.527799999999999</v>
      </c>
      <c r="M4200">
        <v>12125.995000000001</v>
      </c>
      <c r="N4200" t="s">
        <v>15</v>
      </c>
    </row>
    <row r="4201" spans="1:14" x14ac:dyDescent="0.2">
      <c r="A4201" t="s">
        <v>56</v>
      </c>
      <c r="B4201" t="s">
        <v>144</v>
      </c>
      <c r="C4201" t="s">
        <v>142</v>
      </c>
      <c r="D4201" t="s">
        <v>57</v>
      </c>
      <c r="E4201" t="s">
        <v>53</v>
      </c>
      <c r="F4201" t="s">
        <v>114</v>
      </c>
      <c r="G4201">
        <v>119598</v>
      </c>
      <c r="H4201" s="75">
        <v>46029</v>
      </c>
      <c r="I4201" t="s">
        <v>115</v>
      </c>
      <c r="J4201">
        <v>5000</v>
      </c>
      <c r="K4201">
        <v>101.63</v>
      </c>
      <c r="L4201">
        <v>49.198099999999997</v>
      </c>
      <c r="M4201">
        <v>12227.625</v>
      </c>
      <c r="N4201" t="s">
        <v>15</v>
      </c>
    </row>
    <row r="4202" spans="1:14" x14ac:dyDescent="0.2">
      <c r="A4202" t="s">
        <v>56</v>
      </c>
      <c r="B4202" t="s">
        <v>144</v>
      </c>
      <c r="C4202" t="s">
        <v>142</v>
      </c>
      <c r="D4202" t="s">
        <v>57</v>
      </c>
      <c r="E4202" t="s">
        <v>53</v>
      </c>
      <c r="F4202" t="s">
        <v>114</v>
      </c>
      <c r="G4202">
        <v>119598</v>
      </c>
      <c r="H4202" s="75">
        <v>46059</v>
      </c>
      <c r="I4202" t="s">
        <v>115</v>
      </c>
      <c r="J4202">
        <v>5000</v>
      </c>
      <c r="K4202">
        <v>101.776</v>
      </c>
      <c r="L4202">
        <v>49.127299999999998</v>
      </c>
      <c r="M4202">
        <v>12329.402</v>
      </c>
      <c r="N4202" t="s">
        <v>15</v>
      </c>
    </row>
    <row r="4203" spans="1:14" x14ac:dyDescent="0.2">
      <c r="A4203" t="s">
        <v>56</v>
      </c>
      <c r="B4203" t="s">
        <v>144</v>
      </c>
      <c r="C4203" t="s">
        <v>142</v>
      </c>
      <c r="D4203" t="s">
        <v>57</v>
      </c>
      <c r="E4203" t="s">
        <v>53</v>
      </c>
      <c r="F4203" t="s">
        <v>114</v>
      </c>
      <c r="G4203">
        <v>119598</v>
      </c>
      <c r="H4203" s="75">
        <v>46089</v>
      </c>
      <c r="I4203" t="s">
        <v>115</v>
      </c>
      <c r="J4203">
        <v>5000</v>
      </c>
      <c r="K4203">
        <v>101.47799999999999</v>
      </c>
      <c r="L4203">
        <v>49.271799999999999</v>
      </c>
      <c r="M4203">
        <v>12430.879000000001</v>
      </c>
      <c r="N4203" t="s">
        <v>15</v>
      </c>
    </row>
    <row r="4204" spans="1:14" x14ac:dyDescent="0.2">
      <c r="A4204" t="s">
        <v>56</v>
      </c>
      <c r="B4204" t="s">
        <v>144</v>
      </c>
      <c r="C4204" t="s">
        <v>142</v>
      </c>
      <c r="D4204" t="s">
        <v>57</v>
      </c>
      <c r="E4204" t="s">
        <v>53</v>
      </c>
      <c r="F4204" t="s">
        <v>114</v>
      </c>
      <c r="G4204">
        <v>119598</v>
      </c>
      <c r="H4204" s="75">
        <v>46119</v>
      </c>
      <c r="I4204" t="s">
        <v>115</v>
      </c>
      <c r="J4204">
        <v>5000</v>
      </c>
      <c r="K4204">
        <v>103.512</v>
      </c>
      <c r="L4204">
        <v>48.303400000000003</v>
      </c>
      <c r="M4204">
        <v>12534.392</v>
      </c>
      <c r="N4204" t="s">
        <v>15</v>
      </c>
    </row>
    <row r="4205" spans="1:14" x14ac:dyDescent="0.2">
      <c r="A4205" t="s">
        <v>56</v>
      </c>
      <c r="B4205" t="s">
        <v>144</v>
      </c>
      <c r="C4205" t="s">
        <v>142</v>
      </c>
      <c r="D4205" t="s">
        <v>57</v>
      </c>
      <c r="E4205" t="s">
        <v>53</v>
      </c>
      <c r="F4205" t="s">
        <v>114</v>
      </c>
      <c r="G4205">
        <v>119598</v>
      </c>
      <c r="H4205" s="75">
        <v>46149</v>
      </c>
      <c r="I4205" t="s">
        <v>115</v>
      </c>
      <c r="J4205">
        <v>5000</v>
      </c>
      <c r="K4205">
        <v>104.462</v>
      </c>
      <c r="L4205">
        <v>47.8643</v>
      </c>
      <c r="M4205">
        <v>12638.853999999999</v>
      </c>
      <c r="N4205" t="s">
        <v>15</v>
      </c>
    </row>
    <row r="4206" spans="1:14" x14ac:dyDescent="0.2">
      <c r="A4206" t="s">
        <v>56</v>
      </c>
      <c r="B4206" t="s">
        <v>144</v>
      </c>
      <c r="C4206" t="s">
        <v>142</v>
      </c>
      <c r="D4206" t="s">
        <v>57</v>
      </c>
      <c r="E4206" t="s">
        <v>53</v>
      </c>
      <c r="F4206" t="s">
        <v>114</v>
      </c>
      <c r="G4206">
        <v>119598</v>
      </c>
      <c r="H4206" s="75">
        <v>46179</v>
      </c>
      <c r="I4206" t="s">
        <v>115</v>
      </c>
      <c r="J4206">
        <v>5000</v>
      </c>
      <c r="K4206">
        <v>102.23399999999999</v>
      </c>
      <c r="L4206">
        <v>48.907499999999999</v>
      </c>
      <c r="M4206">
        <v>12741.088</v>
      </c>
      <c r="N4206" t="s">
        <v>15</v>
      </c>
    </row>
    <row r="4207" spans="1:14" x14ac:dyDescent="0.2">
      <c r="A4207" t="s">
        <v>23</v>
      </c>
      <c r="B4207" t="s">
        <v>145</v>
      </c>
      <c r="C4207" t="s">
        <v>142</v>
      </c>
      <c r="D4207" t="s">
        <v>124</v>
      </c>
      <c r="E4207" t="s">
        <v>53</v>
      </c>
      <c r="F4207" t="s">
        <v>114</v>
      </c>
      <c r="G4207">
        <v>120664</v>
      </c>
      <c r="H4207" s="75">
        <v>40271</v>
      </c>
      <c r="I4207" t="s">
        <v>115</v>
      </c>
      <c r="J4207">
        <v>5000</v>
      </c>
      <c r="K4207">
        <v>246.761</v>
      </c>
      <c r="L4207">
        <v>20.262499999999999</v>
      </c>
      <c r="M4207">
        <v>246.761</v>
      </c>
      <c r="N4207" t="s">
        <v>15</v>
      </c>
    </row>
    <row r="4208" spans="1:14" x14ac:dyDescent="0.2">
      <c r="A4208" t="s">
        <v>23</v>
      </c>
      <c r="B4208" t="s">
        <v>145</v>
      </c>
      <c r="C4208" t="s">
        <v>142</v>
      </c>
      <c r="D4208" t="s">
        <v>124</v>
      </c>
      <c r="E4208" t="s">
        <v>53</v>
      </c>
      <c r="F4208" t="s">
        <v>114</v>
      </c>
      <c r="G4208">
        <v>120664</v>
      </c>
      <c r="H4208" s="75">
        <v>40301</v>
      </c>
      <c r="I4208" t="s">
        <v>115</v>
      </c>
      <c r="J4208">
        <v>5000</v>
      </c>
      <c r="K4208">
        <v>243.25700000000001</v>
      </c>
      <c r="L4208">
        <v>20.554400000000001</v>
      </c>
      <c r="M4208">
        <v>490.01799999999997</v>
      </c>
      <c r="N4208" t="s">
        <v>15</v>
      </c>
    </row>
    <row r="4209" spans="1:14" x14ac:dyDescent="0.2">
      <c r="A4209" t="s">
        <v>23</v>
      </c>
      <c r="B4209" t="s">
        <v>145</v>
      </c>
      <c r="C4209" t="s">
        <v>142</v>
      </c>
      <c r="D4209" t="s">
        <v>124</v>
      </c>
      <c r="E4209" t="s">
        <v>53</v>
      </c>
      <c r="F4209" t="s">
        <v>114</v>
      </c>
      <c r="G4209">
        <v>120664</v>
      </c>
      <c r="H4209" s="75">
        <v>40331</v>
      </c>
      <c r="I4209" t="s">
        <v>115</v>
      </c>
      <c r="J4209">
        <v>5000</v>
      </c>
      <c r="K4209">
        <v>241.27099999999999</v>
      </c>
      <c r="L4209">
        <v>20.723600000000001</v>
      </c>
      <c r="M4209">
        <v>731.28899999999999</v>
      </c>
      <c r="N4209" t="s">
        <v>15</v>
      </c>
    </row>
    <row r="4210" spans="1:14" x14ac:dyDescent="0.2">
      <c r="A4210" t="s">
        <v>23</v>
      </c>
      <c r="B4210" t="s">
        <v>145</v>
      </c>
      <c r="C4210" t="s">
        <v>142</v>
      </c>
      <c r="D4210" t="s">
        <v>124</v>
      </c>
      <c r="E4210" t="s">
        <v>53</v>
      </c>
      <c r="F4210" t="s">
        <v>114</v>
      </c>
      <c r="G4210">
        <v>120664</v>
      </c>
      <c r="H4210" s="75">
        <v>40361</v>
      </c>
      <c r="I4210" t="s">
        <v>115</v>
      </c>
      <c r="J4210">
        <v>5000</v>
      </c>
      <c r="K4210">
        <v>238.44</v>
      </c>
      <c r="L4210">
        <v>20.9696</v>
      </c>
      <c r="M4210">
        <v>969.72900000000004</v>
      </c>
      <c r="N4210" t="s">
        <v>15</v>
      </c>
    </row>
    <row r="4211" spans="1:14" x14ac:dyDescent="0.2">
      <c r="A4211" t="s">
        <v>23</v>
      </c>
      <c r="B4211" t="s">
        <v>145</v>
      </c>
      <c r="C4211" t="s">
        <v>142</v>
      </c>
      <c r="D4211" t="s">
        <v>124</v>
      </c>
      <c r="E4211" t="s">
        <v>53</v>
      </c>
      <c r="F4211" t="s">
        <v>114</v>
      </c>
      <c r="G4211">
        <v>120664</v>
      </c>
      <c r="H4211" s="75">
        <v>40361</v>
      </c>
      <c r="I4211" t="s">
        <v>116</v>
      </c>
      <c r="J4211">
        <v>2.5</v>
      </c>
      <c r="K4211">
        <v>0</v>
      </c>
      <c r="M4211">
        <v>969.72900000000004</v>
      </c>
      <c r="N4211" t="s">
        <v>17</v>
      </c>
    </row>
    <row r="4212" spans="1:14" x14ac:dyDescent="0.2">
      <c r="A4212" t="s">
        <v>23</v>
      </c>
      <c r="B4212" t="s">
        <v>145</v>
      </c>
      <c r="C4212" t="s">
        <v>142</v>
      </c>
      <c r="D4212" t="s">
        <v>124</v>
      </c>
      <c r="E4212" t="s">
        <v>53</v>
      </c>
      <c r="F4212" t="s">
        <v>114</v>
      </c>
      <c r="G4212">
        <v>120664</v>
      </c>
      <c r="H4212" s="75">
        <v>40391</v>
      </c>
      <c r="I4212" t="s">
        <v>115</v>
      </c>
      <c r="J4212">
        <v>5000</v>
      </c>
      <c r="K4212">
        <v>241.66</v>
      </c>
      <c r="L4212">
        <v>20.690200000000001</v>
      </c>
      <c r="M4212">
        <v>1211.3889999999999</v>
      </c>
      <c r="N4212" t="s">
        <v>15</v>
      </c>
    </row>
    <row r="4213" spans="1:14" x14ac:dyDescent="0.2">
      <c r="A4213" t="s">
        <v>23</v>
      </c>
      <c r="B4213" t="s">
        <v>145</v>
      </c>
      <c r="C4213" t="s">
        <v>142</v>
      </c>
      <c r="D4213" t="s">
        <v>124</v>
      </c>
      <c r="E4213" t="s">
        <v>53</v>
      </c>
      <c r="F4213" t="s">
        <v>114</v>
      </c>
      <c r="G4213">
        <v>120664</v>
      </c>
      <c r="H4213" s="75">
        <v>40421</v>
      </c>
      <c r="I4213" t="s">
        <v>115</v>
      </c>
      <c r="J4213">
        <v>5000</v>
      </c>
      <c r="K4213">
        <v>239.33199999999999</v>
      </c>
      <c r="L4213">
        <v>20.891400000000001</v>
      </c>
      <c r="M4213">
        <v>1450.721</v>
      </c>
      <c r="N4213" t="s">
        <v>15</v>
      </c>
    </row>
    <row r="4214" spans="1:14" x14ac:dyDescent="0.2">
      <c r="A4214" t="s">
        <v>23</v>
      </c>
      <c r="B4214" t="s">
        <v>145</v>
      </c>
      <c r="C4214" t="s">
        <v>142</v>
      </c>
      <c r="D4214" t="s">
        <v>124</v>
      </c>
      <c r="E4214" t="s">
        <v>53</v>
      </c>
      <c r="F4214" t="s">
        <v>114</v>
      </c>
      <c r="G4214">
        <v>120664</v>
      </c>
      <c r="H4214" s="75">
        <v>40451</v>
      </c>
      <c r="I4214" t="s">
        <v>115</v>
      </c>
      <c r="J4214">
        <v>5000</v>
      </c>
      <c r="K4214">
        <v>234.68899999999999</v>
      </c>
      <c r="L4214">
        <v>21.3048</v>
      </c>
      <c r="M4214">
        <v>1685.41</v>
      </c>
      <c r="N4214" t="s">
        <v>15</v>
      </c>
    </row>
    <row r="4215" spans="1:14" x14ac:dyDescent="0.2">
      <c r="A4215" t="s">
        <v>23</v>
      </c>
      <c r="B4215" t="s">
        <v>145</v>
      </c>
      <c r="C4215" t="s">
        <v>142</v>
      </c>
      <c r="D4215" t="s">
        <v>124</v>
      </c>
      <c r="E4215" t="s">
        <v>53</v>
      </c>
      <c r="F4215" t="s">
        <v>114</v>
      </c>
      <c r="G4215">
        <v>120664</v>
      </c>
      <c r="H4215" s="75">
        <v>40481</v>
      </c>
      <c r="I4215" t="s">
        <v>115</v>
      </c>
      <c r="J4215">
        <v>5000</v>
      </c>
      <c r="K4215">
        <v>232.96899999999999</v>
      </c>
      <c r="L4215">
        <v>21.4621</v>
      </c>
      <c r="M4215">
        <v>1918.3789999999999</v>
      </c>
      <c r="N4215" t="s">
        <v>15</v>
      </c>
    </row>
    <row r="4216" spans="1:14" x14ac:dyDescent="0.2">
      <c r="A4216" t="s">
        <v>23</v>
      </c>
      <c r="B4216" t="s">
        <v>145</v>
      </c>
      <c r="C4216" t="s">
        <v>142</v>
      </c>
      <c r="D4216" t="s">
        <v>124</v>
      </c>
      <c r="E4216" t="s">
        <v>53</v>
      </c>
      <c r="F4216" t="s">
        <v>114</v>
      </c>
      <c r="G4216">
        <v>120664</v>
      </c>
      <c r="H4216" s="75">
        <v>40511</v>
      </c>
      <c r="I4216" t="s">
        <v>115</v>
      </c>
      <c r="J4216">
        <v>5000</v>
      </c>
      <c r="K4216">
        <v>236.52099999999999</v>
      </c>
      <c r="L4216">
        <v>21.139800000000001</v>
      </c>
      <c r="M4216">
        <v>2154.9</v>
      </c>
      <c r="N4216" t="s">
        <v>15</v>
      </c>
    </row>
    <row r="4217" spans="1:14" x14ac:dyDescent="0.2">
      <c r="A4217" t="s">
        <v>23</v>
      </c>
      <c r="B4217" t="s">
        <v>145</v>
      </c>
      <c r="C4217" t="s">
        <v>142</v>
      </c>
      <c r="D4217" t="s">
        <v>124</v>
      </c>
      <c r="E4217" t="s">
        <v>53</v>
      </c>
      <c r="F4217" t="s">
        <v>114</v>
      </c>
      <c r="G4217">
        <v>120664</v>
      </c>
      <c r="H4217" s="75">
        <v>40541</v>
      </c>
      <c r="I4217" t="s">
        <v>115</v>
      </c>
      <c r="J4217">
        <v>5000</v>
      </c>
      <c r="K4217">
        <v>240.375</v>
      </c>
      <c r="L4217">
        <v>20.800799999999999</v>
      </c>
      <c r="M4217">
        <v>2395.2750000000001</v>
      </c>
      <c r="N4217" t="s">
        <v>15</v>
      </c>
    </row>
    <row r="4218" spans="1:14" x14ac:dyDescent="0.2">
      <c r="A4218" t="s">
        <v>23</v>
      </c>
      <c r="B4218" t="s">
        <v>145</v>
      </c>
      <c r="C4218" t="s">
        <v>142</v>
      </c>
      <c r="D4218" t="s">
        <v>124</v>
      </c>
      <c r="E4218" t="s">
        <v>53</v>
      </c>
      <c r="F4218" t="s">
        <v>114</v>
      </c>
      <c r="G4218">
        <v>120664</v>
      </c>
      <c r="H4218" s="75">
        <v>40571</v>
      </c>
      <c r="I4218" t="s">
        <v>115</v>
      </c>
      <c r="J4218">
        <v>5000</v>
      </c>
      <c r="K4218">
        <v>240.37899999999999</v>
      </c>
      <c r="L4218">
        <v>20.8005</v>
      </c>
      <c r="M4218">
        <v>2635.6529999999998</v>
      </c>
      <c r="N4218" t="s">
        <v>15</v>
      </c>
    </row>
    <row r="4219" spans="1:14" x14ac:dyDescent="0.2">
      <c r="A4219" t="s">
        <v>23</v>
      </c>
      <c r="B4219" t="s">
        <v>145</v>
      </c>
      <c r="C4219" t="s">
        <v>142</v>
      </c>
      <c r="D4219" t="s">
        <v>124</v>
      </c>
      <c r="E4219" t="s">
        <v>53</v>
      </c>
      <c r="F4219" t="s">
        <v>114</v>
      </c>
      <c r="G4219">
        <v>120664</v>
      </c>
      <c r="H4219" s="75">
        <v>40601</v>
      </c>
      <c r="I4219" t="s">
        <v>115</v>
      </c>
      <c r="J4219">
        <v>5000</v>
      </c>
      <c r="K4219">
        <v>236.46899999999999</v>
      </c>
      <c r="L4219">
        <v>21.144400000000001</v>
      </c>
      <c r="M4219">
        <v>2872.1219999999998</v>
      </c>
      <c r="N4219" t="s">
        <v>15</v>
      </c>
    </row>
    <row r="4220" spans="1:14" x14ac:dyDescent="0.2">
      <c r="A4220" t="s">
        <v>23</v>
      </c>
      <c r="B4220" t="s">
        <v>145</v>
      </c>
      <c r="C4220" t="s">
        <v>142</v>
      </c>
      <c r="D4220" t="s">
        <v>124</v>
      </c>
      <c r="E4220" t="s">
        <v>53</v>
      </c>
      <c r="F4220" t="s">
        <v>114</v>
      </c>
      <c r="G4220">
        <v>120664</v>
      </c>
      <c r="H4220" s="75">
        <v>40631</v>
      </c>
      <c r="I4220" t="s">
        <v>115</v>
      </c>
      <c r="J4220">
        <v>5000</v>
      </c>
      <c r="K4220">
        <v>231.53800000000001</v>
      </c>
      <c r="L4220">
        <v>21.5947</v>
      </c>
      <c r="M4220">
        <v>3103.66</v>
      </c>
      <c r="N4220" t="s">
        <v>15</v>
      </c>
    </row>
    <row r="4221" spans="1:14" x14ac:dyDescent="0.2">
      <c r="A4221" t="s">
        <v>23</v>
      </c>
      <c r="B4221" t="s">
        <v>145</v>
      </c>
      <c r="C4221" t="s">
        <v>142</v>
      </c>
      <c r="D4221" t="s">
        <v>124</v>
      </c>
      <c r="E4221" t="s">
        <v>53</v>
      </c>
      <c r="F4221" t="s">
        <v>114</v>
      </c>
      <c r="G4221">
        <v>120664</v>
      </c>
      <c r="H4221" s="75">
        <v>40661</v>
      </c>
      <c r="I4221" t="s">
        <v>115</v>
      </c>
      <c r="J4221">
        <v>5000</v>
      </c>
      <c r="K4221">
        <v>234.74799999999999</v>
      </c>
      <c r="L4221">
        <v>21.299499999999998</v>
      </c>
      <c r="M4221">
        <v>3338.4079999999999</v>
      </c>
      <c r="N4221" t="s">
        <v>15</v>
      </c>
    </row>
    <row r="4222" spans="1:14" x14ac:dyDescent="0.2">
      <c r="A4222" t="s">
        <v>23</v>
      </c>
      <c r="B4222" t="s">
        <v>145</v>
      </c>
      <c r="C4222" t="s">
        <v>142</v>
      </c>
      <c r="D4222" t="s">
        <v>124</v>
      </c>
      <c r="E4222" t="s">
        <v>53</v>
      </c>
      <c r="F4222" t="s">
        <v>114</v>
      </c>
      <c r="G4222">
        <v>120664</v>
      </c>
      <c r="H4222" s="75">
        <v>40661</v>
      </c>
      <c r="I4222" t="s">
        <v>117</v>
      </c>
      <c r="J4222">
        <v>2.5</v>
      </c>
      <c r="K4222">
        <v>0</v>
      </c>
      <c r="M4222">
        <v>3338.4079999999999</v>
      </c>
      <c r="N4222" t="s">
        <v>46</v>
      </c>
    </row>
    <row r="4223" spans="1:14" x14ac:dyDescent="0.2">
      <c r="A4223" t="s">
        <v>23</v>
      </c>
      <c r="B4223" t="s">
        <v>145</v>
      </c>
      <c r="C4223" t="s">
        <v>142</v>
      </c>
      <c r="D4223" t="s">
        <v>124</v>
      </c>
      <c r="E4223" t="s">
        <v>53</v>
      </c>
      <c r="F4223" t="s">
        <v>114</v>
      </c>
      <c r="G4223">
        <v>120664</v>
      </c>
      <c r="H4223" s="75">
        <v>40691</v>
      </c>
      <c r="I4223" t="s">
        <v>115</v>
      </c>
      <c r="J4223">
        <v>5000</v>
      </c>
      <c r="K4223">
        <v>229.08099999999999</v>
      </c>
      <c r="L4223">
        <v>21.8263</v>
      </c>
      <c r="M4223">
        <v>3567.489</v>
      </c>
      <c r="N4223" t="s">
        <v>15</v>
      </c>
    </row>
    <row r="4224" spans="1:14" x14ac:dyDescent="0.2">
      <c r="A4224" t="s">
        <v>23</v>
      </c>
      <c r="B4224" t="s">
        <v>145</v>
      </c>
      <c r="C4224" t="s">
        <v>142</v>
      </c>
      <c r="D4224" t="s">
        <v>124</v>
      </c>
      <c r="E4224" t="s">
        <v>53</v>
      </c>
      <c r="F4224" t="s">
        <v>114</v>
      </c>
      <c r="G4224">
        <v>120664</v>
      </c>
      <c r="H4224" s="75">
        <v>40721</v>
      </c>
      <c r="I4224" t="s">
        <v>115</v>
      </c>
      <c r="J4224">
        <v>5000</v>
      </c>
      <c r="K4224">
        <v>226.51300000000001</v>
      </c>
      <c r="L4224">
        <v>22.073799999999999</v>
      </c>
      <c r="M4224">
        <v>3794.002</v>
      </c>
      <c r="N4224" t="s">
        <v>15</v>
      </c>
    </row>
    <row r="4225" spans="1:14" x14ac:dyDescent="0.2">
      <c r="A4225" t="s">
        <v>23</v>
      </c>
      <c r="B4225" t="s">
        <v>145</v>
      </c>
      <c r="C4225" t="s">
        <v>142</v>
      </c>
      <c r="D4225" t="s">
        <v>124</v>
      </c>
      <c r="E4225" t="s">
        <v>53</v>
      </c>
      <c r="F4225" t="s">
        <v>114</v>
      </c>
      <c r="G4225">
        <v>120664</v>
      </c>
      <c r="H4225" s="75">
        <v>40721</v>
      </c>
      <c r="I4225" t="s">
        <v>116</v>
      </c>
      <c r="J4225">
        <v>2.5</v>
      </c>
      <c r="K4225">
        <v>0</v>
      </c>
      <c r="M4225">
        <v>3794.002</v>
      </c>
      <c r="N4225" t="s">
        <v>17</v>
      </c>
    </row>
    <row r="4226" spans="1:14" x14ac:dyDescent="0.2">
      <c r="A4226" t="s">
        <v>23</v>
      </c>
      <c r="B4226" t="s">
        <v>145</v>
      </c>
      <c r="C4226" t="s">
        <v>142</v>
      </c>
      <c r="D4226" t="s">
        <v>124</v>
      </c>
      <c r="E4226" t="s">
        <v>53</v>
      </c>
      <c r="F4226" t="s">
        <v>114</v>
      </c>
      <c r="G4226">
        <v>120664</v>
      </c>
      <c r="H4226" s="75">
        <v>40751</v>
      </c>
      <c r="I4226" t="s">
        <v>115</v>
      </c>
      <c r="J4226">
        <v>5000</v>
      </c>
      <c r="K4226">
        <v>223.25200000000001</v>
      </c>
      <c r="L4226">
        <v>22.3962</v>
      </c>
      <c r="M4226">
        <v>4017.2539999999999</v>
      </c>
      <c r="N4226" t="s">
        <v>15</v>
      </c>
    </row>
    <row r="4227" spans="1:14" x14ac:dyDescent="0.2">
      <c r="A4227" t="s">
        <v>23</v>
      </c>
      <c r="B4227" t="s">
        <v>145</v>
      </c>
      <c r="C4227" t="s">
        <v>142</v>
      </c>
      <c r="D4227" t="s">
        <v>124</v>
      </c>
      <c r="E4227" t="s">
        <v>53</v>
      </c>
      <c r="F4227" t="s">
        <v>114</v>
      </c>
      <c r="G4227">
        <v>120664</v>
      </c>
      <c r="H4227" s="75">
        <v>40781</v>
      </c>
      <c r="I4227" t="s">
        <v>115</v>
      </c>
      <c r="J4227">
        <v>5000</v>
      </c>
      <c r="K4227">
        <v>220.00200000000001</v>
      </c>
      <c r="L4227">
        <v>22.727</v>
      </c>
      <c r="M4227">
        <v>4237.2569999999996</v>
      </c>
      <c r="N4227" t="s">
        <v>15</v>
      </c>
    </row>
    <row r="4228" spans="1:14" x14ac:dyDescent="0.2">
      <c r="A4228" t="s">
        <v>23</v>
      </c>
      <c r="B4228" t="s">
        <v>145</v>
      </c>
      <c r="C4228" t="s">
        <v>142</v>
      </c>
      <c r="D4228" t="s">
        <v>124</v>
      </c>
      <c r="E4228" t="s">
        <v>53</v>
      </c>
      <c r="F4228" t="s">
        <v>114</v>
      </c>
      <c r="G4228">
        <v>120664</v>
      </c>
      <c r="H4228" s="75">
        <v>40811</v>
      </c>
      <c r="I4228" t="s">
        <v>115</v>
      </c>
      <c r="J4228">
        <v>5000</v>
      </c>
      <c r="K4228">
        <v>218.36199999999999</v>
      </c>
      <c r="L4228">
        <v>22.8978</v>
      </c>
      <c r="M4228">
        <v>4455.6180000000004</v>
      </c>
      <c r="N4228" t="s">
        <v>15</v>
      </c>
    </row>
    <row r="4229" spans="1:14" x14ac:dyDescent="0.2">
      <c r="A4229" t="s">
        <v>23</v>
      </c>
      <c r="B4229" t="s">
        <v>145</v>
      </c>
      <c r="C4229" t="s">
        <v>142</v>
      </c>
      <c r="D4229" t="s">
        <v>124</v>
      </c>
      <c r="E4229" t="s">
        <v>53</v>
      </c>
      <c r="F4229" t="s">
        <v>114</v>
      </c>
      <c r="G4229">
        <v>120664</v>
      </c>
      <c r="H4229" s="75">
        <v>40841</v>
      </c>
      <c r="I4229" t="s">
        <v>115</v>
      </c>
      <c r="J4229">
        <v>5000</v>
      </c>
      <c r="K4229">
        <v>216.357</v>
      </c>
      <c r="L4229">
        <v>23.1099</v>
      </c>
      <c r="M4229">
        <v>4671.9750000000004</v>
      </c>
      <c r="N4229" t="s">
        <v>15</v>
      </c>
    </row>
    <row r="4230" spans="1:14" x14ac:dyDescent="0.2">
      <c r="A4230" t="s">
        <v>23</v>
      </c>
      <c r="B4230" t="s">
        <v>145</v>
      </c>
      <c r="C4230" t="s">
        <v>142</v>
      </c>
      <c r="D4230" t="s">
        <v>124</v>
      </c>
      <c r="E4230" t="s">
        <v>53</v>
      </c>
      <c r="F4230" t="s">
        <v>114</v>
      </c>
      <c r="G4230">
        <v>120664</v>
      </c>
      <c r="H4230" s="75">
        <v>40871</v>
      </c>
      <c r="I4230" t="s">
        <v>115</v>
      </c>
      <c r="J4230">
        <v>5000</v>
      </c>
      <c r="K4230">
        <v>215.07499999999999</v>
      </c>
      <c r="L4230">
        <v>23.247699999999998</v>
      </c>
      <c r="M4230">
        <v>4887.0510000000004</v>
      </c>
      <c r="N4230" t="s">
        <v>15</v>
      </c>
    </row>
    <row r="4231" spans="1:14" x14ac:dyDescent="0.2">
      <c r="A4231" t="s">
        <v>23</v>
      </c>
      <c r="B4231" t="s">
        <v>145</v>
      </c>
      <c r="C4231" t="s">
        <v>142</v>
      </c>
      <c r="D4231" t="s">
        <v>124</v>
      </c>
      <c r="E4231" t="s">
        <v>53</v>
      </c>
      <c r="F4231" t="s">
        <v>114</v>
      </c>
      <c r="G4231">
        <v>120664</v>
      </c>
      <c r="H4231" s="75">
        <v>40901</v>
      </c>
      <c r="I4231" t="s">
        <v>115</v>
      </c>
      <c r="J4231">
        <v>5000</v>
      </c>
      <c r="K4231">
        <v>214.102</v>
      </c>
      <c r="L4231">
        <v>23.353300000000001</v>
      </c>
      <c r="M4231">
        <v>5101.1530000000002</v>
      </c>
      <c r="N4231" t="s">
        <v>15</v>
      </c>
    </row>
    <row r="4232" spans="1:14" x14ac:dyDescent="0.2">
      <c r="A4232" t="s">
        <v>23</v>
      </c>
      <c r="B4232" t="s">
        <v>145</v>
      </c>
      <c r="C4232" t="s">
        <v>142</v>
      </c>
      <c r="D4232" t="s">
        <v>124</v>
      </c>
      <c r="E4232" t="s">
        <v>53</v>
      </c>
      <c r="F4232" t="s">
        <v>114</v>
      </c>
      <c r="G4232">
        <v>120664</v>
      </c>
      <c r="H4232" s="75">
        <v>40931</v>
      </c>
      <c r="I4232" t="s">
        <v>115</v>
      </c>
      <c r="J4232">
        <v>5000</v>
      </c>
      <c r="K4232">
        <v>211.57</v>
      </c>
      <c r="L4232">
        <v>23.6328</v>
      </c>
      <c r="M4232">
        <v>5312.7240000000002</v>
      </c>
      <c r="N4232" t="s">
        <v>15</v>
      </c>
    </row>
    <row r="4233" spans="1:14" x14ac:dyDescent="0.2">
      <c r="A4233" t="s">
        <v>23</v>
      </c>
      <c r="B4233" t="s">
        <v>145</v>
      </c>
      <c r="C4233" t="s">
        <v>142</v>
      </c>
      <c r="D4233" t="s">
        <v>124</v>
      </c>
      <c r="E4233" t="s">
        <v>53</v>
      </c>
      <c r="F4233" t="s">
        <v>114</v>
      </c>
      <c r="G4233">
        <v>120664</v>
      </c>
      <c r="H4233" s="75">
        <v>40961</v>
      </c>
      <c r="I4233" t="s">
        <v>115</v>
      </c>
      <c r="J4233">
        <v>5000</v>
      </c>
      <c r="K4233">
        <v>212.494</v>
      </c>
      <c r="L4233">
        <v>23.53</v>
      </c>
      <c r="M4233">
        <v>5525.2179999999998</v>
      </c>
      <c r="N4233" t="s">
        <v>15</v>
      </c>
    </row>
    <row r="4234" spans="1:14" x14ac:dyDescent="0.2">
      <c r="A4234" t="s">
        <v>23</v>
      </c>
      <c r="B4234" t="s">
        <v>145</v>
      </c>
      <c r="C4234" t="s">
        <v>142</v>
      </c>
      <c r="D4234" t="s">
        <v>124</v>
      </c>
      <c r="E4234" t="s">
        <v>53</v>
      </c>
      <c r="F4234" t="s">
        <v>114</v>
      </c>
      <c r="G4234">
        <v>120664</v>
      </c>
      <c r="H4234" s="75">
        <v>40991</v>
      </c>
      <c r="I4234" t="s">
        <v>115</v>
      </c>
      <c r="J4234">
        <v>5000</v>
      </c>
      <c r="K4234">
        <v>208.25299999999999</v>
      </c>
      <c r="L4234">
        <v>24.0092</v>
      </c>
      <c r="M4234">
        <v>5733.4709999999995</v>
      </c>
      <c r="N4234" t="s">
        <v>15</v>
      </c>
    </row>
    <row r="4235" spans="1:14" x14ac:dyDescent="0.2">
      <c r="A4235" t="s">
        <v>23</v>
      </c>
      <c r="B4235" t="s">
        <v>145</v>
      </c>
      <c r="C4235" t="s">
        <v>142</v>
      </c>
      <c r="D4235" t="s">
        <v>124</v>
      </c>
      <c r="E4235" t="s">
        <v>53</v>
      </c>
      <c r="F4235" t="s">
        <v>114</v>
      </c>
      <c r="G4235">
        <v>120664</v>
      </c>
      <c r="H4235" s="75">
        <v>41021</v>
      </c>
      <c r="I4235" t="s">
        <v>115</v>
      </c>
      <c r="J4235">
        <v>5000</v>
      </c>
      <c r="K4235">
        <v>205.01400000000001</v>
      </c>
      <c r="L4235">
        <v>24.3886</v>
      </c>
      <c r="M4235">
        <v>5938.4849999999997</v>
      </c>
      <c r="N4235" t="s">
        <v>15</v>
      </c>
    </row>
    <row r="4236" spans="1:14" x14ac:dyDescent="0.2">
      <c r="A4236" t="s">
        <v>23</v>
      </c>
      <c r="B4236" t="s">
        <v>145</v>
      </c>
      <c r="C4236" t="s">
        <v>142</v>
      </c>
      <c r="D4236" t="s">
        <v>124</v>
      </c>
      <c r="E4236" t="s">
        <v>53</v>
      </c>
      <c r="F4236" t="s">
        <v>114</v>
      </c>
      <c r="G4236">
        <v>120664</v>
      </c>
      <c r="H4236" s="75">
        <v>41021</v>
      </c>
      <c r="I4236" t="s">
        <v>117</v>
      </c>
      <c r="J4236">
        <v>2.5</v>
      </c>
      <c r="K4236">
        <v>0</v>
      </c>
      <c r="M4236">
        <v>5938.4849999999997</v>
      </c>
      <c r="N4236" t="s">
        <v>46</v>
      </c>
    </row>
    <row r="4237" spans="1:14" x14ac:dyDescent="0.2">
      <c r="A4237" t="s">
        <v>23</v>
      </c>
      <c r="B4237" t="s">
        <v>145</v>
      </c>
      <c r="C4237" t="s">
        <v>142</v>
      </c>
      <c r="D4237" t="s">
        <v>124</v>
      </c>
      <c r="E4237" t="s">
        <v>53</v>
      </c>
      <c r="F4237" t="s">
        <v>114</v>
      </c>
      <c r="G4237">
        <v>120664</v>
      </c>
      <c r="H4237" s="75">
        <v>41051</v>
      </c>
      <c r="I4237" t="s">
        <v>115</v>
      </c>
      <c r="J4237">
        <v>5000</v>
      </c>
      <c r="K4237">
        <v>205.779</v>
      </c>
      <c r="L4237">
        <v>24.297899999999998</v>
      </c>
      <c r="M4237">
        <v>6144.2650000000003</v>
      </c>
      <c r="N4237" t="s">
        <v>15</v>
      </c>
    </row>
    <row r="4238" spans="1:14" x14ac:dyDescent="0.2">
      <c r="A4238" t="s">
        <v>23</v>
      </c>
      <c r="B4238" t="s">
        <v>145</v>
      </c>
      <c r="C4238" t="s">
        <v>142</v>
      </c>
      <c r="D4238" t="s">
        <v>124</v>
      </c>
      <c r="E4238" t="s">
        <v>53</v>
      </c>
      <c r="F4238" t="s">
        <v>114</v>
      </c>
      <c r="G4238">
        <v>120664</v>
      </c>
      <c r="H4238" s="75">
        <v>41081</v>
      </c>
      <c r="I4238" t="s">
        <v>115</v>
      </c>
      <c r="J4238">
        <v>5000</v>
      </c>
      <c r="K4238">
        <v>199.90799999999999</v>
      </c>
      <c r="L4238">
        <v>25.011500000000002</v>
      </c>
      <c r="M4238">
        <v>6344.1729999999998</v>
      </c>
      <c r="N4238" t="s">
        <v>15</v>
      </c>
    </row>
    <row r="4239" spans="1:14" x14ac:dyDescent="0.2">
      <c r="A4239" t="s">
        <v>23</v>
      </c>
      <c r="B4239" t="s">
        <v>145</v>
      </c>
      <c r="C4239" t="s">
        <v>142</v>
      </c>
      <c r="D4239" t="s">
        <v>124</v>
      </c>
      <c r="E4239" t="s">
        <v>53</v>
      </c>
      <c r="F4239" t="s">
        <v>114</v>
      </c>
      <c r="G4239">
        <v>120664</v>
      </c>
      <c r="H4239" s="75">
        <v>41111</v>
      </c>
      <c r="I4239" t="s">
        <v>115</v>
      </c>
      <c r="J4239">
        <v>5000</v>
      </c>
      <c r="K4239">
        <v>201.74700000000001</v>
      </c>
      <c r="L4239">
        <v>24.7835</v>
      </c>
      <c r="M4239">
        <v>6545.92</v>
      </c>
      <c r="N4239" t="s">
        <v>15</v>
      </c>
    </row>
    <row r="4240" spans="1:14" x14ac:dyDescent="0.2">
      <c r="A4240" t="s">
        <v>23</v>
      </c>
      <c r="B4240" t="s">
        <v>145</v>
      </c>
      <c r="C4240" t="s">
        <v>142</v>
      </c>
      <c r="D4240" t="s">
        <v>124</v>
      </c>
      <c r="E4240" t="s">
        <v>53</v>
      </c>
      <c r="F4240" t="s">
        <v>114</v>
      </c>
      <c r="G4240">
        <v>120664</v>
      </c>
      <c r="H4240" s="75">
        <v>41141</v>
      </c>
      <c r="I4240" t="s">
        <v>115</v>
      </c>
      <c r="J4240">
        <v>5000</v>
      </c>
      <c r="K4240">
        <v>198.18700000000001</v>
      </c>
      <c r="L4240">
        <v>25.2288</v>
      </c>
      <c r="M4240">
        <v>6744.1059999999998</v>
      </c>
      <c r="N4240" t="s">
        <v>15</v>
      </c>
    </row>
    <row r="4241" spans="1:15" x14ac:dyDescent="0.2">
      <c r="A4241" t="s">
        <v>23</v>
      </c>
      <c r="B4241" t="s">
        <v>145</v>
      </c>
      <c r="C4241" t="s">
        <v>142</v>
      </c>
      <c r="D4241" t="s">
        <v>124</v>
      </c>
      <c r="E4241" t="s">
        <v>53</v>
      </c>
      <c r="F4241" t="s">
        <v>114</v>
      </c>
      <c r="G4241">
        <v>120664</v>
      </c>
      <c r="H4241" s="75">
        <v>41141</v>
      </c>
      <c r="I4241" t="s">
        <v>118</v>
      </c>
      <c r="J4241">
        <v>3372.05</v>
      </c>
      <c r="K4241">
        <v>0</v>
      </c>
      <c r="M4241">
        <v>6744.1059999999998</v>
      </c>
      <c r="N4241" t="s">
        <v>19</v>
      </c>
      <c r="O4241">
        <v>3372.05</v>
      </c>
    </row>
    <row r="4242" spans="1:15" x14ac:dyDescent="0.2">
      <c r="A4242" t="s">
        <v>23</v>
      </c>
      <c r="B4242" t="s">
        <v>145</v>
      </c>
      <c r="C4242" t="s">
        <v>142</v>
      </c>
      <c r="D4242" t="s">
        <v>124</v>
      </c>
      <c r="E4242" t="s">
        <v>53</v>
      </c>
      <c r="F4242" t="s">
        <v>114</v>
      </c>
      <c r="G4242">
        <v>120664</v>
      </c>
      <c r="H4242" s="75">
        <v>41171</v>
      </c>
      <c r="I4242" t="s">
        <v>115</v>
      </c>
      <c r="J4242">
        <v>5000</v>
      </c>
      <c r="K4242">
        <v>193.553</v>
      </c>
      <c r="L4242">
        <v>25.832799999999999</v>
      </c>
      <c r="M4242">
        <v>6937.6589999999997</v>
      </c>
      <c r="N4242" t="s">
        <v>15</v>
      </c>
    </row>
    <row r="4243" spans="1:15" x14ac:dyDescent="0.2">
      <c r="A4243" t="s">
        <v>23</v>
      </c>
      <c r="B4243" t="s">
        <v>145</v>
      </c>
      <c r="C4243" t="s">
        <v>142</v>
      </c>
      <c r="D4243" t="s">
        <v>124</v>
      </c>
      <c r="E4243" t="s">
        <v>53</v>
      </c>
      <c r="F4243" t="s">
        <v>114</v>
      </c>
      <c r="G4243">
        <v>120664</v>
      </c>
      <c r="H4243" s="75">
        <v>41201</v>
      </c>
      <c r="I4243" t="s">
        <v>115</v>
      </c>
      <c r="J4243">
        <v>5000</v>
      </c>
      <c r="K4243">
        <v>195.874</v>
      </c>
      <c r="L4243">
        <v>25.526599999999998</v>
      </c>
      <c r="M4243">
        <v>7133.5330000000004</v>
      </c>
      <c r="N4243" t="s">
        <v>15</v>
      </c>
    </row>
    <row r="4244" spans="1:15" x14ac:dyDescent="0.2">
      <c r="A4244" t="s">
        <v>23</v>
      </c>
      <c r="B4244" t="s">
        <v>145</v>
      </c>
      <c r="C4244" t="s">
        <v>142</v>
      </c>
      <c r="D4244" t="s">
        <v>124</v>
      </c>
      <c r="E4244" t="s">
        <v>53</v>
      </c>
      <c r="F4244" t="s">
        <v>114</v>
      </c>
      <c r="G4244">
        <v>120664</v>
      </c>
      <c r="H4244" s="75">
        <v>41201</v>
      </c>
      <c r="I4244" t="s">
        <v>118</v>
      </c>
      <c r="J4244">
        <v>3566.77</v>
      </c>
      <c r="K4244">
        <v>0</v>
      </c>
      <c r="M4244">
        <v>7133.5330000000004</v>
      </c>
      <c r="N4244" t="s">
        <v>19</v>
      </c>
      <c r="O4244">
        <v>3566.77</v>
      </c>
    </row>
    <row r="4245" spans="1:15" x14ac:dyDescent="0.2">
      <c r="A4245" t="s">
        <v>23</v>
      </c>
      <c r="B4245" t="s">
        <v>145</v>
      </c>
      <c r="C4245" t="s">
        <v>142</v>
      </c>
      <c r="D4245" t="s">
        <v>124</v>
      </c>
      <c r="E4245" t="s">
        <v>53</v>
      </c>
      <c r="F4245" t="s">
        <v>114</v>
      </c>
      <c r="G4245">
        <v>120664</v>
      </c>
      <c r="H4245" s="75">
        <v>41231</v>
      </c>
      <c r="I4245" t="s">
        <v>115</v>
      </c>
      <c r="J4245">
        <v>5000</v>
      </c>
      <c r="K4245">
        <v>192.089</v>
      </c>
      <c r="L4245">
        <v>26.029599999999999</v>
      </c>
      <c r="M4245">
        <v>7325.6220000000003</v>
      </c>
      <c r="N4245" t="s">
        <v>15</v>
      </c>
    </row>
    <row r="4246" spans="1:15" x14ac:dyDescent="0.2">
      <c r="A4246" t="s">
        <v>23</v>
      </c>
      <c r="B4246" t="s">
        <v>145</v>
      </c>
      <c r="C4246" t="s">
        <v>142</v>
      </c>
      <c r="D4246" t="s">
        <v>124</v>
      </c>
      <c r="E4246" t="s">
        <v>53</v>
      </c>
      <c r="F4246" t="s">
        <v>114</v>
      </c>
      <c r="G4246">
        <v>120664</v>
      </c>
      <c r="H4246" s="75">
        <v>41261</v>
      </c>
      <c r="I4246" t="s">
        <v>115</v>
      </c>
      <c r="J4246">
        <v>5000</v>
      </c>
      <c r="K4246">
        <v>190.101</v>
      </c>
      <c r="L4246">
        <v>26.3018</v>
      </c>
      <c r="M4246">
        <v>7515.723</v>
      </c>
      <c r="N4246" t="s">
        <v>15</v>
      </c>
    </row>
    <row r="4247" spans="1:15" x14ac:dyDescent="0.2">
      <c r="A4247" t="s">
        <v>23</v>
      </c>
      <c r="B4247" t="s">
        <v>145</v>
      </c>
      <c r="C4247" t="s">
        <v>142</v>
      </c>
      <c r="D4247" t="s">
        <v>124</v>
      </c>
      <c r="E4247" t="s">
        <v>53</v>
      </c>
      <c r="F4247" t="s">
        <v>114</v>
      </c>
      <c r="G4247">
        <v>120664</v>
      </c>
      <c r="H4247" s="75">
        <v>41261</v>
      </c>
      <c r="I4247" t="s">
        <v>117</v>
      </c>
      <c r="J4247">
        <v>2.5</v>
      </c>
      <c r="K4247">
        <v>0</v>
      </c>
      <c r="M4247">
        <v>7515.723</v>
      </c>
      <c r="N4247" t="s">
        <v>46</v>
      </c>
    </row>
    <row r="4248" spans="1:15" x14ac:dyDescent="0.2">
      <c r="A4248" t="s">
        <v>23</v>
      </c>
      <c r="B4248" t="s">
        <v>145</v>
      </c>
      <c r="C4248" t="s">
        <v>142</v>
      </c>
      <c r="D4248" t="s">
        <v>124</v>
      </c>
      <c r="E4248" t="s">
        <v>53</v>
      </c>
      <c r="F4248" t="s">
        <v>114</v>
      </c>
      <c r="G4248">
        <v>120664</v>
      </c>
      <c r="H4248" s="75">
        <v>41291</v>
      </c>
      <c r="I4248" t="s">
        <v>115</v>
      </c>
      <c r="J4248">
        <v>5000</v>
      </c>
      <c r="K4248">
        <v>192.67400000000001</v>
      </c>
      <c r="L4248">
        <v>25.950600000000001</v>
      </c>
      <c r="M4248">
        <v>7708.3969999999999</v>
      </c>
      <c r="N4248" t="s">
        <v>15</v>
      </c>
    </row>
    <row r="4249" spans="1:15" x14ac:dyDescent="0.2">
      <c r="A4249" t="s">
        <v>23</v>
      </c>
      <c r="B4249" t="s">
        <v>145</v>
      </c>
      <c r="C4249" t="s">
        <v>142</v>
      </c>
      <c r="D4249" t="s">
        <v>124</v>
      </c>
      <c r="E4249" t="s">
        <v>53</v>
      </c>
      <c r="F4249" t="s">
        <v>114</v>
      </c>
      <c r="G4249">
        <v>120664</v>
      </c>
      <c r="H4249" s="75">
        <v>41291</v>
      </c>
      <c r="I4249" t="s">
        <v>116</v>
      </c>
      <c r="J4249">
        <v>2.5</v>
      </c>
      <c r="K4249">
        <v>0</v>
      </c>
      <c r="M4249">
        <v>7708.3969999999999</v>
      </c>
      <c r="N4249" t="s">
        <v>17</v>
      </c>
    </row>
    <row r="4250" spans="1:15" x14ac:dyDescent="0.2">
      <c r="A4250" t="s">
        <v>23</v>
      </c>
      <c r="B4250" t="s">
        <v>145</v>
      </c>
      <c r="C4250" t="s">
        <v>142</v>
      </c>
      <c r="D4250" t="s">
        <v>124</v>
      </c>
      <c r="E4250" t="s">
        <v>53</v>
      </c>
      <c r="F4250" t="s">
        <v>114</v>
      </c>
      <c r="G4250">
        <v>120664</v>
      </c>
      <c r="H4250" s="75">
        <v>41291</v>
      </c>
      <c r="I4250" t="s">
        <v>25</v>
      </c>
      <c r="J4250">
        <v>-40007.49</v>
      </c>
      <c r="K4250">
        <v>-1541.6790000000001</v>
      </c>
      <c r="L4250">
        <v>25.950600000000001</v>
      </c>
      <c r="M4250">
        <v>6166.7169999999996</v>
      </c>
      <c r="N4250" t="s">
        <v>16</v>
      </c>
    </row>
    <row r="4251" spans="1:15" x14ac:dyDescent="0.2">
      <c r="A4251" t="s">
        <v>23</v>
      </c>
      <c r="B4251" t="s">
        <v>145</v>
      </c>
      <c r="C4251" t="s">
        <v>142</v>
      </c>
      <c r="D4251" t="s">
        <v>124</v>
      </c>
      <c r="E4251" t="s">
        <v>53</v>
      </c>
      <c r="F4251" t="s">
        <v>114</v>
      </c>
      <c r="G4251">
        <v>120664</v>
      </c>
      <c r="H4251" s="75">
        <v>41321</v>
      </c>
      <c r="I4251" t="s">
        <v>115</v>
      </c>
      <c r="J4251">
        <v>5000</v>
      </c>
      <c r="K4251">
        <v>194.00299999999999</v>
      </c>
      <c r="L4251">
        <v>25.7728</v>
      </c>
      <c r="M4251">
        <v>6360.72</v>
      </c>
      <c r="N4251" t="s">
        <v>15</v>
      </c>
    </row>
    <row r="4252" spans="1:15" x14ac:dyDescent="0.2">
      <c r="A4252" t="s">
        <v>23</v>
      </c>
      <c r="B4252" t="s">
        <v>145</v>
      </c>
      <c r="C4252" t="s">
        <v>142</v>
      </c>
      <c r="D4252" t="s">
        <v>124</v>
      </c>
      <c r="E4252" t="s">
        <v>53</v>
      </c>
      <c r="F4252" t="s">
        <v>114</v>
      </c>
      <c r="G4252">
        <v>120664</v>
      </c>
      <c r="H4252" s="75">
        <v>41351</v>
      </c>
      <c r="I4252" t="s">
        <v>115</v>
      </c>
      <c r="J4252">
        <v>5000</v>
      </c>
      <c r="K4252">
        <v>194.68600000000001</v>
      </c>
      <c r="L4252">
        <v>25.682300000000001</v>
      </c>
      <c r="M4252">
        <v>6555.4070000000002</v>
      </c>
      <c r="N4252" t="s">
        <v>15</v>
      </c>
    </row>
    <row r="4253" spans="1:15" x14ac:dyDescent="0.2">
      <c r="A4253" t="s">
        <v>23</v>
      </c>
      <c r="B4253" t="s">
        <v>145</v>
      </c>
      <c r="C4253" t="s">
        <v>142</v>
      </c>
      <c r="D4253" t="s">
        <v>124</v>
      </c>
      <c r="E4253" t="s">
        <v>53</v>
      </c>
      <c r="F4253" t="s">
        <v>114</v>
      </c>
      <c r="G4253">
        <v>120664</v>
      </c>
      <c r="H4253" s="75">
        <v>41381</v>
      </c>
      <c r="I4253" t="s">
        <v>115</v>
      </c>
      <c r="J4253">
        <v>5000</v>
      </c>
      <c r="K4253">
        <v>193.33199999999999</v>
      </c>
      <c r="L4253">
        <v>25.862200000000001</v>
      </c>
      <c r="M4253">
        <v>6748.7389999999996</v>
      </c>
      <c r="N4253" t="s">
        <v>15</v>
      </c>
    </row>
    <row r="4254" spans="1:15" x14ac:dyDescent="0.2">
      <c r="A4254" t="s">
        <v>23</v>
      </c>
      <c r="B4254" t="s">
        <v>145</v>
      </c>
      <c r="C4254" t="s">
        <v>142</v>
      </c>
      <c r="D4254" t="s">
        <v>124</v>
      </c>
      <c r="E4254" t="s">
        <v>53</v>
      </c>
      <c r="F4254" t="s">
        <v>114</v>
      </c>
      <c r="G4254">
        <v>120664</v>
      </c>
      <c r="H4254" s="75">
        <v>41411</v>
      </c>
      <c r="I4254" t="s">
        <v>115</v>
      </c>
      <c r="J4254">
        <v>5000</v>
      </c>
      <c r="K4254">
        <v>190.93899999999999</v>
      </c>
      <c r="L4254">
        <v>26.186399999999999</v>
      </c>
      <c r="M4254">
        <v>6939.6779999999999</v>
      </c>
      <c r="N4254" t="s">
        <v>15</v>
      </c>
    </row>
    <row r="4255" spans="1:15" x14ac:dyDescent="0.2">
      <c r="A4255" t="s">
        <v>23</v>
      </c>
      <c r="B4255" t="s">
        <v>145</v>
      </c>
      <c r="C4255" t="s">
        <v>142</v>
      </c>
      <c r="D4255" t="s">
        <v>124</v>
      </c>
      <c r="E4255" t="s">
        <v>53</v>
      </c>
      <c r="F4255" t="s">
        <v>114</v>
      </c>
      <c r="G4255">
        <v>120664</v>
      </c>
      <c r="H4255" s="75">
        <v>41441</v>
      </c>
      <c r="I4255" t="s">
        <v>115</v>
      </c>
      <c r="J4255">
        <v>5000</v>
      </c>
      <c r="K4255">
        <v>194.072</v>
      </c>
      <c r="L4255">
        <v>25.7636</v>
      </c>
      <c r="M4255">
        <v>7133.75</v>
      </c>
      <c r="N4255" t="s">
        <v>15</v>
      </c>
    </row>
    <row r="4256" spans="1:15" x14ac:dyDescent="0.2">
      <c r="A4256" t="s">
        <v>23</v>
      </c>
      <c r="B4256" t="s">
        <v>145</v>
      </c>
      <c r="C4256" t="s">
        <v>142</v>
      </c>
      <c r="D4256" t="s">
        <v>124</v>
      </c>
      <c r="E4256" t="s">
        <v>53</v>
      </c>
      <c r="F4256" t="s">
        <v>114</v>
      </c>
      <c r="G4256">
        <v>120664</v>
      </c>
      <c r="H4256" s="75">
        <v>41471</v>
      </c>
      <c r="I4256" t="s">
        <v>115</v>
      </c>
      <c r="J4256">
        <v>5000</v>
      </c>
      <c r="K4256">
        <v>191.232</v>
      </c>
      <c r="L4256">
        <v>26.1462</v>
      </c>
      <c r="M4256">
        <v>7324.982</v>
      </c>
      <c r="N4256" t="s">
        <v>15</v>
      </c>
    </row>
    <row r="4257" spans="1:15" x14ac:dyDescent="0.2">
      <c r="A4257" t="s">
        <v>23</v>
      </c>
      <c r="B4257" t="s">
        <v>145</v>
      </c>
      <c r="C4257" t="s">
        <v>142</v>
      </c>
      <c r="D4257" t="s">
        <v>124</v>
      </c>
      <c r="E4257" t="s">
        <v>53</v>
      </c>
      <c r="F4257" t="s">
        <v>114</v>
      </c>
      <c r="G4257">
        <v>120664</v>
      </c>
      <c r="H4257" s="75">
        <v>41501</v>
      </c>
      <c r="I4257" t="s">
        <v>115</v>
      </c>
      <c r="J4257">
        <v>5000</v>
      </c>
      <c r="K4257">
        <v>193.88300000000001</v>
      </c>
      <c r="L4257">
        <v>25.788799999999998</v>
      </c>
      <c r="M4257">
        <v>7518.8649999999998</v>
      </c>
      <c r="N4257" t="s">
        <v>15</v>
      </c>
    </row>
    <row r="4258" spans="1:15" x14ac:dyDescent="0.2">
      <c r="A4258" t="s">
        <v>23</v>
      </c>
      <c r="B4258" t="s">
        <v>145</v>
      </c>
      <c r="C4258" t="s">
        <v>142</v>
      </c>
      <c r="D4258" t="s">
        <v>124</v>
      </c>
      <c r="E4258" t="s">
        <v>53</v>
      </c>
      <c r="F4258" t="s">
        <v>114</v>
      </c>
      <c r="G4258">
        <v>120664</v>
      </c>
      <c r="H4258" s="75">
        <v>41531</v>
      </c>
      <c r="I4258" t="s">
        <v>115</v>
      </c>
      <c r="J4258">
        <v>5000</v>
      </c>
      <c r="K4258">
        <v>193.23500000000001</v>
      </c>
      <c r="L4258">
        <v>25.875299999999999</v>
      </c>
      <c r="M4258">
        <v>7712.0990000000002</v>
      </c>
      <c r="N4258" t="s">
        <v>15</v>
      </c>
    </row>
    <row r="4259" spans="1:15" x14ac:dyDescent="0.2">
      <c r="A4259" t="s">
        <v>23</v>
      </c>
      <c r="B4259" t="s">
        <v>145</v>
      </c>
      <c r="C4259" t="s">
        <v>142</v>
      </c>
      <c r="D4259" t="s">
        <v>124</v>
      </c>
      <c r="E4259" t="s">
        <v>53</v>
      </c>
      <c r="F4259" t="s">
        <v>114</v>
      </c>
      <c r="G4259">
        <v>120664</v>
      </c>
      <c r="H4259" s="75">
        <v>41561</v>
      </c>
      <c r="I4259" t="s">
        <v>115</v>
      </c>
      <c r="J4259">
        <v>5000</v>
      </c>
      <c r="K4259">
        <v>192.19900000000001</v>
      </c>
      <c r="L4259">
        <v>26.014600000000002</v>
      </c>
      <c r="M4259">
        <v>7904.299</v>
      </c>
      <c r="N4259" t="s">
        <v>15</v>
      </c>
    </row>
    <row r="4260" spans="1:15" x14ac:dyDescent="0.2">
      <c r="A4260" t="s">
        <v>23</v>
      </c>
      <c r="B4260" t="s">
        <v>145</v>
      </c>
      <c r="C4260" t="s">
        <v>142</v>
      </c>
      <c r="D4260" t="s">
        <v>124</v>
      </c>
      <c r="E4260" t="s">
        <v>53</v>
      </c>
      <c r="F4260" t="s">
        <v>114</v>
      </c>
      <c r="G4260">
        <v>120664</v>
      </c>
      <c r="H4260" s="75">
        <v>41591</v>
      </c>
      <c r="I4260" t="s">
        <v>115</v>
      </c>
      <c r="J4260">
        <v>5000</v>
      </c>
      <c r="K4260">
        <v>189.44300000000001</v>
      </c>
      <c r="L4260">
        <v>26.3932</v>
      </c>
      <c r="M4260">
        <v>8093.7420000000002</v>
      </c>
      <c r="N4260" t="s">
        <v>15</v>
      </c>
    </row>
    <row r="4261" spans="1:15" x14ac:dyDescent="0.2">
      <c r="A4261" t="s">
        <v>23</v>
      </c>
      <c r="B4261" t="s">
        <v>145</v>
      </c>
      <c r="C4261" t="s">
        <v>142</v>
      </c>
      <c r="D4261" t="s">
        <v>124</v>
      </c>
      <c r="E4261" t="s">
        <v>53</v>
      </c>
      <c r="F4261" t="s">
        <v>114</v>
      </c>
      <c r="G4261">
        <v>120664</v>
      </c>
      <c r="H4261" s="75">
        <v>41621</v>
      </c>
      <c r="I4261" t="s">
        <v>115</v>
      </c>
      <c r="J4261">
        <v>5000</v>
      </c>
      <c r="K4261">
        <v>188.441</v>
      </c>
      <c r="L4261">
        <v>26.5335</v>
      </c>
      <c r="M4261">
        <v>8282.1830000000009</v>
      </c>
      <c r="N4261" t="s">
        <v>15</v>
      </c>
    </row>
    <row r="4262" spans="1:15" x14ac:dyDescent="0.2">
      <c r="A4262" t="s">
        <v>23</v>
      </c>
      <c r="B4262" t="s">
        <v>145</v>
      </c>
      <c r="C4262" t="s">
        <v>142</v>
      </c>
      <c r="D4262" t="s">
        <v>124</v>
      </c>
      <c r="E4262" t="s">
        <v>53</v>
      </c>
      <c r="F4262" t="s">
        <v>114</v>
      </c>
      <c r="G4262">
        <v>120664</v>
      </c>
      <c r="H4262" s="75">
        <v>41621</v>
      </c>
      <c r="I4262" t="s">
        <v>116</v>
      </c>
      <c r="J4262">
        <v>2.5</v>
      </c>
      <c r="K4262">
        <v>0</v>
      </c>
      <c r="M4262">
        <v>8282.1830000000009</v>
      </c>
      <c r="N4262" t="s">
        <v>17</v>
      </c>
    </row>
    <row r="4263" spans="1:15" x14ac:dyDescent="0.2">
      <c r="A4263" t="s">
        <v>23</v>
      </c>
      <c r="B4263" t="s">
        <v>145</v>
      </c>
      <c r="C4263" t="s">
        <v>142</v>
      </c>
      <c r="D4263" t="s">
        <v>124</v>
      </c>
      <c r="E4263" t="s">
        <v>53</v>
      </c>
      <c r="F4263" t="s">
        <v>114</v>
      </c>
      <c r="G4263">
        <v>120664</v>
      </c>
      <c r="H4263" s="75">
        <v>41651</v>
      </c>
      <c r="I4263" t="s">
        <v>115</v>
      </c>
      <c r="J4263">
        <v>5000</v>
      </c>
      <c r="K4263">
        <v>190.15199999999999</v>
      </c>
      <c r="L4263">
        <v>26.294799999999999</v>
      </c>
      <c r="M4263">
        <v>8472.3349999999991</v>
      </c>
      <c r="N4263" t="s">
        <v>15</v>
      </c>
    </row>
    <row r="4264" spans="1:15" x14ac:dyDescent="0.2">
      <c r="A4264" t="s">
        <v>23</v>
      </c>
      <c r="B4264" t="s">
        <v>145</v>
      </c>
      <c r="C4264" t="s">
        <v>142</v>
      </c>
      <c r="D4264" t="s">
        <v>124</v>
      </c>
      <c r="E4264" t="s">
        <v>53</v>
      </c>
      <c r="F4264" t="s">
        <v>114</v>
      </c>
      <c r="G4264">
        <v>120664</v>
      </c>
      <c r="H4264" s="75">
        <v>41651</v>
      </c>
      <c r="I4264" t="s">
        <v>116</v>
      </c>
      <c r="J4264">
        <v>2.5</v>
      </c>
      <c r="K4264">
        <v>0</v>
      </c>
      <c r="M4264">
        <v>8472.3349999999991</v>
      </c>
      <c r="N4264" t="s">
        <v>17</v>
      </c>
    </row>
    <row r="4265" spans="1:15" x14ac:dyDescent="0.2">
      <c r="A4265" t="s">
        <v>23</v>
      </c>
      <c r="B4265" t="s">
        <v>145</v>
      </c>
      <c r="C4265" t="s">
        <v>142</v>
      </c>
      <c r="D4265" t="s">
        <v>124</v>
      </c>
      <c r="E4265" t="s">
        <v>53</v>
      </c>
      <c r="F4265" t="s">
        <v>114</v>
      </c>
      <c r="G4265">
        <v>120664</v>
      </c>
      <c r="H4265" s="75">
        <v>41681</v>
      </c>
      <c r="I4265" t="s">
        <v>115</v>
      </c>
      <c r="J4265">
        <v>5000</v>
      </c>
      <c r="K4265">
        <v>189.321</v>
      </c>
      <c r="L4265">
        <v>26.4101</v>
      </c>
      <c r="M4265">
        <v>8661.6560000000009</v>
      </c>
      <c r="N4265" t="s">
        <v>15</v>
      </c>
    </row>
    <row r="4266" spans="1:15" x14ac:dyDescent="0.2">
      <c r="A4266" t="s">
        <v>23</v>
      </c>
      <c r="B4266" t="s">
        <v>145</v>
      </c>
      <c r="C4266" t="s">
        <v>142</v>
      </c>
      <c r="D4266" t="s">
        <v>124</v>
      </c>
      <c r="E4266" t="s">
        <v>53</v>
      </c>
      <c r="F4266" t="s">
        <v>114</v>
      </c>
      <c r="G4266">
        <v>120664</v>
      </c>
      <c r="H4266" s="75">
        <v>41711</v>
      </c>
      <c r="I4266" t="s">
        <v>115</v>
      </c>
      <c r="J4266">
        <v>5000</v>
      </c>
      <c r="K4266">
        <v>188.92099999999999</v>
      </c>
      <c r="L4266">
        <v>26.466000000000001</v>
      </c>
      <c r="M4266">
        <v>8850.5769999999993</v>
      </c>
      <c r="N4266" t="s">
        <v>15</v>
      </c>
    </row>
    <row r="4267" spans="1:15" x14ac:dyDescent="0.2">
      <c r="A4267" t="s">
        <v>23</v>
      </c>
      <c r="B4267" t="s">
        <v>145</v>
      </c>
      <c r="C4267" t="s">
        <v>142</v>
      </c>
      <c r="D4267" t="s">
        <v>124</v>
      </c>
      <c r="E4267" t="s">
        <v>53</v>
      </c>
      <c r="F4267" t="s">
        <v>114</v>
      </c>
      <c r="G4267">
        <v>120664</v>
      </c>
      <c r="H4267" s="75">
        <v>41711</v>
      </c>
      <c r="I4267" t="s">
        <v>117</v>
      </c>
      <c r="J4267">
        <v>2.5</v>
      </c>
      <c r="K4267">
        <v>0</v>
      </c>
      <c r="M4267">
        <v>8850.5769999999993</v>
      </c>
      <c r="N4267" t="s">
        <v>46</v>
      </c>
    </row>
    <row r="4268" spans="1:15" x14ac:dyDescent="0.2">
      <c r="A4268" t="s">
        <v>23</v>
      </c>
      <c r="B4268" t="s">
        <v>145</v>
      </c>
      <c r="C4268" t="s">
        <v>142</v>
      </c>
      <c r="D4268" t="s">
        <v>124</v>
      </c>
      <c r="E4268" t="s">
        <v>53</v>
      </c>
      <c r="F4268" t="s">
        <v>114</v>
      </c>
      <c r="G4268">
        <v>120664</v>
      </c>
      <c r="H4268" s="75">
        <v>41741</v>
      </c>
      <c r="I4268" t="s">
        <v>115</v>
      </c>
      <c r="J4268">
        <v>5000</v>
      </c>
      <c r="K4268">
        <v>187.28</v>
      </c>
      <c r="L4268">
        <v>26.698</v>
      </c>
      <c r="M4268">
        <v>9037.8580000000002</v>
      </c>
      <c r="N4268" t="s">
        <v>15</v>
      </c>
    </row>
    <row r="4269" spans="1:15" x14ac:dyDescent="0.2">
      <c r="A4269" t="s">
        <v>23</v>
      </c>
      <c r="B4269" t="s">
        <v>145</v>
      </c>
      <c r="C4269" t="s">
        <v>142</v>
      </c>
      <c r="D4269" t="s">
        <v>124</v>
      </c>
      <c r="E4269" t="s">
        <v>53</v>
      </c>
      <c r="F4269" t="s">
        <v>114</v>
      </c>
      <c r="G4269">
        <v>120664</v>
      </c>
      <c r="H4269" s="75">
        <v>41741</v>
      </c>
      <c r="I4269" t="s">
        <v>116</v>
      </c>
      <c r="J4269">
        <v>2.5</v>
      </c>
      <c r="K4269">
        <v>0</v>
      </c>
      <c r="M4269">
        <v>9037.8580000000002</v>
      </c>
      <c r="N4269" t="s">
        <v>17</v>
      </c>
    </row>
    <row r="4270" spans="1:15" x14ac:dyDescent="0.2">
      <c r="A4270" t="s">
        <v>23</v>
      </c>
      <c r="B4270" t="s">
        <v>145</v>
      </c>
      <c r="C4270" t="s">
        <v>142</v>
      </c>
      <c r="D4270" t="s">
        <v>124</v>
      </c>
      <c r="E4270" t="s">
        <v>53</v>
      </c>
      <c r="F4270" t="s">
        <v>114</v>
      </c>
      <c r="G4270">
        <v>120664</v>
      </c>
      <c r="H4270" s="75">
        <v>41771</v>
      </c>
      <c r="I4270" t="s">
        <v>115</v>
      </c>
      <c r="J4270">
        <v>5000</v>
      </c>
      <c r="K4270">
        <v>182.43799999999999</v>
      </c>
      <c r="L4270">
        <v>27.406500000000001</v>
      </c>
      <c r="M4270">
        <v>9220.2960000000003</v>
      </c>
      <c r="N4270" t="s">
        <v>15</v>
      </c>
    </row>
    <row r="4271" spans="1:15" x14ac:dyDescent="0.2">
      <c r="A4271" t="s">
        <v>23</v>
      </c>
      <c r="B4271" t="s">
        <v>145</v>
      </c>
      <c r="C4271" t="s">
        <v>142</v>
      </c>
      <c r="D4271" t="s">
        <v>124</v>
      </c>
      <c r="E4271" t="s">
        <v>53</v>
      </c>
      <c r="F4271" t="s">
        <v>114</v>
      </c>
      <c r="G4271">
        <v>120664</v>
      </c>
      <c r="H4271" s="75">
        <v>41801</v>
      </c>
      <c r="I4271" t="s">
        <v>115</v>
      </c>
      <c r="J4271">
        <v>5000</v>
      </c>
      <c r="K4271">
        <v>182.80199999999999</v>
      </c>
      <c r="L4271">
        <v>27.3521</v>
      </c>
      <c r="M4271">
        <v>9403.0969999999998</v>
      </c>
      <c r="N4271" t="s">
        <v>15</v>
      </c>
    </row>
    <row r="4272" spans="1:15" x14ac:dyDescent="0.2">
      <c r="A4272" t="s">
        <v>23</v>
      </c>
      <c r="B4272" t="s">
        <v>145</v>
      </c>
      <c r="C4272" t="s">
        <v>142</v>
      </c>
      <c r="D4272" t="s">
        <v>124</v>
      </c>
      <c r="E4272" t="s">
        <v>53</v>
      </c>
      <c r="F4272" t="s">
        <v>114</v>
      </c>
      <c r="G4272">
        <v>120664</v>
      </c>
      <c r="H4272" s="75">
        <v>41801</v>
      </c>
      <c r="I4272" t="s">
        <v>118</v>
      </c>
      <c r="J4272">
        <v>4701.55</v>
      </c>
      <c r="K4272">
        <v>0</v>
      </c>
      <c r="M4272">
        <v>9403.0969999999998</v>
      </c>
      <c r="N4272" t="s">
        <v>19</v>
      </c>
      <c r="O4272">
        <v>4701.55</v>
      </c>
    </row>
    <row r="4273" spans="1:14" x14ac:dyDescent="0.2">
      <c r="A4273" t="s">
        <v>23</v>
      </c>
      <c r="B4273" t="s">
        <v>145</v>
      </c>
      <c r="C4273" t="s">
        <v>142</v>
      </c>
      <c r="D4273" t="s">
        <v>124</v>
      </c>
      <c r="E4273" t="s">
        <v>53</v>
      </c>
      <c r="F4273" t="s">
        <v>114</v>
      </c>
      <c r="G4273">
        <v>120664</v>
      </c>
      <c r="H4273" s="75">
        <v>41831</v>
      </c>
      <c r="I4273" t="s">
        <v>115</v>
      </c>
      <c r="J4273">
        <v>5000</v>
      </c>
      <c r="K4273">
        <v>185.56200000000001</v>
      </c>
      <c r="L4273">
        <v>26.9452</v>
      </c>
      <c r="M4273">
        <v>9588.6589999999997</v>
      </c>
      <c r="N4273" t="s">
        <v>15</v>
      </c>
    </row>
    <row r="4274" spans="1:14" x14ac:dyDescent="0.2">
      <c r="A4274" t="s">
        <v>23</v>
      </c>
      <c r="B4274" t="s">
        <v>145</v>
      </c>
      <c r="C4274" t="s">
        <v>142</v>
      </c>
      <c r="D4274" t="s">
        <v>124</v>
      </c>
      <c r="E4274" t="s">
        <v>53</v>
      </c>
      <c r="F4274" t="s">
        <v>114</v>
      </c>
      <c r="G4274">
        <v>120664</v>
      </c>
      <c r="H4274" s="75">
        <v>41831</v>
      </c>
      <c r="I4274" t="s">
        <v>117</v>
      </c>
      <c r="J4274">
        <v>2.5</v>
      </c>
      <c r="K4274">
        <v>0</v>
      </c>
      <c r="M4274">
        <v>9588.6589999999997</v>
      </c>
      <c r="N4274" t="s">
        <v>46</v>
      </c>
    </row>
    <row r="4275" spans="1:14" x14ac:dyDescent="0.2">
      <c r="A4275" t="s">
        <v>23</v>
      </c>
      <c r="B4275" t="s">
        <v>145</v>
      </c>
      <c r="C4275" t="s">
        <v>142</v>
      </c>
      <c r="D4275" t="s">
        <v>124</v>
      </c>
      <c r="E4275" t="s">
        <v>53</v>
      </c>
      <c r="F4275" t="s">
        <v>114</v>
      </c>
      <c r="G4275">
        <v>120664</v>
      </c>
      <c r="H4275" s="75">
        <v>41831</v>
      </c>
      <c r="I4275" t="s">
        <v>25</v>
      </c>
      <c r="J4275">
        <v>-51673.73</v>
      </c>
      <c r="K4275">
        <v>-1917.732</v>
      </c>
      <c r="L4275">
        <v>26.9452</v>
      </c>
      <c r="M4275">
        <v>7670.9269999999997</v>
      </c>
      <c r="N4275" t="s">
        <v>16</v>
      </c>
    </row>
    <row r="4276" spans="1:14" x14ac:dyDescent="0.2">
      <c r="A4276" t="s">
        <v>23</v>
      </c>
      <c r="B4276" t="s">
        <v>145</v>
      </c>
      <c r="C4276" t="s">
        <v>142</v>
      </c>
      <c r="D4276" t="s">
        <v>124</v>
      </c>
      <c r="E4276" t="s">
        <v>53</v>
      </c>
      <c r="F4276" t="s">
        <v>114</v>
      </c>
      <c r="G4276">
        <v>120664</v>
      </c>
      <c r="H4276" s="75">
        <v>41861</v>
      </c>
      <c r="I4276" t="s">
        <v>115</v>
      </c>
      <c r="J4276">
        <v>5000</v>
      </c>
      <c r="K4276">
        <v>187.30099999999999</v>
      </c>
      <c r="L4276">
        <v>26.695</v>
      </c>
      <c r="M4276">
        <v>7858.2280000000001</v>
      </c>
      <c r="N4276" t="s">
        <v>15</v>
      </c>
    </row>
    <row r="4277" spans="1:14" x14ac:dyDescent="0.2">
      <c r="A4277" t="s">
        <v>23</v>
      </c>
      <c r="B4277" t="s">
        <v>145</v>
      </c>
      <c r="C4277" t="s">
        <v>142</v>
      </c>
      <c r="D4277" t="s">
        <v>124</v>
      </c>
      <c r="E4277" t="s">
        <v>53</v>
      </c>
      <c r="F4277" t="s">
        <v>114</v>
      </c>
      <c r="G4277">
        <v>120664</v>
      </c>
      <c r="H4277" s="75">
        <v>41891</v>
      </c>
      <c r="I4277" t="s">
        <v>115</v>
      </c>
      <c r="J4277">
        <v>5000</v>
      </c>
      <c r="K4277">
        <v>182.928</v>
      </c>
      <c r="L4277">
        <v>27.333200000000001</v>
      </c>
      <c r="M4277">
        <v>8041.1559999999999</v>
      </c>
      <c r="N4277" t="s">
        <v>15</v>
      </c>
    </row>
    <row r="4278" spans="1:14" x14ac:dyDescent="0.2">
      <c r="A4278" t="s">
        <v>23</v>
      </c>
      <c r="B4278" t="s">
        <v>145</v>
      </c>
      <c r="C4278" t="s">
        <v>142</v>
      </c>
      <c r="D4278" t="s">
        <v>124</v>
      </c>
      <c r="E4278" t="s">
        <v>53</v>
      </c>
      <c r="F4278" t="s">
        <v>114</v>
      </c>
      <c r="G4278">
        <v>120664</v>
      </c>
      <c r="H4278" s="75">
        <v>41921</v>
      </c>
      <c r="I4278" t="s">
        <v>115</v>
      </c>
      <c r="J4278">
        <v>5000</v>
      </c>
      <c r="K4278">
        <v>181.80199999999999</v>
      </c>
      <c r="L4278">
        <v>27.502500000000001</v>
      </c>
      <c r="M4278">
        <v>8222.9580000000005</v>
      </c>
      <c r="N4278" t="s">
        <v>15</v>
      </c>
    </row>
    <row r="4279" spans="1:14" x14ac:dyDescent="0.2">
      <c r="A4279" t="s">
        <v>23</v>
      </c>
      <c r="B4279" t="s">
        <v>145</v>
      </c>
      <c r="C4279" t="s">
        <v>142</v>
      </c>
      <c r="D4279" t="s">
        <v>124</v>
      </c>
      <c r="E4279" t="s">
        <v>53</v>
      </c>
      <c r="F4279" t="s">
        <v>114</v>
      </c>
      <c r="G4279">
        <v>120664</v>
      </c>
      <c r="H4279" s="75">
        <v>41951</v>
      </c>
      <c r="I4279" t="s">
        <v>115</v>
      </c>
      <c r="J4279">
        <v>5000</v>
      </c>
      <c r="K4279">
        <v>181.809</v>
      </c>
      <c r="L4279">
        <v>27.5015</v>
      </c>
      <c r="M4279">
        <v>8404.7659999999996</v>
      </c>
      <c r="N4279" t="s">
        <v>15</v>
      </c>
    </row>
    <row r="4280" spans="1:14" x14ac:dyDescent="0.2">
      <c r="A4280" t="s">
        <v>23</v>
      </c>
      <c r="B4280" t="s">
        <v>145</v>
      </c>
      <c r="C4280" t="s">
        <v>142</v>
      </c>
      <c r="D4280" t="s">
        <v>124</v>
      </c>
      <c r="E4280" t="s">
        <v>53</v>
      </c>
      <c r="F4280" t="s">
        <v>114</v>
      </c>
      <c r="G4280">
        <v>120664</v>
      </c>
      <c r="H4280" s="75">
        <v>41981</v>
      </c>
      <c r="I4280" t="s">
        <v>115</v>
      </c>
      <c r="J4280">
        <v>5000</v>
      </c>
      <c r="K4280">
        <v>181.679</v>
      </c>
      <c r="L4280">
        <v>27.521100000000001</v>
      </c>
      <c r="M4280">
        <v>8586.4459999999999</v>
      </c>
      <c r="N4280" t="s">
        <v>15</v>
      </c>
    </row>
    <row r="4281" spans="1:14" x14ac:dyDescent="0.2">
      <c r="A4281" t="s">
        <v>23</v>
      </c>
      <c r="B4281" t="s">
        <v>145</v>
      </c>
      <c r="C4281" t="s">
        <v>142</v>
      </c>
      <c r="D4281" t="s">
        <v>124</v>
      </c>
      <c r="E4281" t="s">
        <v>53</v>
      </c>
      <c r="F4281" t="s">
        <v>114</v>
      </c>
      <c r="G4281">
        <v>120664</v>
      </c>
      <c r="H4281" s="75">
        <v>42011</v>
      </c>
      <c r="I4281" t="s">
        <v>115</v>
      </c>
      <c r="J4281">
        <v>5000</v>
      </c>
      <c r="K4281">
        <v>178.15100000000001</v>
      </c>
      <c r="L4281">
        <v>28.066099999999999</v>
      </c>
      <c r="M4281">
        <v>8764.5959999999995</v>
      </c>
      <c r="N4281" t="s">
        <v>15</v>
      </c>
    </row>
    <row r="4282" spans="1:14" x14ac:dyDescent="0.2">
      <c r="A4282" t="s">
        <v>23</v>
      </c>
      <c r="B4282" t="s">
        <v>145</v>
      </c>
      <c r="C4282" t="s">
        <v>142</v>
      </c>
      <c r="D4282" t="s">
        <v>124</v>
      </c>
      <c r="E4282" t="s">
        <v>53</v>
      </c>
      <c r="F4282" t="s">
        <v>114</v>
      </c>
      <c r="G4282">
        <v>120664</v>
      </c>
      <c r="H4282" s="75">
        <v>42041</v>
      </c>
      <c r="I4282" t="s">
        <v>115</v>
      </c>
      <c r="J4282">
        <v>5000</v>
      </c>
      <c r="K4282">
        <v>178.54400000000001</v>
      </c>
      <c r="L4282">
        <v>28.004300000000001</v>
      </c>
      <c r="M4282">
        <v>8943.14</v>
      </c>
      <c r="N4282" t="s">
        <v>15</v>
      </c>
    </row>
    <row r="4283" spans="1:14" x14ac:dyDescent="0.2">
      <c r="A4283" t="s">
        <v>23</v>
      </c>
      <c r="B4283" t="s">
        <v>145</v>
      </c>
      <c r="C4283" t="s">
        <v>142</v>
      </c>
      <c r="D4283" t="s">
        <v>124</v>
      </c>
      <c r="E4283" t="s">
        <v>53</v>
      </c>
      <c r="F4283" t="s">
        <v>114</v>
      </c>
      <c r="G4283">
        <v>120664</v>
      </c>
      <c r="H4283" s="75">
        <v>42071</v>
      </c>
      <c r="I4283" t="s">
        <v>115</v>
      </c>
      <c r="J4283">
        <v>5000</v>
      </c>
      <c r="K4283">
        <v>174.619</v>
      </c>
      <c r="L4283">
        <v>28.633800000000001</v>
      </c>
      <c r="M4283">
        <v>9117.759</v>
      </c>
      <c r="N4283" t="s">
        <v>15</v>
      </c>
    </row>
    <row r="4284" spans="1:14" x14ac:dyDescent="0.2">
      <c r="A4284" t="s">
        <v>23</v>
      </c>
      <c r="B4284" t="s">
        <v>145</v>
      </c>
      <c r="C4284" t="s">
        <v>142</v>
      </c>
      <c r="D4284" t="s">
        <v>124</v>
      </c>
      <c r="E4284" t="s">
        <v>53</v>
      </c>
      <c r="F4284" t="s">
        <v>114</v>
      </c>
      <c r="G4284">
        <v>120664</v>
      </c>
      <c r="H4284" s="75">
        <v>42071</v>
      </c>
      <c r="I4284" t="s">
        <v>117</v>
      </c>
      <c r="J4284">
        <v>2.5</v>
      </c>
      <c r="K4284">
        <v>0</v>
      </c>
      <c r="M4284">
        <v>9117.759</v>
      </c>
      <c r="N4284" t="s">
        <v>46</v>
      </c>
    </row>
    <row r="4285" spans="1:14" x14ac:dyDescent="0.2">
      <c r="A4285" t="s">
        <v>23</v>
      </c>
      <c r="B4285" t="s">
        <v>145</v>
      </c>
      <c r="C4285" t="s">
        <v>142</v>
      </c>
      <c r="D4285" t="s">
        <v>124</v>
      </c>
      <c r="E4285" t="s">
        <v>53</v>
      </c>
      <c r="F4285" t="s">
        <v>114</v>
      </c>
      <c r="G4285">
        <v>120664</v>
      </c>
      <c r="H4285" s="75">
        <v>42101</v>
      </c>
      <c r="I4285" t="s">
        <v>115</v>
      </c>
      <c r="J4285">
        <v>5000</v>
      </c>
      <c r="K4285">
        <v>174.88499999999999</v>
      </c>
      <c r="L4285">
        <v>28.590299999999999</v>
      </c>
      <c r="M4285">
        <v>9292.643</v>
      </c>
      <c r="N4285" t="s">
        <v>15</v>
      </c>
    </row>
    <row r="4286" spans="1:14" x14ac:dyDescent="0.2">
      <c r="A4286" t="s">
        <v>23</v>
      </c>
      <c r="B4286" t="s">
        <v>145</v>
      </c>
      <c r="C4286" t="s">
        <v>142</v>
      </c>
      <c r="D4286" t="s">
        <v>124</v>
      </c>
      <c r="E4286" t="s">
        <v>53</v>
      </c>
      <c r="F4286" t="s">
        <v>114</v>
      </c>
      <c r="G4286">
        <v>120664</v>
      </c>
      <c r="H4286" s="75">
        <v>42131</v>
      </c>
      <c r="I4286" t="s">
        <v>115</v>
      </c>
      <c r="J4286">
        <v>5000</v>
      </c>
      <c r="K4286">
        <v>175.43299999999999</v>
      </c>
      <c r="L4286">
        <v>28.500900000000001</v>
      </c>
      <c r="M4286">
        <v>9468.0759999999991</v>
      </c>
      <c r="N4286" t="s">
        <v>15</v>
      </c>
    </row>
    <row r="4287" spans="1:14" x14ac:dyDescent="0.2">
      <c r="A4287" t="s">
        <v>23</v>
      </c>
      <c r="B4287" t="s">
        <v>145</v>
      </c>
      <c r="C4287" t="s">
        <v>142</v>
      </c>
      <c r="D4287" t="s">
        <v>124</v>
      </c>
      <c r="E4287" t="s">
        <v>53</v>
      </c>
      <c r="F4287" t="s">
        <v>114</v>
      </c>
      <c r="G4287">
        <v>120664</v>
      </c>
      <c r="H4287" s="75">
        <v>42161</v>
      </c>
      <c r="I4287" t="s">
        <v>115</v>
      </c>
      <c r="J4287">
        <v>5000</v>
      </c>
      <c r="K4287">
        <v>178.06200000000001</v>
      </c>
      <c r="L4287">
        <v>28.080200000000001</v>
      </c>
      <c r="M4287">
        <v>9646.1380000000008</v>
      </c>
      <c r="N4287" t="s">
        <v>15</v>
      </c>
    </row>
    <row r="4288" spans="1:14" x14ac:dyDescent="0.2">
      <c r="A4288" t="s">
        <v>23</v>
      </c>
      <c r="B4288" t="s">
        <v>145</v>
      </c>
      <c r="C4288" t="s">
        <v>142</v>
      </c>
      <c r="D4288" t="s">
        <v>124</v>
      </c>
      <c r="E4288" t="s">
        <v>53</v>
      </c>
      <c r="F4288" t="s">
        <v>114</v>
      </c>
      <c r="G4288">
        <v>120664</v>
      </c>
      <c r="H4288" s="75">
        <v>42161</v>
      </c>
      <c r="I4288" t="s">
        <v>117</v>
      </c>
      <c r="J4288">
        <v>2.5</v>
      </c>
      <c r="K4288">
        <v>0</v>
      </c>
      <c r="M4288">
        <v>9646.1380000000008</v>
      </c>
      <c r="N4288" t="s">
        <v>46</v>
      </c>
    </row>
    <row r="4289" spans="1:14" x14ac:dyDescent="0.2">
      <c r="A4289" t="s">
        <v>23</v>
      </c>
      <c r="B4289" t="s">
        <v>145</v>
      </c>
      <c r="C4289" t="s">
        <v>142</v>
      </c>
      <c r="D4289" t="s">
        <v>124</v>
      </c>
      <c r="E4289" t="s">
        <v>53</v>
      </c>
      <c r="F4289" t="s">
        <v>114</v>
      </c>
      <c r="G4289">
        <v>120664</v>
      </c>
      <c r="H4289" s="75">
        <v>42191</v>
      </c>
      <c r="I4289" t="s">
        <v>115</v>
      </c>
      <c r="J4289">
        <v>5000</v>
      </c>
      <c r="K4289">
        <v>177.506</v>
      </c>
      <c r="L4289">
        <v>28.168099999999999</v>
      </c>
      <c r="M4289">
        <v>9823.643</v>
      </c>
      <c r="N4289" t="s">
        <v>15</v>
      </c>
    </row>
    <row r="4290" spans="1:14" x14ac:dyDescent="0.2">
      <c r="A4290" t="s">
        <v>23</v>
      </c>
      <c r="B4290" t="s">
        <v>145</v>
      </c>
      <c r="C4290" t="s">
        <v>142</v>
      </c>
      <c r="D4290" t="s">
        <v>124</v>
      </c>
      <c r="E4290" t="s">
        <v>53</v>
      </c>
      <c r="F4290" t="s">
        <v>114</v>
      </c>
      <c r="G4290">
        <v>120664</v>
      </c>
      <c r="H4290" s="75">
        <v>42221</v>
      </c>
      <c r="I4290" t="s">
        <v>115</v>
      </c>
      <c r="J4290">
        <v>5000</v>
      </c>
      <c r="K4290">
        <v>177.67400000000001</v>
      </c>
      <c r="L4290">
        <v>28.141400000000001</v>
      </c>
      <c r="M4290">
        <v>10001.317999999999</v>
      </c>
      <c r="N4290" t="s">
        <v>15</v>
      </c>
    </row>
    <row r="4291" spans="1:14" x14ac:dyDescent="0.2">
      <c r="A4291" t="s">
        <v>23</v>
      </c>
      <c r="B4291" t="s">
        <v>145</v>
      </c>
      <c r="C4291" t="s">
        <v>142</v>
      </c>
      <c r="D4291" t="s">
        <v>124</v>
      </c>
      <c r="E4291" t="s">
        <v>53</v>
      </c>
      <c r="F4291" t="s">
        <v>114</v>
      </c>
      <c r="G4291">
        <v>120664</v>
      </c>
      <c r="H4291" s="75">
        <v>42251</v>
      </c>
      <c r="I4291" t="s">
        <v>115</v>
      </c>
      <c r="J4291">
        <v>5000</v>
      </c>
      <c r="K4291">
        <v>177.68600000000001</v>
      </c>
      <c r="L4291">
        <v>28.139600000000002</v>
      </c>
      <c r="M4291">
        <v>10179.003000000001</v>
      </c>
      <c r="N4291" t="s">
        <v>15</v>
      </c>
    </row>
    <row r="4292" spans="1:14" x14ac:dyDescent="0.2">
      <c r="A4292" t="s">
        <v>23</v>
      </c>
      <c r="B4292" t="s">
        <v>145</v>
      </c>
      <c r="C4292" t="s">
        <v>142</v>
      </c>
      <c r="D4292" t="s">
        <v>124</v>
      </c>
      <c r="E4292" t="s">
        <v>53</v>
      </c>
      <c r="F4292" t="s">
        <v>114</v>
      </c>
      <c r="G4292">
        <v>120664</v>
      </c>
      <c r="H4292" s="75">
        <v>42251</v>
      </c>
      <c r="I4292" t="s">
        <v>25</v>
      </c>
      <c r="J4292">
        <v>-57286.61</v>
      </c>
      <c r="K4292">
        <v>-2035.8009999999999</v>
      </c>
      <c r="L4292">
        <v>28.139600000000002</v>
      </c>
      <c r="M4292">
        <v>8143.2030000000004</v>
      </c>
      <c r="N4292" t="s">
        <v>16</v>
      </c>
    </row>
    <row r="4293" spans="1:14" x14ac:dyDescent="0.2">
      <c r="A4293" t="s">
        <v>23</v>
      </c>
      <c r="B4293" t="s">
        <v>145</v>
      </c>
      <c r="C4293" t="s">
        <v>142</v>
      </c>
      <c r="D4293" t="s">
        <v>124</v>
      </c>
      <c r="E4293" t="s">
        <v>53</v>
      </c>
      <c r="F4293" t="s">
        <v>114</v>
      </c>
      <c r="G4293">
        <v>120664</v>
      </c>
      <c r="H4293" s="75">
        <v>42281</v>
      </c>
      <c r="I4293" t="s">
        <v>115</v>
      </c>
      <c r="J4293">
        <v>5000</v>
      </c>
      <c r="K4293">
        <v>181.27500000000001</v>
      </c>
      <c r="L4293">
        <v>27.5824</v>
      </c>
      <c r="M4293">
        <v>8324.4779999999992</v>
      </c>
      <c r="N4293" t="s">
        <v>15</v>
      </c>
    </row>
    <row r="4294" spans="1:14" x14ac:dyDescent="0.2">
      <c r="A4294" t="s">
        <v>23</v>
      </c>
      <c r="B4294" t="s">
        <v>145</v>
      </c>
      <c r="C4294" t="s">
        <v>142</v>
      </c>
      <c r="D4294" t="s">
        <v>124</v>
      </c>
      <c r="E4294" t="s">
        <v>53</v>
      </c>
      <c r="F4294" t="s">
        <v>114</v>
      </c>
      <c r="G4294">
        <v>120664</v>
      </c>
      <c r="H4294" s="75">
        <v>42281</v>
      </c>
      <c r="I4294" t="s">
        <v>117</v>
      </c>
      <c r="J4294">
        <v>2.5</v>
      </c>
      <c r="K4294">
        <v>0</v>
      </c>
      <c r="M4294">
        <v>8324.4779999999992</v>
      </c>
      <c r="N4294" t="s">
        <v>46</v>
      </c>
    </row>
    <row r="4295" spans="1:14" x14ac:dyDescent="0.2">
      <c r="A4295" t="s">
        <v>23</v>
      </c>
      <c r="B4295" t="s">
        <v>145</v>
      </c>
      <c r="C4295" t="s">
        <v>142</v>
      </c>
      <c r="D4295" t="s">
        <v>124</v>
      </c>
      <c r="E4295" t="s">
        <v>53</v>
      </c>
      <c r="F4295" t="s">
        <v>114</v>
      </c>
      <c r="G4295">
        <v>120664</v>
      </c>
      <c r="H4295" s="75">
        <v>42311</v>
      </c>
      <c r="I4295" t="s">
        <v>115</v>
      </c>
      <c r="J4295">
        <v>5000</v>
      </c>
      <c r="K4295">
        <v>184.18100000000001</v>
      </c>
      <c r="L4295">
        <v>27.147200000000002</v>
      </c>
      <c r="M4295">
        <v>8508.6589999999997</v>
      </c>
      <c r="N4295" t="s">
        <v>15</v>
      </c>
    </row>
    <row r="4296" spans="1:14" x14ac:dyDescent="0.2">
      <c r="A4296" t="s">
        <v>23</v>
      </c>
      <c r="B4296" t="s">
        <v>145</v>
      </c>
      <c r="C4296" t="s">
        <v>142</v>
      </c>
      <c r="D4296" t="s">
        <v>124</v>
      </c>
      <c r="E4296" t="s">
        <v>53</v>
      </c>
      <c r="F4296" t="s">
        <v>114</v>
      </c>
      <c r="G4296">
        <v>120664</v>
      </c>
      <c r="H4296" s="75">
        <v>42341</v>
      </c>
      <c r="I4296" t="s">
        <v>115</v>
      </c>
      <c r="J4296">
        <v>5000</v>
      </c>
      <c r="K4296">
        <v>184.83099999999999</v>
      </c>
      <c r="L4296">
        <v>27.0517</v>
      </c>
      <c r="M4296">
        <v>8693.49</v>
      </c>
      <c r="N4296" t="s">
        <v>15</v>
      </c>
    </row>
    <row r="4297" spans="1:14" x14ac:dyDescent="0.2">
      <c r="A4297" t="s">
        <v>23</v>
      </c>
      <c r="B4297" t="s">
        <v>145</v>
      </c>
      <c r="C4297" t="s">
        <v>142</v>
      </c>
      <c r="D4297" t="s">
        <v>124</v>
      </c>
      <c r="E4297" t="s">
        <v>53</v>
      </c>
      <c r="F4297" t="s">
        <v>114</v>
      </c>
      <c r="G4297">
        <v>120664</v>
      </c>
      <c r="H4297" s="75">
        <v>42371</v>
      </c>
      <c r="I4297" t="s">
        <v>115</v>
      </c>
      <c r="J4297">
        <v>5000</v>
      </c>
      <c r="K4297">
        <v>181.09</v>
      </c>
      <c r="L4297">
        <v>27.610600000000002</v>
      </c>
      <c r="M4297">
        <v>8874.58</v>
      </c>
      <c r="N4297" t="s">
        <v>15</v>
      </c>
    </row>
    <row r="4298" spans="1:14" x14ac:dyDescent="0.2">
      <c r="A4298" t="s">
        <v>23</v>
      </c>
      <c r="B4298" t="s">
        <v>145</v>
      </c>
      <c r="C4298" t="s">
        <v>142</v>
      </c>
      <c r="D4298" t="s">
        <v>124</v>
      </c>
      <c r="E4298" t="s">
        <v>53</v>
      </c>
      <c r="F4298" t="s">
        <v>114</v>
      </c>
      <c r="G4298">
        <v>120664</v>
      </c>
      <c r="H4298" s="75">
        <v>42401</v>
      </c>
      <c r="I4298" t="s">
        <v>115</v>
      </c>
      <c r="J4298">
        <v>5000</v>
      </c>
      <c r="K4298">
        <v>175.91399999999999</v>
      </c>
      <c r="L4298">
        <v>28.422999999999998</v>
      </c>
      <c r="M4298">
        <v>9050.4930000000004</v>
      </c>
      <c r="N4298" t="s">
        <v>15</v>
      </c>
    </row>
    <row r="4299" spans="1:14" x14ac:dyDescent="0.2">
      <c r="A4299" t="s">
        <v>23</v>
      </c>
      <c r="B4299" t="s">
        <v>145</v>
      </c>
      <c r="C4299" t="s">
        <v>142</v>
      </c>
      <c r="D4299" t="s">
        <v>124</v>
      </c>
      <c r="E4299" t="s">
        <v>53</v>
      </c>
      <c r="F4299" t="s">
        <v>114</v>
      </c>
      <c r="G4299">
        <v>120664</v>
      </c>
      <c r="H4299" s="75">
        <v>42431</v>
      </c>
      <c r="I4299" t="s">
        <v>115</v>
      </c>
      <c r="J4299">
        <v>5000</v>
      </c>
      <c r="K4299">
        <v>172.91399999999999</v>
      </c>
      <c r="L4299">
        <v>28.9161</v>
      </c>
      <c r="M4299">
        <v>9223.4069999999992</v>
      </c>
      <c r="N4299" t="s">
        <v>15</v>
      </c>
    </row>
    <row r="4300" spans="1:14" x14ac:dyDescent="0.2">
      <c r="A4300" t="s">
        <v>23</v>
      </c>
      <c r="B4300" t="s">
        <v>145</v>
      </c>
      <c r="C4300" t="s">
        <v>142</v>
      </c>
      <c r="D4300" t="s">
        <v>124</v>
      </c>
      <c r="E4300" t="s">
        <v>53</v>
      </c>
      <c r="F4300" t="s">
        <v>114</v>
      </c>
      <c r="G4300">
        <v>120664</v>
      </c>
      <c r="H4300" s="75">
        <v>42431</v>
      </c>
      <c r="I4300" t="s">
        <v>117</v>
      </c>
      <c r="J4300">
        <v>2.5</v>
      </c>
      <c r="K4300">
        <v>0</v>
      </c>
      <c r="M4300">
        <v>9223.4069999999992</v>
      </c>
      <c r="N4300" t="s">
        <v>46</v>
      </c>
    </row>
    <row r="4301" spans="1:14" x14ac:dyDescent="0.2">
      <c r="A4301" t="s">
        <v>23</v>
      </c>
      <c r="B4301" t="s">
        <v>145</v>
      </c>
      <c r="C4301" t="s">
        <v>142</v>
      </c>
      <c r="D4301" t="s">
        <v>124</v>
      </c>
      <c r="E4301" t="s">
        <v>53</v>
      </c>
      <c r="F4301" t="s">
        <v>114</v>
      </c>
      <c r="G4301">
        <v>120664</v>
      </c>
      <c r="H4301" s="75">
        <v>42461</v>
      </c>
      <c r="I4301" t="s">
        <v>115</v>
      </c>
      <c r="J4301">
        <v>5000</v>
      </c>
      <c r="K4301">
        <v>168.00200000000001</v>
      </c>
      <c r="L4301">
        <v>29.761500000000002</v>
      </c>
      <c r="M4301">
        <v>9391.41</v>
      </c>
      <c r="N4301" t="s">
        <v>15</v>
      </c>
    </row>
    <row r="4302" spans="1:14" x14ac:dyDescent="0.2">
      <c r="A4302" t="s">
        <v>23</v>
      </c>
      <c r="B4302" t="s">
        <v>145</v>
      </c>
      <c r="C4302" t="s">
        <v>142</v>
      </c>
      <c r="D4302" t="s">
        <v>124</v>
      </c>
      <c r="E4302" t="s">
        <v>53</v>
      </c>
      <c r="F4302" t="s">
        <v>114</v>
      </c>
      <c r="G4302">
        <v>120664</v>
      </c>
      <c r="H4302" s="75">
        <v>42491</v>
      </c>
      <c r="I4302" t="s">
        <v>115</v>
      </c>
      <c r="J4302">
        <v>5000</v>
      </c>
      <c r="K4302">
        <v>170.839</v>
      </c>
      <c r="L4302">
        <v>29.267299999999999</v>
      </c>
      <c r="M4302">
        <v>9562.2489999999998</v>
      </c>
      <c r="N4302" t="s">
        <v>15</v>
      </c>
    </row>
    <row r="4303" spans="1:14" x14ac:dyDescent="0.2">
      <c r="A4303" t="s">
        <v>23</v>
      </c>
      <c r="B4303" t="s">
        <v>145</v>
      </c>
      <c r="C4303" t="s">
        <v>142</v>
      </c>
      <c r="D4303" t="s">
        <v>124</v>
      </c>
      <c r="E4303" t="s">
        <v>53</v>
      </c>
      <c r="F4303" t="s">
        <v>114</v>
      </c>
      <c r="G4303">
        <v>120664</v>
      </c>
      <c r="H4303" s="75">
        <v>42521</v>
      </c>
      <c r="I4303" t="s">
        <v>115</v>
      </c>
      <c r="J4303">
        <v>5000</v>
      </c>
      <c r="K4303">
        <v>170.363</v>
      </c>
      <c r="L4303">
        <v>29.3491</v>
      </c>
      <c r="M4303">
        <v>9732.6119999999992</v>
      </c>
      <c r="N4303" t="s">
        <v>15</v>
      </c>
    </row>
    <row r="4304" spans="1:14" x14ac:dyDescent="0.2">
      <c r="A4304" t="s">
        <v>23</v>
      </c>
      <c r="B4304" t="s">
        <v>145</v>
      </c>
      <c r="C4304" t="s">
        <v>142</v>
      </c>
      <c r="D4304" t="s">
        <v>124</v>
      </c>
      <c r="E4304" t="s">
        <v>53</v>
      </c>
      <c r="F4304" t="s">
        <v>114</v>
      </c>
      <c r="G4304">
        <v>120664</v>
      </c>
      <c r="H4304" s="75">
        <v>42551</v>
      </c>
      <c r="I4304" t="s">
        <v>115</v>
      </c>
      <c r="J4304">
        <v>5000</v>
      </c>
      <c r="K4304">
        <v>165.53200000000001</v>
      </c>
      <c r="L4304">
        <v>30.2056</v>
      </c>
      <c r="M4304">
        <v>9898.1450000000004</v>
      </c>
      <c r="N4304" t="s">
        <v>15</v>
      </c>
    </row>
    <row r="4305" spans="1:14" x14ac:dyDescent="0.2">
      <c r="A4305" t="s">
        <v>23</v>
      </c>
      <c r="B4305" t="s">
        <v>145</v>
      </c>
      <c r="C4305" t="s">
        <v>142</v>
      </c>
      <c r="D4305" t="s">
        <v>124</v>
      </c>
      <c r="E4305" t="s">
        <v>53</v>
      </c>
      <c r="F4305" t="s">
        <v>114</v>
      </c>
      <c r="G4305">
        <v>120664</v>
      </c>
      <c r="H4305" s="75">
        <v>42581</v>
      </c>
      <c r="I4305" t="s">
        <v>115</v>
      </c>
      <c r="J4305">
        <v>5000</v>
      </c>
      <c r="K4305">
        <v>164.197</v>
      </c>
      <c r="L4305">
        <v>30.4512</v>
      </c>
      <c r="M4305">
        <v>10062.342000000001</v>
      </c>
      <c r="N4305" t="s">
        <v>15</v>
      </c>
    </row>
    <row r="4306" spans="1:14" x14ac:dyDescent="0.2">
      <c r="A4306" t="s">
        <v>23</v>
      </c>
      <c r="B4306" t="s">
        <v>145</v>
      </c>
      <c r="C4306" t="s">
        <v>142</v>
      </c>
      <c r="D4306" t="s">
        <v>124</v>
      </c>
      <c r="E4306" t="s">
        <v>53</v>
      </c>
      <c r="F4306" t="s">
        <v>114</v>
      </c>
      <c r="G4306">
        <v>120664</v>
      </c>
      <c r="H4306" s="75">
        <v>42581</v>
      </c>
      <c r="I4306" t="s">
        <v>25</v>
      </c>
      <c r="J4306">
        <v>-61282.12</v>
      </c>
      <c r="K4306">
        <v>-2012.4680000000001</v>
      </c>
      <c r="L4306">
        <v>30.4512</v>
      </c>
      <c r="M4306">
        <v>8049.8729999999996</v>
      </c>
      <c r="N4306" t="s">
        <v>16</v>
      </c>
    </row>
    <row r="4307" spans="1:14" x14ac:dyDescent="0.2">
      <c r="A4307" t="s">
        <v>23</v>
      </c>
      <c r="B4307" t="s">
        <v>145</v>
      </c>
      <c r="C4307" t="s">
        <v>142</v>
      </c>
      <c r="D4307" t="s">
        <v>124</v>
      </c>
      <c r="E4307" t="s">
        <v>53</v>
      </c>
      <c r="F4307" t="s">
        <v>114</v>
      </c>
      <c r="G4307">
        <v>120664</v>
      </c>
      <c r="H4307" s="75">
        <v>42611</v>
      </c>
      <c r="I4307" t="s">
        <v>115</v>
      </c>
      <c r="J4307">
        <v>5000</v>
      </c>
      <c r="K4307">
        <v>166.80500000000001</v>
      </c>
      <c r="L4307">
        <v>29.975200000000001</v>
      </c>
      <c r="M4307">
        <v>8216.6779999999999</v>
      </c>
      <c r="N4307" t="s">
        <v>15</v>
      </c>
    </row>
    <row r="4308" spans="1:14" x14ac:dyDescent="0.2">
      <c r="A4308" t="s">
        <v>23</v>
      </c>
      <c r="B4308" t="s">
        <v>145</v>
      </c>
      <c r="C4308" t="s">
        <v>142</v>
      </c>
      <c r="D4308" t="s">
        <v>124</v>
      </c>
      <c r="E4308" t="s">
        <v>53</v>
      </c>
      <c r="F4308" t="s">
        <v>114</v>
      </c>
      <c r="G4308">
        <v>120664</v>
      </c>
      <c r="H4308" s="75">
        <v>42641</v>
      </c>
      <c r="I4308" t="s">
        <v>115</v>
      </c>
      <c r="J4308">
        <v>5000</v>
      </c>
      <c r="K4308">
        <v>163.63399999999999</v>
      </c>
      <c r="L4308">
        <v>30.556000000000001</v>
      </c>
      <c r="M4308">
        <v>8380.3119999999999</v>
      </c>
      <c r="N4308" t="s">
        <v>15</v>
      </c>
    </row>
    <row r="4309" spans="1:14" x14ac:dyDescent="0.2">
      <c r="A4309" t="s">
        <v>23</v>
      </c>
      <c r="B4309" t="s">
        <v>145</v>
      </c>
      <c r="C4309" t="s">
        <v>142</v>
      </c>
      <c r="D4309" t="s">
        <v>124</v>
      </c>
      <c r="E4309" t="s">
        <v>53</v>
      </c>
      <c r="F4309" t="s">
        <v>114</v>
      </c>
      <c r="G4309">
        <v>120664</v>
      </c>
      <c r="H4309" s="75">
        <v>42671</v>
      </c>
      <c r="I4309" t="s">
        <v>115</v>
      </c>
      <c r="J4309">
        <v>5000</v>
      </c>
      <c r="K4309">
        <v>160.352</v>
      </c>
      <c r="L4309">
        <v>31.1814</v>
      </c>
      <c r="M4309">
        <v>8540.6640000000007</v>
      </c>
      <c r="N4309" t="s">
        <v>15</v>
      </c>
    </row>
    <row r="4310" spans="1:14" x14ac:dyDescent="0.2">
      <c r="A4310" t="s">
        <v>23</v>
      </c>
      <c r="B4310" t="s">
        <v>145</v>
      </c>
      <c r="C4310" t="s">
        <v>142</v>
      </c>
      <c r="D4310" t="s">
        <v>124</v>
      </c>
      <c r="E4310" t="s">
        <v>53</v>
      </c>
      <c r="F4310" t="s">
        <v>114</v>
      </c>
      <c r="G4310">
        <v>120664</v>
      </c>
      <c r="H4310" s="75">
        <v>42671</v>
      </c>
      <c r="I4310" t="s">
        <v>116</v>
      </c>
      <c r="J4310">
        <v>2.5</v>
      </c>
      <c r="K4310">
        <v>0</v>
      </c>
      <c r="M4310">
        <v>8540.6640000000007</v>
      </c>
      <c r="N4310" t="s">
        <v>17</v>
      </c>
    </row>
    <row r="4311" spans="1:14" x14ac:dyDescent="0.2">
      <c r="A4311" t="s">
        <v>23</v>
      </c>
      <c r="B4311" t="s">
        <v>145</v>
      </c>
      <c r="C4311" t="s">
        <v>142</v>
      </c>
      <c r="D4311" t="s">
        <v>124</v>
      </c>
      <c r="E4311" t="s">
        <v>53</v>
      </c>
      <c r="F4311" t="s">
        <v>114</v>
      </c>
      <c r="G4311">
        <v>120664</v>
      </c>
      <c r="H4311" s="75">
        <v>42701</v>
      </c>
      <c r="I4311" t="s">
        <v>115</v>
      </c>
      <c r="J4311">
        <v>5000</v>
      </c>
      <c r="K4311">
        <v>155.99600000000001</v>
      </c>
      <c r="L4311">
        <v>32.052100000000003</v>
      </c>
      <c r="M4311">
        <v>8696.66</v>
      </c>
      <c r="N4311" t="s">
        <v>15</v>
      </c>
    </row>
    <row r="4312" spans="1:14" x14ac:dyDescent="0.2">
      <c r="A4312" t="s">
        <v>23</v>
      </c>
      <c r="B4312" t="s">
        <v>145</v>
      </c>
      <c r="C4312" t="s">
        <v>142</v>
      </c>
      <c r="D4312" t="s">
        <v>124</v>
      </c>
      <c r="E4312" t="s">
        <v>53</v>
      </c>
      <c r="F4312" t="s">
        <v>114</v>
      </c>
      <c r="G4312">
        <v>120664</v>
      </c>
      <c r="H4312" s="75">
        <v>42731</v>
      </c>
      <c r="I4312" t="s">
        <v>115</v>
      </c>
      <c r="J4312">
        <v>5000</v>
      </c>
      <c r="K4312">
        <v>153.53700000000001</v>
      </c>
      <c r="L4312">
        <v>32.5655</v>
      </c>
      <c r="M4312">
        <v>8850.1959999999999</v>
      </c>
      <c r="N4312" t="s">
        <v>15</v>
      </c>
    </row>
    <row r="4313" spans="1:14" x14ac:dyDescent="0.2">
      <c r="A4313" t="s">
        <v>23</v>
      </c>
      <c r="B4313" t="s">
        <v>145</v>
      </c>
      <c r="C4313" t="s">
        <v>142</v>
      </c>
      <c r="D4313" t="s">
        <v>124</v>
      </c>
      <c r="E4313" t="s">
        <v>53</v>
      </c>
      <c r="F4313" t="s">
        <v>114</v>
      </c>
      <c r="G4313">
        <v>120664</v>
      </c>
      <c r="H4313" s="75">
        <v>42761</v>
      </c>
      <c r="I4313" t="s">
        <v>115</v>
      </c>
      <c r="J4313">
        <v>5000</v>
      </c>
      <c r="K4313">
        <v>150.98500000000001</v>
      </c>
      <c r="L4313">
        <v>33.116</v>
      </c>
      <c r="M4313">
        <v>9001.1810000000005</v>
      </c>
      <c r="N4313" t="s">
        <v>15</v>
      </c>
    </row>
    <row r="4314" spans="1:14" x14ac:dyDescent="0.2">
      <c r="A4314" t="s">
        <v>23</v>
      </c>
      <c r="B4314" t="s">
        <v>145</v>
      </c>
      <c r="C4314" t="s">
        <v>142</v>
      </c>
      <c r="D4314" t="s">
        <v>124</v>
      </c>
      <c r="E4314" t="s">
        <v>53</v>
      </c>
      <c r="F4314" t="s">
        <v>114</v>
      </c>
      <c r="G4314">
        <v>120664</v>
      </c>
      <c r="H4314" s="75">
        <v>42791</v>
      </c>
      <c r="I4314" t="s">
        <v>115</v>
      </c>
      <c r="J4314">
        <v>5000</v>
      </c>
      <c r="K4314">
        <v>147.99299999999999</v>
      </c>
      <c r="L4314">
        <v>33.785400000000003</v>
      </c>
      <c r="M4314">
        <v>9149.1740000000009</v>
      </c>
      <c r="N4314" t="s">
        <v>15</v>
      </c>
    </row>
    <row r="4315" spans="1:14" x14ac:dyDescent="0.2">
      <c r="A4315" t="s">
        <v>23</v>
      </c>
      <c r="B4315" t="s">
        <v>145</v>
      </c>
      <c r="C4315" t="s">
        <v>142</v>
      </c>
      <c r="D4315" t="s">
        <v>124</v>
      </c>
      <c r="E4315" t="s">
        <v>53</v>
      </c>
      <c r="F4315" t="s">
        <v>114</v>
      </c>
      <c r="G4315">
        <v>120664</v>
      </c>
      <c r="H4315" s="75">
        <v>42821</v>
      </c>
      <c r="I4315" t="s">
        <v>115</v>
      </c>
      <c r="J4315">
        <v>5000</v>
      </c>
      <c r="K4315">
        <v>150.357</v>
      </c>
      <c r="L4315">
        <v>33.254199999999997</v>
      </c>
      <c r="M4315">
        <v>9299.5310000000009</v>
      </c>
      <c r="N4315" t="s">
        <v>15</v>
      </c>
    </row>
    <row r="4316" spans="1:14" x14ac:dyDescent="0.2">
      <c r="A4316" t="s">
        <v>23</v>
      </c>
      <c r="B4316" t="s">
        <v>145</v>
      </c>
      <c r="C4316" t="s">
        <v>142</v>
      </c>
      <c r="D4316" t="s">
        <v>124</v>
      </c>
      <c r="E4316" t="s">
        <v>53</v>
      </c>
      <c r="F4316" t="s">
        <v>114</v>
      </c>
      <c r="G4316">
        <v>120664</v>
      </c>
      <c r="H4316" s="75">
        <v>42851</v>
      </c>
      <c r="I4316" t="s">
        <v>115</v>
      </c>
      <c r="J4316">
        <v>5000</v>
      </c>
      <c r="K4316">
        <v>150.30099999999999</v>
      </c>
      <c r="L4316">
        <v>33.266599999999997</v>
      </c>
      <c r="M4316">
        <v>9449.8320000000003</v>
      </c>
      <c r="N4316" t="s">
        <v>15</v>
      </c>
    </row>
    <row r="4317" spans="1:14" x14ac:dyDescent="0.2">
      <c r="A4317" t="s">
        <v>23</v>
      </c>
      <c r="B4317" t="s">
        <v>145</v>
      </c>
      <c r="C4317" t="s">
        <v>142</v>
      </c>
      <c r="D4317" t="s">
        <v>124</v>
      </c>
      <c r="E4317" t="s">
        <v>53</v>
      </c>
      <c r="F4317" t="s">
        <v>114</v>
      </c>
      <c r="G4317">
        <v>120664</v>
      </c>
      <c r="H4317" s="75">
        <v>42881</v>
      </c>
      <c r="I4317" t="s">
        <v>115</v>
      </c>
      <c r="J4317">
        <v>5000</v>
      </c>
      <c r="K4317">
        <v>146.45400000000001</v>
      </c>
      <c r="L4317">
        <v>34.1404</v>
      </c>
      <c r="M4317">
        <v>9596.2860000000001</v>
      </c>
      <c r="N4317" t="s">
        <v>15</v>
      </c>
    </row>
    <row r="4318" spans="1:14" x14ac:dyDescent="0.2">
      <c r="A4318" t="s">
        <v>23</v>
      </c>
      <c r="B4318" t="s">
        <v>145</v>
      </c>
      <c r="C4318" t="s">
        <v>142</v>
      </c>
      <c r="D4318" t="s">
        <v>124</v>
      </c>
      <c r="E4318" t="s">
        <v>53</v>
      </c>
      <c r="F4318" t="s">
        <v>114</v>
      </c>
      <c r="G4318">
        <v>120664</v>
      </c>
      <c r="H4318" s="75">
        <v>42911</v>
      </c>
      <c r="I4318" t="s">
        <v>115</v>
      </c>
      <c r="J4318">
        <v>5000</v>
      </c>
      <c r="K4318">
        <v>144.81200000000001</v>
      </c>
      <c r="L4318">
        <v>34.527500000000003</v>
      </c>
      <c r="M4318">
        <v>9741.098</v>
      </c>
      <c r="N4318" t="s">
        <v>15</v>
      </c>
    </row>
    <row r="4319" spans="1:14" x14ac:dyDescent="0.2">
      <c r="A4319" t="s">
        <v>23</v>
      </c>
      <c r="B4319" t="s">
        <v>145</v>
      </c>
      <c r="C4319" t="s">
        <v>142</v>
      </c>
      <c r="D4319" t="s">
        <v>124</v>
      </c>
      <c r="E4319" t="s">
        <v>53</v>
      </c>
      <c r="F4319" t="s">
        <v>114</v>
      </c>
      <c r="G4319">
        <v>120664</v>
      </c>
      <c r="H4319" s="75">
        <v>42941</v>
      </c>
      <c r="I4319" t="s">
        <v>115</v>
      </c>
      <c r="J4319">
        <v>5000</v>
      </c>
      <c r="K4319">
        <v>146.04400000000001</v>
      </c>
      <c r="L4319">
        <v>34.2363</v>
      </c>
      <c r="M4319">
        <v>9887.1409999999996</v>
      </c>
      <c r="N4319" t="s">
        <v>15</v>
      </c>
    </row>
    <row r="4320" spans="1:14" x14ac:dyDescent="0.2">
      <c r="A4320" t="s">
        <v>23</v>
      </c>
      <c r="B4320" t="s">
        <v>145</v>
      </c>
      <c r="C4320" t="s">
        <v>142</v>
      </c>
      <c r="D4320" t="s">
        <v>124</v>
      </c>
      <c r="E4320" t="s">
        <v>53</v>
      </c>
      <c r="F4320" t="s">
        <v>114</v>
      </c>
      <c r="G4320">
        <v>120664</v>
      </c>
      <c r="H4320" s="75">
        <v>42971</v>
      </c>
      <c r="I4320" t="s">
        <v>115</v>
      </c>
      <c r="J4320">
        <v>5000</v>
      </c>
      <c r="K4320">
        <v>146.25800000000001</v>
      </c>
      <c r="L4320">
        <v>34.186199999999999</v>
      </c>
      <c r="M4320">
        <v>10033.398999999999</v>
      </c>
      <c r="N4320" t="s">
        <v>15</v>
      </c>
    </row>
    <row r="4321" spans="1:14" x14ac:dyDescent="0.2">
      <c r="A4321" t="s">
        <v>23</v>
      </c>
      <c r="B4321" t="s">
        <v>145</v>
      </c>
      <c r="C4321" t="s">
        <v>142</v>
      </c>
      <c r="D4321" t="s">
        <v>124</v>
      </c>
      <c r="E4321" t="s">
        <v>53</v>
      </c>
      <c r="F4321" t="s">
        <v>114</v>
      </c>
      <c r="G4321">
        <v>120664</v>
      </c>
      <c r="H4321" s="75">
        <v>43001</v>
      </c>
      <c r="I4321" t="s">
        <v>115</v>
      </c>
      <c r="J4321">
        <v>5000</v>
      </c>
      <c r="K4321">
        <v>144.41300000000001</v>
      </c>
      <c r="L4321">
        <v>34.622999999999998</v>
      </c>
      <c r="M4321">
        <v>10177.812</v>
      </c>
      <c r="N4321" t="s">
        <v>15</v>
      </c>
    </row>
    <row r="4322" spans="1:14" x14ac:dyDescent="0.2">
      <c r="A4322" t="s">
        <v>23</v>
      </c>
      <c r="B4322" t="s">
        <v>145</v>
      </c>
      <c r="C4322" t="s">
        <v>142</v>
      </c>
      <c r="D4322" t="s">
        <v>124</v>
      </c>
      <c r="E4322" t="s">
        <v>53</v>
      </c>
      <c r="F4322" t="s">
        <v>114</v>
      </c>
      <c r="G4322">
        <v>120664</v>
      </c>
      <c r="H4322" s="75">
        <v>43031</v>
      </c>
      <c r="I4322" t="s">
        <v>115</v>
      </c>
      <c r="J4322">
        <v>5000</v>
      </c>
      <c r="K4322">
        <v>145.535</v>
      </c>
      <c r="L4322">
        <v>34.356099999999998</v>
      </c>
      <c r="M4322">
        <v>10323.346</v>
      </c>
      <c r="N4322" t="s">
        <v>15</v>
      </c>
    </row>
    <row r="4323" spans="1:14" x14ac:dyDescent="0.2">
      <c r="A4323" t="s">
        <v>23</v>
      </c>
      <c r="B4323" t="s">
        <v>145</v>
      </c>
      <c r="C4323" t="s">
        <v>142</v>
      </c>
      <c r="D4323" t="s">
        <v>124</v>
      </c>
      <c r="E4323" t="s">
        <v>53</v>
      </c>
      <c r="F4323" t="s">
        <v>114</v>
      </c>
      <c r="G4323">
        <v>120664</v>
      </c>
      <c r="H4323" s="75">
        <v>43061</v>
      </c>
      <c r="I4323" t="s">
        <v>115</v>
      </c>
      <c r="J4323">
        <v>5000</v>
      </c>
      <c r="K4323">
        <v>147.17699999999999</v>
      </c>
      <c r="L4323">
        <v>33.9726</v>
      </c>
      <c r="M4323">
        <v>10470.523999999999</v>
      </c>
      <c r="N4323" t="s">
        <v>15</v>
      </c>
    </row>
    <row r="4324" spans="1:14" x14ac:dyDescent="0.2">
      <c r="A4324" t="s">
        <v>23</v>
      </c>
      <c r="B4324" t="s">
        <v>145</v>
      </c>
      <c r="C4324" t="s">
        <v>142</v>
      </c>
      <c r="D4324" t="s">
        <v>124</v>
      </c>
      <c r="E4324" t="s">
        <v>53</v>
      </c>
      <c r="F4324" t="s">
        <v>114</v>
      </c>
      <c r="G4324">
        <v>120664</v>
      </c>
      <c r="H4324" s="75">
        <v>43091</v>
      </c>
      <c r="I4324" t="s">
        <v>115</v>
      </c>
      <c r="J4324">
        <v>5000</v>
      </c>
      <c r="K4324">
        <v>144.18</v>
      </c>
      <c r="L4324">
        <v>34.679000000000002</v>
      </c>
      <c r="M4324">
        <v>10614.704</v>
      </c>
      <c r="N4324" t="s">
        <v>15</v>
      </c>
    </row>
    <row r="4325" spans="1:14" x14ac:dyDescent="0.2">
      <c r="A4325" t="s">
        <v>23</v>
      </c>
      <c r="B4325" t="s">
        <v>145</v>
      </c>
      <c r="C4325" t="s">
        <v>142</v>
      </c>
      <c r="D4325" t="s">
        <v>124</v>
      </c>
      <c r="E4325" t="s">
        <v>53</v>
      </c>
      <c r="F4325" t="s">
        <v>114</v>
      </c>
      <c r="G4325">
        <v>120664</v>
      </c>
      <c r="H4325" s="75">
        <v>43091</v>
      </c>
      <c r="I4325" t="s">
        <v>25</v>
      </c>
      <c r="J4325">
        <v>-73621.38</v>
      </c>
      <c r="K4325">
        <v>-2122.9409999999998</v>
      </c>
      <c r="L4325">
        <v>34.679000000000002</v>
      </c>
      <c r="M4325">
        <v>8491.7630000000008</v>
      </c>
      <c r="N4325" t="s">
        <v>16</v>
      </c>
    </row>
    <row r="4326" spans="1:14" x14ac:dyDescent="0.2">
      <c r="A4326" t="s">
        <v>23</v>
      </c>
      <c r="B4326" t="s">
        <v>145</v>
      </c>
      <c r="C4326" t="s">
        <v>142</v>
      </c>
      <c r="D4326" t="s">
        <v>124</v>
      </c>
      <c r="E4326" t="s">
        <v>53</v>
      </c>
      <c r="F4326" t="s">
        <v>114</v>
      </c>
      <c r="G4326">
        <v>120664</v>
      </c>
      <c r="H4326" s="75">
        <v>43121</v>
      </c>
      <c r="I4326" t="s">
        <v>115</v>
      </c>
      <c r="J4326">
        <v>5000</v>
      </c>
      <c r="K4326">
        <v>143.12299999999999</v>
      </c>
      <c r="L4326">
        <v>34.935099999999998</v>
      </c>
      <c r="M4326">
        <v>8634.8850000000002</v>
      </c>
      <c r="N4326" t="s">
        <v>15</v>
      </c>
    </row>
    <row r="4327" spans="1:14" x14ac:dyDescent="0.2">
      <c r="A4327" t="s">
        <v>23</v>
      </c>
      <c r="B4327" t="s">
        <v>145</v>
      </c>
      <c r="C4327" t="s">
        <v>142</v>
      </c>
      <c r="D4327" t="s">
        <v>124</v>
      </c>
      <c r="E4327" t="s">
        <v>53</v>
      </c>
      <c r="F4327" t="s">
        <v>114</v>
      </c>
      <c r="G4327">
        <v>120664</v>
      </c>
      <c r="H4327" s="75">
        <v>43121</v>
      </c>
      <c r="I4327" t="s">
        <v>117</v>
      </c>
      <c r="J4327">
        <v>2.5</v>
      </c>
      <c r="K4327">
        <v>0</v>
      </c>
      <c r="M4327">
        <v>8634.8850000000002</v>
      </c>
      <c r="N4327" t="s">
        <v>46</v>
      </c>
    </row>
    <row r="4328" spans="1:14" x14ac:dyDescent="0.2">
      <c r="A4328" t="s">
        <v>23</v>
      </c>
      <c r="B4328" t="s">
        <v>145</v>
      </c>
      <c r="C4328" t="s">
        <v>142</v>
      </c>
      <c r="D4328" t="s">
        <v>124</v>
      </c>
      <c r="E4328" t="s">
        <v>53</v>
      </c>
      <c r="F4328" t="s">
        <v>114</v>
      </c>
      <c r="G4328">
        <v>120664</v>
      </c>
      <c r="H4328" s="75">
        <v>43151</v>
      </c>
      <c r="I4328" t="s">
        <v>115</v>
      </c>
      <c r="J4328">
        <v>5000</v>
      </c>
      <c r="K4328">
        <v>141.9</v>
      </c>
      <c r="L4328">
        <v>35.236199999999997</v>
      </c>
      <c r="M4328">
        <v>8776.7849999999999</v>
      </c>
      <c r="N4328" t="s">
        <v>15</v>
      </c>
    </row>
    <row r="4329" spans="1:14" x14ac:dyDescent="0.2">
      <c r="A4329" t="s">
        <v>23</v>
      </c>
      <c r="B4329" t="s">
        <v>145</v>
      </c>
      <c r="C4329" t="s">
        <v>142</v>
      </c>
      <c r="D4329" t="s">
        <v>124</v>
      </c>
      <c r="E4329" t="s">
        <v>53</v>
      </c>
      <c r="F4329" t="s">
        <v>114</v>
      </c>
      <c r="G4329">
        <v>120664</v>
      </c>
      <c r="H4329" s="75">
        <v>43181</v>
      </c>
      <c r="I4329" t="s">
        <v>115</v>
      </c>
      <c r="J4329">
        <v>5000</v>
      </c>
      <c r="K4329">
        <v>141.93700000000001</v>
      </c>
      <c r="L4329">
        <v>35.226799999999997</v>
      </c>
      <c r="M4329">
        <v>8918.7219999999998</v>
      </c>
      <c r="N4329" t="s">
        <v>15</v>
      </c>
    </row>
    <row r="4330" spans="1:14" x14ac:dyDescent="0.2">
      <c r="A4330" t="s">
        <v>23</v>
      </c>
      <c r="B4330" t="s">
        <v>145</v>
      </c>
      <c r="C4330" t="s">
        <v>142</v>
      </c>
      <c r="D4330" t="s">
        <v>124</v>
      </c>
      <c r="E4330" t="s">
        <v>53</v>
      </c>
      <c r="F4330" t="s">
        <v>114</v>
      </c>
      <c r="G4330">
        <v>120664</v>
      </c>
      <c r="H4330" s="75">
        <v>43211</v>
      </c>
      <c r="I4330" t="s">
        <v>115</v>
      </c>
      <c r="J4330">
        <v>5000</v>
      </c>
      <c r="K4330">
        <v>140.26300000000001</v>
      </c>
      <c r="L4330">
        <v>35.647399999999998</v>
      </c>
      <c r="M4330">
        <v>9058.9850000000006</v>
      </c>
      <c r="N4330" t="s">
        <v>15</v>
      </c>
    </row>
    <row r="4331" spans="1:14" x14ac:dyDescent="0.2">
      <c r="A4331" t="s">
        <v>23</v>
      </c>
      <c r="B4331" t="s">
        <v>145</v>
      </c>
      <c r="C4331" t="s">
        <v>142</v>
      </c>
      <c r="D4331" t="s">
        <v>124</v>
      </c>
      <c r="E4331" t="s">
        <v>53</v>
      </c>
      <c r="F4331" t="s">
        <v>114</v>
      </c>
      <c r="G4331">
        <v>120664</v>
      </c>
      <c r="H4331" s="75">
        <v>43211</v>
      </c>
      <c r="I4331" t="s">
        <v>117</v>
      </c>
      <c r="J4331">
        <v>2.5</v>
      </c>
      <c r="K4331">
        <v>0</v>
      </c>
      <c r="M4331">
        <v>9058.9850000000006</v>
      </c>
      <c r="N4331" t="s">
        <v>46</v>
      </c>
    </row>
    <row r="4332" spans="1:14" x14ac:dyDescent="0.2">
      <c r="A4332" t="s">
        <v>23</v>
      </c>
      <c r="B4332" t="s">
        <v>145</v>
      </c>
      <c r="C4332" t="s">
        <v>142</v>
      </c>
      <c r="D4332" t="s">
        <v>124</v>
      </c>
      <c r="E4332" t="s">
        <v>53</v>
      </c>
      <c r="F4332" t="s">
        <v>114</v>
      </c>
      <c r="G4332">
        <v>120664</v>
      </c>
      <c r="H4332" s="75">
        <v>43241</v>
      </c>
      <c r="I4332" t="s">
        <v>115</v>
      </c>
      <c r="J4332">
        <v>5000</v>
      </c>
      <c r="K4332">
        <v>137.59700000000001</v>
      </c>
      <c r="L4332">
        <v>36.338000000000001</v>
      </c>
      <c r="M4332">
        <v>9196.5820000000003</v>
      </c>
      <c r="N4332" t="s">
        <v>15</v>
      </c>
    </row>
    <row r="4333" spans="1:14" x14ac:dyDescent="0.2">
      <c r="A4333" t="s">
        <v>23</v>
      </c>
      <c r="B4333" t="s">
        <v>145</v>
      </c>
      <c r="C4333" t="s">
        <v>142</v>
      </c>
      <c r="D4333" t="s">
        <v>124</v>
      </c>
      <c r="E4333" t="s">
        <v>53</v>
      </c>
      <c r="F4333" t="s">
        <v>114</v>
      </c>
      <c r="G4333">
        <v>120664</v>
      </c>
      <c r="H4333" s="75">
        <v>43271</v>
      </c>
      <c r="I4333" t="s">
        <v>115</v>
      </c>
      <c r="J4333">
        <v>5000</v>
      </c>
      <c r="K4333">
        <v>136.512</v>
      </c>
      <c r="L4333">
        <v>36.626899999999999</v>
      </c>
      <c r="M4333">
        <v>9333.0939999999991</v>
      </c>
      <c r="N4333" t="s">
        <v>15</v>
      </c>
    </row>
    <row r="4334" spans="1:14" x14ac:dyDescent="0.2">
      <c r="A4334" t="s">
        <v>23</v>
      </c>
      <c r="B4334" t="s">
        <v>145</v>
      </c>
      <c r="C4334" t="s">
        <v>142</v>
      </c>
      <c r="D4334" t="s">
        <v>124</v>
      </c>
      <c r="E4334" t="s">
        <v>53</v>
      </c>
      <c r="F4334" t="s">
        <v>114</v>
      </c>
      <c r="G4334">
        <v>120664</v>
      </c>
      <c r="H4334" s="75">
        <v>43301</v>
      </c>
      <c r="I4334" t="s">
        <v>115</v>
      </c>
      <c r="J4334">
        <v>5000</v>
      </c>
      <c r="K4334">
        <v>137.98599999999999</v>
      </c>
      <c r="L4334">
        <v>36.235700000000001</v>
      </c>
      <c r="M4334">
        <v>9471.0789999999997</v>
      </c>
      <c r="N4334" t="s">
        <v>15</v>
      </c>
    </row>
    <row r="4335" spans="1:14" x14ac:dyDescent="0.2">
      <c r="A4335" t="s">
        <v>23</v>
      </c>
      <c r="B4335" t="s">
        <v>145</v>
      </c>
      <c r="C4335" t="s">
        <v>142</v>
      </c>
      <c r="D4335" t="s">
        <v>124</v>
      </c>
      <c r="E4335" t="s">
        <v>53</v>
      </c>
      <c r="F4335" t="s">
        <v>114</v>
      </c>
      <c r="G4335">
        <v>120664</v>
      </c>
      <c r="H4335" s="75">
        <v>43331</v>
      </c>
      <c r="I4335" t="s">
        <v>115</v>
      </c>
      <c r="J4335">
        <v>5000</v>
      </c>
      <c r="K4335">
        <v>136.48500000000001</v>
      </c>
      <c r="L4335">
        <v>36.6342</v>
      </c>
      <c r="M4335">
        <v>9607.5640000000003</v>
      </c>
      <c r="N4335" t="s">
        <v>15</v>
      </c>
    </row>
    <row r="4336" spans="1:14" x14ac:dyDescent="0.2">
      <c r="A4336" t="s">
        <v>23</v>
      </c>
      <c r="B4336" t="s">
        <v>145</v>
      </c>
      <c r="C4336" t="s">
        <v>142</v>
      </c>
      <c r="D4336" t="s">
        <v>124</v>
      </c>
      <c r="E4336" t="s">
        <v>53</v>
      </c>
      <c r="F4336" t="s">
        <v>114</v>
      </c>
      <c r="G4336">
        <v>120664</v>
      </c>
      <c r="H4336" s="75">
        <v>43361</v>
      </c>
      <c r="I4336" t="s">
        <v>115</v>
      </c>
      <c r="J4336">
        <v>5000</v>
      </c>
      <c r="K4336">
        <v>134.208</v>
      </c>
      <c r="L4336">
        <v>37.255699999999997</v>
      </c>
      <c r="M4336">
        <v>9741.7710000000006</v>
      </c>
      <c r="N4336" t="s">
        <v>15</v>
      </c>
    </row>
    <row r="4337" spans="1:14" x14ac:dyDescent="0.2">
      <c r="A4337" t="s">
        <v>23</v>
      </c>
      <c r="B4337" t="s">
        <v>145</v>
      </c>
      <c r="C4337" t="s">
        <v>142</v>
      </c>
      <c r="D4337" t="s">
        <v>124</v>
      </c>
      <c r="E4337" t="s">
        <v>53</v>
      </c>
      <c r="F4337" t="s">
        <v>114</v>
      </c>
      <c r="G4337">
        <v>120664</v>
      </c>
      <c r="H4337" s="75">
        <v>43391</v>
      </c>
      <c r="I4337" t="s">
        <v>115</v>
      </c>
      <c r="J4337">
        <v>5000</v>
      </c>
      <c r="K4337">
        <v>133.18799999999999</v>
      </c>
      <c r="L4337">
        <v>37.540999999999997</v>
      </c>
      <c r="M4337">
        <v>9874.9590000000007</v>
      </c>
      <c r="N4337" t="s">
        <v>15</v>
      </c>
    </row>
    <row r="4338" spans="1:14" x14ac:dyDescent="0.2">
      <c r="A4338" t="s">
        <v>23</v>
      </c>
      <c r="B4338" t="s">
        <v>145</v>
      </c>
      <c r="C4338" t="s">
        <v>142</v>
      </c>
      <c r="D4338" t="s">
        <v>124</v>
      </c>
      <c r="E4338" t="s">
        <v>53</v>
      </c>
      <c r="F4338" t="s">
        <v>114</v>
      </c>
      <c r="G4338">
        <v>120664</v>
      </c>
      <c r="H4338" s="75">
        <v>43421</v>
      </c>
      <c r="I4338" t="s">
        <v>115</v>
      </c>
      <c r="J4338">
        <v>5000</v>
      </c>
      <c r="K4338">
        <v>132.55799999999999</v>
      </c>
      <c r="L4338">
        <v>37.719299999999997</v>
      </c>
      <c r="M4338">
        <v>10007.517</v>
      </c>
      <c r="N4338" t="s">
        <v>15</v>
      </c>
    </row>
    <row r="4339" spans="1:14" x14ac:dyDescent="0.2">
      <c r="A4339" t="s">
        <v>23</v>
      </c>
      <c r="B4339" t="s">
        <v>145</v>
      </c>
      <c r="C4339" t="s">
        <v>142</v>
      </c>
      <c r="D4339" t="s">
        <v>124</v>
      </c>
      <c r="E4339" t="s">
        <v>53</v>
      </c>
      <c r="F4339" t="s">
        <v>114</v>
      </c>
      <c r="G4339">
        <v>120664</v>
      </c>
      <c r="H4339" s="75">
        <v>43451</v>
      </c>
      <c r="I4339" t="s">
        <v>115</v>
      </c>
      <c r="J4339">
        <v>5000</v>
      </c>
      <c r="K4339">
        <v>131.345</v>
      </c>
      <c r="L4339">
        <v>38.067599999999999</v>
      </c>
      <c r="M4339">
        <v>10138.862999999999</v>
      </c>
      <c r="N4339" t="s">
        <v>15</v>
      </c>
    </row>
    <row r="4340" spans="1:14" x14ac:dyDescent="0.2">
      <c r="A4340" t="s">
        <v>23</v>
      </c>
      <c r="B4340" t="s">
        <v>145</v>
      </c>
      <c r="C4340" t="s">
        <v>142</v>
      </c>
      <c r="D4340" t="s">
        <v>124</v>
      </c>
      <c r="E4340" t="s">
        <v>53</v>
      </c>
      <c r="F4340" t="s">
        <v>114</v>
      </c>
      <c r="G4340">
        <v>120664</v>
      </c>
      <c r="H4340" s="75">
        <v>43481</v>
      </c>
      <c r="I4340" t="s">
        <v>115</v>
      </c>
      <c r="J4340">
        <v>5000</v>
      </c>
      <c r="K4340">
        <v>132.387</v>
      </c>
      <c r="L4340">
        <v>37.768099999999997</v>
      </c>
      <c r="M4340">
        <v>10271.25</v>
      </c>
      <c r="N4340" t="s">
        <v>15</v>
      </c>
    </row>
    <row r="4341" spans="1:14" x14ac:dyDescent="0.2">
      <c r="A4341" t="s">
        <v>23</v>
      </c>
      <c r="B4341" t="s">
        <v>145</v>
      </c>
      <c r="C4341" t="s">
        <v>142</v>
      </c>
      <c r="D4341" t="s">
        <v>124</v>
      </c>
      <c r="E4341" t="s">
        <v>53</v>
      </c>
      <c r="F4341" t="s">
        <v>114</v>
      </c>
      <c r="G4341">
        <v>120664</v>
      </c>
      <c r="H4341" s="75">
        <v>43511</v>
      </c>
      <c r="I4341" t="s">
        <v>115</v>
      </c>
      <c r="J4341">
        <v>5000</v>
      </c>
      <c r="K4341">
        <v>129.80199999999999</v>
      </c>
      <c r="L4341">
        <v>38.520299999999999</v>
      </c>
      <c r="M4341">
        <v>10401.052</v>
      </c>
      <c r="N4341" t="s">
        <v>15</v>
      </c>
    </row>
    <row r="4342" spans="1:14" x14ac:dyDescent="0.2">
      <c r="A4342" t="s">
        <v>23</v>
      </c>
      <c r="B4342" t="s">
        <v>145</v>
      </c>
      <c r="C4342" t="s">
        <v>142</v>
      </c>
      <c r="D4342" t="s">
        <v>124</v>
      </c>
      <c r="E4342" t="s">
        <v>53</v>
      </c>
      <c r="F4342" t="s">
        <v>114</v>
      </c>
      <c r="G4342">
        <v>120664</v>
      </c>
      <c r="H4342" s="75">
        <v>43541</v>
      </c>
      <c r="I4342" t="s">
        <v>115</v>
      </c>
      <c r="J4342">
        <v>5000</v>
      </c>
      <c r="K4342">
        <v>131.84399999999999</v>
      </c>
      <c r="L4342">
        <v>37.9236</v>
      </c>
      <c r="M4342">
        <v>10532.896000000001</v>
      </c>
      <c r="N4342" t="s">
        <v>15</v>
      </c>
    </row>
    <row r="4343" spans="1:14" x14ac:dyDescent="0.2">
      <c r="A4343" t="s">
        <v>23</v>
      </c>
      <c r="B4343" t="s">
        <v>145</v>
      </c>
      <c r="C4343" t="s">
        <v>142</v>
      </c>
      <c r="D4343" t="s">
        <v>124</v>
      </c>
      <c r="E4343" t="s">
        <v>53</v>
      </c>
      <c r="F4343" t="s">
        <v>114</v>
      </c>
      <c r="G4343">
        <v>120664</v>
      </c>
      <c r="H4343" s="75">
        <v>43571</v>
      </c>
      <c r="I4343" t="s">
        <v>115</v>
      </c>
      <c r="J4343">
        <v>5000</v>
      </c>
      <c r="K4343">
        <v>131.08699999999999</v>
      </c>
      <c r="L4343">
        <v>38.142600000000002</v>
      </c>
      <c r="M4343">
        <v>10663.983</v>
      </c>
      <c r="N4343" t="s">
        <v>15</v>
      </c>
    </row>
    <row r="4344" spans="1:14" x14ac:dyDescent="0.2">
      <c r="A4344" t="s">
        <v>23</v>
      </c>
      <c r="B4344" t="s">
        <v>145</v>
      </c>
      <c r="C4344" t="s">
        <v>142</v>
      </c>
      <c r="D4344" t="s">
        <v>124</v>
      </c>
      <c r="E4344" t="s">
        <v>53</v>
      </c>
      <c r="F4344" t="s">
        <v>114</v>
      </c>
      <c r="G4344">
        <v>120664</v>
      </c>
      <c r="H4344" s="75">
        <v>43601</v>
      </c>
      <c r="I4344" t="s">
        <v>115</v>
      </c>
      <c r="J4344">
        <v>5000</v>
      </c>
      <c r="K4344">
        <v>129.61799999999999</v>
      </c>
      <c r="L4344">
        <v>38.574800000000003</v>
      </c>
      <c r="M4344">
        <v>10793.601000000001</v>
      </c>
      <c r="N4344" t="s">
        <v>15</v>
      </c>
    </row>
    <row r="4345" spans="1:14" x14ac:dyDescent="0.2">
      <c r="A4345" t="s">
        <v>23</v>
      </c>
      <c r="B4345" t="s">
        <v>145</v>
      </c>
      <c r="C4345" t="s">
        <v>142</v>
      </c>
      <c r="D4345" t="s">
        <v>124</v>
      </c>
      <c r="E4345" t="s">
        <v>53</v>
      </c>
      <c r="F4345" t="s">
        <v>114</v>
      </c>
      <c r="G4345">
        <v>120664</v>
      </c>
      <c r="H4345" s="75">
        <v>43631</v>
      </c>
      <c r="I4345" t="s">
        <v>115</v>
      </c>
      <c r="J4345">
        <v>5000</v>
      </c>
      <c r="K4345">
        <v>126.3</v>
      </c>
      <c r="L4345">
        <v>39.588200000000001</v>
      </c>
      <c r="M4345">
        <v>10919.901</v>
      </c>
      <c r="N4345" t="s">
        <v>15</v>
      </c>
    </row>
    <row r="4346" spans="1:14" x14ac:dyDescent="0.2">
      <c r="A4346" t="s">
        <v>23</v>
      </c>
      <c r="B4346" t="s">
        <v>145</v>
      </c>
      <c r="C4346" t="s">
        <v>142</v>
      </c>
      <c r="D4346" t="s">
        <v>124</v>
      </c>
      <c r="E4346" t="s">
        <v>53</v>
      </c>
      <c r="F4346" t="s">
        <v>114</v>
      </c>
      <c r="G4346">
        <v>120664</v>
      </c>
      <c r="H4346" s="75">
        <v>43661</v>
      </c>
      <c r="I4346" t="s">
        <v>115</v>
      </c>
      <c r="J4346">
        <v>5000</v>
      </c>
      <c r="K4346">
        <v>128.09700000000001</v>
      </c>
      <c r="L4346">
        <v>39.032899999999998</v>
      </c>
      <c r="M4346">
        <v>11047.998</v>
      </c>
      <c r="N4346" t="s">
        <v>15</v>
      </c>
    </row>
    <row r="4347" spans="1:14" x14ac:dyDescent="0.2">
      <c r="A4347" t="s">
        <v>23</v>
      </c>
      <c r="B4347" t="s">
        <v>145</v>
      </c>
      <c r="C4347" t="s">
        <v>142</v>
      </c>
      <c r="D4347" t="s">
        <v>124</v>
      </c>
      <c r="E4347" t="s">
        <v>53</v>
      </c>
      <c r="F4347" t="s">
        <v>114</v>
      </c>
      <c r="G4347">
        <v>120664</v>
      </c>
      <c r="H4347" s="75">
        <v>43691</v>
      </c>
      <c r="I4347" t="s">
        <v>115</v>
      </c>
      <c r="J4347">
        <v>5000</v>
      </c>
      <c r="K4347">
        <v>129.93600000000001</v>
      </c>
      <c r="L4347">
        <v>38.480499999999999</v>
      </c>
      <c r="M4347">
        <v>11177.933999999999</v>
      </c>
      <c r="N4347" t="s">
        <v>15</v>
      </c>
    </row>
    <row r="4348" spans="1:14" x14ac:dyDescent="0.2">
      <c r="A4348" t="s">
        <v>23</v>
      </c>
      <c r="B4348" t="s">
        <v>145</v>
      </c>
      <c r="C4348" t="s">
        <v>142</v>
      </c>
      <c r="D4348" t="s">
        <v>124</v>
      </c>
      <c r="E4348" t="s">
        <v>53</v>
      </c>
      <c r="F4348" t="s">
        <v>114</v>
      </c>
      <c r="G4348">
        <v>120664</v>
      </c>
      <c r="H4348" s="75">
        <v>43721</v>
      </c>
      <c r="I4348" t="s">
        <v>115</v>
      </c>
      <c r="J4348">
        <v>5000</v>
      </c>
      <c r="K4348">
        <v>126.70399999999999</v>
      </c>
      <c r="L4348">
        <v>39.4621</v>
      </c>
      <c r="M4348">
        <v>11304.638000000001</v>
      </c>
      <c r="N4348" t="s">
        <v>15</v>
      </c>
    </row>
    <row r="4349" spans="1:14" x14ac:dyDescent="0.2">
      <c r="A4349" t="s">
        <v>23</v>
      </c>
      <c r="B4349" t="s">
        <v>145</v>
      </c>
      <c r="C4349" t="s">
        <v>142</v>
      </c>
      <c r="D4349" t="s">
        <v>124</v>
      </c>
      <c r="E4349" t="s">
        <v>53</v>
      </c>
      <c r="F4349" t="s">
        <v>114</v>
      </c>
      <c r="G4349">
        <v>120664</v>
      </c>
      <c r="H4349" s="75">
        <v>43721</v>
      </c>
      <c r="I4349" t="s">
        <v>116</v>
      </c>
      <c r="J4349">
        <v>2.5</v>
      </c>
      <c r="K4349">
        <v>0</v>
      </c>
      <c r="M4349">
        <v>11304.638000000001</v>
      </c>
      <c r="N4349" t="s">
        <v>17</v>
      </c>
    </row>
    <row r="4350" spans="1:14" x14ac:dyDescent="0.2">
      <c r="A4350" t="s">
        <v>23</v>
      </c>
      <c r="B4350" t="s">
        <v>145</v>
      </c>
      <c r="C4350" t="s">
        <v>142</v>
      </c>
      <c r="D4350" t="s">
        <v>124</v>
      </c>
      <c r="E4350" t="s">
        <v>53</v>
      </c>
      <c r="F4350" t="s">
        <v>114</v>
      </c>
      <c r="G4350">
        <v>120664</v>
      </c>
      <c r="H4350" s="75">
        <v>43751</v>
      </c>
      <c r="I4350" t="s">
        <v>115</v>
      </c>
      <c r="J4350">
        <v>5000</v>
      </c>
      <c r="K4350">
        <v>125.765</v>
      </c>
      <c r="L4350">
        <v>39.756799999999998</v>
      </c>
      <c r="M4350">
        <v>11430.403</v>
      </c>
      <c r="N4350" t="s">
        <v>15</v>
      </c>
    </row>
    <row r="4351" spans="1:14" x14ac:dyDescent="0.2">
      <c r="A4351" t="s">
        <v>23</v>
      </c>
      <c r="B4351" t="s">
        <v>145</v>
      </c>
      <c r="C4351" t="s">
        <v>142</v>
      </c>
      <c r="D4351" t="s">
        <v>124</v>
      </c>
      <c r="E4351" t="s">
        <v>53</v>
      </c>
      <c r="F4351" t="s">
        <v>114</v>
      </c>
      <c r="G4351">
        <v>120664</v>
      </c>
      <c r="H4351" s="75">
        <v>43781</v>
      </c>
      <c r="I4351" t="s">
        <v>115</v>
      </c>
      <c r="J4351">
        <v>5000</v>
      </c>
      <c r="K4351">
        <v>123.43300000000001</v>
      </c>
      <c r="L4351">
        <v>40.507899999999999</v>
      </c>
      <c r="M4351">
        <v>11553.834999999999</v>
      </c>
      <c r="N4351" t="s">
        <v>15</v>
      </c>
    </row>
    <row r="4352" spans="1:14" x14ac:dyDescent="0.2">
      <c r="A4352" t="s">
        <v>23</v>
      </c>
      <c r="B4352" t="s">
        <v>145</v>
      </c>
      <c r="C4352" t="s">
        <v>142</v>
      </c>
      <c r="D4352" t="s">
        <v>124</v>
      </c>
      <c r="E4352" t="s">
        <v>53</v>
      </c>
      <c r="F4352" t="s">
        <v>114</v>
      </c>
      <c r="G4352">
        <v>120664</v>
      </c>
      <c r="H4352" s="75">
        <v>43811</v>
      </c>
      <c r="I4352" t="s">
        <v>115</v>
      </c>
      <c r="J4352">
        <v>5000</v>
      </c>
      <c r="K4352">
        <v>120.845</v>
      </c>
      <c r="L4352">
        <v>41.375399999999999</v>
      </c>
      <c r="M4352">
        <v>11674.68</v>
      </c>
      <c r="N4352" t="s">
        <v>15</v>
      </c>
    </row>
    <row r="4353" spans="1:14" x14ac:dyDescent="0.2">
      <c r="A4353" t="s">
        <v>23</v>
      </c>
      <c r="B4353" t="s">
        <v>145</v>
      </c>
      <c r="C4353" t="s">
        <v>142</v>
      </c>
      <c r="D4353" t="s">
        <v>124</v>
      </c>
      <c r="E4353" t="s">
        <v>53</v>
      </c>
      <c r="F4353" t="s">
        <v>114</v>
      </c>
      <c r="G4353">
        <v>120664</v>
      </c>
      <c r="H4353" s="75">
        <v>43841</v>
      </c>
      <c r="I4353" t="s">
        <v>115</v>
      </c>
      <c r="J4353">
        <v>5000</v>
      </c>
      <c r="K4353">
        <v>120.783</v>
      </c>
      <c r="L4353">
        <v>41.3964</v>
      </c>
      <c r="M4353">
        <v>11795.464</v>
      </c>
      <c r="N4353" t="s">
        <v>15</v>
      </c>
    </row>
    <row r="4354" spans="1:14" x14ac:dyDescent="0.2">
      <c r="A4354" t="s">
        <v>23</v>
      </c>
      <c r="B4354" t="s">
        <v>145</v>
      </c>
      <c r="C4354" t="s">
        <v>142</v>
      </c>
      <c r="D4354" t="s">
        <v>124</v>
      </c>
      <c r="E4354" t="s">
        <v>53</v>
      </c>
      <c r="F4354" t="s">
        <v>114</v>
      </c>
      <c r="G4354">
        <v>120664</v>
      </c>
      <c r="H4354" s="75">
        <v>43841</v>
      </c>
      <c r="I4354" t="s">
        <v>116</v>
      </c>
      <c r="J4354">
        <v>2.5</v>
      </c>
      <c r="K4354">
        <v>0</v>
      </c>
      <c r="M4354">
        <v>11795.464</v>
      </c>
      <c r="N4354" t="s">
        <v>17</v>
      </c>
    </row>
    <row r="4355" spans="1:14" x14ac:dyDescent="0.2">
      <c r="A4355" t="s">
        <v>23</v>
      </c>
      <c r="B4355" t="s">
        <v>145</v>
      </c>
      <c r="C4355" t="s">
        <v>142</v>
      </c>
      <c r="D4355" t="s">
        <v>124</v>
      </c>
      <c r="E4355" t="s">
        <v>53</v>
      </c>
      <c r="F4355" t="s">
        <v>114</v>
      </c>
      <c r="G4355">
        <v>120664</v>
      </c>
      <c r="H4355" s="75">
        <v>43841</v>
      </c>
      <c r="I4355" t="s">
        <v>25</v>
      </c>
      <c r="J4355">
        <v>-97658.05</v>
      </c>
      <c r="K4355">
        <v>-2359.0929999999998</v>
      </c>
      <c r="L4355">
        <v>41.3964</v>
      </c>
      <c r="M4355">
        <v>9436.3709999999992</v>
      </c>
      <c r="N4355" t="s">
        <v>16</v>
      </c>
    </row>
    <row r="4356" spans="1:14" x14ac:dyDescent="0.2">
      <c r="A4356" t="s">
        <v>23</v>
      </c>
      <c r="B4356" t="s">
        <v>145</v>
      </c>
      <c r="C4356" t="s">
        <v>142</v>
      </c>
      <c r="D4356" t="s">
        <v>124</v>
      </c>
      <c r="E4356" t="s">
        <v>53</v>
      </c>
      <c r="F4356" t="s">
        <v>114</v>
      </c>
      <c r="G4356">
        <v>120664</v>
      </c>
      <c r="H4356" s="75">
        <v>43871</v>
      </c>
      <c r="I4356" t="s">
        <v>115</v>
      </c>
      <c r="J4356">
        <v>5000</v>
      </c>
      <c r="K4356">
        <v>122.114</v>
      </c>
      <c r="L4356">
        <v>40.945500000000003</v>
      </c>
      <c r="M4356">
        <v>9558.4840000000004</v>
      </c>
      <c r="N4356" t="s">
        <v>15</v>
      </c>
    </row>
    <row r="4357" spans="1:14" x14ac:dyDescent="0.2">
      <c r="A4357" t="s">
        <v>23</v>
      </c>
      <c r="B4357" t="s">
        <v>145</v>
      </c>
      <c r="C4357" t="s">
        <v>142</v>
      </c>
      <c r="D4357" t="s">
        <v>124</v>
      </c>
      <c r="E4357" t="s">
        <v>53</v>
      </c>
      <c r="F4357" t="s">
        <v>114</v>
      </c>
      <c r="G4357">
        <v>120664</v>
      </c>
      <c r="H4357" s="75">
        <v>43901</v>
      </c>
      <c r="I4357" t="s">
        <v>115</v>
      </c>
      <c r="J4357">
        <v>5000</v>
      </c>
      <c r="K4357">
        <v>120.35</v>
      </c>
      <c r="L4357">
        <v>41.545400000000001</v>
      </c>
      <c r="M4357">
        <v>9678.8349999999991</v>
      </c>
      <c r="N4357" t="s">
        <v>15</v>
      </c>
    </row>
    <row r="4358" spans="1:14" x14ac:dyDescent="0.2">
      <c r="A4358" t="s">
        <v>23</v>
      </c>
      <c r="B4358" t="s">
        <v>145</v>
      </c>
      <c r="C4358" t="s">
        <v>142</v>
      </c>
      <c r="D4358" t="s">
        <v>124</v>
      </c>
      <c r="E4358" t="s">
        <v>53</v>
      </c>
      <c r="F4358" t="s">
        <v>114</v>
      </c>
      <c r="G4358">
        <v>120664</v>
      </c>
      <c r="H4358" s="75">
        <v>43901</v>
      </c>
      <c r="I4358" t="s">
        <v>117</v>
      </c>
      <c r="J4358">
        <v>2.5</v>
      </c>
      <c r="K4358">
        <v>0</v>
      </c>
      <c r="M4358">
        <v>9678.8349999999991</v>
      </c>
      <c r="N4358" t="s">
        <v>46</v>
      </c>
    </row>
    <row r="4359" spans="1:14" x14ac:dyDescent="0.2">
      <c r="A4359" t="s">
        <v>23</v>
      </c>
      <c r="B4359" t="s">
        <v>145</v>
      </c>
      <c r="C4359" t="s">
        <v>142</v>
      </c>
      <c r="D4359" t="s">
        <v>124</v>
      </c>
      <c r="E4359" t="s">
        <v>53</v>
      </c>
      <c r="F4359" t="s">
        <v>114</v>
      </c>
      <c r="G4359">
        <v>120664</v>
      </c>
      <c r="H4359" s="75">
        <v>43931</v>
      </c>
      <c r="I4359" t="s">
        <v>115</v>
      </c>
      <c r="J4359">
        <v>5000</v>
      </c>
      <c r="K4359">
        <v>117.79900000000001</v>
      </c>
      <c r="L4359">
        <v>42.445099999999996</v>
      </c>
      <c r="M4359">
        <v>9796.634</v>
      </c>
      <c r="N4359" t="s">
        <v>15</v>
      </c>
    </row>
    <row r="4360" spans="1:14" x14ac:dyDescent="0.2">
      <c r="A4360" t="s">
        <v>23</v>
      </c>
      <c r="B4360" t="s">
        <v>145</v>
      </c>
      <c r="C4360" t="s">
        <v>142</v>
      </c>
      <c r="D4360" t="s">
        <v>124</v>
      </c>
      <c r="E4360" t="s">
        <v>53</v>
      </c>
      <c r="F4360" t="s">
        <v>114</v>
      </c>
      <c r="G4360">
        <v>120664</v>
      </c>
      <c r="H4360" s="75">
        <v>43961</v>
      </c>
      <c r="I4360" t="s">
        <v>115</v>
      </c>
      <c r="J4360">
        <v>5000</v>
      </c>
      <c r="K4360">
        <v>116.714</v>
      </c>
      <c r="L4360">
        <v>42.8399</v>
      </c>
      <c r="M4360">
        <v>9913.348</v>
      </c>
      <c r="N4360" t="s">
        <v>15</v>
      </c>
    </row>
    <row r="4361" spans="1:14" x14ac:dyDescent="0.2">
      <c r="A4361" t="s">
        <v>23</v>
      </c>
      <c r="B4361" t="s">
        <v>145</v>
      </c>
      <c r="C4361" t="s">
        <v>142</v>
      </c>
      <c r="D4361" t="s">
        <v>124</v>
      </c>
      <c r="E4361" t="s">
        <v>53</v>
      </c>
      <c r="F4361" t="s">
        <v>114</v>
      </c>
      <c r="G4361">
        <v>120664</v>
      </c>
      <c r="H4361" s="75">
        <v>43991</v>
      </c>
      <c r="I4361" t="s">
        <v>115</v>
      </c>
      <c r="J4361">
        <v>5000</v>
      </c>
      <c r="K4361">
        <v>116.053</v>
      </c>
      <c r="L4361">
        <v>43.083799999999997</v>
      </c>
      <c r="M4361">
        <v>10029.401</v>
      </c>
      <c r="N4361" t="s">
        <v>15</v>
      </c>
    </row>
    <row r="4362" spans="1:14" x14ac:dyDescent="0.2">
      <c r="A4362" t="s">
        <v>23</v>
      </c>
      <c r="B4362" t="s">
        <v>145</v>
      </c>
      <c r="C4362" t="s">
        <v>142</v>
      </c>
      <c r="D4362" t="s">
        <v>124</v>
      </c>
      <c r="E4362" t="s">
        <v>53</v>
      </c>
      <c r="F4362" t="s">
        <v>114</v>
      </c>
      <c r="G4362">
        <v>120664</v>
      </c>
      <c r="H4362" s="75">
        <v>44021</v>
      </c>
      <c r="I4362" t="s">
        <v>115</v>
      </c>
      <c r="J4362">
        <v>5000</v>
      </c>
      <c r="K4362">
        <v>115.815</v>
      </c>
      <c r="L4362">
        <v>43.1721</v>
      </c>
      <c r="M4362">
        <v>10145.216</v>
      </c>
      <c r="N4362" t="s">
        <v>15</v>
      </c>
    </row>
    <row r="4363" spans="1:14" x14ac:dyDescent="0.2">
      <c r="A4363" t="s">
        <v>23</v>
      </c>
      <c r="B4363" t="s">
        <v>145</v>
      </c>
      <c r="C4363" t="s">
        <v>142</v>
      </c>
      <c r="D4363" t="s">
        <v>124</v>
      </c>
      <c r="E4363" t="s">
        <v>53</v>
      </c>
      <c r="F4363" t="s">
        <v>114</v>
      </c>
      <c r="G4363">
        <v>120664</v>
      </c>
      <c r="H4363" s="75">
        <v>44051</v>
      </c>
      <c r="I4363" t="s">
        <v>115</v>
      </c>
      <c r="J4363">
        <v>5000</v>
      </c>
      <c r="K4363">
        <v>112.598</v>
      </c>
      <c r="L4363">
        <v>44.405700000000003</v>
      </c>
      <c r="M4363">
        <v>10257.814</v>
      </c>
      <c r="N4363" t="s">
        <v>15</v>
      </c>
    </row>
    <row r="4364" spans="1:14" x14ac:dyDescent="0.2">
      <c r="A4364" t="s">
        <v>23</v>
      </c>
      <c r="B4364" t="s">
        <v>145</v>
      </c>
      <c r="C4364" t="s">
        <v>142</v>
      </c>
      <c r="D4364" t="s">
        <v>124</v>
      </c>
      <c r="E4364" t="s">
        <v>53</v>
      </c>
      <c r="F4364" t="s">
        <v>114</v>
      </c>
      <c r="G4364">
        <v>120664</v>
      </c>
      <c r="H4364" s="75">
        <v>44081</v>
      </c>
      <c r="I4364" t="s">
        <v>115</v>
      </c>
      <c r="J4364">
        <v>5000</v>
      </c>
      <c r="K4364">
        <v>110.43899999999999</v>
      </c>
      <c r="L4364">
        <v>45.274000000000001</v>
      </c>
      <c r="M4364">
        <v>10368.253000000001</v>
      </c>
      <c r="N4364" t="s">
        <v>15</v>
      </c>
    </row>
    <row r="4365" spans="1:14" x14ac:dyDescent="0.2">
      <c r="A4365" t="s">
        <v>23</v>
      </c>
      <c r="B4365" t="s">
        <v>145</v>
      </c>
      <c r="C4365" t="s">
        <v>142</v>
      </c>
      <c r="D4365" t="s">
        <v>124</v>
      </c>
      <c r="E4365" t="s">
        <v>53</v>
      </c>
      <c r="F4365" t="s">
        <v>114</v>
      </c>
      <c r="G4365">
        <v>120664</v>
      </c>
      <c r="H4365" s="75">
        <v>44111</v>
      </c>
      <c r="I4365" t="s">
        <v>115</v>
      </c>
      <c r="J4365">
        <v>5000</v>
      </c>
      <c r="K4365">
        <v>107.26900000000001</v>
      </c>
      <c r="L4365">
        <v>46.611699999999999</v>
      </c>
      <c r="M4365">
        <v>10475.522000000001</v>
      </c>
      <c r="N4365" t="s">
        <v>15</v>
      </c>
    </row>
    <row r="4366" spans="1:14" x14ac:dyDescent="0.2">
      <c r="A4366" t="s">
        <v>23</v>
      </c>
      <c r="B4366" t="s">
        <v>145</v>
      </c>
      <c r="C4366" t="s">
        <v>142</v>
      </c>
      <c r="D4366" t="s">
        <v>124</v>
      </c>
      <c r="E4366" t="s">
        <v>53</v>
      </c>
      <c r="F4366" t="s">
        <v>114</v>
      </c>
      <c r="G4366">
        <v>120664</v>
      </c>
      <c r="H4366" s="75">
        <v>44141</v>
      </c>
      <c r="I4366" t="s">
        <v>115</v>
      </c>
      <c r="J4366">
        <v>5000</v>
      </c>
      <c r="K4366">
        <v>109.414</v>
      </c>
      <c r="L4366">
        <v>45.698099999999997</v>
      </c>
      <c r="M4366">
        <v>10584.936</v>
      </c>
      <c r="N4366" t="s">
        <v>15</v>
      </c>
    </row>
    <row r="4367" spans="1:14" x14ac:dyDescent="0.2">
      <c r="A4367" t="s">
        <v>23</v>
      </c>
      <c r="B4367" t="s">
        <v>145</v>
      </c>
      <c r="C4367" t="s">
        <v>142</v>
      </c>
      <c r="D4367" t="s">
        <v>124</v>
      </c>
      <c r="E4367" t="s">
        <v>53</v>
      </c>
      <c r="F4367" t="s">
        <v>114</v>
      </c>
      <c r="G4367">
        <v>120664</v>
      </c>
      <c r="H4367" s="75">
        <v>44171</v>
      </c>
      <c r="I4367" t="s">
        <v>115</v>
      </c>
      <c r="J4367">
        <v>5000</v>
      </c>
      <c r="K4367">
        <v>107.651</v>
      </c>
      <c r="L4367">
        <v>46.4465</v>
      </c>
      <c r="M4367">
        <v>10692.587</v>
      </c>
      <c r="N4367" t="s">
        <v>15</v>
      </c>
    </row>
    <row r="4368" spans="1:14" x14ac:dyDescent="0.2">
      <c r="A4368" t="s">
        <v>23</v>
      </c>
      <c r="B4368" t="s">
        <v>145</v>
      </c>
      <c r="C4368" t="s">
        <v>142</v>
      </c>
      <c r="D4368" t="s">
        <v>124</v>
      </c>
      <c r="E4368" t="s">
        <v>53</v>
      </c>
      <c r="F4368" t="s">
        <v>114</v>
      </c>
      <c r="G4368">
        <v>120664</v>
      </c>
      <c r="H4368" s="75">
        <v>44171</v>
      </c>
      <c r="I4368" t="s">
        <v>117</v>
      </c>
      <c r="J4368">
        <v>2.5</v>
      </c>
      <c r="K4368">
        <v>0</v>
      </c>
      <c r="M4368">
        <v>10692.587</v>
      </c>
      <c r="N4368" t="s">
        <v>46</v>
      </c>
    </row>
    <row r="4369" spans="1:15" x14ac:dyDescent="0.2">
      <c r="A4369" t="s">
        <v>23</v>
      </c>
      <c r="B4369" t="s">
        <v>145</v>
      </c>
      <c r="C4369" t="s">
        <v>142</v>
      </c>
      <c r="D4369" t="s">
        <v>124</v>
      </c>
      <c r="E4369" t="s">
        <v>53</v>
      </c>
      <c r="F4369" t="s">
        <v>114</v>
      </c>
      <c r="G4369">
        <v>120664</v>
      </c>
      <c r="H4369" s="75">
        <v>44201</v>
      </c>
      <c r="I4369" t="s">
        <v>115</v>
      </c>
      <c r="J4369">
        <v>5000</v>
      </c>
      <c r="K4369">
        <v>108.31699999999999</v>
      </c>
      <c r="L4369">
        <v>46.160800000000002</v>
      </c>
      <c r="M4369">
        <v>10800.904</v>
      </c>
      <c r="N4369" t="s">
        <v>15</v>
      </c>
    </row>
    <row r="4370" spans="1:15" x14ac:dyDescent="0.2">
      <c r="A4370" t="s">
        <v>23</v>
      </c>
      <c r="B4370" t="s">
        <v>145</v>
      </c>
      <c r="C4370" t="s">
        <v>142</v>
      </c>
      <c r="D4370" t="s">
        <v>124</v>
      </c>
      <c r="E4370" t="s">
        <v>53</v>
      </c>
      <c r="F4370" t="s">
        <v>114</v>
      </c>
      <c r="G4370">
        <v>120664</v>
      </c>
      <c r="H4370" s="75">
        <v>44231</v>
      </c>
      <c r="I4370" t="s">
        <v>115</v>
      </c>
      <c r="J4370">
        <v>5000</v>
      </c>
      <c r="K4370">
        <v>105.315</v>
      </c>
      <c r="L4370">
        <v>47.476799999999997</v>
      </c>
      <c r="M4370">
        <v>10906.218000000001</v>
      </c>
      <c r="N4370" t="s">
        <v>15</v>
      </c>
    </row>
    <row r="4371" spans="1:15" x14ac:dyDescent="0.2">
      <c r="A4371" t="s">
        <v>23</v>
      </c>
      <c r="B4371" t="s">
        <v>145</v>
      </c>
      <c r="C4371" t="s">
        <v>142</v>
      </c>
      <c r="D4371" t="s">
        <v>124</v>
      </c>
      <c r="E4371" t="s">
        <v>53</v>
      </c>
      <c r="F4371" t="s">
        <v>114</v>
      </c>
      <c r="G4371">
        <v>120664</v>
      </c>
      <c r="H4371" s="75">
        <v>44261</v>
      </c>
      <c r="I4371" t="s">
        <v>115</v>
      </c>
      <c r="J4371">
        <v>5000</v>
      </c>
      <c r="K4371">
        <v>105.792</v>
      </c>
      <c r="L4371">
        <v>47.262500000000003</v>
      </c>
      <c r="M4371">
        <v>11012.01</v>
      </c>
      <c r="N4371" t="s">
        <v>15</v>
      </c>
    </row>
    <row r="4372" spans="1:15" x14ac:dyDescent="0.2">
      <c r="A4372" t="s">
        <v>23</v>
      </c>
      <c r="B4372" t="s">
        <v>145</v>
      </c>
      <c r="C4372" t="s">
        <v>142</v>
      </c>
      <c r="D4372" t="s">
        <v>124</v>
      </c>
      <c r="E4372" t="s">
        <v>53</v>
      </c>
      <c r="F4372" t="s">
        <v>114</v>
      </c>
      <c r="G4372">
        <v>120664</v>
      </c>
      <c r="H4372" s="75">
        <v>44291</v>
      </c>
      <c r="I4372" t="s">
        <v>115</v>
      </c>
      <c r="J4372">
        <v>5000</v>
      </c>
      <c r="K4372">
        <v>105.22499999999999</v>
      </c>
      <c r="L4372">
        <v>47.517299999999999</v>
      </c>
      <c r="M4372">
        <v>11117.235000000001</v>
      </c>
      <c r="N4372" t="s">
        <v>15</v>
      </c>
    </row>
    <row r="4373" spans="1:15" x14ac:dyDescent="0.2">
      <c r="A4373" t="s">
        <v>23</v>
      </c>
      <c r="B4373" t="s">
        <v>145</v>
      </c>
      <c r="C4373" t="s">
        <v>142</v>
      </c>
      <c r="D4373" t="s">
        <v>124</v>
      </c>
      <c r="E4373" t="s">
        <v>53</v>
      </c>
      <c r="F4373" t="s">
        <v>114</v>
      </c>
      <c r="G4373">
        <v>120664</v>
      </c>
      <c r="H4373" s="75">
        <v>44291</v>
      </c>
      <c r="I4373" t="s">
        <v>116</v>
      </c>
      <c r="J4373">
        <v>2.5</v>
      </c>
      <c r="K4373">
        <v>0</v>
      </c>
      <c r="M4373">
        <v>11117.235000000001</v>
      </c>
      <c r="N4373" t="s">
        <v>17</v>
      </c>
    </row>
    <row r="4374" spans="1:15" x14ac:dyDescent="0.2">
      <c r="A4374" t="s">
        <v>23</v>
      </c>
      <c r="B4374" t="s">
        <v>145</v>
      </c>
      <c r="C4374" t="s">
        <v>142</v>
      </c>
      <c r="D4374" t="s">
        <v>124</v>
      </c>
      <c r="E4374" t="s">
        <v>53</v>
      </c>
      <c r="F4374" t="s">
        <v>114</v>
      </c>
      <c r="G4374">
        <v>120664</v>
      </c>
      <c r="H4374" s="75">
        <v>44321</v>
      </c>
      <c r="I4374" t="s">
        <v>115</v>
      </c>
      <c r="J4374">
        <v>5000</v>
      </c>
      <c r="K4374">
        <v>103.49299999999999</v>
      </c>
      <c r="L4374">
        <v>48.312199999999997</v>
      </c>
      <c r="M4374">
        <v>11220.728999999999</v>
      </c>
      <c r="N4374" t="s">
        <v>15</v>
      </c>
    </row>
    <row r="4375" spans="1:15" x14ac:dyDescent="0.2">
      <c r="A4375" t="s">
        <v>23</v>
      </c>
      <c r="B4375" t="s">
        <v>145</v>
      </c>
      <c r="C4375" t="s">
        <v>142</v>
      </c>
      <c r="D4375" t="s">
        <v>124</v>
      </c>
      <c r="E4375" t="s">
        <v>53</v>
      </c>
      <c r="F4375" t="s">
        <v>114</v>
      </c>
      <c r="G4375">
        <v>120664</v>
      </c>
      <c r="H4375" s="75">
        <v>44321</v>
      </c>
      <c r="I4375" t="s">
        <v>116</v>
      </c>
      <c r="J4375">
        <v>2.5</v>
      </c>
      <c r="K4375">
        <v>0</v>
      </c>
      <c r="M4375">
        <v>11220.728999999999</v>
      </c>
      <c r="N4375" t="s">
        <v>17</v>
      </c>
    </row>
    <row r="4376" spans="1:15" x14ac:dyDescent="0.2">
      <c r="A4376" t="s">
        <v>23</v>
      </c>
      <c r="B4376" t="s">
        <v>145</v>
      </c>
      <c r="C4376" t="s">
        <v>142</v>
      </c>
      <c r="D4376" t="s">
        <v>124</v>
      </c>
      <c r="E4376" t="s">
        <v>53</v>
      </c>
      <c r="F4376" t="s">
        <v>114</v>
      </c>
      <c r="G4376">
        <v>120664</v>
      </c>
      <c r="H4376" s="75">
        <v>44351</v>
      </c>
      <c r="I4376" t="s">
        <v>115</v>
      </c>
      <c r="J4376">
        <v>5000</v>
      </c>
      <c r="K4376">
        <v>102.676</v>
      </c>
      <c r="L4376">
        <v>48.6967</v>
      </c>
      <c r="M4376">
        <v>11323.405000000001</v>
      </c>
      <c r="N4376" t="s">
        <v>15</v>
      </c>
    </row>
    <row r="4377" spans="1:15" x14ac:dyDescent="0.2">
      <c r="A4377" t="s">
        <v>23</v>
      </c>
      <c r="B4377" t="s">
        <v>145</v>
      </c>
      <c r="C4377" t="s">
        <v>142</v>
      </c>
      <c r="D4377" t="s">
        <v>124</v>
      </c>
      <c r="E4377" t="s">
        <v>53</v>
      </c>
      <c r="F4377" t="s">
        <v>114</v>
      </c>
      <c r="G4377">
        <v>120664</v>
      </c>
      <c r="H4377" s="75">
        <v>44381</v>
      </c>
      <c r="I4377" t="s">
        <v>115</v>
      </c>
      <c r="J4377">
        <v>5000</v>
      </c>
      <c r="K4377">
        <v>101.82299999999999</v>
      </c>
      <c r="L4377">
        <v>49.104700000000001</v>
      </c>
      <c r="M4377">
        <v>11425.227999999999</v>
      </c>
      <c r="N4377" t="s">
        <v>15</v>
      </c>
    </row>
    <row r="4378" spans="1:15" x14ac:dyDescent="0.2">
      <c r="A4378" t="s">
        <v>23</v>
      </c>
      <c r="B4378" t="s">
        <v>145</v>
      </c>
      <c r="C4378" t="s">
        <v>142</v>
      </c>
      <c r="D4378" t="s">
        <v>124</v>
      </c>
      <c r="E4378" t="s">
        <v>53</v>
      </c>
      <c r="F4378" t="s">
        <v>114</v>
      </c>
      <c r="G4378">
        <v>120664</v>
      </c>
      <c r="H4378" s="75">
        <v>44381</v>
      </c>
      <c r="I4378" t="s">
        <v>117</v>
      </c>
      <c r="J4378">
        <v>2.5</v>
      </c>
      <c r="K4378">
        <v>0</v>
      </c>
      <c r="M4378">
        <v>11425.227999999999</v>
      </c>
      <c r="N4378" t="s">
        <v>46</v>
      </c>
    </row>
    <row r="4379" spans="1:15" x14ac:dyDescent="0.2">
      <c r="A4379" t="s">
        <v>23</v>
      </c>
      <c r="B4379" t="s">
        <v>145</v>
      </c>
      <c r="C4379" t="s">
        <v>142</v>
      </c>
      <c r="D4379" t="s">
        <v>124</v>
      </c>
      <c r="E4379" t="s">
        <v>53</v>
      </c>
      <c r="F4379" t="s">
        <v>114</v>
      </c>
      <c r="G4379">
        <v>120664</v>
      </c>
      <c r="H4379" s="75">
        <v>44411</v>
      </c>
      <c r="I4379" t="s">
        <v>115</v>
      </c>
      <c r="J4379">
        <v>5000</v>
      </c>
      <c r="K4379">
        <v>102.708</v>
      </c>
      <c r="L4379">
        <v>48.681600000000003</v>
      </c>
      <c r="M4379">
        <v>11527.936</v>
      </c>
      <c r="N4379" t="s">
        <v>15</v>
      </c>
    </row>
    <row r="4380" spans="1:15" x14ac:dyDescent="0.2">
      <c r="A4380" t="s">
        <v>23</v>
      </c>
      <c r="B4380" t="s">
        <v>145</v>
      </c>
      <c r="C4380" t="s">
        <v>142</v>
      </c>
      <c r="D4380" t="s">
        <v>124</v>
      </c>
      <c r="E4380" t="s">
        <v>53</v>
      </c>
      <c r="F4380" t="s">
        <v>114</v>
      </c>
      <c r="G4380">
        <v>120664</v>
      </c>
      <c r="H4380" s="75">
        <v>44441</v>
      </c>
      <c r="I4380" t="s">
        <v>115</v>
      </c>
      <c r="J4380">
        <v>5000</v>
      </c>
      <c r="K4380">
        <v>104.574</v>
      </c>
      <c r="L4380">
        <v>47.813099999999999</v>
      </c>
      <c r="M4380">
        <v>11632.51</v>
      </c>
      <c r="N4380" t="s">
        <v>15</v>
      </c>
    </row>
    <row r="4381" spans="1:15" x14ac:dyDescent="0.2">
      <c r="A4381" t="s">
        <v>23</v>
      </c>
      <c r="B4381" t="s">
        <v>145</v>
      </c>
      <c r="C4381" t="s">
        <v>142</v>
      </c>
      <c r="D4381" t="s">
        <v>124</v>
      </c>
      <c r="E4381" t="s">
        <v>53</v>
      </c>
      <c r="F4381" t="s">
        <v>114</v>
      </c>
      <c r="G4381">
        <v>120664</v>
      </c>
      <c r="H4381" s="75">
        <v>44441</v>
      </c>
      <c r="I4381" t="s">
        <v>116</v>
      </c>
      <c r="J4381">
        <v>2.5</v>
      </c>
      <c r="K4381">
        <v>0</v>
      </c>
      <c r="M4381">
        <v>11632.51</v>
      </c>
      <c r="N4381" t="s">
        <v>17</v>
      </c>
    </row>
    <row r="4382" spans="1:15" x14ac:dyDescent="0.2">
      <c r="A4382" t="s">
        <v>23</v>
      </c>
      <c r="B4382" t="s">
        <v>145</v>
      </c>
      <c r="C4382" t="s">
        <v>142</v>
      </c>
      <c r="D4382" t="s">
        <v>124</v>
      </c>
      <c r="E4382" t="s">
        <v>53</v>
      </c>
      <c r="F4382" t="s">
        <v>114</v>
      </c>
      <c r="G4382">
        <v>120664</v>
      </c>
      <c r="H4382" s="75">
        <v>44471</v>
      </c>
      <c r="I4382" t="s">
        <v>115</v>
      </c>
      <c r="J4382">
        <v>5000</v>
      </c>
      <c r="K4382">
        <v>106.324</v>
      </c>
      <c r="L4382">
        <v>47.0261</v>
      </c>
      <c r="M4382">
        <v>11738.834000000001</v>
      </c>
      <c r="N4382" t="s">
        <v>15</v>
      </c>
    </row>
    <row r="4383" spans="1:15" x14ac:dyDescent="0.2">
      <c r="A4383" t="s">
        <v>23</v>
      </c>
      <c r="B4383" t="s">
        <v>145</v>
      </c>
      <c r="C4383" t="s">
        <v>142</v>
      </c>
      <c r="D4383" t="s">
        <v>124</v>
      </c>
      <c r="E4383" t="s">
        <v>53</v>
      </c>
      <c r="F4383" t="s">
        <v>114</v>
      </c>
      <c r="G4383">
        <v>120664</v>
      </c>
      <c r="H4383" s="75">
        <v>44501</v>
      </c>
      <c r="I4383" t="s">
        <v>115</v>
      </c>
      <c r="J4383">
        <v>5000</v>
      </c>
      <c r="K4383">
        <v>107.432</v>
      </c>
      <c r="L4383">
        <v>46.541200000000003</v>
      </c>
      <c r="M4383">
        <v>11846.266</v>
      </c>
      <c r="N4383" t="s">
        <v>15</v>
      </c>
    </row>
    <row r="4384" spans="1:15" x14ac:dyDescent="0.2">
      <c r="A4384" t="s">
        <v>23</v>
      </c>
      <c r="B4384" t="s">
        <v>145</v>
      </c>
      <c r="C4384" t="s">
        <v>142</v>
      </c>
      <c r="D4384" t="s">
        <v>124</v>
      </c>
      <c r="E4384" t="s">
        <v>53</v>
      </c>
      <c r="F4384" t="s">
        <v>114</v>
      </c>
      <c r="G4384">
        <v>120664</v>
      </c>
      <c r="H4384" s="75">
        <v>44501</v>
      </c>
      <c r="I4384" t="s">
        <v>118</v>
      </c>
      <c r="J4384">
        <v>5923.13</v>
      </c>
      <c r="K4384">
        <v>0</v>
      </c>
      <c r="M4384">
        <v>11846.266</v>
      </c>
      <c r="N4384" t="s">
        <v>19</v>
      </c>
      <c r="O4384">
        <v>5923.13</v>
      </c>
    </row>
    <row r="4385" spans="1:14" x14ac:dyDescent="0.2">
      <c r="A4385" t="s">
        <v>23</v>
      </c>
      <c r="B4385" t="s">
        <v>145</v>
      </c>
      <c r="C4385" t="s">
        <v>142</v>
      </c>
      <c r="D4385" t="s">
        <v>124</v>
      </c>
      <c r="E4385" t="s">
        <v>53</v>
      </c>
      <c r="F4385" t="s">
        <v>114</v>
      </c>
      <c r="G4385">
        <v>120664</v>
      </c>
      <c r="H4385" s="75">
        <v>44531</v>
      </c>
      <c r="I4385" t="s">
        <v>115</v>
      </c>
      <c r="J4385">
        <v>5000</v>
      </c>
      <c r="K4385">
        <v>107.944</v>
      </c>
      <c r="L4385">
        <v>46.320399999999999</v>
      </c>
      <c r="M4385">
        <v>11954.209000000001</v>
      </c>
      <c r="N4385" t="s">
        <v>15</v>
      </c>
    </row>
    <row r="4386" spans="1:14" x14ac:dyDescent="0.2">
      <c r="A4386" t="s">
        <v>23</v>
      </c>
      <c r="B4386" t="s">
        <v>145</v>
      </c>
      <c r="C4386" t="s">
        <v>142</v>
      </c>
      <c r="D4386" t="s">
        <v>124</v>
      </c>
      <c r="E4386" t="s">
        <v>53</v>
      </c>
      <c r="F4386" t="s">
        <v>114</v>
      </c>
      <c r="G4386">
        <v>120664</v>
      </c>
      <c r="H4386" s="75">
        <v>44561</v>
      </c>
      <c r="I4386" t="s">
        <v>115</v>
      </c>
      <c r="J4386">
        <v>5000</v>
      </c>
      <c r="K4386">
        <v>108.245</v>
      </c>
      <c r="L4386">
        <v>46.191600000000001</v>
      </c>
      <c r="M4386">
        <v>12062.454</v>
      </c>
      <c r="N4386" t="s">
        <v>15</v>
      </c>
    </row>
    <row r="4387" spans="1:14" x14ac:dyDescent="0.2">
      <c r="A4387" t="s">
        <v>23</v>
      </c>
      <c r="B4387" t="s">
        <v>145</v>
      </c>
      <c r="C4387" t="s">
        <v>142</v>
      </c>
      <c r="D4387" t="s">
        <v>124</v>
      </c>
      <c r="E4387" t="s">
        <v>53</v>
      </c>
      <c r="F4387" t="s">
        <v>114</v>
      </c>
      <c r="G4387">
        <v>120664</v>
      </c>
      <c r="H4387" s="75">
        <v>44561</v>
      </c>
      <c r="I4387" t="s">
        <v>117</v>
      </c>
      <c r="J4387">
        <v>2.5</v>
      </c>
      <c r="K4387">
        <v>0</v>
      </c>
      <c r="M4387">
        <v>12062.454</v>
      </c>
      <c r="N4387" t="s">
        <v>46</v>
      </c>
    </row>
    <row r="4388" spans="1:14" x14ac:dyDescent="0.2">
      <c r="A4388" t="s">
        <v>23</v>
      </c>
      <c r="B4388" t="s">
        <v>145</v>
      </c>
      <c r="C4388" t="s">
        <v>142</v>
      </c>
      <c r="D4388" t="s">
        <v>124</v>
      </c>
      <c r="E4388" t="s">
        <v>53</v>
      </c>
      <c r="F4388" t="s">
        <v>114</v>
      </c>
      <c r="G4388">
        <v>120664</v>
      </c>
      <c r="H4388" s="75">
        <v>44591</v>
      </c>
      <c r="I4388" t="s">
        <v>115</v>
      </c>
      <c r="J4388">
        <v>5000</v>
      </c>
      <c r="K4388">
        <v>109.548</v>
      </c>
      <c r="L4388">
        <v>45.642299999999999</v>
      </c>
      <c r="M4388">
        <v>12172.002</v>
      </c>
      <c r="N4388" t="s">
        <v>15</v>
      </c>
    </row>
    <row r="4389" spans="1:14" x14ac:dyDescent="0.2">
      <c r="A4389" t="s">
        <v>23</v>
      </c>
      <c r="B4389" t="s">
        <v>145</v>
      </c>
      <c r="C4389" t="s">
        <v>142</v>
      </c>
      <c r="D4389" t="s">
        <v>124</v>
      </c>
      <c r="E4389" t="s">
        <v>53</v>
      </c>
      <c r="F4389" t="s">
        <v>114</v>
      </c>
      <c r="G4389">
        <v>120664</v>
      </c>
      <c r="H4389" s="75">
        <v>44621</v>
      </c>
      <c r="I4389" t="s">
        <v>115</v>
      </c>
      <c r="J4389">
        <v>5000</v>
      </c>
      <c r="K4389">
        <v>110.589</v>
      </c>
      <c r="L4389">
        <v>45.212400000000002</v>
      </c>
      <c r="M4389">
        <v>12282.591</v>
      </c>
      <c r="N4389" t="s">
        <v>15</v>
      </c>
    </row>
    <row r="4390" spans="1:14" x14ac:dyDescent="0.2">
      <c r="A4390" t="s">
        <v>23</v>
      </c>
      <c r="B4390" t="s">
        <v>145</v>
      </c>
      <c r="C4390" t="s">
        <v>142</v>
      </c>
      <c r="D4390" t="s">
        <v>124</v>
      </c>
      <c r="E4390" t="s">
        <v>53</v>
      </c>
      <c r="F4390" t="s">
        <v>114</v>
      </c>
      <c r="G4390">
        <v>120664</v>
      </c>
      <c r="H4390" s="75">
        <v>44651</v>
      </c>
      <c r="I4390" t="s">
        <v>115</v>
      </c>
      <c r="J4390">
        <v>5000</v>
      </c>
      <c r="K4390">
        <v>110.464</v>
      </c>
      <c r="L4390">
        <v>45.263500000000001</v>
      </c>
      <c r="M4390">
        <v>12393.055</v>
      </c>
      <c r="N4390" t="s">
        <v>15</v>
      </c>
    </row>
    <row r="4391" spans="1:14" x14ac:dyDescent="0.2">
      <c r="A4391" t="s">
        <v>23</v>
      </c>
      <c r="B4391" t="s">
        <v>145</v>
      </c>
      <c r="C4391" t="s">
        <v>142</v>
      </c>
      <c r="D4391" t="s">
        <v>124</v>
      </c>
      <c r="E4391" t="s">
        <v>53</v>
      </c>
      <c r="F4391" t="s">
        <v>114</v>
      </c>
      <c r="G4391">
        <v>120664</v>
      </c>
      <c r="H4391" s="75">
        <v>44681</v>
      </c>
      <c r="I4391" t="s">
        <v>115</v>
      </c>
      <c r="J4391">
        <v>5000</v>
      </c>
      <c r="K4391">
        <v>111.572</v>
      </c>
      <c r="L4391">
        <v>44.814</v>
      </c>
      <c r="M4391">
        <v>12504.627</v>
      </c>
      <c r="N4391" t="s">
        <v>15</v>
      </c>
    </row>
    <row r="4392" spans="1:14" x14ac:dyDescent="0.2">
      <c r="A4392" t="s">
        <v>23</v>
      </c>
      <c r="B4392" t="s">
        <v>145</v>
      </c>
      <c r="C4392" t="s">
        <v>142</v>
      </c>
      <c r="D4392" t="s">
        <v>124</v>
      </c>
      <c r="E4392" t="s">
        <v>53</v>
      </c>
      <c r="F4392" t="s">
        <v>114</v>
      </c>
      <c r="G4392">
        <v>120664</v>
      </c>
      <c r="H4392" s="75">
        <v>44711</v>
      </c>
      <c r="I4392" t="s">
        <v>115</v>
      </c>
      <c r="J4392">
        <v>5000</v>
      </c>
      <c r="K4392">
        <v>110.79</v>
      </c>
      <c r="L4392">
        <v>45.130600000000001</v>
      </c>
      <c r="M4392">
        <v>12615.416999999999</v>
      </c>
      <c r="N4392" t="s">
        <v>15</v>
      </c>
    </row>
    <row r="4393" spans="1:14" x14ac:dyDescent="0.2">
      <c r="A4393" t="s">
        <v>23</v>
      </c>
      <c r="B4393" t="s">
        <v>145</v>
      </c>
      <c r="C4393" t="s">
        <v>142</v>
      </c>
      <c r="D4393" t="s">
        <v>124</v>
      </c>
      <c r="E4393" t="s">
        <v>53</v>
      </c>
      <c r="F4393" t="s">
        <v>114</v>
      </c>
      <c r="G4393">
        <v>120664</v>
      </c>
      <c r="H4393" s="75">
        <v>44741</v>
      </c>
      <c r="I4393" t="s">
        <v>115</v>
      </c>
      <c r="J4393">
        <v>5000</v>
      </c>
      <c r="K4393">
        <v>111.303</v>
      </c>
      <c r="L4393">
        <v>44.922499999999999</v>
      </c>
      <c r="M4393">
        <v>12726.72</v>
      </c>
      <c r="N4393" t="s">
        <v>15</v>
      </c>
    </row>
    <row r="4394" spans="1:14" x14ac:dyDescent="0.2">
      <c r="A4394" t="s">
        <v>23</v>
      </c>
      <c r="B4394" t="s">
        <v>145</v>
      </c>
      <c r="C4394" t="s">
        <v>142</v>
      </c>
      <c r="D4394" t="s">
        <v>124</v>
      </c>
      <c r="E4394" t="s">
        <v>53</v>
      </c>
      <c r="F4394" t="s">
        <v>114</v>
      </c>
      <c r="G4394">
        <v>120664</v>
      </c>
      <c r="H4394" s="75">
        <v>44771</v>
      </c>
      <c r="I4394" t="s">
        <v>115</v>
      </c>
      <c r="J4394">
        <v>5000</v>
      </c>
      <c r="K4394">
        <v>111.51600000000001</v>
      </c>
      <c r="L4394">
        <v>44.8367</v>
      </c>
      <c r="M4394">
        <v>12838.236000000001</v>
      </c>
      <c r="N4394" t="s">
        <v>15</v>
      </c>
    </row>
    <row r="4395" spans="1:14" x14ac:dyDescent="0.2">
      <c r="A4395" t="s">
        <v>23</v>
      </c>
      <c r="B4395" t="s">
        <v>145</v>
      </c>
      <c r="C4395" t="s">
        <v>142</v>
      </c>
      <c r="D4395" t="s">
        <v>124</v>
      </c>
      <c r="E4395" t="s">
        <v>53</v>
      </c>
      <c r="F4395" t="s">
        <v>114</v>
      </c>
      <c r="G4395">
        <v>120664</v>
      </c>
      <c r="H4395" s="75">
        <v>44801</v>
      </c>
      <c r="I4395" t="s">
        <v>115</v>
      </c>
      <c r="J4395">
        <v>5000</v>
      </c>
      <c r="K4395">
        <v>108.51300000000001</v>
      </c>
      <c r="L4395">
        <v>46.077500000000001</v>
      </c>
      <c r="M4395">
        <v>12946.748</v>
      </c>
      <c r="N4395" t="s">
        <v>15</v>
      </c>
    </row>
    <row r="4396" spans="1:14" x14ac:dyDescent="0.2">
      <c r="A4396" t="s">
        <v>23</v>
      </c>
      <c r="B4396" t="s">
        <v>145</v>
      </c>
      <c r="C4396" t="s">
        <v>142</v>
      </c>
      <c r="D4396" t="s">
        <v>124</v>
      </c>
      <c r="E4396" t="s">
        <v>53</v>
      </c>
      <c r="F4396" t="s">
        <v>114</v>
      </c>
      <c r="G4396">
        <v>120664</v>
      </c>
      <c r="H4396" s="75">
        <v>44831</v>
      </c>
      <c r="I4396" t="s">
        <v>115</v>
      </c>
      <c r="J4396">
        <v>5000</v>
      </c>
      <c r="K4396">
        <v>106.642</v>
      </c>
      <c r="L4396">
        <v>46.885800000000003</v>
      </c>
      <c r="M4396">
        <v>13053.391</v>
      </c>
      <c r="N4396" t="s">
        <v>15</v>
      </c>
    </row>
    <row r="4397" spans="1:14" x14ac:dyDescent="0.2">
      <c r="A4397" t="s">
        <v>23</v>
      </c>
      <c r="B4397" t="s">
        <v>145</v>
      </c>
      <c r="C4397" t="s">
        <v>142</v>
      </c>
      <c r="D4397" t="s">
        <v>124</v>
      </c>
      <c r="E4397" t="s">
        <v>53</v>
      </c>
      <c r="F4397" t="s">
        <v>114</v>
      </c>
      <c r="G4397">
        <v>120664</v>
      </c>
      <c r="H4397" s="75">
        <v>44861</v>
      </c>
      <c r="I4397" t="s">
        <v>115</v>
      </c>
      <c r="J4397">
        <v>5000</v>
      </c>
      <c r="K4397">
        <v>103.795</v>
      </c>
      <c r="L4397">
        <v>48.171700000000001</v>
      </c>
      <c r="M4397">
        <v>13157.186</v>
      </c>
      <c r="N4397" t="s">
        <v>15</v>
      </c>
    </row>
    <row r="4398" spans="1:14" x14ac:dyDescent="0.2">
      <c r="A4398" t="s">
        <v>23</v>
      </c>
      <c r="B4398" t="s">
        <v>145</v>
      </c>
      <c r="C4398" t="s">
        <v>142</v>
      </c>
      <c r="D4398" t="s">
        <v>124</v>
      </c>
      <c r="E4398" t="s">
        <v>53</v>
      </c>
      <c r="F4398" t="s">
        <v>114</v>
      </c>
      <c r="G4398">
        <v>120664</v>
      </c>
      <c r="H4398" s="75">
        <v>44891</v>
      </c>
      <c r="I4398" t="s">
        <v>115</v>
      </c>
      <c r="J4398">
        <v>5000</v>
      </c>
      <c r="K4398">
        <v>101.673</v>
      </c>
      <c r="L4398">
        <v>49.177100000000003</v>
      </c>
      <c r="M4398">
        <v>13258.859</v>
      </c>
      <c r="N4398" t="s">
        <v>15</v>
      </c>
    </row>
    <row r="4399" spans="1:14" x14ac:dyDescent="0.2">
      <c r="A4399" t="s">
        <v>23</v>
      </c>
      <c r="B4399" t="s">
        <v>145</v>
      </c>
      <c r="C4399" t="s">
        <v>142</v>
      </c>
      <c r="D4399" t="s">
        <v>124</v>
      </c>
      <c r="E4399" t="s">
        <v>53</v>
      </c>
      <c r="F4399" t="s">
        <v>114</v>
      </c>
      <c r="G4399">
        <v>120664</v>
      </c>
      <c r="H4399" s="75">
        <v>44921</v>
      </c>
      <c r="I4399" t="s">
        <v>115</v>
      </c>
      <c r="J4399">
        <v>5000</v>
      </c>
      <c r="K4399">
        <v>102.608</v>
      </c>
      <c r="L4399">
        <v>48.729100000000003</v>
      </c>
      <c r="M4399">
        <v>13361.467000000001</v>
      </c>
      <c r="N4399" t="s">
        <v>15</v>
      </c>
    </row>
    <row r="4400" spans="1:14" x14ac:dyDescent="0.2">
      <c r="A4400" t="s">
        <v>23</v>
      </c>
      <c r="B4400" t="s">
        <v>145</v>
      </c>
      <c r="C4400" t="s">
        <v>142</v>
      </c>
      <c r="D4400" t="s">
        <v>124</v>
      </c>
      <c r="E4400" t="s">
        <v>53</v>
      </c>
      <c r="F4400" t="s">
        <v>114</v>
      </c>
      <c r="G4400">
        <v>120664</v>
      </c>
      <c r="H4400" s="75">
        <v>44951</v>
      </c>
      <c r="I4400" t="s">
        <v>115</v>
      </c>
      <c r="J4400">
        <v>5000</v>
      </c>
      <c r="K4400">
        <v>102.86499999999999</v>
      </c>
      <c r="L4400">
        <v>48.607399999999998</v>
      </c>
      <c r="M4400">
        <v>13464.332</v>
      </c>
      <c r="N4400" t="s">
        <v>15</v>
      </c>
    </row>
    <row r="4401" spans="1:15" x14ac:dyDescent="0.2">
      <c r="A4401" t="s">
        <v>23</v>
      </c>
      <c r="B4401" t="s">
        <v>145</v>
      </c>
      <c r="C4401" t="s">
        <v>142</v>
      </c>
      <c r="D4401" t="s">
        <v>124</v>
      </c>
      <c r="E4401" t="s">
        <v>53</v>
      </c>
      <c r="F4401" t="s">
        <v>114</v>
      </c>
      <c r="G4401">
        <v>120664</v>
      </c>
      <c r="H4401" s="75">
        <v>44951</v>
      </c>
      <c r="I4401" t="s">
        <v>117</v>
      </c>
      <c r="J4401">
        <v>2.5</v>
      </c>
      <c r="K4401">
        <v>0</v>
      </c>
      <c r="M4401">
        <v>13464.332</v>
      </c>
      <c r="N4401" t="s">
        <v>46</v>
      </c>
    </row>
    <row r="4402" spans="1:15" x14ac:dyDescent="0.2">
      <c r="A4402" t="s">
        <v>23</v>
      </c>
      <c r="B4402" t="s">
        <v>145</v>
      </c>
      <c r="C4402" t="s">
        <v>142</v>
      </c>
      <c r="D4402" t="s">
        <v>124</v>
      </c>
      <c r="E4402" t="s">
        <v>53</v>
      </c>
      <c r="F4402" t="s">
        <v>114</v>
      </c>
      <c r="G4402">
        <v>120664</v>
      </c>
      <c r="H4402" s="75">
        <v>44981</v>
      </c>
      <c r="I4402" t="s">
        <v>115</v>
      </c>
      <c r="J4402">
        <v>5000</v>
      </c>
      <c r="K4402">
        <v>103.843</v>
      </c>
      <c r="L4402">
        <v>48.149700000000003</v>
      </c>
      <c r="M4402">
        <v>13568.174999999999</v>
      </c>
      <c r="N4402" t="s">
        <v>15</v>
      </c>
    </row>
    <row r="4403" spans="1:15" x14ac:dyDescent="0.2">
      <c r="A4403" t="s">
        <v>23</v>
      </c>
      <c r="B4403" t="s">
        <v>145</v>
      </c>
      <c r="C4403" t="s">
        <v>142</v>
      </c>
      <c r="D4403" t="s">
        <v>124</v>
      </c>
      <c r="E4403" t="s">
        <v>53</v>
      </c>
      <c r="F4403" t="s">
        <v>114</v>
      </c>
      <c r="G4403">
        <v>120664</v>
      </c>
      <c r="H4403" s="75">
        <v>45011</v>
      </c>
      <c r="I4403" t="s">
        <v>115</v>
      </c>
      <c r="J4403">
        <v>5000</v>
      </c>
      <c r="K4403">
        <v>105.86</v>
      </c>
      <c r="L4403">
        <v>47.232100000000003</v>
      </c>
      <c r="M4403">
        <v>13674.035</v>
      </c>
      <c r="N4403" t="s">
        <v>15</v>
      </c>
    </row>
    <row r="4404" spans="1:15" x14ac:dyDescent="0.2">
      <c r="A4404" t="s">
        <v>23</v>
      </c>
      <c r="B4404" t="s">
        <v>145</v>
      </c>
      <c r="C4404" t="s">
        <v>142</v>
      </c>
      <c r="D4404" t="s">
        <v>124</v>
      </c>
      <c r="E4404" t="s">
        <v>53</v>
      </c>
      <c r="F4404" t="s">
        <v>114</v>
      </c>
      <c r="G4404">
        <v>120664</v>
      </c>
      <c r="H4404" s="75">
        <v>45041</v>
      </c>
      <c r="I4404" t="s">
        <v>115</v>
      </c>
      <c r="J4404">
        <v>5000</v>
      </c>
      <c r="K4404">
        <v>107.28100000000001</v>
      </c>
      <c r="L4404">
        <v>46.606699999999996</v>
      </c>
      <c r="M4404">
        <v>13781.316000000001</v>
      </c>
      <c r="N4404" t="s">
        <v>15</v>
      </c>
    </row>
    <row r="4405" spans="1:15" x14ac:dyDescent="0.2">
      <c r="A4405" t="s">
        <v>23</v>
      </c>
      <c r="B4405" t="s">
        <v>145</v>
      </c>
      <c r="C4405" t="s">
        <v>142</v>
      </c>
      <c r="D4405" t="s">
        <v>124</v>
      </c>
      <c r="E4405" t="s">
        <v>53</v>
      </c>
      <c r="F4405" t="s">
        <v>114</v>
      </c>
      <c r="G4405">
        <v>120664</v>
      </c>
      <c r="H4405" s="75">
        <v>45071</v>
      </c>
      <c r="I4405" t="s">
        <v>115</v>
      </c>
      <c r="J4405">
        <v>5000</v>
      </c>
      <c r="K4405">
        <v>109.21299999999999</v>
      </c>
      <c r="L4405">
        <v>45.7819</v>
      </c>
      <c r="M4405">
        <v>13890.53</v>
      </c>
      <c r="N4405" t="s">
        <v>15</v>
      </c>
    </row>
    <row r="4406" spans="1:15" x14ac:dyDescent="0.2">
      <c r="A4406" t="s">
        <v>23</v>
      </c>
      <c r="B4406" t="s">
        <v>145</v>
      </c>
      <c r="C4406" t="s">
        <v>142</v>
      </c>
      <c r="D4406" t="s">
        <v>124</v>
      </c>
      <c r="E4406" t="s">
        <v>53</v>
      </c>
      <c r="F4406" t="s">
        <v>114</v>
      </c>
      <c r="G4406">
        <v>120664</v>
      </c>
      <c r="H4406" s="75">
        <v>45071</v>
      </c>
      <c r="I4406" t="s">
        <v>116</v>
      </c>
      <c r="J4406">
        <v>2.5</v>
      </c>
      <c r="K4406">
        <v>0</v>
      </c>
      <c r="M4406">
        <v>13890.53</v>
      </c>
      <c r="N4406" t="s">
        <v>17</v>
      </c>
    </row>
    <row r="4407" spans="1:15" x14ac:dyDescent="0.2">
      <c r="A4407" t="s">
        <v>23</v>
      </c>
      <c r="B4407" t="s">
        <v>145</v>
      </c>
      <c r="C4407" t="s">
        <v>142</v>
      </c>
      <c r="D4407" t="s">
        <v>124</v>
      </c>
      <c r="E4407" t="s">
        <v>53</v>
      </c>
      <c r="F4407" t="s">
        <v>114</v>
      </c>
      <c r="G4407">
        <v>120664</v>
      </c>
      <c r="H4407" s="75">
        <v>45071</v>
      </c>
      <c r="I4407" t="s">
        <v>25</v>
      </c>
      <c r="J4407">
        <v>-127186.96</v>
      </c>
      <c r="K4407">
        <v>-2778.1060000000002</v>
      </c>
      <c r="L4407">
        <v>45.7819</v>
      </c>
      <c r="M4407">
        <v>11112.424000000001</v>
      </c>
      <c r="N4407" t="s">
        <v>16</v>
      </c>
    </row>
    <row r="4408" spans="1:15" x14ac:dyDescent="0.2">
      <c r="A4408" t="s">
        <v>23</v>
      </c>
      <c r="B4408" t="s">
        <v>145</v>
      </c>
      <c r="C4408" t="s">
        <v>142</v>
      </c>
      <c r="D4408" t="s">
        <v>124</v>
      </c>
      <c r="E4408" t="s">
        <v>53</v>
      </c>
      <c r="F4408" t="s">
        <v>114</v>
      </c>
      <c r="G4408">
        <v>120664</v>
      </c>
      <c r="H4408" s="75">
        <v>45101</v>
      </c>
      <c r="I4408" t="s">
        <v>115</v>
      </c>
      <c r="J4408">
        <v>5000</v>
      </c>
      <c r="K4408">
        <v>108.29300000000001</v>
      </c>
      <c r="L4408">
        <v>46.171100000000003</v>
      </c>
      <c r="M4408">
        <v>11220.717000000001</v>
      </c>
      <c r="N4408" t="s">
        <v>15</v>
      </c>
    </row>
    <row r="4409" spans="1:15" x14ac:dyDescent="0.2">
      <c r="A4409" t="s">
        <v>23</v>
      </c>
      <c r="B4409" t="s">
        <v>145</v>
      </c>
      <c r="C4409" t="s">
        <v>142</v>
      </c>
      <c r="D4409" t="s">
        <v>124</v>
      </c>
      <c r="E4409" t="s">
        <v>53</v>
      </c>
      <c r="F4409" t="s">
        <v>114</v>
      </c>
      <c r="G4409">
        <v>120664</v>
      </c>
      <c r="H4409" s="75">
        <v>45131</v>
      </c>
      <c r="I4409" t="s">
        <v>115</v>
      </c>
      <c r="J4409">
        <v>5000</v>
      </c>
      <c r="K4409">
        <v>105.43</v>
      </c>
      <c r="L4409">
        <v>47.424799999999998</v>
      </c>
      <c r="M4409">
        <v>11326.147000000001</v>
      </c>
      <c r="N4409" t="s">
        <v>15</v>
      </c>
    </row>
    <row r="4410" spans="1:15" x14ac:dyDescent="0.2">
      <c r="A4410" t="s">
        <v>23</v>
      </c>
      <c r="B4410" t="s">
        <v>145</v>
      </c>
      <c r="C4410" t="s">
        <v>142</v>
      </c>
      <c r="D4410" t="s">
        <v>124</v>
      </c>
      <c r="E4410" t="s">
        <v>53</v>
      </c>
      <c r="F4410" t="s">
        <v>114</v>
      </c>
      <c r="G4410">
        <v>120664</v>
      </c>
      <c r="H4410" s="75">
        <v>45131</v>
      </c>
      <c r="I4410" t="s">
        <v>118</v>
      </c>
      <c r="J4410">
        <v>5663.07</v>
      </c>
      <c r="K4410">
        <v>0</v>
      </c>
      <c r="M4410">
        <v>11326.147000000001</v>
      </c>
      <c r="N4410" t="s">
        <v>19</v>
      </c>
      <c r="O4410">
        <v>5663.07</v>
      </c>
    </row>
    <row r="4411" spans="1:15" x14ac:dyDescent="0.2">
      <c r="A4411" t="s">
        <v>23</v>
      </c>
      <c r="B4411" t="s">
        <v>145</v>
      </c>
      <c r="C4411" t="s">
        <v>142</v>
      </c>
      <c r="D4411" t="s">
        <v>124</v>
      </c>
      <c r="E4411" t="s">
        <v>53</v>
      </c>
      <c r="F4411" t="s">
        <v>114</v>
      </c>
      <c r="G4411">
        <v>120664</v>
      </c>
      <c r="H4411" s="75">
        <v>45161</v>
      </c>
      <c r="I4411" t="s">
        <v>115</v>
      </c>
      <c r="J4411">
        <v>5000</v>
      </c>
      <c r="K4411">
        <v>107.239</v>
      </c>
      <c r="L4411">
        <v>46.624899999999997</v>
      </c>
      <c r="M4411">
        <v>11433.385</v>
      </c>
      <c r="N4411" t="s">
        <v>15</v>
      </c>
    </row>
    <row r="4412" spans="1:15" x14ac:dyDescent="0.2">
      <c r="A4412" t="s">
        <v>23</v>
      </c>
      <c r="B4412" t="s">
        <v>145</v>
      </c>
      <c r="C4412" t="s">
        <v>142</v>
      </c>
      <c r="D4412" t="s">
        <v>124</v>
      </c>
      <c r="E4412" t="s">
        <v>53</v>
      </c>
      <c r="F4412" t="s">
        <v>114</v>
      </c>
      <c r="G4412">
        <v>120664</v>
      </c>
      <c r="H4412" s="75">
        <v>45191</v>
      </c>
      <c r="I4412" t="s">
        <v>115</v>
      </c>
      <c r="J4412">
        <v>5000</v>
      </c>
      <c r="K4412">
        <v>105.04</v>
      </c>
      <c r="L4412">
        <v>47.601100000000002</v>
      </c>
      <c r="M4412">
        <v>11538.424999999999</v>
      </c>
      <c r="N4412" t="s">
        <v>15</v>
      </c>
    </row>
    <row r="4413" spans="1:15" x14ac:dyDescent="0.2">
      <c r="A4413" t="s">
        <v>23</v>
      </c>
      <c r="B4413" t="s">
        <v>145</v>
      </c>
      <c r="C4413" t="s">
        <v>142</v>
      </c>
      <c r="D4413" t="s">
        <v>124</v>
      </c>
      <c r="E4413" t="s">
        <v>53</v>
      </c>
      <c r="F4413" t="s">
        <v>114</v>
      </c>
      <c r="G4413">
        <v>120664</v>
      </c>
      <c r="H4413" s="75">
        <v>45191</v>
      </c>
      <c r="I4413" t="s">
        <v>116</v>
      </c>
      <c r="J4413">
        <v>2.5</v>
      </c>
      <c r="K4413">
        <v>0</v>
      </c>
      <c r="M4413">
        <v>11538.424999999999</v>
      </c>
      <c r="N4413" t="s">
        <v>17</v>
      </c>
    </row>
    <row r="4414" spans="1:15" x14ac:dyDescent="0.2">
      <c r="A4414" t="s">
        <v>23</v>
      </c>
      <c r="B4414" t="s">
        <v>145</v>
      </c>
      <c r="C4414" t="s">
        <v>142</v>
      </c>
      <c r="D4414" t="s">
        <v>124</v>
      </c>
      <c r="E4414" t="s">
        <v>53</v>
      </c>
      <c r="F4414" t="s">
        <v>114</v>
      </c>
      <c r="G4414">
        <v>120664</v>
      </c>
      <c r="H4414" s="75">
        <v>45221</v>
      </c>
      <c r="I4414" t="s">
        <v>115</v>
      </c>
      <c r="J4414">
        <v>5000</v>
      </c>
      <c r="K4414">
        <v>103.31699999999999</v>
      </c>
      <c r="L4414">
        <v>48.3949</v>
      </c>
      <c r="M4414">
        <v>11641.742</v>
      </c>
      <c r="N4414" t="s">
        <v>15</v>
      </c>
    </row>
    <row r="4415" spans="1:15" x14ac:dyDescent="0.2">
      <c r="A4415" t="s">
        <v>23</v>
      </c>
      <c r="B4415" t="s">
        <v>145</v>
      </c>
      <c r="C4415" t="s">
        <v>142</v>
      </c>
      <c r="D4415" t="s">
        <v>124</v>
      </c>
      <c r="E4415" t="s">
        <v>53</v>
      </c>
      <c r="F4415" t="s">
        <v>114</v>
      </c>
      <c r="G4415">
        <v>120664</v>
      </c>
      <c r="H4415" s="75">
        <v>45251</v>
      </c>
      <c r="I4415" t="s">
        <v>115</v>
      </c>
      <c r="J4415">
        <v>5000</v>
      </c>
      <c r="K4415">
        <v>101.5</v>
      </c>
      <c r="L4415">
        <v>49.261099999999999</v>
      </c>
      <c r="M4415">
        <v>11743.242</v>
      </c>
      <c r="N4415" t="s">
        <v>15</v>
      </c>
    </row>
    <row r="4416" spans="1:15" x14ac:dyDescent="0.2">
      <c r="A4416" t="s">
        <v>23</v>
      </c>
      <c r="B4416" t="s">
        <v>145</v>
      </c>
      <c r="C4416" t="s">
        <v>142</v>
      </c>
      <c r="D4416" t="s">
        <v>124</v>
      </c>
      <c r="E4416" t="s">
        <v>53</v>
      </c>
      <c r="F4416" t="s">
        <v>114</v>
      </c>
      <c r="G4416">
        <v>120664</v>
      </c>
      <c r="H4416" s="75">
        <v>45251</v>
      </c>
      <c r="I4416" t="s">
        <v>116</v>
      </c>
      <c r="J4416">
        <v>2.5</v>
      </c>
      <c r="K4416">
        <v>0</v>
      </c>
      <c r="M4416">
        <v>11743.242</v>
      </c>
      <c r="N4416" t="s">
        <v>17</v>
      </c>
    </row>
    <row r="4417" spans="1:15" x14ac:dyDescent="0.2">
      <c r="A4417" t="s">
        <v>23</v>
      </c>
      <c r="B4417" t="s">
        <v>145</v>
      </c>
      <c r="C4417" t="s">
        <v>142</v>
      </c>
      <c r="D4417" t="s">
        <v>124</v>
      </c>
      <c r="E4417" t="s">
        <v>53</v>
      </c>
      <c r="F4417" t="s">
        <v>114</v>
      </c>
      <c r="G4417">
        <v>120664</v>
      </c>
      <c r="H4417" s="75">
        <v>45281</v>
      </c>
      <c r="I4417" t="s">
        <v>115</v>
      </c>
      <c r="J4417">
        <v>5000</v>
      </c>
      <c r="K4417">
        <v>99.947999999999993</v>
      </c>
      <c r="L4417">
        <v>50.0259</v>
      </c>
      <c r="M4417">
        <v>11843.19</v>
      </c>
      <c r="N4417" t="s">
        <v>15</v>
      </c>
    </row>
    <row r="4418" spans="1:15" x14ac:dyDescent="0.2">
      <c r="A4418" t="s">
        <v>23</v>
      </c>
      <c r="B4418" t="s">
        <v>145</v>
      </c>
      <c r="C4418" t="s">
        <v>142</v>
      </c>
      <c r="D4418" t="s">
        <v>124</v>
      </c>
      <c r="E4418" t="s">
        <v>53</v>
      </c>
      <c r="F4418" t="s">
        <v>114</v>
      </c>
      <c r="G4418">
        <v>120664</v>
      </c>
      <c r="H4418" s="75">
        <v>45281</v>
      </c>
      <c r="I4418" t="s">
        <v>116</v>
      </c>
      <c r="J4418">
        <v>2.5</v>
      </c>
      <c r="K4418">
        <v>0</v>
      </c>
      <c r="M4418">
        <v>11843.19</v>
      </c>
      <c r="N4418" t="s">
        <v>17</v>
      </c>
    </row>
    <row r="4419" spans="1:15" x14ac:dyDescent="0.2">
      <c r="A4419" t="s">
        <v>23</v>
      </c>
      <c r="B4419" t="s">
        <v>145</v>
      </c>
      <c r="C4419" t="s">
        <v>142</v>
      </c>
      <c r="D4419" t="s">
        <v>124</v>
      </c>
      <c r="E4419" t="s">
        <v>53</v>
      </c>
      <c r="F4419" t="s">
        <v>114</v>
      </c>
      <c r="G4419">
        <v>120664</v>
      </c>
      <c r="H4419" s="75">
        <v>45311</v>
      </c>
      <c r="I4419" t="s">
        <v>115</v>
      </c>
      <c r="J4419">
        <v>5000</v>
      </c>
      <c r="K4419">
        <v>101.10299999999999</v>
      </c>
      <c r="L4419">
        <v>49.454700000000003</v>
      </c>
      <c r="M4419">
        <v>11944.291999999999</v>
      </c>
      <c r="N4419" t="s">
        <v>15</v>
      </c>
    </row>
    <row r="4420" spans="1:15" x14ac:dyDescent="0.2">
      <c r="A4420" t="s">
        <v>23</v>
      </c>
      <c r="B4420" t="s">
        <v>145</v>
      </c>
      <c r="C4420" t="s">
        <v>142</v>
      </c>
      <c r="D4420" t="s">
        <v>124</v>
      </c>
      <c r="E4420" t="s">
        <v>53</v>
      </c>
      <c r="F4420" t="s">
        <v>114</v>
      </c>
      <c r="G4420">
        <v>120664</v>
      </c>
      <c r="H4420" s="75">
        <v>45311</v>
      </c>
      <c r="I4420" t="s">
        <v>117</v>
      </c>
      <c r="J4420">
        <v>2.5</v>
      </c>
      <c r="K4420">
        <v>0</v>
      </c>
      <c r="M4420">
        <v>11944.291999999999</v>
      </c>
      <c r="N4420" t="s">
        <v>46</v>
      </c>
    </row>
    <row r="4421" spans="1:15" x14ac:dyDescent="0.2">
      <c r="A4421" t="s">
        <v>23</v>
      </c>
      <c r="B4421" t="s">
        <v>145</v>
      </c>
      <c r="C4421" t="s">
        <v>142</v>
      </c>
      <c r="D4421" t="s">
        <v>124</v>
      </c>
      <c r="E4421" t="s">
        <v>53</v>
      </c>
      <c r="F4421" t="s">
        <v>114</v>
      </c>
      <c r="G4421">
        <v>120664</v>
      </c>
      <c r="H4421" s="75">
        <v>45341</v>
      </c>
      <c r="I4421" t="s">
        <v>115</v>
      </c>
      <c r="J4421">
        <v>5000</v>
      </c>
      <c r="K4421">
        <v>101.776</v>
      </c>
      <c r="L4421">
        <v>49.127299999999998</v>
      </c>
      <c r="M4421">
        <v>12046.069</v>
      </c>
      <c r="N4421" t="s">
        <v>15</v>
      </c>
    </row>
    <row r="4422" spans="1:15" x14ac:dyDescent="0.2">
      <c r="A4422" t="s">
        <v>23</v>
      </c>
      <c r="B4422" t="s">
        <v>145</v>
      </c>
      <c r="C4422" t="s">
        <v>142</v>
      </c>
      <c r="D4422" t="s">
        <v>124</v>
      </c>
      <c r="E4422" t="s">
        <v>53</v>
      </c>
      <c r="F4422" t="s">
        <v>114</v>
      </c>
      <c r="G4422">
        <v>120664</v>
      </c>
      <c r="H4422" s="75">
        <v>45341</v>
      </c>
      <c r="I4422" t="s">
        <v>118</v>
      </c>
      <c r="J4422">
        <v>6023.03</v>
      </c>
      <c r="K4422">
        <v>0</v>
      </c>
      <c r="M4422">
        <v>12046.069</v>
      </c>
      <c r="N4422" t="s">
        <v>19</v>
      </c>
      <c r="O4422">
        <v>6023.03</v>
      </c>
    </row>
    <row r="4423" spans="1:15" x14ac:dyDescent="0.2">
      <c r="A4423" t="s">
        <v>23</v>
      </c>
      <c r="B4423" t="s">
        <v>145</v>
      </c>
      <c r="C4423" t="s">
        <v>142</v>
      </c>
      <c r="D4423" t="s">
        <v>124</v>
      </c>
      <c r="E4423" t="s">
        <v>53</v>
      </c>
      <c r="F4423" t="s">
        <v>114</v>
      </c>
      <c r="G4423">
        <v>120664</v>
      </c>
      <c r="H4423" s="75">
        <v>45371</v>
      </c>
      <c r="I4423" t="s">
        <v>115</v>
      </c>
      <c r="J4423">
        <v>5000</v>
      </c>
      <c r="K4423">
        <v>101.49</v>
      </c>
      <c r="L4423">
        <v>49.266199999999998</v>
      </c>
      <c r="M4423">
        <v>12147.558000000001</v>
      </c>
      <c r="N4423" t="s">
        <v>15</v>
      </c>
    </row>
    <row r="4424" spans="1:15" x14ac:dyDescent="0.2">
      <c r="A4424" t="s">
        <v>23</v>
      </c>
      <c r="B4424" t="s">
        <v>145</v>
      </c>
      <c r="C4424" t="s">
        <v>142</v>
      </c>
      <c r="D4424" t="s">
        <v>124</v>
      </c>
      <c r="E4424" t="s">
        <v>53</v>
      </c>
      <c r="F4424" t="s">
        <v>114</v>
      </c>
      <c r="G4424">
        <v>120664</v>
      </c>
      <c r="H4424" s="75">
        <v>45401</v>
      </c>
      <c r="I4424" t="s">
        <v>115</v>
      </c>
      <c r="J4424">
        <v>5000</v>
      </c>
      <c r="K4424">
        <v>100.056</v>
      </c>
      <c r="L4424">
        <v>49.972200000000001</v>
      </c>
      <c r="M4424">
        <v>12247.614</v>
      </c>
      <c r="N4424" t="s">
        <v>15</v>
      </c>
    </row>
    <row r="4425" spans="1:15" x14ac:dyDescent="0.2">
      <c r="A4425" t="s">
        <v>23</v>
      </c>
      <c r="B4425" t="s">
        <v>145</v>
      </c>
      <c r="C4425" t="s">
        <v>142</v>
      </c>
      <c r="D4425" t="s">
        <v>124</v>
      </c>
      <c r="E4425" t="s">
        <v>53</v>
      </c>
      <c r="F4425" t="s">
        <v>114</v>
      </c>
      <c r="G4425">
        <v>120664</v>
      </c>
      <c r="H4425" s="75">
        <v>45431</v>
      </c>
      <c r="I4425" t="s">
        <v>115</v>
      </c>
      <c r="J4425">
        <v>5000</v>
      </c>
      <c r="K4425">
        <v>100.86499999999999</v>
      </c>
      <c r="L4425">
        <v>49.571199999999997</v>
      </c>
      <c r="M4425">
        <v>12348.478999999999</v>
      </c>
      <c r="N4425" t="s">
        <v>15</v>
      </c>
    </row>
    <row r="4426" spans="1:15" x14ac:dyDescent="0.2">
      <c r="A4426" t="s">
        <v>23</v>
      </c>
      <c r="B4426" t="s">
        <v>145</v>
      </c>
      <c r="C4426" t="s">
        <v>142</v>
      </c>
      <c r="D4426" t="s">
        <v>124</v>
      </c>
      <c r="E4426" t="s">
        <v>53</v>
      </c>
      <c r="F4426" t="s">
        <v>114</v>
      </c>
      <c r="G4426">
        <v>120664</v>
      </c>
      <c r="H4426" s="75">
        <v>45461</v>
      </c>
      <c r="I4426" t="s">
        <v>115</v>
      </c>
      <c r="J4426">
        <v>5000</v>
      </c>
      <c r="K4426">
        <v>99.79</v>
      </c>
      <c r="L4426">
        <v>50.105200000000004</v>
      </c>
      <c r="M4426">
        <v>12448.269</v>
      </c>
      <c r="N4426" t="s">
        <v>15</v>
      </c>
    </row>
    <row r="4427" spans="1:15" x14ac:dyDescent="0.2">
      <c r="A4427" t="s">
        <v>23</v>
      </c>
      <c r="B4427" t="s">
        <v>145</v>
      </c>
      <c r="C4427" t="s">
        <v>142</v>
      </c>
      <c r="D4427" t="s">
        <v>124</v>
      </c>
      <c r="E4427" t="s">
        <v>53</v>
      </c>
      <c r="F4427" t="s">
        <v>114</v>
      </c>
      <c r="G4427">
        <v>120664</v>
      </c>
      <c r="H4427" s="75">
        <v>45491</v>
      </c>
      <c r="I4427" t="s">
        <v>115</v>
      </c>
      <c r="J4427">
        <v>5000</v>
      </c>
      <c r="K4427">
        <v>101.38200000000001</v>
      </c>
      <c r="L4427">
        <v>49.3185</v>
      </c>
      <c r="M4427">
        <v>12549.651</v>
      </c>
      <c r="N4427" t="s">
        <v>15</v>
      </c>
    </row>
    <row r="4428" spans="1:15" x14ac:dyDescent="0.2">
      <c r="A4428" t="s">
        <v>23</v>
      </c>
      <c r="B4428" t="s">
        <v>145</v>
      </c>
      <c r="C4428" t="s">
        <v>142</v>
      </c>
      <c r="D4428" t="s">
        <v>124</v>
      </c>
      <c r="E4428" t="s">
        <v>53</v>
      </c>
      <c r="F4428" t="s">
        <v>114</v>
      </c>
      <c r="G4428">
        <v>120664</v>
      </c>
      <c r="H4428" s="75">
        <v>45521</v>
      </c>
      <c r="I4428" t="s">
        <v>115</v>
      </c>
      <c r="J4428">
        <v>5000</v>
      </c>
      <c r="K4428">
        <v>98.823999999999998</v>
      </c>
      <c r="L4428">
        <v>50.594999999999999</v>
      </c>
      <c r="M4428">
        <v>12648.475</v>
      </c>
      <c r="N4428" t="s">
        <v>15</v>
      </c>
    </row>
    <row r="4429" spans="1:15" x14ac:dyDescent="0.2">
      <c r="A4429" t="s">
        <v>23</v>
      </c>
      <c r="B4429" t="s">
        <v>145</v>
      </c>
      <c r="C4429" t="s">
        <v>142</v>
      </c>
      <c r="D4429" t="s">
        <v>124</v>
      </c>
      <c r="E4429" t="s">
        <v>53</v>
      </c>
      <c r="F4429" t="s">
        <v>114</v>
      </c>
      <c r="G4429">
        <v>120664</v>
      </c>
      <c r="H4429" s="75">
        <v>45551</v>
      </c>
      <c r="I4429" t="s">
        <v>115</v>
      </c>
      <c r="J4429">
        <v>5000</v>
      </c>
      <c r="K4429">
        <v>100.379</v>
      </c>
      <c r="L4429">
        <v>49.811100000000003</v>
      </c>
      <c r="M4429">
        <v>12748.853999999999</v>
      </c>
      <c r="N4429" t="s">
        <v>15</v>
      </c>
    </row>
    <row r="4430" spans="1:15" x14ac:dyDescent="0.2">
      <c r="A4430" t="s">
        <v>23</v>
      </c>
      <c r="B4430" t="s">
        <v>145</v>
      </c>
      <c r="C4430" t="s">
        <v>142</v>
      </c>
      <c r="D4430" t="s">
        <v>124</v>
      </c>
      <c r="E4430" t="s">
        <v>53</v>
      </c>
      <c r="F4430" t="s">
        <v>114</v>
      </c>
      <c r="G4430">
        <v>120664</v>
      </c>
      <c r="H4430" s="75">
        <v>45581</v>
      </c>
      <c r="I4430" t="s">
        <v>115</v>
      </c>
      <c r="J4430">
        <v>5000</v>
      </c>
      <c r="K4430">
        <v>98.763999999999996</v>
      </c>
      <c r="L4430">
        <v>50.625700000000002</v>
      </c>
      <c r="M4430">
        <v>12847.618</v>
      </c>
      <c r="N4430" t="s">
        <v>15</v>
      </c>
    </row>
    <row r="4431" spans="1:15" x14ac:dyDescent="0.2">
      <c r="A4431" t="s">
        <v>23</v>
      </c>
      <c r="B4431" t="s">
        <v>145</v>
      </c>
      <c r="C4431" t="s">
        <v>142</v>
      </c>
      <c r="D4431" t="s">
        <v>124</v>
      </c>
      <c r="E4431" t="s">
        <v>53</v>
      </c>
      <c r="F4431" t="s">
        <v>114</v>
      </c>
      <c r="G4431">
        <v>120664</v>
      </c>
      <c r="H4431" s="75">
        <v>45611</v>
      </c>
      <c r="I4431" t="s">
        <v>115</v>
      </c>
      <c r="J4431">
        <v>5000</v>
      </c>
      <c r="K4431">
        <v>95.906000000000006</v>
      </c>
      <c r="L4431">
        <v>52.134399999999999</v>
      </c>
      <c r="M4431">
        <v>12943.523999999999</v>
      </c>
      <c r="N4431" t="s">
        <v>15</v>
      </c>
    </row>
    <row r="4432" spans="1:15" x14ac:dyDescent="0.2">
      <c r="A4432" t="s">
        <v>23</v>
      </c>
      <c r="B4432" t="s">
        <v>145</v>
      </c>
      <c r="C4432" t="s">
        <v>142</v>
      </c>
      <c r="D4432" t="s">
        <v>124</v>
      </c>
      <c r="E4432" t="s">
        <v>53</v>
      </c>
      <c r="F4432" t="s">
        <v>114</v>
      </c>
      <c r="G4432">
        <v>120664</v>
      </c>
      <c r="H4432" s="75">
        <v>45641</v>
      </c>
      <c r="I4432" t="s">
        <v>115</v>
      </c>
      <c r="J4432">
        <v>5000</v>
      </c>
      <c r="K4432">
        <v>93.927999999999997</v>
      </c>
      <c r="L4432">
        <v>53.232399999999998</v>
      </c>
      <c r="M4432">
        <v>13037.451999999999</v>
      </c>
      <c r="N4432" t="s">
        <v>15</v>
      </c>
    </row>
    <row r="4433" spans="1:14" x14ac:dyDescent="0.2">
      <c r="A4433" t="s">
        <v>23</v>
      </c>
      <c r="B4433" t="s">
        <v>145</v>
      </c>
      <c r="C4433" t="s">
        <v>142</v>
      </c>
      <c r="D4433" t="s">
        <v>124</v>
      </c>
      <c r="E4433" t="s">
        <v>53</v>
      </c>
      <c r="F4433" t="s">
        <v>114</v>
      </c>
      <c r="G4433">
        <v>120664</v>
      </c>
      <c r="H4433" s="75">
        <v>45671</v>
      </c>
      <c r="I4433" t="s">
        <v>115</v>
      </c>
      <c r="J4433">
        <v>5000</v>
      </c>
      <c r="K4433">
        <v>94.944000000000003</v>
      </c>
      <c r="L4433">
        <v>52.662399999999998</v>
      </c>
      <c r="M4433">
        <v>13132.396000000001</v>
      </c>
      <c r="N4433" t="s">
        <v>15</v>
      </c>
    </row>
    <row r="4434" spans="1:14" x14ac:dyDescent="0.2">
      <c r="A4434" t="s">
        <v>23</v>
      </c>
      <c r="B4434" t="s">
        <v>145</v>
      </c>
      <c r="C4434" t="s">
        <v>142</v>
      </c>
      <c r="D4434" t="s">
        <v>124</v>
      </c>
      <c r="E4434" t="s">
        <v>53</v>
      </c>
      <c r="F4434" t="s">
        <v>114</v>
      </c>
      <c r="G4434">
        <v>120664</v>
      </c>
      <c r="H4434" s="75">
        <v>45671</v>
      </c>
      <c r="I4434" t="s">
        <v>117</v>
      </c>
      <c r="J4434">
        <v>2.5</v>
      </c>
      <c r="K4434">
        <v>0</v>
      </c>
      <c r="M4434">
        <v>13132.396000000001</v>
      </c>
      <c r="N4434" t="s">
        <v>46</v>
      </c>
    </row>
    <row r="4435" spans="1:14" x14ac:dyDescent="0.2">
      <c r="A4435" t="s">
        <v>23</v>
      </c>
      <c r="B4435" t="s">
        <v>145</v>
      </c>
      <c r="C4435" t="s">
        <v>142</v>
      </c>
      <c r="D4435" t="s">
        <v>124</v>
      </c>
      <c r="E4435" t="s">
        <v>53</v>
      </c>
      <c r="F4435" t="s">
        <v>114</v>
      </c>
      <c r="G4435">
        <v>120664</v>
      </c>
      <c r="H4435" s="75">
        <v>45701</v>
      </c>
      <c r="I4435" t="s">
        <v>115</v>
      </c>
      <c r="J4435">
        <v>5000</v>
      </c>
      <c r="K4435">
        <v>96.478999999999999</v>
      </c>
      <c r="L4435">
        <v>51.8249</v>
      </c>
      <c r="M4435">
        <v>13228.875</v>
      </c>
      <c r="N4435" t="s">
        <v>15</v>
      </c>
    </row>
    <row r="4436" spans="1:14" x14ac:dyDescent="0.2">
      <c r="A4436" t="s">
        <v>23</v>
      </c>
      <c r="B4436" t="s">
        <v>145</v>
      </c>
      <c r="C4436" t="s">
        <v>142</v>
      </c>
      <c r="D4436" t="s">
        <v>124</v>
      </c>
      <c r="E4436" t="s">
        <v>53</v>
      </c>
      <c r="F4436" t="s">
        <v>114</v>
      </c>
      <c r="G4436">
        <v>120664</v>
      </c>
      <c r="H4436" s="75">
        <v>45701</v>
      </c>
      <c r="I4436" t="s">
        <v>117</v>
      </c>
      <c r="J4436">
        <v>2.5</v>
      </c>
      <c r="K4436">
        <v>0</v>
      </c>
      <c r="M4436">
        <v>13228.875</v>
      </c>
      <c r="N4436" t="s">
        <v>46</v>
      </c>
    </row>
    <row r="4437" spans="1:14" x14ac:dyDescent="0.2">
      <c r="A4437" t="s">
        <v>23</v>
      </c>
      <c r="B4437" t="s">
        <v>145</v>
      </c>
      <c r="C4437" t="s">
        <v>142</v>
      </c>
      <c r="D4437" t="s">
        <v>124</v>
      </c>
      <c r="E4437" t="s">
        <v>53</v>
      </c>
      <c r="F4437" t="s">
        <v>114</v>
      </c>
      <c r="G4437">
        <v>120664</v>
      </c>
      <c r="H4437" s="75">
        <v>45731</v>
      </c>
      <c r="I4437" t="s">
        <v>115</v>
      </c>
      <c r="J4437">
        <v>5000</v>
      </c>
      <c r="K4437">
        <v>95.102999999999994</v>
      </c>
      <c r="L4437">
        <v>52.5747</v>
      </c>
      <c r="M4437">
        <v>13323.977999999999</v>
      </c>
      <c r="N4437" t="s">
        <v>15</v>
      </c>
    </row>
    <row r="4438" spans="1:14" x14ac:dyDescent="0.2">
      <c r="A4438" t="s">
        <v>23</v>
      </c>
      <c r="B4438" t="s">
        <v>145</v>
      </c>
      <c r="C4438" t="s">
        <v>142</v>
      </c>
      <c r="D4438" t="s">
        <v>124</v>
      </c>
      <c r="E4438" t="s">
        <v>53</v>
      </c>
      <c r="F4438" t="s">
        <v>114</v>
      </c>
      <c r="G4438">
        <v>120664</v>
      </c>
      <c r="H4438" s="75">
        <v>45761</v>
      </c>
      <c r="I4438" t="s">
        <v>115</v>
      </c>
      <c r="J4438">
        <v>5000</v>
      </c>
      <c r="K4438">
        <v>94.671999999999997</v>
      </c>
      <c r="L4438">
        <v>52.813899999999997</v>
      </c>
      <c r="M4438">
        <v>13418.65</v>
      </c>
      <c r="N4438" t="s">
        <v>15</v>
      </c>
    </row>
    <row r="4439" spans="1:14" x14ac:dyDescent="0.2">
      <c r="A4439" t="s">
        <v>23</v>
      </c>
      <c r="B4439" t="s">
        <v>145</v>
      </c>
      <c r="C4439" t="s">
        <v>142</v>
      </c>
      <c r="D4439" t="s">
        <v>124</v>
      </c>
      <c r="E4439" t="s">
        <v>53</v>
      </c>
      <c r="F4439" t="s">
        <v>114</v>
      </c>
      <c r="G4439">
        <v>120664</v>
      </c>
      <c r="H4439" s="75">
        <v>45761</v>
      </c>
      <c r="I4439" t="s">
        <v>117</v>
      </c>
      <c r="J4439">
        <v>2.5</v>
      </c>
      <c r="K4439">
        <v>0</v>
      </c>
      <c r="M4439">
        <v>13418.65</v>
      </c>
      <c r="N4439" t="s">
        <v>46</v>
      </c>
    </row>
    <row r="4440" spans="1:14" x14ac:dyDescent="0.2">
      <c r="A4440" t="s">
        <v>23</v>
      </c>
      <c r="B4440" t="s">
        <v>145</v>
      </c>
      <c r="C4440" t="s">
        <v>142</v>
      </c>
      <c r="D4440" t="s">
        <v>124</v>
      </c>
      <c r="E4440" t="s">
        <v>53</v>
      </c>
      <c r="F4440" t="s">
        <v>114</v>
      </c>
      <c r="G4440">
        <v>120664</v>
      </c>
      <c r="H4440" s="75">
        <v>45791</v>
      </c>
      <c r="I4440" t="s">
        <v>115</v>
      </c>
      <c r="J4440">
        <v>5000</v>
      </c>
      <c r="K4440">
        <v>95.28</v>
      </c>
      <c r="L4440">
        <v>52.476700000000001</v>
      </c>
      <c r="M4440">
        <v>13513.93</v>
      </c>
      <c r="N4440" t="s">
        <v>15</v>
      </c>
    </row>
    <row r="4441" spans="1:14" x14ac:dyDescent="0.2">
      <c r="A4441" t="s">
        <v>23</v>
      </c>
      <c r="B4441" t="s">
        <v>145</v>
      </c>
      <c r="C4441" t="s">
        <v>142</v>
      </c>
      <c r="D4441" t="s">
        <v>124</v>
      </c>
      <c r="E4441" t="s">
        <v>53</v>
      </c>
      <c r="F4441" t="s">
        <v>114</v>
      </c>
      <c r="G4441">
        <v>120664</v>
      </c>
      <c r="H4441" s="75">
        <v>45821</v>
      </c>
      <c r="I4441" t="s">
        <v>115</v>
      </c>
      <c r="J4441">
        <v>5000</v>
      </c>
      <c r="K4441">
        <v>94.043000000000006</v>
      </c>
      <c r="L4441">
        <v>53.166899999999998</v>
      </c>
      <c r="M4441">
        <v>13607.973</v>
      </c>
      <c r="N4441" t="s">
        <v>15</v>
      </c>
    </row>
    <row r="4442" spans="1:14" x14ac:dyDescent="0.2">
      <c r="A4442" t="s">
        <v>23</v>
      </c>
      <c r="B4442" t="s">
        <v>145</v>
      </c>
      <c r="C4442" t="s">
        <v>142</v>
      </c>
      <c r="D4442" t="s">
        <v>124</v>
      </c>
      <c r="E4442" t="s">
        <v>53</v>
      </c>
      <c r="F4442" t="s">
        <v>114</v>
      </c>
      <c r="G4442">
        <v>120664</v>
      </c>
      <c r="H4442" s="75">
        <v>45821</v>
      </c>
      <c r="I4442" t="s">
        <v>117</v>
      </c>
      <c r="J4442">
        <v>2.5</v>
      </c>
      <c r="K4442">
        <v>0</v>
      </c>
      <c r="M4442">
        <v>13607.973</v>
      </c>
      <c r="N4442" t="s">
        <v>46</v>
      </c>
    </row>
    <row r="4443" spans="1:14" x14ac:dyDescent="0.2">
      <c r="A4443" t="s">
        <v>23</v>
      </c>
      <c r="B4443" t="s">
        <v>145</v>
      </c>
      <c r="C4443" t="s">
        <v>142</v>
      </c>
      <c r="D4443" t="s">
        <v>124</v>
      </c>
      <c r="E4443" t="s">
        <v>53</v>
      </c>
      <c r="F4443" t="s">
        <v>114</v>
      </c>
      <c r="G4443">
        <v>120664</v>
      </c>
      <c r="H4443" s="75">
        <v>45851</v>
      </c>
      <c r="I4443" t="s">
        <v>115</v>
      </c>
      <c r="J4443">
        <v>5000</v>
      </c>
      <c r="K4443">
        <v>92.718999999999994</v>
      </c>
      <c r="L4443">
        <v>53.926099999999998</v>
      </c>
      <c r="M4443">
        <v>13700.692999999999</v>
      </c>
      <c r="N4443" t="s">
        <v>15</v>
      </c>
    </row>
    <row r="4444" spans="1:14" x14ac:dyDescent="0.2">
      <c r="A4444" t="s">
        <v>23</v>
      </c>
      <c r="B4444" t="s">
        <v>145</v>
      </c>
      <c r="C4444" t="s">
        <v>142</v>
      </c>
      <c r="D4444" t="s">
        <v>124</v>
      </c>
      <c r="E4444" t="s">
        <v>53</v>
      </c>
      <c r="F4444" t="s">
        <v>114</v>
      </c>
      <c r="G4444">
        <v>120664</v>
      </c>
      <c r="H4444" s="75">
        <v>45881</v>
      </c>
      <c r="I4444" t="s">
        <v>115</v>
      </c>
      <c r="J4444">
        <v>5000</v>
      </c>
      <c r="K4444">
        <v>90.082999999999998</v>
      </c>
      <c r="L4444">
        <v>55.504199999999997</v>
      </c>
      <c r="M4444">
        <v>13790.776</v>
      </c>
      <c r="N4444" t="s">
        <v>15</v>
      </c>
    </row>
    <row r="4445" spans="1:14" x14ac:dyDescent="0.2">
      <c r="A4445" t="s">
        <v>23</v>
      </c>
      <c r="B4445" t="s">
        <v>145</v>
      </c>
      <c r="C4445" t="s">
        <v>142</v>
      </c>
      <c r="D4445" t="s">
        <v>124</v>
      </c>
      <c r="E4445" t="s">
        <v>53</v>
      </c>
      <c r="F4445" t="s">
        <v>114</v>
      </c>
      <c r="G4445">
        <v>120664</v>
      </c>
      <c r="H4445" s="75">
        <v>45911</v>
      </c>
      <c r="I4445" t="s">
        <v>115</v>
      </c>
      <c r="J4445">
        <v>5000</v>
      </c>
      <c r="K4445">
        <v>90.89</v>
      </c>
      <c r="L4445">
        <v>55.011400000000002</v>
      </c>
      <c r="M4445">
        <v>13881.665999999999</v>
      </c>
      <c r="N4445" t="s">
        <v>15</v>
      </c>
    </row>
    <row r="4446" spans="1:14" x14ac:dyDescent="0.2">
      <c r="A4446" t="s">
        <v>23</v>
      </c>
      <c r="B4446" t="s">
        <v>145</v>
      </c>
      <c r="C4446" t="s">
        <v>142</v>
      </c>
      <c r="D4446" t="s">
        <v>124</v>
      </c>
      <c r="E4446" t="s">
        <v>53</v>
      </c>
      <c r="F4446" t="s">
        <v>114</v>
      </c>
      <c r="G4446">
        <v>120664</v>
      </c>
      <c r="H4446" s="75">
        <v>45941</v>
      </c>
      <c r="I4446" t="s">
        <v>115</v>
      </c>
      <c r="J4446">
        <v>5000</v>
      </c>
      <c r="K4446">
        <v>90.575000000000003</v>
      </c>
      <c r="L4446">
        <v>55.203000000000003</v>
      </c>
      <c r="M4446">
        <v>13972.241</v>
      </c>
      <c r="N4446" t="s">
        <v>15</v>
      </c>
    </row>
    <row r="4447" spans="1:14" x14ac:dyDescent="0.2">
      <c r="A4447" t="s">
        <v>23</v>
      </c>
      <c r="B4447" t="s">
        <v>145</v>
      </c>
      <c r="C4447" t="s">
        <v>142</v>
      </c>
      <c r="D4447" t="s">
        <v>124</v>
      </c>
      <c r="E4447" t="s">
        <v>53</v>
      </c>
      <c r="F4447" t="s">
        <v>114</v>
      </c>
      <c r="G4447">
        <v>120664</v>
      </c>
      <c r="H4447" s="75">
        <v>45971</v>
      </c>
      <c r="I4447" t="s">
        <v>115</v>
      </c>
      <c r="J4447">
        <v>5000</v>
      </c>
      <c r="K4447">
        <v>87.980999999999995</v>
      </c>
      <c r="L4447">
        <v>56.830300000000001</v>
      </c>
      <c r="M4447">
        <v>14060.222</v>
      </c>
      <c r="N4447" t="s">
        <v>15</v>
      </c>
    </row>
    <row r="4448" spans="1:14" x14ac:dyDescent="0.2">
      <c r="A4448" t="s">
        <v>23</v>
      </c>
      <c r="B4448" t="s">
        <v>145</v>
      </c>
      <c r="C4448" t="s">
        <v>142</v>
      </c>
      <c r="D4448" t="s">
        <v>124</v>
      </c>
      <c r="E4448" t="s">
        <v>53</v>
      </c>
      <c r="F4448" t="s">
        <v>114</v>
      </c>
      <c r="G4448">
        <v>120664</v>
      </c>
      <c r="H4448" s="75">
        <v>46001</v>
      </c>
      <c r="I4448" t="s">
        <v>115</v>
      </c>
      <c r="J4448">
        <v>5000</v>
      </c>
      <c r="K4448">
        <v>89.608000000000004</v>
      </c>
      <c r="L4448">
        <v>55.7986</v>
      </c>
      <c r="M4448">
        <v>14149.83</v>
      </c>
      <c r="N4448" t="s">
        <v>15</v>
      </c>
    </row>
    <row r="4449" spans="1:14" x14ac:dyDescent="0.2">
      <c r="A4449" t="s">
        <v>23</v>
      </c>
      <c r="B4449" t="s">
        <v>145</v>
      </c>
      <c r="C4449" t="s">
        <v>142</v>
      </c>
      <c r="D4449" t="s">
        <v>124</v>
      </c>
      <c r="E4449" t="s">
        <v>53</v>
      </c>
      <c r="F4449" t="s">
        <v>114</v>
      </c>
      <c r="G4449">
        <v>120664</v>
      </c>
      <c r="H4449" s="75">
        <v>46031</v>
      </c>
      <c r="I4449" t="s">
        <v>115</v>
      </c>
      <c r="J4449">
        <v>5000</v>
      </c>
      <c r="K4449">
        <v>90.703000000000003</v>
      </c>
      <c r="L4449">
        <v>55.125300000000003</v>
      </c>
      <c r="M4449">
        <v>14240.532999999999</v>
      </c>
      <c r="N4449" t="s">
        <v>15</v>
      </c>
    </row>
    <row r="4450" spans="1:14" x14ac:dyDescent="0.2">
      <c r="A4450" t="s">
        <v>23</v>
      </c>
      <c r="B4450" t="s">
        <v>145</v>
      </c>
      <c r="C4450" t="s">
        <v>142</v>
      </c>
      <c r="D4450" t="s">
        <v>124</v>
      </c>
      <c r="E4450" t="s">
        <v>53</v>
      </c>
      <c r="F4450" t="s">
        <v>114</v>
      </c>
      <c r="G4450">
        <v>120664</v>
      </c>
      <c r="H4450" s="75">
        <v>46061</v>
      </c>
      <c r="I4450" t="s">
        <v>115</v>
      </c>
      <c r="J4450">
        <v>5000</v>
      </c>
      <c r="K4450">
        <v>89.153999999999996</v>
      </c>
      <c r="L4450">
        <v>56.082599999999999</v>
      </c>
      <c r="M4450">
        <v>14329.687</v>
      </c>
      <c r="N4450" t="s">
        <v>15</v>
      </c>
    </row>
    <row r="4451" spans="1:14" x14ac:dyDescent="0.2">
      <c r="A4451" t="s">
        <v>23</v>
      </c>
      <c r="B4451" t="s">
        <v>145</v>
      </c>
      <c r="C4451" t="s">
        <v>142</v>
      </c>
      <c r="D4451" t="s">
        <v>124</v>
      </c>
      <c r="E4451" t="s">
        <v>53</v>
      </c>
      <c r="F4451" t="s">
        <v>114</v>
      </c>
      <c r="G4451">
        <v>120664</v>
      </c>
      <c r="H4451" s="75">
        <v>46091</v>
      </c>
      <c r="I4451" t="s">
        <v>115</v>
      </c>
      <c r="J4451">
        <v>5000</v>
      </c>
      <c r="K4451">
        <v>88.948999999999998</v>
      </c>
      <c r="L4451">
        <v>56.2117</v>
      </c>
      <c r="M4451">
        <v>14418.637000000001</v>
      </c>
      <c r="N4451" t="s">
        <v>15</v>
      </c>
    </row>
    <row r="4452" spans="1:14" x14ac:dyDescent="0.2">
      <c r="A4452" t="s">
        <v>23</v>
      </c>
      <c r="B4452" t="s">
        <v>145</v>
      </c>
      <c r="C4452" t="s">
        <v>142</v>
      </c>
      <c r="D4452" t="s">
        <v>124</v>
      </c>
      <c r="E4452" t="s">
        <v>53</v>
      </c>
      <c r="F4452" t="s">
        <v>114</v>
      </c>
      <c r="G4452">
        <v>120664</v>
      </c>
      <c r="H4452" s="75">
        <v>46121</v>
      </c>
      <c r="I4452" t="s">
        <v>115</v>
      </c>
      <c r="J4452">
        <v>5000</v>
      </c>
      <c r="K4452">
        <v>90.528999999999996</v>
      </c>
      <c r="L4452">
        <v>55.230699999999999</v>
      </c>
      <c r="M4452">
        <v>14509.165999999999</v>
      </c>
      <c r="N4452" t="s">
        <v>15</v>
      </c>
    </row>
    <row r="4453" spans="1:14" x14ac:dyDescent="0.2">
      <c r="A4453" t="s">
        <v>23</v>
      </c>
      <c r="B4453" t="s">
        <v>145</v>
      </c>
      <c r="C4453" t="s">
        <v>142</v>
      </c>
      <c r="D4453" t="s">
        <v>124</v>
      </c>
      <c r="E4453" t="s">
        <v>53</v>
      </c>
      <c r="F4453" t="s">
        <v>114</v>
      </c>
      <c r="G4453">
        <v>120664</v>
      </c>
      <c r="H4453" s="75">
        <v>46151</v>
      </c>
      <c r="I4453" t="s">
        <v>115</v>
      </c>
      <c r="J4453">
        <v>5000</v>
      </c>
      <c r="K4453">
        <v>90.457999999999998</v>
      </c>
      <c r="L4453">
        <v>55.274299999999997</v>
      </c>
      <c r="M4453">
        <v>14599.624</v>
      </c>
      <c r="N4453" t="s">
        <v>15</v>
      </c>
    </row>
    <row r="4454" spans="1:14" x14ac:dyDescent="0.2">
      <c r="A4454" t="s">
        <v>23</v>
      </c>
      <c r="B4454" t="s">
        <v>145</v>
      </c>
      <c r="C4454" t="s">
        <v>142</v>
      </c>
      <c r="D4454" t="s">
        <v>124</v>
      </c>
      <c r="E4454" t="s">
        <v>53</v>
      </c>
      <c r="F4454" t="s">
        <v>114</v>
      </c>
      <c r="G4454">
        <v>120664</v>
      </c>
      <c r="H4454" s="75">
        <v>46181</v>
      </c>
      <c r="I4454" t="s">
        <v>115</v>
      </c>
      <c r="J4454">
        <v>5000</v>
      </c>
      <c r="K4454">
        <v>88.200999999999993</v>
      </c>
      <c r="L4454">
        <v>56.688800000000001</v>
      </c>
      <c r="M4454">
        <v>14687.825000000001</v>
      </c>
      <c r="N4454" t="s">
        <v>15</v>
      </c>
    </row>
    <row r="4455" spans="1:14" x14ac:dyDescent="0.2">
      <c r="A4455" t="s">
        <v>125</v>
      </c>
      <c r="B4455" t="s">
        <v>146</v>
      </c>
      <c r="C4455" t="s">
        <v>142</v>
      </c>
      <c r="D4455" t="s">
        <v>127</v>
      </c>
      <c r="E4455" t="s">
        <v>53</v>
      </c>
      <c r="F4455" t="s">
        <v>114</v>
      </c>
      <c r="G4455">
        <v>112323</v>
      </c>
      <c r="H4455" s="75">
        <v>40493</v>
      </c>
      <c r="I4455" t="s">
        <v>115</v>
      </c>
      <c r="J4455">
        <v>5000</v>
      </c>
      <c r="K4455">
        <v>245.94300000000001</v>
      </c>
      <c r="L4455">
        <v>20.329899999999999</v>
      </c>
      <c r="M4455">
        <v>245.94300000000001</v>
      </c>
      <c r="N4455" t="s">
        <v>15</v>
      </c>
    </row>
    <row r="4456" spans="1:14" x14ac:dyDescent="0.2">
      <c r="A4456" t="s">
        <v>125</v>
      </c>
      <c r="B4456" t="s">
        <v>146</v>
      </c>
      <c r="C4456" t="s">
        <v>142</v>
      </c>
      <c r="D4456" t="s">
        <v>127</v>
      </c>
      <c r="E4456" t="s">
        <v>53</v>
      </c>
      <c r="F4456" t="s">
        <v>114</v>
      </c>
      <c r="G4456">
        <v>112323</v>
      </c>
      <c r="H4456" s="75">
        <v>40493</v>
      </c>
      <c r="I4456" t="s">
        <v>117</v>
      </c>
      <c r="J4456">
        <v>2.5</v>
      </c>
      <c r="K4456">
        <v>0</v>
      </c>
      <c r="M4456">
        <v>245.94300000000001</v>
      </c>
      <c r="N4456" t="s">
        <v>46</v>
      </c>
    </row>
    <row r="4457" spans="1:14" x14ac:dyDescent="0.2">
      <c r="A4457" t="s">
        <v>125</v>
      </c>
      <c r="B4457" t="s">
        <v>146</v>
      </c>
      <c r="C4457" t="s">
        <v>142</v>
      </c>
      <c r="D4457" t="s">
        <v>127</v>
      </c>
      <c r="E4457" t="s">
        <v>53</v>
      </c>
      <c r="F4457" t="s">
        <v>114</v>
      </c>
      <c r="G4457">
        <v>112323</v>
      </c>
      <c r="H4457" s="75">
        <v>40523</v>
      </c>
      <c r="I4457" t="s">
        <v>115</v>
      </c>
      <c r="J4457">
        <v>5000</v>
      </c>
      <c r="K4457">
        <v>247.01400000000001</v>
      </c>
      <c r="L4457">
        <v>20.241700000000002</v>
      </c>
      <c r="M4457">
        <v>492.95800000000003</v>
      </c>
      <c r="N4457" t="s">
        <v>15</v>
      </c>
    </row>
    <row r="4458" spans="1:14" x14ac:dyDescent="0.2">
      <c r="A4458" t="s">
        <v>125</v>
      </c>
      <c r="B4458" t="s">
        <v>146</v>
      </c>
      <c r="C4458" t="s">
        <v>142</v>
      </c>
      <c r="D4458" t="s">
        <v>127</v>
      </c>
      <c r="E4458" t="s">
        <v>53</v>
      </c>
      <c r="F4458" t="s">
        <v>114</v>
      </c>
      <c r="G4458">
        <v>112323</v>
      </c>
      <c r="H4458" s="75">
        <v>40553</v>
      </c>
      <c r="I4458" t="s">
        <v>115</v>
      </c>
      <c r="J4458">
        <v>5000</v>
      </c>
      <c r="K4458">
        <v>248.65299999999999</v>
      </c>
      <c r="L4458">
        <v>20.1083</v>
      </c>
      <c r="M4458">
        <v>741.61099999999999</v>
      </c>
      <c r="N4458" t="s">
        <v>15</v>
      </c>
    </row>
    <row r="4459" spans="1:14" x14ac:dyDescent="0.2">
      <c r="A4459" t="s">
        <v>125</v>
      </c>
      <c r="B4459" t="s">
        <v>146</v>
      </c>
      <c r="C4459" t="s">
        <v>142</v>
      </c>
      <c r="D4459" t="s">
        <v>127</v>
      </c>
      <c r="E4459" t="s">
        <v>53</v>
      </c>
      <c r="F4459" t="s">
        <v>114</v>
      </c>
      <c r="G4459">
        <v>112323</v>
      </c>
      <c r="H4459" s="75">
        <v>40553</v>
      </c>
      <c r="I4459" t="s">
        <v>116</v>
      </c>
      <c r="J4459">
        <v>2.5</v>
      </c>
      <c r="K4459">
        <v>0</v>
      </c>
      <c r="M4459">
        <v>741.61099999999999</v>
      </c>
      <c r="N4459" t="s">
        <v>17</v>
      </c>
    </row>
    <row r="4460" spans="1:14" x14ac:dyDescent="0.2">
      <c r="A4460" t="s">
        <v>125</v>
      </c>
      <c r="B4460" t="s">
        <v>146</v>
      </c>
      <c r="C4460" t="s">
        <v>142</v>
      </c>
      <c r="D4460" t="s">
        <v>127</v>
      </c>
      <c r="E4460" t="s">
        <v>53</v>
      </c>
      <c r="F4460" t="s">
        <v>114</v>
      </c>
      <c r="G4460">
        <v>112323</v>
      </c>
      <c r="H4460" s="75">
        <v>40583</v>
      </c>
      <c r="I4460" t="s">
        <v>115</v>
      </c>
      <c r="J4460">
        <v>5000</v>
      </c>
      <c r="K4460">
        <v>249.96199999999999</v>
      </c>
      <c r="L4460">
        <v>20.003</v>
      </c>
      <c r="M4460">
        <v>991.57299999999998</v>
      </c>
      <c r="N4460" t="s">
        <v>15</v>
      </c>
    </row>
    <row r="4461" spans="1:14" x14ac:dyDescent="0.2">
      <c r="A4461" t="s">
        <v>125</v>
      </c>
      <c r="B4461" t="s">
        <v>146</v>
      </c>
      <c r="C4461" t="s">
        <v>142</v>
      </c>
      <c r="D4461" t="s">
        <v>127</v>
      </c>
      <c r="E4461" t="s">
        <v>53</v>
      </c>
      <c r="F4461" t="s">
        <v>114</v>
      </c>
      <c r="G4461">
        <v>112323</v>
      </c>
      <c r="H4461" s="75">
        <v>40613</v>
      </c>
      <c r="I4461" t="s">
        <v>115</v>
      </c>
      <c r="J4461">
        <v>5000</v>
      </c>
      <c r="K4461">
        <v>247.86600000000001</v>
      </c>
      <c r="L4461">
        <v>20.1722</v>
      </c>
      <c r="M4461">
        <v>1239.4390000000001</v>
      </c>
      <c r="N4461" t="s">
        <v>15</v>
      </c>
    </row>
    <row r="4462" spans="1:14" x14ac:dyDescent="0.2">
      <c r="A4462" t="s">
        <v>125</v>
      </c>
      <c r="B4462" t="s">
        <v>146</v>
      </c>
      <c r="C4462" t="s">
        <v>142</v>
      </c>
      <c r="D4462" t="s">
        <v>127</v>
      </c>
      <c r="E4462" t="s">
        <v>53</v>
      </c>
      <c r="F4462" t="s">
        <v>114</v>
      </c>
      <c r="G4462">
        <v>112323</v>
      </c>
      <c r="H4462" s="75">
        <v>40643</v>
      </c>
      <c r="I4462" t="s">
        <v>115</v>
      </c>
      <c r="J4462">
        <v>5000</v>
      </c>
      <c r="K4462">
        <v>242.24700000000001</v>
      </c>
      <c r="L4462">
        <v>20.6401</v>
      </c>
      <c r="M4462">
        <v>1481.6859999999999</v>
      </c>
      <c r="N4462" t="s">
        <v>15</v>
      </c>
    </row>
    <row r="4463" spans="1:14" x14ac:dyDescent="0.2">
      <c r="A4463" t="s">
        <v>125</v>
      </c>
      <c r="B4463" t="s">
        <v>146</v>
      </c>
      <c r="C4463" t="s">
        <v>142</v>
      </c>
      <c r="D4463" t="s">
        <v>127</v>
      </c>
      <c r="E4463" t="s">
        <v>53</v>
      </c>
      <c r="F4463" t="s">
        <v>114</v>
      </c>
      <c r="G4463">
        <v>112323</v>
      </c>
      <c r="H4463" s="75">
        <v>40673</v>
      </c>
      <c r="I4463" t="s">
        <v>115</v>
      </c>
      <c r="J4463">
        <v>5000</v>
      </c>
      <c r="K4463">
        <v>235.38499999999999</v>
      </c>
      <c r="L4463">
        <v>21.241800000000001</v>
      </c>
      <c r="M4463">
        <v>1717.0709999999999</v>
      </c>
      <c r="N4463" t="s">
        <v>15</v>
      </c>
    </row>
    <row r="4464" spans="1:14" x14ac:dyDescent="0.2">
      <c r="A4464" t="s">
        <v>125</v>
      </c>
      <c r="B4464" t="s">
        <v>146</v>
      </c>
      <c r="C4464" t="s">
        <v>142</v>
      </c>
      <c r="D4464" t="s">
        <v>127</v>
      </c>
      <c r="E4464" t="s">
        <v>53</v>
      </c>
      <c r="F4464" t="s">
        <v>114</v>
      </c>
      <c r="G4464">
        <v>112323</v>
      </c>
      <c r="H4464" s="75">
        <v>40703</v>
      </c>
      <c r="I4464" t="s">
        <v>115</v>
      </c>
      <c r="J4464">
        <v>5000</v>
      </c>
      <c r="K4464">
        <v>229.84</v>
      </c>
      <c r="L4464">
        <v>21.754300000000001</v>
      </c>
      <c r="M4464">
        <v>1946.9110000000001</v>
      </c>
      <c r="N4464" t="s">
        <v>15</v>
      </c>
    </row>
    <row r="4465" spans="1:14" x14ac:dyDescent="0.2">
      <c r="A4465" t="s">
        <v>125</v>
      </c>
      <c r="B4465" t="s">
        <v>146</v>
      </c>
      <c r="C4465" t="s">
        <v>142</v>
      </c>
      <c r="D4465" t="s">
        <v>127</v>
      </c>
      <c r="E4465" t="s">
        <v>53</v>
      </c>
      <c r="F4465" t="s">
        <v>114</v>
      </c>
      <c r="G4465">
        <v>112323</v>
      </c>
      <c r="H4465" s="75">
        <v>40733</v>
      </c>
      <c r="I4465" t="s">
        <v>115</v>
      </c>
      <c r="J4465">
        <v>5000</v>
      </c>
      <c r="K4465">
        <v>233.904</v>
      </c>
      <c r="L4465">
        <v>21.376300000000001</v>
      </c>
      <c r="M4465">
        <v>2180.8150000000001</v>
      </c>
      <c r="N4465" t="s">
        <v>15</v>
      </c>
    </row>
    <row r="4466" spans="1:14" x14ac:dyDescent="0.2">
      <c r="A4466" t="s">
        <v>125</v>
      </c>
      <c r="B4466" t="s">
        <v>146</v>
      </c>
      <c r="C4466" t="s">
        <v>142</v>
      </c>
      <c r="D4466" t="s">
        <v>127</v>
      </c>
      <c r="E4466" t="s">
        <v>53</v>
      </c>
      <c r="F4466" t="s">
        <v>114</v>
      </c>
      <c r="G4466">
        <v>112323</v>
      </c>
      <c r="H4466" s="75">
        <v>40763</v>
      </c>
      <c r="I4466" t="s">
        <v>115</v>
      </c>
      <c r="J4466">
        <v>5000</v>
      </c>
      <c r="K4466">
        <v>228.22</v>
      </c>
      <c r="L4466">
        <v>21.9087</v>
      </c>
      <c r="M4466">
        <v>2409.0349999999999</v>
      </c>
      <c r="N4466" t="s">
        <v>15</v>
      </c>
    </row>
    <row r="4467" spans="1:14" x14ac:dyDescent="0.2">
      <c r="A4467" t="s">
        <v>125</v>
      </c>
      <c r="B4467" t="s">
        <v>146</v>
      </c>
      <c r="C4467" t="s">
        <v>142</v>
      </c>
      <c r="D4467" t="s">
        <v>127</v>
      </c>
      <c r="E4467" t="s">
        <v>53</v>
      </c>
      <c r="F4467" t="s">
        <v>114</v>
      </c>
      <c r="G4467">
        <v>112323</v>
      </c>
      <c r="H4467" s="75">
        <v>40793</v>
      </c>
      <c r="I4467" t="s">
        <v>115</v>
      </c>
      <c r="J4467">
        <v>5000</v>
      </c>
      <c r="K4467">
        <v>231.239</v>
      </c>
      <c r="L4467">
        <v>21.622699999999998</v>
      </c>
      <c r="M4467">
        <v>2640.2739999999999</v>
      </c>
      <c r="N4467" t="s">
        <v>15</v>
      </c>
    </row>
    <row r="4468" spans="1:14" x14ac:dyDescent="0.2">
      <c r="A4468" t="s">
        <v>125</v>
      </c>
      <c r="B4468" t="s">
        <v>146</v>
      </c>
      <c r="C4468" t="s">
        <v>142</v>
      </c>
      <c r="D4468" t="s">
        <v>127</v>
      </c>
      <c r="E4468" t="s">
        <v>53</v>
      </c>
      <c r="F4468" t="s">
        <v>114</v>
      </c>
      <c r="G4468">
        <v>112323</v>
      </c>
      <c r="H4468" s="75">
        <v>40793</v>
      </c>
      <c r="I4468" t="s">
        <v>25</v>
      </c>
      <c r="J4468">
        <v>-11417.95</v>
      </c>
      <c r="K4468">
        <v>-528.05499999999995</v>
      </c>
      <c r="L4468">
        <v>21.622699999999998</v>
      </c>
      <c r="M4468">
        <v>2112.2199999999998</v>
      </c>
      <c r="N4468" t="s">
        <v>16</v>
      </c>
    </row>
    <row r="4469" spans="1:14" x14ac:dyDescent="0.2">
      <c r="A4469" t="s">
        <v>125</v>
      </c>
      <c r="B4469" t="s">
        <v>146</v>
      </c>
      <c r="C4469" t="s">
        <v>142</v>
      </c>
      <c r="D4469" t="s">
        <v>127</v>
      </c>
      <c r="E4469" t="s">
        <v>53</v>
      </c>
      <c r="F4469" t="s">
        <v>114</v>
      </c>
      <c r="G4469">
        <v>112323</v>
      </c>
      <c r="H4469" s="75">
        <v>40823</v>
      </c>
      <c r="I4469" t="s">
        <v>115</v>
      </c>
      <c r="J4469">
        <v>5000</v>
      </c>
      <c r="K4469">
        <v>235.70699999999999</v>
      </c>
      <c r="L4469">
        <v>21.212800000000001</v>
      </c>
      <c r="M4469">
        <v>2347.9270000000001</v>
      </c>
      <c r="N4469" t="s">
        <v>15</v>
      </c>
    </row>
    <row r="4470" spans="1:14" x14ac:dyDescent="0.2">
      <c r="A4470" t="s">
        <v>125</v>
      </c>
      <c r="B4470" t="s">
        <v>146</v>
      </c>
      <c r="C4470" t="s">
        <v>142</v>
      </c>
      <c r="D4470" t="s">
        <v>127</v>
      </c>
      <c r="E4470" t="s">
        <v>53</v>
      </c>
      <c r="F4470" t="s">
        <v>114</v>
      </c>
      <c r="G4470">
        <v>112323</v>
      </c>
      <c r="H4470" s="75">
        <v>40823</v>
      </c>
      <c r="I4470" t="s">
        <v>25</v>
      </c>
      <c r="J4470">
        <v>-9961.2000000000007</v>
      </c>
      <c r="K4470">
        <v>-469.58499999999998</v>
      </c>
      <c r="L4470">
        <v>21.212800000000001</v>
      </c>
      <c r="M4470">
        <v>1878.3409999999999</v>
      </c>
      <c r="N4470" t="s">
        <v>16</v>
      </c>
    </row>
    <row r="4471" spans="1:14" x14ac:dyDescent="0.2">
      <c r="A4471" t="s">
        <v>125</v>
      </c>
      <c r="B4471" t="s">
        <v>146</v>
      </c>
      <c r="C4471" t="s">
        <v>142</v>
      </c>
      <c r="D4471" t="s">
        <v>127</v>
      </c>
      <c r="E4471" t="s">
        <v>53</v>
      </c>
      <c r="F4471" t="s">
        <v>114</v>
      </c>
      <c r="G4471">
        <v>112323</v>
      </c>
      <c r="H4471" s="75">
        <v>40853</v>
      </c>
      <c r="I4471" t="s">
        <v>115</v>
      </c>
      <c r="J4471">
        <v>5000</v>
      </c>
      <c r="K4471">
        <v>236.97499999999999</v>
      </c>
      <c r="L4471">
        <v>21.099299999999999</v>
      </c>
      <c r="M4471">
        <v>2115.3159999999998</v>
      </c>
      <c r="N4471" t="s">
        <v>15</v>
      </c>
    </row>
    <row r="4472" spans="1:14" x14ac:dyDescent="0.2">
      <c r="A4472" t="s">
        <v>125</v>
      </c>
      <c r="B4472" t="s">
        <v>146</v>
      </c>
      <c r="C4472" t="s">
        <v>142</v>
      </c>
      <c r="D4472" t="s">
        <v>127</v>
      </c>
      <c r="E4472" t="s">
        <v>53</v>
      </c>
      <c r="F4472" t="s">
        <v>114</v>
      </c>
      <c r="G4472">
        <v>112323</v>
      </c>
      <c r="H4472" s="75">
        <v>40883</v>
      </c>
      <c r="I4472" t="s">
        <v>115</v>
      </c>
      <c r="J4472">
        <v>5000</v>
      </c>
      <c r="K4472">
        <v>239.35900000000001</v>
      </c>
      <c r="L4472">
        <v>20.889199999999999</v>
      </c>
      <c r="M4472">
        <v>2354.6750000000002</v>
      </c>
      <c r="N4472" t="s">
        <v>15</v>
      </c>
    </row>
    <row r="4473" spans="1:14" x14ac:dyDescent="0.2">
      <c r="A4473" t="s">
        <v>125</v>
      </c>
      <c r="B4473" t="s">
        <v>146</v>
      </c>
      <c r="C4473" t="s">
        <v>142</v>
      </c>
      <c r="D4473" t="s">
        <v>127</v>
      </c>
      <c r="E4473" t="s">
        <v>53</v>
      </c>
      <c r="F4473" t="s">
        <v>114</v>
      </c>
      <c r="G4473">
        <v>112323</v>
      </c>
      <c r="H4473" s="75">
        <v>40913</v>
      </c>
      <c r="I4473" t="s">
        <v>115</v>
      </c>
      <c r="J4473">
        <v>5000</v>
      </c>
      <c r="K4473">
        <v>238.51900000000001</v>
      </c>
      <c r="L4473">
        <v>20.962700000000002</v>
      </c>
      <c r="M4473">
        <v>2593.194</v>
      </c>
      <c r="N4473" t="s">
        <v>15</v>
      </c>
    </row>
    <row r="4474" spans="1:14" x14ac:dyDescent="0.2">
      <c r="A4474" t="s">
        <v>125</v>
      </c>
      <c r="B4474" t="s">
        <v>146</v>
      </c>
      <c r="C4474" t="s">
        <v>142</v>
      </c>
      <c r="D4474" t="s">
        <v>127</v>
      </c>
      <c r="E4474" t="s">
        <v>53</v>
      </c>
      <c r="F4474" t="s">
        <v>114</v>
      </c>
      <c r="G4474">
        <v>112323</v>
      </c>
      <c r="H4474" s="75">
        <v>40913</v>
      </c>
      <c r="I4474" t="s">
        <v>116</v>
      </c>
      <c r="J4474">
        <v>2.5</v>
      </c>
      <c r="K4474">
        <v>0</v>
      </c>
      <c r="M4474">
        <v>2593.194</v>
      </c>
      <c r="N4474" t="s">
        <v>17</v>
      </c>
    </row>
    <row r="4475" spans="1:14" x14ac:dyDescent="0.2">
      <c r="A4475" t="s">
        <v>125</v>
      </c>
      <c r="B4475" t="s">
        <v>146</v>
      </c>
      <c r="C4475" t="s">
        <v>142</v>
      </c>
      <c r="D4475" t="s">
        <v>127</v>
      </c>
      <c r="E4475" t="s">
        <v>53</v>
      </c>
      <c r="F4475" t="s">
        <v>114</v>
      </c>
      <c r="G4475">
        <v>112323</v>
      </c>
      <c r="H4475" s="75">
        <v>40943</v>
      </c>
      <c r="I4475" t="s">
        <v>115</v>
      </c>
      <c r="J4475">
        <v>5000</v>
      </c>
      <c r="K4475">
        <v>239.63499999999999</v>
      </c>
      <c r="L4475">
        <v>20.865100000000002</v>
      </c>
      <c r="M4475">
        <v>2832.828</v>
      </c>
      <c r="N4475" t="s">
        <v>15</v>
      </c>
    </row>
    <row r="4476" spans="1:14" x14ac:dyDescent="0.2">
      <c r="A4476" t="s">
        <v>125</v>
      </c>
      <c r="B4476" t="s">
        <v>146</v>
      </c>
      <c r="C4476" t="s">
        <v>142</v>
      </c>
      <c r="D4476" t="s">
        <v>127</v>
      </c>
      <c r="E4476" t="s">
        <v>53</v>
      </c>
      <c r="F4476" t="s">
        <v>114</v>
      </c>
      <c r="G4476">
        <v>112323</v>
      </c>
      <c r="H4476" s="75">
        <v>40973</v>
      </c>
      <c r="I4476" t="s">
        <v>115</v>
      </c>
      <c r="J4476">
        <v>5000</v>
      </c>
      <c r="K4476">
        <v>238.93700000000001</v>
      </c>
      <c r="L4476">
        <v>20.925999999999998</v>
      </c>
      <c r="M4476">
        <v>3071.7660000000001</v>
      </c>
      <c r="N4476" t="s">
        <v>15</v>
      </c>
    </row>
    <row r="4477" spans="1:14" x14ac:dyDescent="0.2">
      <c r="A4477" t="s">
        <v>125</v>
      </c>
      <c r="B4477" t="s">
        <v>146</v>
      </c>
      <c r="C4477" t="s">
        <v>142</v>
      </c>
      <c r="D4477" t="s">
        <v>127</v>
      </c>
      <c r="E4477" t="s">
        <v>53</v>
      </c>
      <c r="F4477" t="s">
        <v>114</v>
      </c>
      <c r="G4477">
        <v>112323</v>
      </c>
      <c r="H4477" s="75">
        <v>40973</v>
      </c>
      <c r="I4477" t="s">
        <v>116</v>
      </c>
      <c r="J4477">
        <v>2.5</v>
      </c>
      <c r="K4477">
        <v>0</v>
      </c>
      <c r="M4477">
        <v>3071.7660000000001</v>
      </c>
      <c r="N4477" t="s">
        <v>17</v>
      </c>
    </row>
    <row r="4478" spans="1:14" x14ac:dyDescent="0.2">
      <c r="A4478" t="s">
        <v>125</v>
      </c>
      <c r="B4478" t="s">
        <v>146</v>
      </c>
      <c r="C4478" t="s">
        <v>142</v>
      </c>
      <c r="D4478" t="s">
        <v>127</v>
      </c>
      <c r="E4478" t="s">
        <v>53</v>
      </c>
      <c r="F4478" t="s">
        <v>114</v>
      </c>
      <c r="G4478">
        <v>112323</v>
      </c>
      <c r="H4478" s="75">
        <v>41003</v>
      </c>
      <c r="I4478" t="s">
        <v>115</v>
      </c>
      <c r="J4478">
        <v>5000</v>
      </c>
      <c r="K4478">
        <v>238.249</v>
      </c>
      <c r="L4478">
        <v>20.9864</v>
      </c>
      <c r="M4478">
        <v>3310.0149999999999</v>
      </c>
      <c r="N4478" t="s">
        <v>15</v>
      </c>
    </row>
    <row r="4479" spans="1:14" x14ac:dyDescent="0.2">
      <c r="A4479" t="s">
        <v>125</v>
      </c>
      <c r="B4479" t="s">
        <v>146</v>
      </c>
      <c r="C4479" t="s">
        <v>142</v>
      </c>
      <c r="D4479" t="s">
        <v>127</v>
      </c>
      <c r="E4479" t="s">
        <v>53</v>
      </c>
      <c r="F4479" t="s">
        <v>114</v>
      </c>
      <c r="G4479">
        <v>112323</v>
      </c>
      <c r="H4479" s="75">
        <v>41033</v>
      </c>
      <c r="I4479" t="s">
        <v>115</v>
      </c>
      <c r="J4479">
        <v>5000</v>
      </c>
      <c r="K4479">
        <v>233.24299999999999</v>
      </c>
      <c r="L4479">
        <v>21.436900000000001</v>
      </c>
      <c r="M4479">
        <v>3543.2579999999998</v>
      </c>
      <c r="N4479" t="s">
        <v>15</v>
      </c>
    </row>
    <row r="4480" spans="1:14" x14ac:dyDescent="0.2">
      <c r="A4480" t="s">
        <v>125</v>
      </c>
      <c r="B4480" t="s">
        <v>146</v>
      </c>
      <c r="C4480" t="s">
        <v>142</v>
      </c>
      <c r="D4480" t="s">
        <v>127</v>
      </c>
      <c r="E4480" t="s">
        <v>53</v>
      </c>
      <c r="F4480" t="s">
        <v>114</v>
      </c>
      <c r="G4480">
        <v>112323</v>
      </c>
      <c r="H4480" s="75">
        <v>41063</v>
      </c>
      <c r="I4480" t="s">
        <v>115</v>
      </c>
      <c r="J4480">
        <v>5000</v>
      </c>
      <c r="K4480">
        <v>232.17699999999999</v>
      </c>
      <c r="L4480">
        <v>21.535299999999999</v>
      </c>
      <c r="M4480">
        <v>3775.4349999999999</v>
      </c>
      <c r="N4480" t="s">
        <v>15</v>
      </c>
    </row>
    <row r="4481" spans="1:15" x14ac:dyDescent="0.2">
      <c r="A4481" t="s">
        <v>125</v>
      </c>
      <c r="B4481" t="s">
        <v>146</v>
      </c>
      <c r="C4481" t="s">
        <v>142</v>
      </c>
      <c r="D4481" t="s">
        <v>127</v>
      </c>
      <c r="E4481" t="s">
        <v>53</v>
      </c>
      <c r="F4481" t="s">
        <v>114</v>
      </c>
      <c r="G4481">
        <v>112323</v>
      </c>
      <c r="H4481" s="75">
        <v>41063</v>
      </c>
      <c r="I4481" t="s">
        <v>116</v>
      </c>
      <c r="J4481">
        <v>2.5</v>
      </c>
      <c r="K4481">
        <v>0</v>
      </c>
      <c r="M4481">
        <v>3775.4349999999999</v>
      </c>
      <c r="N4481" t="s">
        <v>17</v>
      </c>
    </row>
    <row r="4482" spans="1:15" x14ac:dyDescent="0.2">
      <c r="A4482" t="s">
        <v>125</v>
      </c>
      <c r="B4482" t="s">
        <v>146</v>
      </c>
      <c r="C4482" t="s">
        <v>142</v>
      </c>
      <c r="D4482" t="s">
        <v>127</v>
      </c>
      <c r="E4482" t="s">
        <v>53</v>
      </c>
      <c r="F4482" t="s">
        <v>114</v>
      </c>
      <c r="G4482">
        <v>112323</v>
      </c>
      <c r="H4482" s="75">
        <v>41063</v>
      </c>
      <c r="I4482" t="s">
        <v>118</v>
      </c>
      <c r="J4482">
        <v>1887.72</v>
      </c>
      <c r="K4482">
        <v>0</v>
      </c>
      <c r="M4482">
        <v>3775.4349999999999</v>
      </c>
      <c r="N4482" t="s">
        <v>19</v>
      </c>
      <c r="O4482">
        <v>1887.72</v>
      </c>
    </row>
    <row r="4483" spans="1:15" x14ac:dyDescent="0.2">
      <c r="A4483" t="s">
        <v>125</v>
      </c>
      <c r="B4483" t="s">
        <v>146</v>
      </c>
      <c r="C4483" t="s">
        <v>142</v>
      </c>
      <c r="D4483" t="s">
        <v>127</v>
      </c>
      <c r="E4483" t="s">
        <v>53</v>
      </c>
      <c r="F4483" t="s">
        <v>114</v>
      </c>
      <c r="G4483">
        <v>112323</v>
      </c>
      <c r="H4483" s="75">
        <v>41093</v>
      </c>
      <c r="I4483" t="s">
        <v>115</v>
      </c>
      <c r="J4483">
        <v>5000</v>
      </c>
      <c r="K4483">
        <v>227.19800000000001</v>
      </c>
      <c r="L4483">
        <v>22.007200000000001</v>
      </c>
      <c r="M4483">
        <v>4002.6329999999998</v>
      </c>
      <c r="N4483" t="s">
        <v>15</v>
      </c>
    </row>
    <row r="4484" spans="1:15" x14ac:dyDescent="0.2">
      <c r="A4484" t="s">
        <v>125</v>
      </c>
      <c r="B4484" t="s">
        <v>146</v>
      </c>
      <c r="C4484" t="s">
        <v>142</v>
      </c>
      <c r="D4484" t="s">
        <v>127</v>
      </c>
      <c r="E4484" t="s">
        <v>53</v>
      </c>
      <c r="F4484" t="s">
        <v>114</v>
      </c>
      <c r="G4484">
        <v>112323</v>
      </c>
      <c r="H4484" s="75">
        <v>41123</v>
      </c>
      <c r="I4484" t="s">
        <v>115</v>
      </c>
      <c r="J4484">
        <v>5000</v>
      </c>
      <c r="K4484">
        <v>222.50299999999999</v>
      </c>
      <c r="L4484">
        <v>22.471599999999999</v>
      </c>
      <c r="M4484">
        <v>4225.1360000000004</v>
      </c>
      <c r="N4484" t="s">
        <v>15</v>
      </c>
    </row>
    <row r="4485" spans="1:15" x14ac:dyDescent="0.2">
      <c r="A4485" t="s">
        <v>125</v>
      </c>
      <c r="B4485" t="s">
        <v>146</v>
      </c>
      <c r="C4485" t="s">
        <v>142</v>
      </c>
      <c r="D4485" t="s">
        <v>127</v>
      </c>
      <c r="E4485" t="s">
        <v>53</v>
      </c>
      <c r="F4485" t="s">
        <v>114</v>
      </c>
      <c r="G4485">
        <v>112323</v>
      </c>
      <c r="H4485" s="75">
        <v>41153</v>
      </c>
      <c r="I4485" t="s">
        <v>115</v>
      </c>
      <c r="J4485">
        <v>5000</v>
      </c>
      <c r="K4485">
        <v>224.34899999999999</v>
      </c>
      <c r="L4485">
        <v>22.2867</v>
      </c>
      <c r="M4485">
        <v>4449.4849999999997</v>
      </c>
      <c r="N4485" t="s">
        <v>15</v>
      </c>
    </row>
    <row r="4486" spans="1:15" x14ac:dyDescent="0.2">
      <c r="A4486" t="s">
        <v>125</v>
      </c>
      <c r="B4486" t="s">
        <v>146</v>
      </c>
      <c r="C4486" t="s">
        <v>142</v>
      </c>
      <c r="D4486" t="s">
        <v>127</v>
      </c>
      <c r="E4486" t="s">
        <v>53</v>
      </c>
      <c r="F4486" t="s">
        <v>114</v>
      </c>
      <c r="G4486">
        <v>112323</v>
      </c>
      <c r="H4486" s="75">
        <v>41183</v>
      </c>
      <c r="I4486" t="s">
        <v>115</v>
      </c>
      <c r="J4486">
        <v>5000</v>
      </c>
      <c r="K4486">
        <v>224.464</v>
      </c>
      <c r="L4486">
        <v>22.275300000000001</v>
      </c>
      <c r="M4486">
        <v>4673.9489999999996</v>
      </c>
      <c r="N4486" t="s">
        <v>15</v>
      </c>
    </row>
    <row r="4487" spans="1:15" x14ac:dyDescent="0.2">
      <c r="A4487" t="s">
        <v>125</v>
      </c>
      <c r="B4487" t="s">
        <v>146</v>
      </c>
      <c r="C4487" t="s">
        <v>142</v>
      </c>
      <c r="D4487" t="s">
        <v>127</v>
      </c>
      <c r="E4487" t="s">
        <v>53</v>
      </c>
      <c r="F4487" t="s">
        <v>114</v>
      </c>
      <c r="G4487">
        <v>112323</v>
      </c>
      <c r="H4487" s="75">
        <v>41213</v>
      </c>
      <c r="I4487" t="s">
        <v>115</v>
      </c>
      <c r="J4487">
        <v>5000</v>
      </c>
      <c r="K4487">
        <v>225.49</v>
      </c>
      <c r="L4487">
        <v>22.1739</v>
      </c>
      <c r="M4487">
        <v>4899.4390000000003</v>
      </c>
      <c r="N4487" t="s">
        <v>15</v>
      </c>
    </row>
    <row r="4488" spans="1:15" x14ac:dyDescent="0.2">
      <c r="A4488" t="s">
        <v>125</v>
      </c>
      <c r="B4488" t="s">
        <v>146</v>
      </c>
      <c r="C4488" t="s">
        <v>142</v>
      </c>
      <c r="D4488" t="s">
        <v>127</v>
      </c>
      <c r="E4488" t="s">
        <v>53</v>
      </c>
      <c r="F4488" t="s">
        <v>114</v>
      </c>
      <c r="G4488">
        <v>112323</v>
      </c>
      <c r="H4488" s="75">
        <v>41243</v>
      </c>
      <c r="I4488" t="s">
        <v>115</v>
      </c>
      <c r="J4488">
        <v>5000</v>
      </c>
      <c r="K4488">
        <v>222</v>
      </c>
      <c r="L4488">
        <v>22.522500000000001</v>
      </c>
      <c r="M4488">
        <v>5121.4380000000001</v>
      </c>
      <c r="N4488" t="s">
        <v>15</v>
      </c>
    </row>
    <row r="4489" spans="1:15" x14ac:dyDescent="0.2">
      <c r="A4489" t="s">
        <v>125</v>
      </c>
      <c r="B4489" t="s">
        <v>146</v>
      </c>
      <c r="C4489" t="s">
        <v>142</v>
      </c>
      <c r="D4489" t="s">
        <v>127</v>
      </c>
      <c r="E4489" t="s">
        <v>53</v>
      </c>
      <c r="F4489" t="s">
        <v>114</v>
      </c>
      <c r="G4489">
        <v>112323</v>
      </c>
      <c r="H4489" s="75">
        <v>41273</v>
      </c>
      <c r="I4489" t="s">
        <v>115</v>
      </c>
      <c r="J4489">
        <v>5000</v>
      </c>
      <c r="K4489">
        <v>217.94</v>
      </c>
      <c r="L4489">
        <v>22.9421</v>
      </c>
      <c r="M4489">
        <v>5339.3779999999997</v>
      </c>
      <c r="N4489" t="s">
        <v>15</v>
      </c>
    </row>
    <row r="4490" spans="1:15" x14ac:dyDescent="0.2">
      <c r="A4490" t="s">
        <v>125</v>
      </c>
      <c r="B4490" t="s">
        <v>146</v>
      </c>
      <c r="C4490" t="s">
        <v>142</v>
      </c>
      <c r="D4490" t="s">
        <v>127</v>
      </c>
      <c r="E4490" t="s">
        <v>53</v>
      </c>
      <c r="F4490" t="s">
        <v>114</v>
      </c>
      <c r="G4490">
        <v>112323</v>
      </c>
      <c r="H4490" s="75">
        <v>41303</v>
      </c>
      <c r="I4490" t="s">
        <v>115</v>
      </c>
      <c r="J4490">
        <v>5000</v>
      </c>
      <c r="K4490">
        <v>216.03700000000001</v>
      </c>
      <c r="L4490">
        <v>23.144200000000001</v>
      </c>
      <c r="M4490">
        <v>5555.415</v>
      </c>
      <c r="N4490" t="s">
        <v>15</v>
      </c>
    </row>
    <row r="4491" spans="1:15" x14ac:dyDescent="0.2">
      <c r="A4491" t="s">
        <v>125</v>
      </c>
      <c r="B4491" t="s">
        <v>146</v>
      </c>
      <c r="C4491" t="s">
        <v>142</v>
      </c>
      <c r="D4491" t="s">
        <v>127</v>
      </c>
      <c r="E4491" t="s">
        <v>53</v>
      </c>
      <c r="F4491" t="s">
        <v>114</v>
      </c>
      <c r="G4491">
        <v>112323</v>
      </c>
      <c r="H4491" s="75">
        <v>41333</v>
      </c>
      <c r="I4491" t="s">
        <v>115</v>
      </c>
      <c r="J4491">
        <v>5000</v>
      </c>
      <c r="K4491">
        <v>211.70599999999999</v>
      </c>
      <c r="L4491">
        <v>23.617599999999999</v>
      </c>
      <c r="M4491">
        <v>5767.1220000000003</v>
      </c>
      <c r="N4491" t="s">
        <v>15</v>
      </c>
    </row>
    <row r="4492" spans="1:15" x14ac:dyDescent="0.2">
      <c r="A4492" t="s">
        <v>125</v>
      </c>
      <c r="B4492" t="s">
        <v>146</v>
      </c>
      <c r="C4492" t="s">
        <v>142</v>
      </c>
      <c r="D4492" t="s">
        <v>127</v>
      </c>
      <c r="E4492" t="s">
        <v>53</v>
      </c>
      <c r="F4492" t="s">
        <v>114</v>
      </c>
      <c r="G4492">
        <v>112323</v>
      </c>
      <c r="H4492" s="75">
        <v>41363</v>
      </c>
      <c r="I4492" t="s">
        <v>115</v>
      </c>
      <c r="J4492">
        <v>5000</v>
      </c>
      <c r="K4492">
        <v>207.767</v>
      </c>
      <c r="L4492">
        <v>24.0654</v>
      </c>
      <c r="M4492">
        <v>5974.8890000000001</v>
      </c>
      <c r="N4492" t="s">
        <v>15</v>
      </c>
    </row>
    <row r="4493" spans="1:15" x14ac:dyDescent="0.2">
      <c r="A4493" t="s">
        <v>125</v>
      </c>
      <c r="B4493" t="s">
        <v>146</v>
      </c>
      <c r="C4493" t="s">
        <v>142</v>
      </c>
      <c r="D4493" t="s">
        <v>127</v>
      </c>
      <c r="E4493" t="s">
        <v>53</v>
      </c>
      <c r="F4493" t="s">
        <v>114</v>
      </c>
      <c r="G4493">
        <v>112323</v>
      </c>
      <c r="H4493" s="75">
        <v>41363</v>
      </c>
      <c r="I4493" t="s">
        <v>117</v>
      </c>
      <c r="J4493">
        <v>2.5</v>
      </c>
      <c r="K4493">
        <v>0</v>
      </c>
      <c r="M4493">
        <v>5974.8890000000001</v>
      </c>
      <c r="N4493" t="s">
        <v>46</v>
      </c>
    </row>
    <row r="4494" spans="1:15" x14ac:dyDescent="0.2">
      <c r="A4494" t="s">
        <v>125</v>
      </c>
      <c r="B4494" t="s">
        <v>146</v>
      </c>
      <c r="C4494" t="s">
        <v>142</v>
      </c>
      <c r="D4494" t="s">
        <v>127</v>
      </c>
      <c r="E4494" t="s">
        <v>53</v>
      </c>
      <c r="F4494" t="s">
        <v>114</v>
      </c>
      <c r="G4494">
        <v>112323</v>
      </c>
      <c r="H4494" s="75">
        <v>41393</v>
      </c>
      <c r="I4494" t="s">
        <v>115</v>
      </c>
      <c r="J4494">
        <v>5000</v>
      </c>
      <c r="K4494">
        <v>208.13200000000001</v>
      </c>
      <c r="L4494">
        <v>24.023199999999999</v>
      </c>
      <c r="M4494">
        <v>6183.0209999999997</v>
      </c>
      <c r="N4494" t="s">
        <v>15</v>
      </c>
    </row>
    <row r="4495" spans="1:15" x14ac:dyDescent="0.2">
      <c r="A4495" t="s">
        <v>125</v>
      </c>
      <c r="B4495" t="s">
        <v>146</v>
      </c>
      <c r="C4495" t="s">
        <v>142</v>
      </c>
      <c r="D4495" t="s">
        <v>127</v>
      </c>
      <c r="E4495" t="s">
        <v>53</v>
      </c>
      <c r="F4495" t="s">
        <v>114</v>
      </c>
      <c r="G4495">
        <v>112323</v>
      </c>
      <c r="H4495" s="75">
        <v>41423</v>
      </c>
      <c r="I4495" t="s">
        <v>115</v>
      </c>
      <c r="J4495">
        <v>5000</v>
      </c>
      <c r="K4495">
        <v>206.37799999999999</v>
      </c>
      <c r="L4495">
        <v>24.227399999999999</v>
      </c>
      <c r="M4495">
        <v>6389.4</v>
      </c>
      <c r="N4495" t="s">
        <v>15</v>
      </c>
    </row>
    <row r="4496" spans="1:15" x14ac:dyDescent="0.2">
      <c r="A4496" t="s">
        <v>125</v>
      </c>
      <c r="B4496" t="s">
        <v>146</v>
      </c>
      <c r="C4496" t="s">
        <v>142</v>
      </c>
      <c r="D4496" t="s">
        <v>127</v>
      </c>
      <c r="E4496" t="s">
        <v>53</v>
      </c>
      <c r="F4496" t="s">
        <v>114</v>
      </c>
      <c r="G4496">
        <v>112323</v>
      </c>
      <c r="H4496" s="75">
        <v>41453</v>
      </c>
      <c r="I4496" t="s">
        <v>115</v>
      </c>
      <c r="J4496">
        <v>5000</v>
      </c>
      <c r="K4496">
        <v>205.65100000000001</v>
      </c>
      <c r="L4496">
        <v>24.313099999999999</v>
      </c>
      <c r="M4496">
        <v>6595.05</v>
      </c>
      <c r="N4496" t="s">
        <v>15</v>
      </c>
    </row>
    <row r="4497" spans="1:14" x14ac:dyDescent="0.2">
      <c r="A4497" t="s">
        <v>125</v>
      </c>
      <c r="B4497" t="s">
        <v>146</v>
      </c>
      <c r="C4497" t="s">
        <v>142</v>
      </c>
      <c r="D4497" t="s">
        <v>127</v>
      </c>
      <c r="E4497" t="s">
        <v>53</v>
      </c>
      <c r="F4497" t="s">
        <v>114</v>
      </c>
      <c r="G4497">
        <v>112323</v>
      </c>
      <c r="H4497" s="75">
        <v>41483</v>
      </c>
      <c r="I4497" t="s">
        <v>115</v>
      </c>
      <c r="J4497">
        <v>5000</v>
      </c>
      <c r="K4497">
        <v>204.98500000000001</v>
      </c>
      <c r="L4497">
        <v>24.391999999999999</v>
      </c>
      <c r="M4497">
        <v>6800.0349999999999</v>
      </c>
      <c r="N4497" t="s">
        <v>15</v>
      </c>
    </row>
    <row r="4498" spans="1:14" x14ac:dyDescent="0.2">
      <c r="A4498" t="s">
        <v>125</v>
      </c>
      <c r="B4498" t="s">
        <v>146</v>
      </c>
      <c r="C4498" t="s">
        <v>142</v>
      </c>
      <c r="D4498" t="s">
        <v>127</v>
      </c>
      <c r="E4498" t="s">
        <v>53</v>
      </c>
      <c r="F4498" t="s">
        <v>114</v>
      </c>
      <c r="G4498">
        <v>112323</v>
      </c>
      <c r="H4498" s="75">
        <v>41483</v>
      </c>
      <c r="I4498" t="s">
        <v>117</v>
      </c>
      <c r="J4498">
        <v>2.5</v>
      </c>
      <c r="K4498">
        <v>0</v>
      </c>
      <c r="M4498">
        <v>6800.0349999999999</v>
      </c>
      <c r="N4498" t="s">
        <v>46</v>
      </c>
    </row>
    <row r="4499" spans="1:14" x14ac:dyDescent="0.2">
      <c r="A4499" t="s">
        <v>125</v>
      </c>
      <c r="B4499" t="s">
        <v>146</v>
      </c>
      <c r="C4499" t="s">
        <v>142</v>
      </c>
      <c r="D4499" t="s">
        <v>127</v>
      </c>
      <c r="E4499" t="s">
        <v>53</v>
      </c>
      <c r="F4499" t="s">
        <v>114</v>
      </c>
      <c r="G4499">
        <v>112323</v>
      </c>
      <c r="H4499" s="75">
        <v>41513</v>
      </c>
      <c r="I4499" t="s">
        <v>115</v>
      </c>
      <c r="J4499">
        <v>5000</v>
      </c>
      <c r="K4499">
        <v>201.57499999999999</v>
      </c>
      <c r="L4499">
        <v>24.8047</v>
      </c>
      <c r="M4499">
        <v>7001.61</v>
      </c>
      <c r="N4499" t="s">
        <v>15</v>
      </c>
    </row>
    <row r="4500" spans="1:14" x14ac:dyDescent="0.2">
      <c r="A4500" t="s">
        <v>125</v>
      </c>
      <c r="B4500" t="s">
        <v>146</v>
      </c>
      <c r="C4500" t="s">
        <v>142</v>
      </c>
      <c r="D4500" t="s">
        <v>127</v>
      </c>
      <c r="E4500" t="s">
        <v>53</v>
      </c>
      <c r="F4500" t="s">
        <v>114</v>
      </c>
      <c r="G4500">
        <v>112323</v>
      </c>
      <c r="H4500" s="75">
        <v>41543</v>
      </c>
      <c r="I4500" t="s">
        <v>115</v>
      </c>
      <c r="J4500">
        <v>5000</v>
      </c>
      <c r="K4500">
        <v>196.16399999999999</v>
      </c>
      <c r="L4500">
        <v>25.488900000000001</v>
      </c>
      <c r="M4500">
        <v>7197.7740000000003</v>
      </c>
      <c r="N4500" t="s">
        <v>15</v>
      </c>
    </row>
    <row r="4501" spans="1:14" x14ac:dyDescent="0.2">
      <c r="A4501" t="s">
        <v>125</v>
      </c>
      <c r="B4501" t="s">
        <v>146</v>
      </c>
      <c r="C4501" t="s">
        <v>142</v>
      </c>
      <c r="D4501" t="s">
        <v>127</v>
      </c>
      <c r="E4501" t="s">
        <v>53</v>
      </c>
      <c r="F4501" t="s">
        <v>114</v>
      </c>
      <c r="G4501">
        <v>112323</v>
      </c>
      <c r="H4501" s="75">
        <v>41543</v>
      </c>
      <c r="I4501" t="s">
        <v>116</v>
      </c>
      <c r="J4501">
        <v>2.5</v>
      </c>
      <c r="K4501">
        <v>0</v>
      </c>
      <c r="M4501">
        <v>7197.7740000000003</v>
      </c>
      <c r="N4501" t="s">
        <v>17</v>
      </c>
    </row>
    <row r="4502" spans="1:14" x14ac:dyDescent="0.2">
      <c r="A4502" t="s">
        <v>125</v>
      </c>
      <c r="B4502" t="s">
        <v>146</v>
      </c>
      <c r="C4502" t="s">
        <v>142</v>
      </c>
      <c r="D4502" t="s">
        <v>127</v>
      </c>
      <c r="E4502" t="s">
        <v>53</v>
      </c>
      <c r="F4502" t="s">
        <v>114</v>
      </c>
      <c r="G4502">
        <v>112323</v>
      </c>
      <c r="H4502" s="75">
        <v>41573</v>
      </c>
      <c r="I4502" t="s">
        <v>115</v>
      </c>
      <c r="J4502">
        <v>5000</v>
      </c>
      <c r="K4502">
        <v>191.31399999999999</v>
      </c>
      <c r="L4502">
        <v>26.135000000000002</v>
      </c>
      <c r="M4502">
        <v>7389.0879999999997</v>
      </c>
      <c r="N4502" t="s">
        <v>15</v>
      </c>
    </row>
    <row r="4503" spans="1:14" x14ac:dyDescent="0.2">
      <c r="A4503" t="s">
        <v>125</v>
      </c>
      <c r="B4503" t="s">
        <v>146</v>
      </c>
      <c r="C4503" t="s">
        <v>142</v>
      </c>
      <c r="D4503" t="s">
        <v>127</v>
      </c>
      <c r="E4503" t="s">
        <v>53</v>
      </c>
      <c r="F4503" t="s">
        <v>114</v>
      </c>
      <c r="G4503">
        <v>112323</v>
      </c>
      <c r="H4503" s="75">
        <v>41603</v>
      </c>
      <c r="I4503" t="s">
        <v>115</v>
      </c>
      <c r="J4503">
        <v>5000</v>
      </c>
      <c r="K4503">
        <v>188.679</v>
      </c>
      <c r="L4503">
        <v>26.5001</v>
      </c>
      <c r="M4503">
        <v>7577.7669999999998</v>
      </c>
      <c r="N4503" t="s">
        <v>15</v>
      </c>
    </row>
    <row r="4504" spans="1:14" x14ac:dyDescent="0.2">
      <c r="A4504" t="s">
        <v>125</v>
      </c>
      <c r="B4504" t="s">
        <v>146</v>
      </c>
      <c r="C4504" t="s">
        <v>142</v>
      </c>
      <c r="D4504" t="s">
        <v>127</v>
      </c>
      <c r="E4504" t="s">
        <v>53</v>
      </c>
      <c r="F4504" t="s">
        <v>114</v>
      </c>
      <c r="G4504">
        <v>112323</v>
      </c>
      <c r="H4504" s="75">
        <v>41633</v>
      </c>
      <c r="I4504" t="s">
        <v>115</v>
      </c>
      <c r="J4504">
        <v>5000</v>
      </c>
      <c r="K4504">
        <v>187.14400000000001</v>
      </c>
      <c r="L4504">
        <v>26.717400000000001</v>
      </c>
      <c r="M4504">
        <v>7764.9110000000001</v>
      </c>
      <c r="N4504" t="s">
        <v>15</v>
      </c>
    </row>
    <row r="4505" spans="1:14" x14ac:dyDescent="0.2">
      <c r="A4505" t="s">
        <v>125</v>
      </c>
      <c r="B4505" t="s">
        <v>146</v>
      </c>
      <c r="C4505" t="s">
        <v>142</v>
      </c>
      <c r="D4505" t="s">
        <v>127</v>
      </c>
      <c r="E4505" t="s">
        <v>53</v>
      </c>
      <c r="F4505" t="s">
        <v>114</v>
      </c>
      <c r="G4505">
        <v>112323</v>
      </c>
      <c r="H4505" s="75">
        <v>41663</v>
      </c>
      <c r="I4505" t="s">
        <v>115</v>
      </c>
      <c r="J4505">
        <v>5000</v>
      </c>
      <c r="K4505">
        <v>189.61600000000001</v>
      </c>
      <c r="L4505">
        <v>26.369</v>
      </c>
      <c r="M4505">
        <v>7954.527</v>
      </c>
      <c r="N4505" t="s">
        <v>15</v>
      </c>
    </row>
    <row r="4506" spans="1:14" x14ac:dyDescent="0.2">
      <c r="A4506" t="s">
        <v>125</v>
      </c>
      <c r="B4506" t="s">
        <v>146</v>
      </c>
      <c r="C4506" t="s">
        <v>142</v>
      </c>
      <c r="D4506" t="s">
        <v>127</v>
      </c>
      <c r="E4506" t="s">
        <v>53</v>
      </c>
      <c r="F4506" t="s">
        <v>114</v>
      </c>
      <c r="G4506">
        <v>112323</v>
      </c>
      <c r="H4506" s="75">
        <v>41693</v>
      </c>
      <c r="I4506" t="s">
        <v>115</v>
      </c>
      <c r="J4506">
        <v>5000</v>
      </c>
      <c r="K4506">
        <v>188.68299999999999</v>
      </c>
      <c r="L4506">
        <v>26.499500000000001</v>
      </c>
      <c r="M4506">
        <v>8143.21</v>
      </c>
      <c r="N4506" t="s">
        <v>15</v>
      </c>
    </row>
    <row r="4507" spans="1:14" x14ac:dyDescent="0.2">
      <c r="A4507" t="s">
        <v>125</v>
      </c>
      <c r="B4507" t="s">
        <v>146</v>
      </c>
      <c r="C4507" t="s">
        <v>142</v>
      </c>
      <c r="D4507" t="s">
        <v>127</v>
      </c>
      <c r="E4507" t="s">
        <v>53</v>
      </c>
      <c r="F4507" t="s">
        <v>114</v>
      </c>
      <c r="G4507">
        <v>112323</v>
      </c>
      <c r="H4507" s="75">
        <v>41723</v>
      </c>
      <c r="I4507" t="s">
        <v>115</v>
      </c>
      <c r="J4507">
        <v>5000</v>
      </c>
      <c r="K4507">
        <v>188.517</v>
      </c>
      <c r="L4507">
        <v>26.5228</v>
      </c>
      <c r="M4507">
        <v>8331.7260000000006</v>
      </c>
      <c r="N4507" t="s">
        <v>15</v>
      </c>
    </row>
    <row r="4508" spans="1:14" x14ac:dyDescent="0.2">
      <c r="A4508" t="s">
        <v>125</v>
      </c>
      <c r="B4508" t="s">
        <v>146</v>
      </c>
      <c r="C4508" t="s">
        <v>142</v>
      </c>
      <c r="D4508" t="s">
        <v>127</v>
      </c>
      <c r="E4508" t="s">
        <v>53</v>
      </c>
      <c r="F4508" t="s">
        <v>114</v>
      </c>
      <c r="G4508">
        <v>112323</v>
      </c>
      <c r="H4508" s="75">
        <v>41753</v>
      </c>
      <c r="I4508" t="s">
        <v>115</v>
      </c>
      <c r="J4508">
        <v>5000</v>
      </c>
      <c r="K4508">
        <v>189.72399999999999</v>
      </c>
      <c r="L4508">
        <v>26.354099999999999</v>
      </c>
      <c r="M4508">
        <v>8521.4500000000007</v>
      </c>
      <c r="N4508" t="s">
        <v>15</v>
      </c>
    </row>
    <row r="4509" spans="1:14" x14ac:dyDescent="0.2">
      <c r="A4509" t="s">
        <v>125</v>
      </c>
      <c r="B4509" t="s">
        <v>146</v>
      </c>
      <c r="C4509" t="s">
        <v>142</v>
      </c>
      <c r="D4509" t="s">
        <v>127</v>
      </c>
      <c r="E4509" t="s">
        <v>53</v>
      </c>
      <c r="F4509" t="s">
        <v>114</v>
      </c>
      <c r="G4509">
        <v>112323</v>
      </c>
      <c r="H4509" s="75">
        <v>41783</v>
      </c>
      <c r="I4509" t="s">
        <v>115</v>
      </c>
      <c r="J4509">
        <v>5000</v>
      </c>
      <c r="K4509">
        <v>192.21</v>
      </c>
      <c r="L4509">
        <v>26.013300000000001</v>
      </c>
      <c r="M4509">
        <v>8713.66</v>
      </c>
      <c r="N4509" t="s">
        <v>15</v>
      </c>
    </row>
    <row r="4510" spans="1:14" x14ac:dyDescent="0.2">
      <c r="A4510" t="s">
        <v>125</v>
      </c>
      <c r="B4510" t="s">
        <v>146</v>
      </c>
      <c r="C4510" t="s">
        <v>142</v>
      </c>
      <c r="D4510" t="s">
        <v>127</v>
      </c>
      <c r="E4510" t="s">
        <v>53</v>
      </c>
      <c r="F4510" t="s">
        <v>114</v>
      </c>
      <c r="G4510">
        <v>112323</v>
      </c>
      <c r="H4510" s="75">
        <v>41813</v>
      </c>
      <c r="I4510" t="s">
        <v>115</v>
      </c>
      <c r="J4510">
        <v>5000</v>
      </c>
      <c r="K4510">
        <v>188.99</v>
      </c>
      <c r="L4510">
        <v>26.456399999999999</v>
      </c>
      <c r="M4510">
        <v>8902.65</v>
      </c>
      <c r="N4510" t="s">
        <v>15</v>
      </c>
    </row>
    <row r="4511" spans="1:14" x14ac:dyDescent="0.2">
      <c r="A4511" t="s">
        <v>125</v>
      </c>
      <c r="B4511" t="s">
        <v>146</v>
      </c>
      <c r="C4511" t="s">
        <v>142</v>
      </c>
      <c r="D4511" t="s">
        <v>127</v>
      </c>
      <c r="E4511" t="s">
        <v>53</v>
      </c>
      <c r="F4511" t="s">
        <v>114</v>
      </c>
      <c r="G4511">
        <v>112323</v>
      </c>
      <c r="H4511" s="75">
        <v>41813</v>
      </c>
      <c r="I4511" t="s">
        <v>116</v>
      </c>
      <c r="J4511">
        <v>2.5</v>
      </c>
      <c r="K4511">
        <v>0</v>
      </c>
      <c r="M4511">
        <v>8902.65</v>
      </c>
      <c r="N4511" t="s">
        <v>17</v>
      </c>
    </row>
    <row r="4512" spans="1:14" x14ac:dyDescent="0.2">
      <c r="A4512" t="s">
        <v>125</v>
      </c>
      <c r="B4512" t="s">
        <v>146</v>
      </c>
      <c r="C4512" t="s">
        <v>142</v>
      </c>
      <c r="D4512" t="s">
        <v>127</v>
      </c>
      <c r="E4512" t="s">
        <v>53</v>
      </c>
      <c r="F4512" t="s">
        <v>114</v>
      </c>
      <c r="G4512">
        <v>112323</v>
      </c>
      <c r="H4512" s="75">
        <v>41843</v>
      </c>
      <c r="I4512" t="s">
        <v>115</v>
      </c>
      <c r="J4512">
        <v>5000</v>
      </c>
      <c r="K4512">
        <v>189.36799999999999</v>
      </c>
      <c r="L4512">
        <v>26.403600000000001</v>
      </c>
      <c r="M4512">
        <v>9092.018</v>
      </c>
      <c r="N4512" t="s">
        <v>15</v>
      </c>
    </row>
    <row r="4513" spans="1:14" x14ac:dyDescent="0.2">
      <c r="A4513" t="s">
        <v>125</v>
      </c>
      <c r="B4513" t="s">
        <v>146</v>
      </c>
      <c r="C4513" t="s">
        <v>142</v>
      </c>
      <c r="D4513" t="s">
        <v>127</v>
      </c>
      <c r="E4513" t="s">
        <v>53</v>
      </c>
      <c r="F4513" t="s">
        <v>114</v>
      </c>
      <c r="G4513">
        <v>112323</v>
      </c>
      <c r="H4513" s="75">
        <v>41873</v>
      </c>
      <c r="I4513" t="s">
        <v>115</v>
      </c>
      <c r="J4513">
        <v>5000</v>
      </c>
      <c r="K4513">
        <v>191.32</v>
      </c>
      <c r="L4513">
        <v>26.1342</v>
      </c>
      <c r="M4513">
        <v>9283.3379999999997</v>
      </c>
      <c r="N4513" t="s">
        <v>15</v>
      </c>
    </row>
    <row r="4514" spans="1:14" x14ac:dyDescent="0.2">
      <c r="A4514" t="s">
        <v>125</v>
      </c>
      <c r="B4514" t="s">
        <v>146</v>
      </c>
      <c r="C4514" t="s">
        <v>142</v>
      </c>
      <c r="D4514" t="s">
        <v>127</v>
      </c>
      <c r="E4514" t="s">
        <v>53</v>
      </c>
      <c r="F4514" t="s">
        <v>114</v>
      </c>
      <c r="G4514">
        <v>112323</v>
      </c>
      <c r="H4514" s="75">
        <v>41903</v>
      </c>
      <c r="I4514" t="s">
        <v>115</v>
      </c>
      <c r="J4514">
        <v>5000</v>
      </c>
      <c r="K4514">
        <v>192.16800000000001</v>
      </c>
      <c r="L4514">
        <v>26.018799999999999</v>
      </c>
      <c r="M4514">
        <v>9475.5059999999994</v>
      </c>
      <c r="N4514" t="s">
        <v>15</v>
      </c>
    </row>
    <row r="4515" spans="1:14" x14ac:dyDescent="0.2">
      <c r="A4515" t="s">
        <v>125</v>
      </c>
      <c r="B4515" t="s">
        <v>146</v>
      </c>
      <c r="C4515" t="s">
        <v>142</v>
      </c>
      <c r="D4515" t="s">
        <v>127</v>
      </c>
      <c r="E4515" t="s">
        <v>53</v>
      </c>
      <c r="F4515" t="s">
        <v>114</v>
      </c>
      <c r="G4515">
        <v>112323</v>
      </c>
      <c r="H4515" s="75">
        <v>41933</v>
      </c>
      <c r="I4515" t="s">
        <v>115</v>
      </c>
      <c r="J4515">
        <v>5000</v>
      </c>
      <c r="K4515">
        <v>192.98699999999999</v>
      </c>
      <c r="L4515">
        <v>25.9085</v>
      </c>
      <c r="M4515">
        <v>9668.4930000000004</v>
      </c>
      <c r="N4515" t="s">
        <v>15</v>
      </c>
    </row>
    <row r="4516" spans="1:14" x14ac:dyDescent="0.2">
      <c r="A4516" t="s">
        <v>125</v>
      </c>
      <c r="B4516" t="s">
        <v>146</v>
      </c>
      <c r="C4516" t="s">
        <v>142</v>
      </c>
      <c r="D4516" t="s">
        <v>127</v>
      </c>
      <c r="E4516" t="s">
        <v>53</v>
      </c>
      <c r="F4516" t="s">
        <v>114</v>
      </c>
      <c r="G4516">
        <v>112323</v>
      </c>
      <c r="H4516" s="75">
        <v>41933</v>
      </c>
      <c r="I4516" t="s">
        <v>116</v>
      </c>
      <c r="J4516">
        <v>2.5</v>
      </c>
      <c r="K4516">
        <v>0</v>
      </c>
      <c r="M4516">
        <v>9668.4930000000004</v>
      </c>
      <c r="N4516" t="s">
        <v>17</v>
      </c>
    </row>
    <row r="4517" spans="1:14" x14ac:dyDescent="0.2">
      <c r="A4517" t="s">
        <v>125</v>
      </c>
      <c r="B4517" t="s">
        <v>146</v>
      </c>
      <c r="C4517" t="s">
        <v>142</v>
      </c>
      <c r="D4517" t="s">
        <v>127</v>
      </c>
      <c r="E4517" t="s">
        <v>53</v>
      </c>
      <c r="F4517" t="s">
        <v>114</v>
      </c>
      <c r="G4517">
        <v>112323</v>
      </c>
      <c r="H4517" s="75">
        <v>41963</v>
      </c>
      <c r="I4517" t="s">
        <v>115</v>
      </c>
      <c r="J4517">
        <v>5000</v>
      </c>
      <c r="K4517">
        <v>192.74799999999999</v>
      </c>
      <c r="L4517">
        <v>25.9406</v>
      </c>
      <c r="M4517">
        <v>9861.241</v>
      </c>
      <c r="N4517" t="s">
        <v>15</v>
      </c>
    </row>
    <row r="4518" spans="1:14" x14ac:dyDescent="0.2">
      <c r="A4518" t="s">
        <v>125</v>
      </c>
      <c r="B4518" t="s">
        <v>146</v>
      </c>
      <c r="C4518" t="s">
        <v>142</v>
      </c>
      <c r="D4518" t="s">
        <v>127</v>
      </c>
      <c r="E4518" t="s">
        <v>53</v>
      </c>
      <c r="F4518" t="s">
        <v>114</v>
      </c>
      <c r="G4518">
        <v>112323</v>
      </c>
      <c r="H4518" s="75">
        <v>41993</v>
      </c>
      <c r="I4518" t="s">
        <v>115</v>
      </c>
      <c r="J4518">
        <v>5000</v>
      </c>
      <c r="K4518">
        <v>194.477</v>
      </c>
      <c r="L4518">
        <v>25.71</v>
      </c>
      <c r="M4518">
        <v>10055.718000000001</v>
      </c>
      <c r="N4518" t="s">
        <v>15</v>
      </c>
    </row>
    <row r="4519" spans="1:14" x14ac:dyDescent="0.2">
      <c r="A4519" t="s">
        <v>125</v>
      </c>
      <c r="B4519" t="s">
        <v>146</v>
      </c>
      <c r="C4519" t="s">
        <v>142</v>
      </c>
      <c r="D4519" t="s">
        <v>127</v>
      </c>
      <c r="E4519" t="s">
        <v>53</v>
      </c>
      <c r="F4519" t="s">
        <v>114</v>
      </c>
      <c r="G4519">
        <v>112323</v>
      </c>
      <c r="H4519" s="75">
        <v>42023</v>
      </c>
      <c r="I4519" t="s">
        <v>115</v>
      </c>
      <c r="J4519">
        <v>5000</v>
      </c>
      <c r="K4519">
        <v>194.18</v>
      </c>
      <c r="L4519">
        <v>25.749300000000002</v>
      </c>
      <c r="M4519">
        <v>10249.897999999999</v>
      </c>
      <c r="N4519" t="s">
        <v>15</v>
      </c>
    </row>
    <row r="4520" spans="1:14" x14ac:dyDescent="0.2">
      <c r="A4520" t="s">
        <v>125</v>
      </c>
      <c r="B4520" t="s">
        <v>146</v>
      </c>
      <c r="C4520" t="s">
        <v>142</v>
      </c>
      <c r="D4520" t="s">
        <v>127</v>
      </c>
      <c r="E4520" t="s">
        <v>53</v>
      </c>
      <c r="F4520" t="s">
        <v>114</v>
      </c>
      <c r="G4520">
        <v>112323</v>
      </c>
      <c r="H4520" s="75">
        <v>42053</v>
      </c>
      <c r="I4520" t="s">
        <v>115</v>
      </c>
      <c r="J4520">
        <v>5000</v>
      </c>
      <c r="K4520">
        <v>197.017</v>
      </c>
      <c r="L4520">
        <v>25.378499999999999</v>
      </c>
      <c r="M4520">
        <v>10446.915000000001</v>
      </c>
      <c r="N4520" t="s">
        <v>15</v>
      </c>
    </row>
    <row r="4521" spans="1:14" x14ac:dyDescent="0.2">
      <c r="A4521" t="s">
        <v>125</v>
      </c>
      <c r="B4521" t="s">
        <v>146</v>
      </c>
      <c r="C4521" t="s">
        <v>142</v>
      </c>
      <c r="D4521" t="s">
        <v>127</v>
      </c>
      <c r="E4521" t="s">
        <v>53</v>
      </c>
      <c r="F4521" t="s">
        <v>114</v>
      </c>
      <c r="G4521">
        <v>112323</v>
      </c>
      <c r="H4521" s="75">
        <v>42083</v>
      </c>
      <c r="I4521" t="s">
        <v>115</v>
      </c>
      <c r="J4521">
        <v>5000</v>
      </c>
      <c r="K4521">
        <v>200.39400000000001</v>
      </c>
      <c r="L4521">
        <v>24.950800000000001</v>
      </c>
      <c r="M4521">
        <v>10647.308999999999</v>
      </c>
      <c r="N4521" t="s">
        <v>15</v>
      </c>
    </row>
    <row r="4522" spans="1:14" x14ac:dyDescent="0.2">
      <c r="A4522" t="s">
        <v>125</v>
      </c>
      <c r="B4522" t="s">
        <v>146</v>
      </c>
      <c r="C4522" t="s">
        <v>142</v>
      </c>
      <c r="D4522" t="s">
        <v>127</v>
      </c>
      <c r="E4522" t="s">
        <v>53</v>
      </c>
      <c r="F4522" t="s">
        <v>114</v>
      </c>
      <c r="G4522">
        <v>112323</v>
      </c>
      <c r="H4522" s="75">
        <v>42113</v>
      </c>
      <c r="I4522" t="s">
        <v>115</v>
      </c>
      <c r="J4522">
        <v>5000</v>
      </c>
      <c r="K4522">
        <v>202.84399999999999</v>
      </c>
      <c r="L4522">
        <v>24.6495</v>
      </c>
      <c r="M4522">
        <v>10850.152</v>
      </c>
      <c r="N4522" t="s">
        <v>15</v>
      </c>
    </row>
    <row r="4523" spans="1:14" x14ac:dyDescent="0.2">
      <c r="A4523" t="s">
        <v>125</v>
      </c>
      <c r="B4523" t="s">
        <v>146</v>
      </c>
      <c r="C4523" t="s">
        <v>142</v>
      </c>
      <c r="D4523" t="s">
        <v>127</v>
      </c>
      <c r="E4523" t="s">
        <v>53</v>
      </c>
      <c r="F4523" t="s">
        <v>114</v>
      </c>
      <c r="G4523">
        <v>112323</v>
      </c>
      <c r="H4523" s="75">
        <v>42143</v>
      </c>
      <c r="I4523" t="s">
        <v>115</v>
      </c>
      <c r="J4523">
        <v>5000</v>
      </c>
      <c r="K4523">
        <v>200.56100000000001</v>
      </c>
      <c r="L4523">
        <v>24.930099999999999</v>
      </c>
      <c r="M4523">
        <v>11050.714</v>
      </c>
      <c r="N4523" t="s">
        <v>15</v>
      </c>
    </row>
    <row r="4524" spans="1:14" x14ac:dyDescent="0.2">
      <c r="A4524" t="s">
        <v>125</v>
      </c>
      <c r="B4524" t="s">
        <v>146</v>
      </c>
      <c r="C4524" t="s">
        <v>142</v>
      </c>
      <c r="D4524" t="s">
        <v>127</v>
      </c>
      <c r="E4524" t="s">
        <v>53</v>
      </c>
      <c r="F4524" t="s">
        <v>114</v>
      </c>
      <c r="G4524">
        <v>112323</v>
      </c>
      <c r="H4524" s="75">
        <v>42173</v>
      </c>
      <c r="I4524" t="s">
        <v>115</v>
      </c>
      <c r="J4524">
        <v>5000</v>
      </c>
      <c r="K4524">
        <v>200.26</v>
      </c>
      <c r="L4524">
        <v>24.967500000000001</v>
      </c>
      <c r="M4524">
        <v>11250.974</v>
      </c>
      <c r="N4524" t="s">
        <v>15</v>
      </c>
    </row>
    <row r="4525" spans="1:14" x14ac:dyDescent="0.2">
      <c r="A4525" t="s">
        <v>125</v>
      </c>
      <c r="B4525" t="s">
        <v>146</v>
      </c>
      <c r="C4525" t="s">
        <v>142</v>
      </c>
      <c r="D4525" t="s">
        <v>127</v>
      </c>
      <c r="E4525" t="s">
        <v>53</v>
      </c>
      <c r="F4525" t="s">
        <v>114</v>
      </c>
      <c r="G4525">
        <v>112323</v>
      </c>
      <c r="H4525" s="75">
        <v>42173</v>
      </c>
      <c r="I4525" t="s">
        <v>116</v>
      </c>
      <c r="J4525">
        <v>2.5</v>
      </c>
      <c r="K4525">
        <v>0</v>
      </c>
      <c r="M4525">
        <v>11250.974</v>
      </c>
      <c r="N4525" t="s">
        <v>17</v>
      </c>
    </row>
    <row r="4526" spans="1:14" x14ac:dyDescent="0.2">
      <c r="A4526" t="s">
        <v>125</v>
      </c>
      <c r="B4526" t="s">
        <v>146</v>
      </c>
      <c r="C4526" t="s">
        <v>142</v>
      </c>
      <c r="D4526" t="s">
        <v>127</v>
      </c>
      <c r="E4526" t="s">
        <v>53</v>
      </c>
      <c r="F4526" t="s">
        <v>114</v>
      </c>
      <c r="G4526">
        <v>112323</v>
      </c>
      <c r="H4526" s="75">
        <v>42203</v>
      </c>
      <c r="I4526" t="s">
        <v>115</v>
      </c>
      <c r="J4526">
        <v>5000</v>
      </c>
      <c r="K4526">
        <v>198.935</v>
      </c>
      <c r="L4526">
        <v>25.133800000000001</v>
      </c>
      <c r="M4526">
        <v>11449.909</v>
      </c>
      <c r="N4526" t="s">
        <v>15</v>
      </c>
    </row>
    <row r="4527" spans="1:14" x14ac:dyDescent="0.2">
      <c r="A4527" t="s">
        <v>125</v>
      </c>
      <c r="B4527" t="s">
        <v>146</v>
      </c>
      <c r="C4527" t="s">
        <v>142</v>
      </c>
      <c r="D4527" t="s">
        <v>127</v>
      </c>
      <c r="E4527" t="s">
        <v>53</v>
      </c>
      <c r="F4527" t="s">
        <v>114</v>
      </c>
      <c r="G4527">
        <v>112323</v>
      </c>
      <c r="H4527" s="75">
        <v>42203</v>
      </c>
      <c r="I4527" t="s">
        <v>116</v>
      </c>
      <c r="J4527">
        <v>2.5</v>
      </c>
      <c r="K4527">
        <v>0</v>
      </c>
      <c r="M4527">
        <v>11449.909</v>
      </c>
      <c r="N4527" t="s">
        <v>17</v>
      </c>
    </row>
    <row r="4528" spans="1:14" x14ac:dyDescent="0.2">
      <c r="A4528" t="s">
        <v>125</v>
      </c>
      <c r="B4528" t="s">
        <v>146</v>
      </c>
      <c r="C4528" t="s">
        <v>142</v>
      </c>
      <c r="D4528" t="s">
        <v>127</v>
      </c>
      <c r="E4528" t="s">
        <v>53</v>
      </c>
      <c r="F4528" t="s">
        <v>114</v>
      </c>
      <c r="G4528">
        <v>112323</v>
      </c>
      <c r="H4528" s="75">
        <v>42233</v>
      </c>
      <c r="I4528" t="s">
        <v>115</v>
      </c>
      <c r="J4528">
        <v>5000</v>
      </c>
      <c r="K4528">
        <v>196.23699999999999</v>
      </c>
      <c r="L4528">
        <v>25.479299999999999</v>
      </c>
      <c r="M4528">
        <v>11646.146000000001</v>
      </c>
      <c r="N4528" t="s">
        <v>15</v>
      </c>
    </row>
    <row r="4529" spans="1:14" x14ac:dyDescent="0.2">
      <c r="A4529" t="s">
        <v>125</v>
      </c>
      <c r="B4529" t="s">
        <v>146</v>
      </c>
      <c r="C4529" t="s">
        <v>142</v>
      </c>
      <c r="D4529" t="s">
        <v>127</v>
      </c>
      <c r="E4529" t="s">
        <v>53</v>
      </c>
      <c r="F4529" t="s">
        <v>114</v>
      </c>
      <c r="G4529">
        <v>112323</v>
      </c>
      <c r="H4529" s="75">
        <v>42263</v>
      </c>
      <c r="I4529" t="s">
        <v>115</v>
      </c>
      <c r="J4529">
        <v>5000</v>
      </c>
      <c r="K4529">
        <v>195.489</v>
      </c>
      <c r="L4529">
        <v>25.576899999999998</v>
      </c>
      <c r="M4529">
        <v>11841.635</v>
      </c>
      <c r="N4529" t="s">
        <v>15</v>
      </c>
    </row>
    <row r="4530" spans="1:14" x14ac:dyDescent="0.2">
      <c r="A4530" t="s">
        <v>125</v>
      </c>
      <c r="B4530" t="s">
        <v>146</v>
      </c>
      <c r="C4530" t="s">
        <v>142</v>
      </c>
      <c r="D4530" t="s">
        <v>127</v>
      </c>
      <c r="E4530" t="s">
        <v>53</v>
      </c>
      <c r="F4530" t="s">
        <v>114</v>
      </c>
      <c r="G4530">
        <v>112323</v>
      </c>
      <c r="H4530" s="75">
        <v>42293</v>
      </c>
      <c r="I4530" t="s">
        <v>115</v>
      </c>
      <c r="J4530">
        <v>5000</v>
      </c>
      <c r="K4530">
        <v>189.815</v>
      </c>
      <c r="L4530">
        <v>26.3415</v>
      </c>
      <c r="M4530">
        <v>12031.45</v>
      </c>
      <c r="N4530" t="s">
        <v>15</v>
      </c>
    </row>
    <row r="4531" spans="1:14" x14ac:dyDescent="0.2">
      <c r="A4531" t="s">
        <v>125</v>
      </c>
      <c r="B4531" t="s">
        <v>146</v>
      </c>
      <c r="C4531" t="s">
        <v>142</v>
      </c>
      <c r="D4531" t="s">
        <v>127</v>
      </c>
      <c r="E4531" t="s">
        <v>53</v>
      </c>
      <c r="F4531" t="s">
        <v>114</v>
      </c>
      <c r="G4531">
        <v>112323</v>
      </c>
      <c r="H4531" s="75">
        <v>42293</v>
      </c>
      <c r="I4531" t="s">
        <v>117</v>
      </c>
      <c r="J4531">
        <v>2.5</v>
      </c>
      <c r="K4531">
        <v>0</v>
      </c>
      <c r="M4531">
        <v>12031.45</v>
      </c>
      <c r="N4531" t="s">
        <v>46</v>
      </c>
    </row>
    <row r="4532" spans="1:14" x14ac:dyDescent="0.2">
      <c r="A4532" t="s">
        <v>125</v>
      </c>
      <c r="B4532" t="s">
        <v>146</v>
      </c>
      <c r="C4532" t="s">
        <v>142</v>
      </c>
      <c r="D4532" t="s">
        <v>127</v>
      </c>
      <c r="E4532" t="s">
        <v>53</v>
      </c>
      <c r="F4532" t="s">
        <v>114</v>
      </c>
      <c r="G4532">
        <v>112323</v>
      </c>
      <c r="H4532" s="75">
        <v>42323</v>
      </c>
      <c r="I4532" t="s">
        <v>115</v>
      </c>
      <c r="J4532">
        <v>5000</v>
      </c>
      <c r="K4532">
        <v>192.273</v>
      </c>
      <c r="L4532">
        <v>26.0047</v>
      </c>
      <c r="M4532">
        <v>12223.723</v>
      </c>
      <c r="N4532" t="s">
        <v>15</v>
      </c>
    </row>
    <row r="4533" spans="1:14" x14ac:dyDescent="0.2">
      <c r="A4533" t="s">
        <v>125</v>
      </c>
      <c r="B4533" t="s">
        <v>146</v>
      </c>
      <c r="C4533" t="s">
        <v>142</v>
      </c>
      <c r="D4533" t="s">
        <v>127</v>
      </c>
      <c r="E4533" t="s">
        <v>53</v>
      </c>
      <c r="F4533" t="s">
        <v>114</v>
      </c>
      <c r="G4533">
        <v>112323</v>
      </c>
      <c r="H4533" s="75">
        <v>42353</v>
      </c>
      <c r="I4533" t="s">
        <v>115</v>
      </c>
      <c r="J4533">
        <v>5000</v>
      </c>
      <c r="K4533">
        <v>189.66800000000001</v>
      </c>
      <c r="L4533">
        <v>26.361799999999999</v>
      </c>
      <c r="M4533">
        <v>12413.391</v>
      </c>
      <c r="N4533" t="s">
        <v>15</v>
      </c>
    </row>
    <row r="4534" spans="1:14" x14ac:dyDescent="0.2">
      <c r="A4534" t="s">
        <v>125</v>
      </c>
      <c r="B4534" t="s">
        <v>146</v>
      </c>
      <c r="C4534" t="s">
        <v>142</v>
      </c>
      <c r="D4534" t="s">
        <v>127</v>
      </c>
      <c r="E4534" t="s">
        <v>53</v>
      </c>
      <c r="F4534" t="s">
        <v>114</v>
      </c>
      <c r="G4534">
        <v>112323</v>
      </c>
      <c r="H4534" s="75">
        <v>42353</v>
      </c>
      <c r="I4534" t="s">
        <v>117</v>
      </c>
      <c r="J4534">
        <v>2.5</v>
      </c>
      <c r="K4534">
        <v>0</v>
      </c>
      <c r="M4534">
        <v>12413.391</v>
      </c>
      <c r="N4534" t="s">
        <v>46</v>
      </c>
    </row>
    <row r="4535" spans="1:14" x14ac:dyDescent="0.2">
      <c r="A4535" t="s">
        <v>125</v>
      </c>
      <c r="B4535" t="s">
        <v>146</v>
      </c>
      <c r="C4535" t="s">
        <v>142</v>
      </c>
      <c r="D4535" t="s">
        <v>127</v>
      </c>
      <c r="E4535" t="s">
        <v>53</v>
      </c>
      <c r="F4535" t="s">
        <v>114</v>
      </c>
      <c r="G4535">
        <v>112323</v>
      </c>
      <c r="H4535" s="75">
        <v>42383</v>
      </c>
      <c r="I4535" t="s">
        <v>115</v>
      </c>
      <c r="J4535">
        <v>5000</v>
      </c>
      <c r="K4535">
        <v>186.43799999999999</v>
      </c>
      <c r="L4535">
        <v>26.8185</v>
      </c>
      <c r="M4535">
        <v>12599.83</v>
      </c>
      <c r="N4535" t="s">
        <v>15</v>
      </c>
    </row>
    <row r="4536" spans="1:14" x14ac:dyDescent="0.2">
      <c r="A4536" t="s">
        <v>125</v>
      </c>
      <c r="B4536" t="s">
        <v>146</v>
      </c>
      <c r="C4536" t="s">
        <v>142</v>
      </c>
      <c r="D4536" t="s">
        <v>127</v>
      </c>
      <c r="E4536" t="s">
        <v>53</v>
      </c>
      <c r="F4536" t="s">
        <v>114</v>
      </c>
      <c r="G4536">
        <v>112323</v>
      </c>
      <c r="H4536" s="75">
        <v>42413</v>
      </c>
      <c r="I4536" t="s">
        <v>115</v>
      </c>
      <c r="J4536">
        <v>5000</v>
      </c>
      <c r="K4536">
        <v>189.35599999999999</v>
      </c>
      <c r="L4536">
        <v>26.405200000000001</v>
      </c>
      <c r="M4536">
        <v>12789.186</v>
      </c>
      <c r="N4536" t="s">
        <v>15</v>
      </c>
    </row>
    <row r="4537" spans="1:14" x14ac:dyDescent="0.2">
      <c r="A4537" t="s">
        <v>125</v>
      </c>
      <c r="B4537" t="s">
        <v>146</v>
      </c>
      <c r="C4537" t="s">
        <v>142</v>
      </c>
      <c r="D4537" t="s">
        <v>127</v>
      </c>
      <c r="E4537" t="s">
        <v>53</v>
      </c>
      <c r="F4537" t="s">
        <v>114</v>
      </c>
      <c r="G4537">
        <v>112323</v>
      </c>
      <c r="H4537" s="75">
        <v>42443</v>
      </c>
      <c r="I4537" t="s">
        <v>115</v>
      </c>
      <c r="J4537">
        <v>5000</v>
      </c>
      <c r="K4537">
        <v>185.78800000000001</v>
      </c>
      <c r="L4537">
        <v>26.912400000000002</v>
      </c>
      <c r="M4537">
        <v>12974.974</v>
      </c>
      <c r="N4537" t="s">
        <v>15</v>
      </c>
    </row>
    <row r="4538" spans="1:14" x14ac:dyDescent="0.2">
      <c r="A4538" t="s">
        <v>125</v>
      </c>
      <c r="B4538" t="s">
        <v>146</v>
      </c>
      <c r="C4538" t="s">
        <v>142</v>
      </c>
      <c r="D4538" t="s">
        <v>127</v>
      </c>
      <c r="E4538" t="s">
        <v>53</v>
      </c>
      <c r="F4538" t="s">
        <v>114</v>
      </c>
      <c r="G4538">
        <v>112323</v>
      </c>
      <c r="H4538" s="75">
        <v>42443</v>
      </c>
      <c r="I4538" t="s">
        <v>117</v>
      </c>
      <c r="J4538">
        <v>2.5</v>
      </c>
      <c r="K4538">
        <v>0</v>
      </c>
      <c r="M4538">
        <v>12974.974</v>
      </c>
      <c r="N4538" t="s">
        <v>46</v>
      </c>
    </row>
    <row r="4539" spans="1:14" x14ac:dyDescent="0.2">
      <c r="A4539" t="s">
        <v>125</v>
      </c>
      <c r="B4539" t="s">
        <v>146</v>
      </c>
      <c r="C4539" t="s">
        <v>142</v>
      </c>
      <c r="D4539" t="s">
        <v>127</v>
      </c>
      <c r="E4539" t="s">
        <v>53</v>
      </c>
      <c r="F4539" t="s">
        <v>114</v>
      </c>
      <c r="G4539">
        <v>112323</v>
      </c>
      <c r="H4539" s="75">
        <v>42473</v>
      </c>
      <c r="I4539" t="s">
        <v>115</v>
      </c>
      <c r="J4539">
        <v>5000</v>
      </c>
      <c r="K4539">
        <v>185.07300000000001</v>
      </c>
      <c r="L4539">
        <v>27.016300000000001</v>
      </c>
      <c r="M4539">
        <v>13160.047</v>
      </c>
      <c r="N4539" t="s">
        <v>15</v>
      </c>
    </row>
    <row r="4540" spans="1:14" x14ac:dyDescent="0.2">
      <c r="A4540" t="s">
        <v>125</v>
      </c>
      <c r="B4540" t="s">
        <v>146</v>
      </c>
      <c r="C4540" t="s">
        <v>142</v>
      </c>
      <c r="D4540" t="s">
        <v>127</v>
      </c>
      <c r="E4540" t="s">
        <v>53</v>
      </c>
      <c r="F4540" t="s">
        <v>114</v>
      </c>
      <c r="G4540">
        <v>112323</v>
      </c>
      <c r="H4540" s="75">
        <v>42473</v>
      </c>
      <c r="I4540" t="s">
        <v>117</v>
      </c>
      <c r="J4540">
        <v>2.5</v>
      </c>
      <c r="K4540">
        <v>0</v>
      </c>
      <c r="M4540">
        <v>13160.047</v>
      </c>
      <c r="N4540" t="s">
        <v>46</v>
      </c>
    </row>
    <row r="4541" spans="1:14" x14ac:dyDescent="0.2">
      <c r="A4541" t="s">
        <v>125</v>
      </c>
      <c r="B4541" t="s">
        <v>146</v>
      </c>
      <c r="C4541" t="s">
        <v>142</v>
      </c>
      <c r="D4541" t="s">
        <v>127</v>
      </c>
      <c r="E4541" t="s">
        <v>53</v>
      </c>
      <c r="F4541" t="s">
        <v>114</v>
      </c>
      <c r="G4541">
        <v>112323</v>
      </c>
      <c r="H4541" s="75">
        <v>42503</v>
      </c>
      <c r="I4541" t="s">
        <v>115</v>
      </c>
      <c r="J4541">
        <v>5000</v>
      </c>
      <c r="K4541">
        <v>185.11799999999999</v>
      </c>
      <c r="L4541">
        <v>27.009799999999998</v>
      </c>
      <c r="M4541">
        <v>13345.165000000001</v>
      </c>
      <c r="N4541" t="s">
        <v>15</v>
      </c>
    </row>
    <row r="4542" spans="1:14" x14ac:dyDescent="0.2">
      <c r="A4542" t="s">
        <v>125</v>
      </c>
      <c r="B4542" t="s">
        <v>146</v>
      </c>
      <c r="C4542" t="s">
        <v>142</v>
      </c>
      <c r="D4542" t="s">
        <v>127</v>
      </c>
      <c r="E4542" t="s">
        <v>53</v>
      </c>
      <c r="F4542" t="s">
        <v>114</v>
      </c>
      <c r="G4542">
        <v>112323</v>
      </c>
      <c r="H4542" s="75">
        <v>42533</v>
      </c>
      <c r="I4542" t="s">
        <v>115</v>
      </c>
      <c r="J4542">
        <v>5000</v>
      </c>
      <c r="K4542">
        <v>183.03700000000001</v>
      </c>
      <c r="L4542">
        <v>27.3169</v>
      </c>
      <c r="M4542">
        <v>13528.201999999999</v>
      </c>
      <c r="N4542" t="s">
        <v>15</v>
      </c>
    </row>
    <row r="4543" spans="1:14" x14ac:dyDescent="0.2">
      <c r="A4543" t="s">
        <v>125</v>
      </c>
      <c r="B4543" t="s">
        <v>146</v>
      </c>
      <c r="C4543" t="s">
        <v>142</v>
      </c>
      <c r="D4543" t="s">
        <v>127</v>
      </c>
      <c r="E4543" t="s">
        <v>53</v>
      </c>
      <c r="F4543" t="s">
        <v>114</v>
      </c>
      <c r="G4543">
        <v>112323</v>
      </c>
      <c r="H4543" s="75">
        <v>42563</v>
      </c>
      <c r="I4543" t="s">
        <v>115</v>
      </c>
      <c r="J4543">
        <v>5000</v>
      </c>
      <c r="K4543">
        <v>179.648</v>
      </c>
      <c r="L4543">
        <v>27.8322</v>
      </c>
      <c r="M4543">
        <v>13707.85</v>
      </c>
      <c r="N4543" t="s">
        <v>15</v>
      </c>
    </row>
    <row r="4544" spans="1:14" x14ac:dyDescent="0.2">
      <c r="A4544" t="s">
        <v>125</v>
      </c>
      <c r="B4544" t="s">
        <v>146</v>
      </c>
      <c r="C4544" t="s">
        <v>142</v>
      </c>
      <c r="D4544" t="s">
        <v>127</v>
      </c>
      <c r="E4544" t="s">
        <v>53</v>
      </c>
      <c r="F4544" t="s">
        <v>114</v>
      </c>
      <c r="G4544">
        <v>112323</v>
      </c>
      <c r="H4544" s="75">
        <v>42563</v>
      </c>
      <c r="I4544" t="s">
        <v>117</v>
      </c>
      <c r="J4544">
        <v>2.5</v>
      </c>
      <c r="K4544">
        <v>0</v>
      </c>
      <c r="M4544">
        <v>13707.85</v>
      </c>
      <c r="N4544" t="s">
        <v>46</v>
      </c>
    </row>
    <row r="4545" spans="1:15" x14ac:dyDescent="0.2">
      <c r="A4545" t="s">
        <v>125</v>
      </c>
      <c r="B4545" t="s">
        <v>146</v>
      </c>
      <c r="C4545" t="s">
        <v>142</v>
      </c>
      <c r="D4545" t="s">
        <v>127</v>
      </c>
      <c r="E4545" t="s">
        <v>53</v>
      </c>
      <c r="F4545" t="s">
        <v>114</v>
      </c>
      <c r="G4545">
        <v>112323</v>
      </c>
      <c r="H4545" s="75">
        <v>42593</v>
      </c>
      <c r="I4545" t="s">
        <v>115</v>
      </c>
      <c r="J4545">
        <v>5000</v>
      </c>
      <c r="K4545">
        <v>181.58199999999999</v>
      </c>
      <c r="L4545">
        <v>27.535699999999999</v>
      </c>
      <c r="M4545">
        <v>13889.433000000001</v>
      </c>
      <c r="N4545" t="s">
        <v>15</v>
      </c>
    </row>
    <row r="4546" spans="1:15" x14ac:dyDescent="0.2">
      <c r="A4546" t="s">
        <v>125</v>
      </c>
      <c r="B4546" t="s">
        <v>146</v>
      </c>
      <c r="C4546" t="s">
        <v>142</v>
      </c>
      <c r="D4546" t="s">
        <v>127</v>
      </c>
      <c r="E4546" t="s">
        <v>53</v>
      </c>
      <c r="F4546" t="s">
        <v>114</v>
      </c>
      <c r="G4546">
        <v>112323</v>
      </c>
      <c r="H4546" s="75">
        <v>42623</v>
      </c>
      <c r="I4546" t="s">
        <v>115</v>
      </c>
      <c r="J4546">
        <v>5000</v>
      </c>
      <c r="K4546">
        <v>177.703</v>
      </c>
      <c r="L4546">
        <v>28.136900000000001</v>
      </c>
      <c r="M4546">
        <v>14067.135</v>
      </c>
      <c r="N4546" t="s">
        <v>15</v>
      </c>
    </row>
    <row r="4547" spans="1:15" x14ac:dyDescent="0.2">
      <c r="A4547" t="s">
        <v>125</v>
      </c>
      <c r="B4547" t="s">
        <v>146</v>
      </c>
      <c r="C4547" t="s">
        <v>142</v>
      </c>
      <c r="D4547" t="s">
        <v>127</v>
      </c>
      <c r="E4547" t="s">
        <v>53</v>
      </c>
      <c r="F4547" t="s">
        <v>114</v>
      </c>
      <c r="G4547">
        <v>112323</v>
      </c>
      <c r="H4547" s="75">
        <v>42653</v>
      </c>
      <c r="I4547" t="s">
        <v>115</v>
      </c>
      <c r="J4547">
        <v>5000</v>
      </c>
      <c r="K4547">
        <v>173.82900000000001</v>
      </c>
      <c r="L4547">
        <v>28.763999999999999</v>
      </c>
      <c r="M4547">
        <v>14240.964</v>
      </c>
      <c r="N4547" t="s">
        <v>15</v>
      </c>
    </row>
    <row r="4548" spans="1:15" x14ac:dyDescent="0.2">
      <c r="A4548" t="s">
        <v>125</v>
      </c>
      <c r="B4548" t="s">
        <v>146</v>
      </c>
      <c r="C4548" t="s">
        <v>142</v>
      </c>
      <c r="D4548" t="s">
        <v>127</v>
      </c>
      <c r="E4548" t="s">
        <v>53</v>
      </c>
      <c r="F4548" t="s">
        <v>114</v>
      </c>
      <c r="G4548">
        <v>112323</v>
      </c>
      <c r="H4548" s="75">
        <v>42683</v>
      </c>
      <c r="I4548" t="s">
        <v>115</v>
      </c>
      <c r="J4548">
        <v>5000</v>
      </c>
      <c r="K4548">
        <v>170.45</v>
      </c>
      <c r="L4548">
        <v>29.334</v>
      </c>
      <c r="M4548">
        <v>14411.414000000001</v>
      </c>
      <c r="N4548" t="s">
        <v>15</v>
      </c>
    </row>
    <row r="4549" spans="1:15" x14ac:dyDescent="0.2">
      <c r="A4549" t="s">
        <v>125</v>
      </c>
      <c r="B4549" t="s">
        <v>146</v>
      </c>
      <c r="C4549" t="s">
        <v>142</v>
      </c>
      <c r="D4549" t="s">
        <v>127</v>
      </c>
      <c r="E4549" t="s">
        <v>53</v>
      </c>
      <c r="F4549" t="s">
        <v>114</v>
      </c>
      <c r="G4549">
        <v>112323</v>
      </c>
      <c r="H4549" s="75">
        <v>42683</v>
      </c>
      <c r="I4549" t="s">
        <v>117</v>
      </c>
      <c r="J4549">
        <v>2.5</v>
      </c>
      <c r="K4549">
        <v>0</v>
      </c>
      <c r="M4549">
        <v>14411.414000000001</v>
      </c>
      <c r="N4549" t="s">
        <v>46</v>
      </c>
    </row>
    <row r="4550" spans="1:15" x14ac:dyDescent="0.2">
      <c r="A4550" t="s">
        <v>125</v>
      </c>
      <c r="B4550" t="s">
        <v>146</v>
      </c>
      <c r="C4550" t="s">
        <v>142</v>
      </c>
      <c r="D4550" t="s">
        <v>127</v>
      </c>
      <c r="E4550" t="s">
        <v>53</v>
      </c>
      <c r="F4550" t="s">
        <v>114</v>
      </c>
      <c r="G4550">
        <v>112323</v>
      </c>
      <c r="H4550" s="75">
        <v>42713</v>
      </c>
      <c r="I4550" t="s">
        <v>115</v>
      </c>
      <c r="J4550">
        <v>5000</v>
      </c>
      <c r="K4550">
        <v>171.51599999999999</v>
      </c>
      <c r="L4550">
        <v>29.151800000000001</v>
      </c>
      <c r="M4550">
        <v>14582.931</v>
      </c>
      <c r="N4550" t="s">
        <v>15</v>
      </c>
    </row>
    <row r="4551" spans="1:15" x14ac:dyDescent="0.2">
      <c r="A4551" t="s">
        <v>125</v>
      </c>
      <c r="B4551" t="s">
        <v>146</v>
      </c>
      <c r="C4551" t="s">
        <v>142</v>
      </c>
      <c r="D4551" t="s">
        <v>127</v>
      </c>
      <c r="E4551" t="s">
        <v>53</v>
      </c>
      <c r="F4551" t="s">
        <v>114</v>
      </c>
      <c r="G4551">
        <v>112323</v>
      </c>
      <c r="H4551" s="75">
        <v>42713</v>
      </c>
      <c r="I4551" t="s">
        <v>116</v>
      </c>
      <c r="J4551">
        <v>2.5</v>
      </c>
      <c r="K4551">
        <v>0</v>
      </c>
      <c r="M4551">
        <v>14582.931</v>
      </c>
      <c r="N4551" t="s">
        <v>17</v>
      </c>
    </row>
    <row r="4552" spans="1:15" x14ac:dyDescent="0.2">
      <c r="A4552" t="s">
        <v>125</v>
      </c>
      <c r="B4552" t="s">
        <v>146</v>
      </c>
      <c r="C4552" t="s">
        <v>142</v>
      </c>
      <c r="D4552" t="s">
        <v>127</v>
      </c>
      <c r="E4552" t="s">
        <v>53</v>
      </c>
      <c r="F4552" t="s">
        <v>114</v>
      </c>
      <c r="G4552">
        <v>112323</v>
      </c>
      <c r="H4552" s="75">
        <v>42743</v>
      </c>
      <c r="I4552" t="s">
        <v>115</v>
      </c>
      <c r="J4552">
        <v>5000</v>
      </c>
      <c r="K4552">
        <v>171.75</v>
      </c>
      <c r="L4552">
        <v>29.111999999999998</v>
      </c>
      <c r="M4552">
        <v>14754.681</v>
      </c>
      <c r="N4552" t="s">
        <v>15</v>
      </c>
    </row>
    <row r="4553" spans="1:15" x14ac:dyDescent="0.2">
      <c r="A4553" t="s">
        <v>125</v>
      </c>
      <c r="B4553" t="s">
        <v>146</v>
      </c>
      <c r="C4553" t="s">
        <v>142</v>
      </c>
      <c r="D4553" t="s">
        <v>127</v>
      </c>
      <c r="E4553" t="s">
        <v>53</v>
      </c>
      <c r="F4553" t="s">
        <v>114</v>
      </c>
      <c r="G4553">
        <v>112323</v>
      </c>
      <c r="H4553" s="75">
        <v>42743</v>
      </c>
      <c r="I4553" t="s">
        <v>117</v>
      </c>
      <c r="J4553">
        <v>2.5</v>
      </c>
      <c r="K4553">
        <v>0</v>
      </c>
      <c r="M4553">
        <v>14754.681</v>
      </c>
      <c r="N4553" t="s">
        <v>46</v>
      </c>
    </row>
    <row r="4554" spans="1:15" x14ac:dyDescent="0.2">
      <c r="A4554" t="s">
        <v>125</v>
      </c>
      <c r="B4554" t="s">
        <v>146</v>
      </c>
      <c r="C4554" t="s">
        <v>142</v>
      </c>
      <c r="D4554" t="s">
        <v>127</v>
      </c>
      <c r="E4554" t="s">
        <v>53</v>
      </c>
      <c r="F4554" t="s">
        <v>114</v>
      </c>
      <c r="G4554">
        <v>112323</v>
      </c>
      <c r="H4554" s="75">
        <v>42773</v>
      </c>
      <c r="I4554" t="s">
        <v>115</v>
      </c>
      <c r="J4554">
        <v>5000</v>
      </c>
      <c r="K4554">
        <v>171.09100000000001</v>
      </c>
      <c r="L4554">
        <v>29.2242</v>
      </c>
      <c r="M4554">
        <v>14925.772000000001</v>
      </c>
      <c r="N4554" t="s">
        <v>15</v>
      </c>
    </row>
    <row r="4555" spans="1:15" x14ac:dyDescent="0.2">
      <c r="A4555" t="s">
        <v>125</v>
      </c>
      <c r="B4555" t="s">
        <v>146</v>
      </c>
      <c r="C4555" t="s">
        <v>142</v>
      </c>
      <c r="D4555" t="s">
        <v>127</v>
      </c>
      <c r="E4555" t="s">
        <v>53</v>
      </c>
      <c r="F4555" t="s">
        <v>114</v>
      </c>
      <c r="G4555">
        <v>112323</v>
      </c>
      <c r="H4555" s="75">
        <v>42803</v>
      </c>
      <c r="I4555" t="s">
        <v>115</v>
      </c>
      <c r="J4555">
        <v>5000</v>
      </c>
      <c r="K4555">
        <v>169.61699999999999</v>
      </c>
      <c r="L4555">
        <v>29.478300000000001</v>
      </c>
      <c r="M4555">
        <v>15095.388000000001</v>
      </c>
      <c r="N4555" t="s">
        <v>15</v>
      </c>
    </row>
    <row r="4556" spans="1:15" x14ac:dyDescent="0.2">
      <c r="A4556" t="s">
        <v>125</v>
      </c>
      <c r="B4556" t="s">
        <v>146</v>
      </c>
      <c r="C4556" t="s">
        <v>142</v>
      </c>
      <c r="D4556" t="s">
        <v>127</v>
      </c>
      <c r="E4556" t="s">
        <v>53</v>
      </c>
      <c r="F4556" t="s">
        <v>114</v>
      </c>
      <c r="G4556">
        <v>112323</v>
      </c>
      <c r="H4556" s="75">
        <v>42803</v>
      </c>
      <c r="I4556" t="s">
        <v>118</v>
      </c>
      <c r="J4556">
        <v>7547.69</v>
      </c>
      <c r="K4556">
        <v>0</v>
      </c>
      <c r="M4556">
        <v>15095.388000000001</v>
      </c>
      <c r="N4556" t="s">
        <v>19</v>
      </c>
      <c r="O4556">
        <v>7547.69</v>
      </c>
    </row>
    <row r="4557" spans="1:15" x14ac:dyDescent="0.2">
      <c r="A4557" t="s">
        <v>125</v>
      </c>
      <c r="B4557" t="s">
        <v>146</v>
      </c>
      <c r="C4557" t="s">
        <v>142</v>
      </c>
      <c r="D4557" t="s">
        <v>127</v>
      </c>
      <c r="E4557" t="s">
        <v>53</v>
      </c>
      <c r="F4557" t="s">
        <v>114</v>
      </c>
      <c r="G4557">
        <v>112323</v>
      </c>
      <c r="H4557" s="75">
        <v>42833</v>
      </c>
      <c r="I4557" t="s">
        <v>115</v>
      </c>
      <c r="J4557">
        <v>5000</v>
      </c>
      <c r="K4557">
        <v>172.80799999999999</v>
      </c>
      <c r="L4557">
        <v>28.933900000000001</v>
      </c>
      <c r="M4557">
        <v>15268.196</v>
      </c>
      <c r="N4557" t="s">
        <v>15</v>
      </c>
    </row>
    <row r="4558" spans="1:15" x14ac:dyDescent="0.2">
      <c r="A4558" t="s">
        <v>125</v>
      </c>
      <c r="B4558" t="s">
        <v>146</v>
      </c>
      <c r="C4558" t="s">
        <v>142</v>
      </c>
      <c r="D4558" t="s">
        <v>127</v>
      </c>
      <c r="E4558" t="s">
        <v>53</v>
      </c>
      <c r="F4558" t="s">
        <v>114</v>
      </c>
      <c r="G4558">
        <v>112323</v>
      </c>
      <c r="H4558" s="75">
        <v>42863</v>
      </c>
      <c r="I4558" t="s">
        <v>115</v>
      </c>
      <c r="J4558">
        <v>5000</v>
      </c>
      <c r="K4558">
        <v>169.374</v>
      </c>
      <c r="L4558">
        <v>29.520499999999998</v>
      </c>
      <c r="M4558">
        <v>15437.57</v>
      </c>
      <c r="N4558" t="s">
        <v>15</v>
      </c>
    </row>
    <row r="4559" spans="1:15" x14ac:dyDescent="0.2">
      <c r="A4559" t="s">
        <v>125</v>
      </c>
      <c r="B4559" t="s">
        <v>146</v>
      </c>
      <c r="C4559" t="s">
        <v>142</v>
      </c>
      <c r="D4559" t="s">
        <v>127</v>
      </c>
      <c r="E4559" t="s">
        <v>53</v>
      </c>
      <c r="F4559" t="s">
        <v>114</v>
      </c>
      <c r="G4559">
        <v>112323</v>
      </c>
      <c r="H4559" s="75">
        <v>42893</v>
      </c>
      <c r="I4559" t="s">
        <v>115</v>
      </c>
      <c r="J4559">
        <v>5000</v>
      </c>
      <c r="K4559">
        <v>166.44900000000001</v>
      </c>
      <c r="L4559">
        <v>30.039300000000001</v>
      </c>
      <c r="M4559">
        <v>15604.019</v>
      </c>
      <c r="N4559" t="s">
        <v>15</v>
      </c>
    </row>
    <row r="4560" spans="1:15" x14ac:dyDescent="0.2">
      <c r="A4560" t="s">
        <v>125</v>
      </c>
      <c r="B4560" t="s">
        <v>146</v>
      </c>
      <c r="C4560" t="s">
        <v>142</v>
      </c>
      <c r="D4560" t="s">
        <v>127</v>
      </c>
      <c r="E4560" t="s">
        <v>53</v>
      </c>
      <c r="F4560" t="s">
        <v>114</v>
      </c>
      <c r="G4560">
        <v>112323</v>
      </c>
      <c r="H4560" s="75">
        <v>42893</v>
      </c>
      <c r="I4560" t="s">
        <v>117</v>
      </c>
      <c r="J4560">
        <v>2.5</v>
      </c>
      <c r="K4560">
        <v>0</v>
      </c>
      <c r="M4560">
        <v>15604.019</v>
      </c>
      <c r="N4560" t="s">
        <v>46</v>
      </c>
    </row>
    <row r="4561" spans="1:15" x14ac:dyDescent="0.2">
      <c r="A4561" t="s">
        <v>125</v>
      </c>
      <c r="B4561" t="s">
        <v>146</v>
      </c>
      <c r="C4561" t="s">
        <v>142</v>
      </c>
      <c r="D4561" t="s">
        <v>127</v>
      </c>
      <c r="E4561" t="s">
        <v>53</v>
      </c>
      <c r="F4561" t="s">
        <v>114</v>
      </c>
      <c r="G4561">
        <v>112323</v>
      </c>
      <c r="H4561" s="75">
        <v>42893</v>
      </c>
      <c r="I4561" t="s">
        <v>118</v>
      </c>
      <c r="J4561">
        <v>7802.01</v>
      </c>
      <c r="K4561">
        <v>0</v>
      </c>
      <c r="M4561">
        <v>15604.019</v>
      </c>
      <c r="N4561" t="s">
        <v>19</v>
      </c>
      <c r="O4561">
        <v>7802.01</v>
      </c>
    </row>
    <row r="4562" spans="1:15" x14ac:dyDescent="0.2">
      <c r="A4562" t="s">
        <v>125</v>
      </c>
      <c r="B4562" t="s">
        <v>146</v>
      </c>
      <c r="C4562" t="s">
        <v>142</v>
      </c>
      <c r="D4562" t="s">
        <v>127</v>
      </c>
      <c r="E4562" t="s">
        <v>53</v>
      </c>
      <c r="F4562" t="s">
        <v>114</v>
      </c>
      <c r="G4562">
        <v>112323</v>
      </c>
      <c r="H4562" s="75">
        <v>42923</v>
      </c>
      <c r="I4562" t="s">
        <v>115</v>
      </c>
      <c r="J4562">
        <v>5000</v>
      </c>
      <c r="K4562">
        <v>167.917</v>
      </c>
      <c r="L4562">
        <v>29.776599999999998</v>
      </c>
      <c r="M4562">
        <v>15771.936</v>
      </c>
      <c r="N4562" t="s">
        <v>15</v>
      </c>
    </row>
    <row r="4563" spans="1:15" x14ac:dyDescent="0.2">
      <c r="A4563" t="s">
        <v>125</v>
      </c>
      <c r="B4563" t="s">
        <v>146</v>
      </c>
      <c r="C4563" t="s">
        <v>142</v>
      </c>
      <c r="D4563" t="s">
        <v>127</v>
      </c>
      <c r="E4563" t="s">
        <v>53</v>
      </c>
      <c r="F4563" t="s">
        <v>114</v>
      </c>
      <c r="G4563">
        <v>112323</v>
      </c>
      <c r="H4563" s="75">
        <v>42953</v>
      </c>
      <c r="I4563" t="s">
        <v>115</v>
      </c>
      <c r="J4563">
        <v>5000</v>
      </c>
      <c r="K4563">
        <v>167.95599999999999</v>
      </c>
      <c r="L4563">
        <v>29.7697</v>
      </c>
      <c r="M4563">
        <v>15939.892</v>
      </c>
      <c r="N4563" t="s">
        <v>15</v>
      </c>
    </row>
    <row r="4564" spans="1:15" x14ac:dyDescent="0.2">
      <c r="A4564" t="s">
        <v>125</v>
      </c>
      <c r="B4564" t="s">
        <v>146</v>
      </c>
      <c r="C4564" t="s">
        <v>142</v>
      </c>
      <c r="D4564" t="s">
        <v>127</v>
      </c>
      <c r="E4564" t="s">
        <v>53</v>
      </c>
      <c r="F4564" t="s">
        <v>114</v>
      </c>
      <c r="G4564">
        <v>112323</v>
      </c>
      <c r="H4564" s="75">
        <v>42983</v>
      </c>
      <c r="I4564" t="s">
        <v>115</v>
      </c>
      <c r="J4564">
        <v>5000</v>
      </c>
      <c r="K4564">
        <v>170.60300000000001</v>
      </c>
      <c r="L4564">
        <v>29.3078</v>
      </c>
      <c r="M4564">
        <v>16110.495000000001</v>
      </c>
      <c r="N4564" t="s">
        <v>15</v>
      </c>
    </row>
    <row r="4565" spans="1:15" x14ac:dyDescent="0.2">
      <c r="A4565" t="s">
        <v>125</v>
      </c>
      <c r="B4565" t="s">
        <v>146</v>
      </c>
      <c r="C4565" t="s">
        <v>142</v>
      </c>
      <c r="D4565" t="s">
        <v>127</v>
      </c>
      <c r="E4565" t="s">
        <v>53</v>
      </c>
      <c r="F4565" t="s">
        <v>114</v>
      </c>
      <c r="G4565">
        <v>112323</v>
      </c>
      <c r="H4565" s="75">
        <v>43013</v>
      </c>
      <c r="I4565" t="s">
        <v>115</v>
      </c>
      <c r="J4565">
        <v>5000</v>
      </c>
      <c r="K4565">
        <v>167.9</v>
      </c>
      <c r="L4565">
        <v>29.779699999999998</v>
      </c>
      <c r="M4565">
        <v>16278.395</v>
      </c>
      <c r="N4565" t="s">
        <v>15</v>
      </c>
    </row>
    <row r="4566" spans="1:15" x14ac:dyDescent="0.2">
      <c r="A4566" t="s">
        <v>125</v>
      </c>
      <c r="B4566" t="s">
        <v>146</v>
      </c>
      <c r="C4566" t="s">
        <v>142</v>
      </c>
      <c r="D4566" t="s">
        <v>127</v>
      </c>
      <c r="E4566" t="s">
        <v>53</v>
      </c>
      <c r="F4566" t="s">
        <v>114</v>
      </c>
      <c r="G4566">
        <v>112323</v>
      </c>
      <c r="H4566" s="75">
        <v>43043</v>
      </c>
      <c r="I4566" t="s">
        <v>115</v>
      </c>
      <c r="J4566">
        <v>5000</v>
      </c>
      <c r="K4566">
        <v>164.767</v>
      </c>
      <c r="L4566">
        <v>30.345800000000001</v>
      </c>
      <c r="M4566">
        <v>16443.162</v>
      </c>
      <c r="N4566" t="s">
        <v>15</v>
      </c>
    </row>
    <row r="4567" spans="1:15" x14ac:dyDescent="0.2">
      <c r="A4567" t="s">
        <v>125</v>
      </c>
      <c r="B4567" t="s">
        <v>146</v>
      </c>
      <c r="C4567" t="s">
        <v>142</v>
      </c>
      <c r="D4567" t="s">
        <v>127</v>
      </c>
      <c r="E4567" t="s">
        <v>53</v>
      </c>
      <c r="F4567" t="s">
        <v>114</v>
      </c>
      <c r="G4567">
        <v>112323</v>
      </c>
      <c r="H4567" s="75">
        <v>43073</v>
      </c>
      <c r="I4567" t="s">
        <v>115</v>
      </c>
      <c r="J4567">
        <v>5000</v>
      </c>
      <c r="K4567">
        <v>166.739</v>
      </c>
      <c r="L4567">
        <v>29.986999999999998</v>
      </c>
      <c r="M4567">
        <v>16609.901000000002</v>
      </c>
      <c r="N4567" t="s">
        <v>15</v>
      </c>
    </row>
    <row r="4568" spans="1:15" x14ac:dyDescent="0.2">
      <c r="A4568" t="s">
        <v>125</v>
      </c>
      <c r="B4568" t="s">
        <v>146</v>
      </c>
      <c r="C4568" t="s">
        <v>142</v>
      </c>
      <c r="D4568" t="s">
        <v>127</v>
      </c>
      <c r="E4568" t="s">
        <v>53</v>
      </c>
      <c r="F4568" t="s">
        <v>114</v>
      </c>
      <c r="G4568">
        <v>112323</v>
      </c>
      <c r="H4568" s="75">
        <v>43103</v>
      </c>
      <c r="I4568" t="s">
        <v>115</v>
      </c>
      <c r="J4568">
        <v>5000</v>
      </c>
      <c r="K4568">
        <v>161.9</v>
      </c>
      <c r="L4568">
        <v>30.883199999999999</v>
      </c>
      <c r="M4568">
        <v>16771.800999999999</v>
      </c>
      <c r="N4568" t="s">
        <v>15</v>
      </c>
    </row>
    <row r="4569" spans="1:15" x14ac:dyDescent="0.2">
      <c r="A4569" t="s">
        <v>125</v>
      </c>
      <c r="B4569" t="s">
        <v>146</v>
      </c>
      <c r="C4569" t="s">
        <v>142</v>
      </c>
      <c r="D4569" t="s">
        <v>127</v>
      </c>
      <c r="E4569" t="s">
        <v>53</v>
      </c>
      <c r="F4569" t="s">
        <v>114</v>
      </c>
      <c r="G4569">
        <v>112323</v>
      </c>
      <c r="H4569" s="75">
        <v>43133</v>
      </c>
      <c r="I4569" t="s">
        <v>115</v>
      </c>
      <c r="J4569">
        <v>5000</v>
      </c>
      <c r="K4569">
        <v>163.15700000000001</v>
      </c>
      <c r="L4569">
        <v>30.645299999999999</v>
      </c>
      <c r="M4569">
        <v>16934.958999999999</v>
      </c>
      <c r="N4569" t="s">
        <v>15</v>
      </c>
    </row>
    <row r="4570" spans="1:15" x14ac:dyDescent="0.2">
      <c r="A4570" t="s">
        <v>125</v>
      </c>
      <c r="B4570" t="s">
        <v>146</v>
      </c>
      <c r="C4570" t="s">
        <v>142</v>
      </c>
      <c r="D4570" t="s">
        <v>127</v>
      </c>
      <c r="E4570" t="s">
        <v>53</v>
      </c>
      <c r="F4570" t="s">
        <v>114</v>
      </c>
      <c r="G4570">
        <v>112323</v>
      </c>
      <c r="H4570" s="75">
        <v>43163</v>
      </c>
      <c r="I4570" t="s">
        <v>115</v>
      </c>
      <c r="J4570">
        <v>5000</v>
      </c>
      <c r="K4570">
        <v>166.29</v>
      </c>
      <c r="L4570">
        <v>30.068000000000001</v>
      </c>
      <c r="M4570">
        <v>17101.248</v>
      </c>
      <c r="N4570" t="s">
        <v>15</v>
      </c>
    </row>
    <row r="4571" spans="1:15" x14ac:dyDescent="0.2">
      <c r="A4571" t="s">
        <v>125</v>
      </c>
      <c r="B4571" t="s">
        <v>146</v>
      </c>
      <c r="C4571" t="s">
        <v>142</v>
      </c>
      <c r="D4571" t="s">
        <v>127</v>
      </c>
      <c r="E4571" t="s">
        <v>53</v>
      </c>
      <c r="F4571" t="s">
        <v>114</v>
      </c>
      <c r="G4571">
        <v>112323</v>
      </c>
      <c r="H4571" s="75">
        <v>43193</v>
      </c>
      <c r="I4571" t="s">
        <v>115</v>
      </c>
      <c r="J4571">
        <v>5000</v>
      </c>
      <c r="K4571">
        <v>168.30500000000001</v>
      </c>
      <c r="L4571">
        <v>29.707999999999998</v>
      </c>
      <c r="M4571">
        <v>17269.553</v>
      </c>
      <c r="N4571" t="s">
        <v>15</v>
      </c>
    </row>
    <row r="4572" spans="1:15" x14ac:dyDescent="0.2">
      <c r="A4572" t="s">
        <v>125</v>
      </c>
      <c r="B4572" t="s">
        <v>146</v>
      </c>
      <c r="C4572" t="s">
        <v>142</v>
      </c>
      <c r="D4572" t="s">
        <v>127</v>
      </c>
      <c r="E4572" t="s">
        <v>53</v>
      </c>
      <c r="F4572" t="s">
        <v>114</v>
      </c>
      <c r="G4572">
        <v>112323</v>
      </c>
      <c r="H4572" s="75">
        <v>43223</v>
      </c>
      <c r="I4572" t="s">
        <v>115</v>
      </c>
      <c r="J4572">
        <v>5000</v>
      </c>
      <c r="K4572">
        <v>167.89</v>
      </c>
      <c r="L4572">
        <v>29.781300000000002</v>
      </c>
      <c r="M4572">
        <v>17437.444</v>
      </c>
      <c r="N4572" t="s">
        <v>15</v>
      </c>
    </row>
    <row r="4573" spans="1:15" x14ac:dyDescent="0.2">
      <c r="A4573" t="s">
        <v>125</v>
      </c>
      <c r="B4573" t="s">
        <v>146</v>
      </c>
      <c r="C4573" t="s">
        <v>142</v>
      </c>
      <c r="D4573" t="s">
        <v>127</v>
      </c>
      <c r="E4573" t="s">
        <v>53</v>
      </c>
      <c r="F4573" t="s">
        <v>114</v>
      </c>
      <c r="G4573">
        <v>112323</v>
      </c>
      <c r="H4573" s="75">
        <v>43253</v>
      </c>
      <c r="I4573" t="s">
        <v>115</v>
      </c>
      <c r="J4573">
        <v>5000</v>
      </c>
      <c r="K4573">
        <v>168.054</v>
      </c>
      <c r="L4573">
        <v>29.752300000000002</v>
      </c>
      <c r="M4573">
        <v>17605.498</v>
      </c>
      <c r="N4573" t="s">
        <v>15</v>
      </c>
    </row>
    <row r="4574" spans="1:15" x14ac:dyDescent="0.2">
      <c r="A4574" t="s">
        <v>125</v>
      </c>
      <c r="B4574" t="s">
        <v>146</v>
      </c>
      <c r="C4574" t="s">
        <v>142</v>
      </c>
      <c r="D4574" t="s">
        <v>127</v>
      </c>
      <c r="E4574" t="s">
        <v>53</v>
      </c>
      <c r="F4574" t="s">
        <v>114</v>
      </c>
      <c r="G4574">
        <v>112323</v>
      </c>
      <c r="H4574" s="75">
        <v>43283</v>
      </c>
      <c r="I4574" t="s">
        <v>115</v>
      </c>
      <c r="J4574">
        <v>5000</v>
      </c>
      <c r="K4574">
        <v>168.774</v>
      </c>
      <c r="L4574">
        <v>29.625499999999999</v>
      </c>
      <c r="M4574">
        <v>17774.272000000001</v>
      </c>
      <c r="N4574" t="s">
        <v>15</v>
      </c>
    </row>
    <row r="4575" spans="1:15" x14ac:dyDescent="0.2">
      <c r="A4575" t="s">
        <v>125</v>
      </c>
      <c r="B4575" t="s">
        <v>146</v>
      </c>
      <c r="C4575" t="s">
        <v>142</v>
      </c>
      <c r="D4575" t="s">
        <v>127</v>
      </c>
      <c r="E4575" t="s">
        <v>53</v>
      </c>
      <c r="F4575" t="s">
        <v>114</v>
      </c>
      <c r="G4575">
        <v>112323</v>
      </c>
      <c r="H4575" s="75">
        <v>43313</v>
      </c>
      <c r="I4575" t="s">
        <v>115</v>
      </c>
      <c r="J4575">
        <v>5000</v>
      </c>
      <c r="K4575">
        <v>171.31100000000001</v>
      </c>
      <c r="L4575">
        <v>29.186800000000002</v>
      </c>
      <c r="M4575">
        <v>17945.581999999999</v>
      </c>
      <c r="N4575" t="s">
        <v>15</v>
      </c>
    </row>
    <row r="4576" spans="1:15" x14ac:dyDescent="0.2">
      <c r="A4576" t="s">
        <v>125</v>
      </c>
      <c r="B4576" t="s">
        <v>146</v>
      </c>
      <c r="C4576" t="s">
        <v>142</v>
      </c>
      <c r="D4576" t="s">
        <v>127</v>
      </c>
      <c r="E4576" t="s">
        <v>53</v>
      </c>
      <c r="F4576" t="s">
        <v>114</v>
      </c>
      <c r="G4576">
        <v>112323</v>
      </c>
      <c r="H4576" s="75">
        <v>43313</v>
      </c>
      <c r="I4576" t="s">
        <v>116</v>
      </c>
      <c r="J4576">
        <v>2.5</v>
      </c>
      <c r="K4576">
        <v>0</v>
      </c>
      <c r="M4576">
        <v>17945.581999999999</v>
      </c>
      <c r="N4576" t="s">
        <v>17</v>
      </c>
    </row>
    <row r="4577" spans="1:15" x14ac:dyDescent="0.2">
      <c r="A4577" t="s">
        <v>125</v>
      </c>
      <c r="B4577" t="s">
        <v>146</v>
      </c>
      <c r="C4577" t="s">
        <v>142</v>
      </c>
      <c r="D4577" t="s">
        <v>127</v>
      </c>
      <c r="E4577" t="s">
        <v>53</v>
      </c>
      <c r="F4577" t="s">
        <v>114</v>
      </c>
      <c r="G4577">
        <v>112323</v>
      </c>
      <c r="H4577" s="75">
        <v>43343</v>
      </c>
      <c r="I4577" t="s">
        <v>115</v>
      </c>
      <c r="J4577">
        <v>5000</v>
      </c>
      <c r="K4577">
        <v>173.62200000000001</v>
      </c>
      <c r="L4577">
        <v>28.798100000000002</v>
      </c>
      <c r="M4577">
        <v>18119.204000000002</v>
      </c>
      <c r="N4577" t="s">
        <v>15</v>
      </c>
    </row>
    <row r="4578" spans="1:15" x14ac:dyDescent="0.2">
      <c r="A4578" t="s">
        <v>125</v>
      </c>
      <c r="B4578" t="s">
        <v>146</v>
      </c>
      <c r="C4578" t="s">
        <v>142</v>
      </c>
      <c r="D4578" t="s">
        <v>127</v>
      </c>
      <c r="E4578" t="s">
        <v>53</v>
      </c>
      <c r="F4578" t="s">
        <v>114</v>
      </c>
      <c r="G4578">
        <v>112323</v>
      </c>
      <c r="H4578" s="75">
        <v>43343</v>
      </c>
      <c r="I4578" t="s">
        <v>116</v>
      </c>
      <c r="J4578">
        <v>2.5</v>
      </c>
      <c r="K4578">
        <v>0</v>
      </c>
      <c r="M4578">
        <v>18119.204000000002</v>
      </c>
      <c r="N4578" t="s">
        <v>17</v>
      </c>
    </row>
    <row r="4579" spans="1:15" x14ac:dyDescent="0.2">
      <c r="A4579" t="s">
        <v>125</v>
      </c>
      <c r="B4579" t="s">
        <v>146</v>
      </c>
      <c r="C4579" t="s">
        <v>142</v>
      </c>
      <c r="D4579" t="s">
        <v>127</v>
      </c>
      <c r="E4579" t="s">
        <v>53</v>
      </c>
      <c r="F4579" t="s">
        <v>114</v>
      </c>
      <c r="G4579">
        <v>112323</v>
      </c>
      <c r="H4579" s="75">
        <v>43373</v>
      </c>
      <c r="I4579" t="s">
        <v>115</v>
      </c>
      <c r="J4579">
        <v>5000</v>
      </c>
      <c r="K4579">
        <v>173.74600000000001</v>
      </c>
      <c r="L4579">
        <v>28.777699999999999</v>
      </c>
      <c r="M4579">
        <v>18292.95</v>
      </c>
      <c r="N4579" t="s">
        <v>15</v>
      </c>
    </row>
    <row r="4580" spans="1:15" x14ac:dyDescent="0.2">
      <c r="A4580" t="s">
        <v>125</v>
      </c>
      <c r="B4580" t="s">
        <v>146</v>
      </c>
      <c r="C4580" t="s">
        <v>142</v>
      </c>
      <c r="D4580" t="s">
        <v>127</v>
      </c>
      <c r="E4580" t="s">
        <v>53</v>
      </c>
      <c r="F4580" t="s">
        <v>114</v>
      </c>
      <c r="G4580">
        <v>112323</v>
      </c>
      <c r="H4580" s="75">
        <v>43403</v>
      </c>
      <c r="I4580" t="s">
        <v>115</v>
      </c>
      <c r="J4580">
        <v>5000</v>
      </c>
      <c r="K4580">
        <v>176.298</v>
      </c>
      <c r="L4580">
        <v>28.3611</v>
      </c>
      <c r="M4580">
        <v>18469.248</v>
      </c>
      <c r="N4580" t="s">
        <v>15</v>
      </c>
    </row>
    <row r="4581" spans="1:15" x14ac:dyDescent="0.2">
      <c r="A4581" t="s">
        <v>125</v>
      </c>
      <c r="B4581" t="s">
        <v>146</v>
      </c>
      <c r="C4581" t="s">
        <v>142</v>
      </c>
      <c r="D4581" t="s">
        <v>127</v>
      </c>
      <c r="E4581" t="s">
        <v>53</v>
      </c>
      <c r="F4581" t="s">
        <v>114</v>
      </c>
      <c r="G4581">
        <v>112323</v>
      </c>
      <c r="H4581" s="75">
        <v>43403</v>
      </c>
      <c r="I4581" t="s">
        <v>116</v>
      </c>
      <c r="J4581">
        <v>2.5</v>
      </c>
      <c r="K4581">
        <v>0</v>
      </c>
      <c r="M4581">
        <v>18469.248</v>
      </c>
      <c r="N4581" t="s">
        <v>17</v>
      </c>
    </row>
    <row r="4582" spans="1:15" x14ac:dyDescent="0.2">
      <c r="A4582" t="s">
        <v>125</v>
      </c>
      <c r="B4582" t="s">
        <v>146</v>
      </c>
      <c r="C4582" t="s">
        <v>142</v>
      </c>
      <c r="D4582" t="s">
        <v>127</v>
      </c>
      <c r="E4582" t="s">
        <v>53</v>
      </c>
      <c r="F4582" t="s">
        <v>114</v>
      </c>
      <c r="G4582">
        <v>112323</v>
      </c>
      <c r="H4582" s="75">
        <v>43433</v>
      </c>
      <c r="I4582" t="s">
        <v>115</v>
      </c>
      <c r="J4582">
        <v>5000</v>
      </c>
      <c r="K4582">
        <v>178.26499999999999</v>
      </c>
      <c r="L4582">
        <v>28.048200000000001</v>
      </c>
      <c r="M4582">
        <v>18647.512999999999</v>
      </c>
      <c r="N4582" t="s">
        <v>15</v>
      </c>
    </row>
    <row r="4583" spans="1:15" x14ac:dyDescent="0.2">
      <c r="A4583" t="s">
        <v>125</v>
      </c>
      <c r="B4583" t="s">
        <v>146</v>
      </c>
      <c r="C4583" t="s">
        <v>142</v>
      </c>
      <c r="D4583" t="s">
        <v>127</v>
      </c>
      <c r="E4583" t="s">
        <v>53</v>
      </c>
      <c r="F4583" t="s">
        <v>114</v>
      </c>
      <c r="G4583">
        <v>112323</v>
      </c>
      <c r="H4583" s="75">
        <v>43463</v>
      </c>
      <c r="I4583" t="s">
        <v>115</v>
      </c>
      <c r="J4583">
        <v>5000</v>
      </c>
      <c r="K4583">
        <v>179.12799999999999</v>
      </c>
      <c r="L4583">
        <v>27.913</v>
      </c>
      <c r="M4583">
        <v>18826.641</v>
      </c>
      <c r="N4583" t="s">
        <v>15</v>
      </c>
    </row>
    <row r="4584" spans="1:15" x14ac:dyDescent="0.2">
      <c r="A4584" t="s">
        <v>125</v>
      </c>
      <c r="B4584" t="s">
        <v>146</v>
      </c>
      <c r="C4584" t="s">
        <v>142</v>
      </c>
      <c r="D4584" t="s">
        <v>127</v>
      </c>
      <c r="E4584" t="s">
        <v>53</v>
      </c>
      <c r="F4584" t="s">
        <v>114</v>
      </c>
      <c r="G4584">
        <v>112323</v>
      </c>
      <c r="H4584" s="75">
        <v>43493</v>
      </c>
      <c r="I4584" t="s">
        <v>115</v>
      </c>
      <c r="J4584">
        <v>5000</v>
      </c>
      <c r="K4584">
        <v>177.39599999999999</v>
      </c>
      <c r="L4584">
        <v>28.185500000000001</v>
      </c>
      <c r="M4584">
        <v>19004.037</v>
      </c>
      <c r="N4584" t="s">
        <v>15</v>
      </c>
    </row>
    <row r="4585" spans="1:15" x14ac:dyDescent="0.2">
      <c r="A4585" t="s">
        <v>125</v>
      </c>
      <c r="B4585" t="s">
        <v>146</v>
      </c>
      <c r="C4585" t="s">
        <v>142</v>
      </c>
      <c r="D4585" t="s">
        <v>127</v>
      </c>
      <c r="E4585" t="s">
        <v>53</v>
      </c>
      <c r="F4585" t="s">
        <v>114</v>
      </c>
      <c r="G4585">
        <v>112323</v>
      </c>
      <c r="H4585" s="75">
        <v>43523</v>
      </c>
      <c r="I4585" t="s">
        <v>115</v>
      </c>
      <c r="J4585">
        <v>5000</v>
      </c>
      <c r="K4585">
        <v>174.30600000000001</v>
      </c>
      <c r="L4585">
        <v>28.685300000000002</v>
      </c>
      <c r="M4585">
        <v>19178.343000000001</v>
      </c>
      <c r="N4585" t="s">
        <v>15</v>
      </c>
    </row>
    <row r="4586" spans="1:15" x14ac:dyDescent="0.2">
      <c r="A4586" t="s">
        <v>125</v>
      </c>
      <c r="B4586" t="s">
        <v>146</v>
      </c>
      <c r="C4586" t="s">
        <v>142</v>
      </c>
      <c r="D4586" t="s">
        <v>127</v>
      </c>
      <c r="E4586" t="s">
        <v>53</v>
      </c>
      <c r="F4586" t="s">
        <v>114</v>
      </c>
      <c r="G4586">
        <v>112323</v>
      </c>
      <c r="H4586" s="75">
        <v>43523</v>
      </c>
      <c r="I4586" t="s">
        <v>117</v>
      </c>
      <c r="J4586">
        <v>2.5</v>
      </c>
      <c r="K4586">
        <v>0</v>
      </c>
      <c r="M4586">
        <v>19178.343000000001</v>
      </c>
      <c r="N4586" t="s">
        <v>46</v>
      </c>
    </row>
    <row r="4587" spans="1:15" x14ac:dyDescent="0.2">
      <c r="A4587" t="s">
        <v>125</v>
      </c>
      <c r="B4587" t="s">
        <v>146</v>
      </c>
      <c r="C4587" t="s">
        <v>142</v>
      </c>
      <c r="D4587" t="s">
        <v>127</v>
      </c>
      <c r="E4587" t="s">
        <v>53</v>
      </c>
      <c r="F4587" t="s">
        <v>114</v>
      </c>
      <c r="G4587">
        <v>112323</v>
      </c>
      <c r="H4587" s="75">
        <v>43553</v>
      </c>
      <c r="I4587" t="s">
        <v>115</v>
      </c>
      <c r="J4587">
        <v>5000</v>
      </c>
      <c r="K4587">
        <v>171.142</v>
      </c>
      <c r="L4587">
        <v>29.215499999999999</v>
      </c>
      <c r="M4587">
        <v>19349.485000000001</v>
      </c>
      <c r="N4587" t="s">
        <v>15</v>
      </c>
    </row>
    <row r="4588" spans="1:15" x14ac:dyDescent="0.2">
      <c r="A4588" t="s">
        <v>125</v>
      </c>
      <c r="B4588" t="s">
        <v>146</v>
      </c>
      <c r="C4588" t="s">
        <v>142</v>
      </c>
      <c r="D4588" t="s">
        <v>127</v>
      </c>
      <c r="E4588" t="s">
        <v>53</v>
      </c>
      <c r="F4588" t="s">
        <v>114</v>
      </c>
      <c r="G4588">
        <v>112323</v>
      </c>
      <c r="H4588" s="75">
        <v>43553</v>
      </c>
      <c r="I4588" t="s">
        <v>25</v>
      </c>
      <c r="J4588">
        <v>-113061.14</v>
      </c>
      <c r="K4588">
        <v>-3869.8969999999999</v>
      </c>
      <c r="L4588">
        <v>29.215499999999999</v>
      </c>
      <c r="M4588">
        <v>15479.588</v>
      </c>
      <c r="N4588" t="s">
        <v>16</v>
      </c>
    </row>
    <row r="4589" spans="1:15" x14ac:dyDescent="0.2">
      <c r="A4589" t="s">
        <v>125</v>
      </c>
      <c r="B4589" t="s">
        <v>146</v>
      </c>
      <c r="C4589" t="s">
        <v>142</v>
      </c>
      <c r="D4589" t="s">
        <v>127</v>
      </c>
      <c r="E4589" t="s">
        <v>53</v>
      </c>
      <c r="F4589" t="s">
        <v>114</v>
      </c>
      <c r="G4589">
        <v>112323</v>
      </c>
      <c r="H4589" s="75">
        <v>43583</v>
      </c>
      <c r="I4589" t="s">
        <v>115</v>
      </c>
      <c r="J4589">
        <v>5000</v>
      </c>
      <c r="K4589">
        <v>172.64</v>
      </c>
      <c r="L4589">
        <v>28.962</v>
      </c>
      <c r="M4589">
        <v>15652.227999999999</v>
      </c>
      <c r="N4589" t="s">
        <v>15</v>
      </c>
    </row>
    <row r="4590" spans="1:15" x14ac:dyDescent="0.2">
      <c r="A4590" t="s">
        <v>125</v>
      </c>
      <c r="B4590" t="s">
        <v>146</v>
      </c>
      <c r="C4590" t="s">
        <v>142</v>
      </c>
      <c r="D4590" t="s">
        <v>127</v>
      </c>
      <c r="E4590" t="s">
        <v>53</v>
      </c>
      <c r="F4590" t="s">
        <v>114</v>
      </c>
      <c r="G4590">
        <v>112323</v>
      </c>
      <c r="H4590" s="75">
        <v>43613</v>
      </c>
      <c r="I4590" t="s">
        <v>115</v>
      </c>
      <c r="J4590">
        <v>5000</v>
      </c>
      <c r="K4590">
        <v>172.57400000000001</v>
      </c>
      <c r="L4590">
        <v>28.973099999999999</v>
      </c>
      <c r="M4590">
        <v>15824.800999999999</v>
      </c>
      <c r="N4590" t="s">
        <v>15</v>
      </c>
    </row>
    <row r="4591" spans="1:15" x14ac:dyDescent="0.2">
      <c r="A4591" t="s">
        <v>125</v>
      </c>
      <c r="B4591" t="s">
        <v>146</v>
      </c>
      <c r="C4591" t="s">
        <v>142</v>
      </c>
      <c r="D4591" t="s">
        <v>127</v>
      </c>
      <c r="E4591" t="s">
        <v>53</v>
      </c>
      <c r="F4591" t="s">
        <v>114</v>
      </c>
      <c r="G4591">
        <v>112323</v>
      </c>
      <c r="H4591" s="75">
        <v>43613</v>
      </c>
      <c r="I4591" t="s">
        <v>118</v>
      </c>
      <c r="J4591">
        <v>7912.4</v>
      </c>
      <c r="K4591">
        <v>0</v>
      </c>
      <c r="M4591">
        <v>15824.800999999999</v>
      </c>
      <c r="N4591" t="s">
        <v>19</v>
      </c>
      <c r="O4591">
        <v>7912.4</v>
      </c>
    </row>
    <row r="4592" spans="1:15" x14ac:dyDescent="0.2">
      <c r="A4592" t="s">
        <v>125</v>
      </c>
      <c r="B4592" t="s">
        <v>146</v>
      </c>
      <c r="C4592" t="s">
        <v>142</v>
      </c>
      <c r="D4592" t="s">
        <v>127</v>
      </c>
      <c r="E4592" t="s">
        <v>53</v>
      </c>
      <c r="F4592" t="s">
        <v>114</v>
      </c>
      <c r="G4592">
        <v>112323</v>
      </c>
      <c r="H4592" s="75">
        <v>43643</v>
      </c>
      <c r="I4592" t="s">
        <v>115</v>
      </c>
      <c r="J4592">
        <v>5000</v>
      </c>
      <c r="K4592">
        <v>171.91399999999999</v>
      </c>
      <c r="L4592">
        <v>29.084299999999999</v>
      </c>
      <c r="M4592">
        <v>15996.715</v>
      </c>
      <c r="N4592" t="s">
        <v>15</v>
      </c>
    </row>
    <row r="4593" spans="1:14" x14ac:dyDescent="0.2">
      <c r="A4593" t="s">
        <v>125</v>
      </c>
      <c r="B4593" t="s">
        <v>146</v>
      </c>
      <c r="C4593" t="s">
        <v>142</v>
      </c>
      <c r="D4593" t="s">
        <v>127</v>
      </c>
      <c r="E4593" t="s">
        <v>53</v>
      </c>
      <c r="F4593" t="s">
        <v>114</v>
      </c>
      <c r="G4593">
        <v>112323</v>
      </c>
      <c r="H4593" s="75">
        <v>43643</v>
      </c>
      <c r="I4593" t="s">
        <v>116</v>
      </c>
      <c r="J4593">
        <v>2.5</v>
      </c>
      <c r="K4593">
        <v>0</v>
      </c>
      <c r="M4593">
        <v>15996.715</v>
      </c>
      <c r="N4593" t="s">
        <v>17</v>
      </c>
    </row>
    <row r="4594" spans="1:14" x14ac:dyDescent="0.2">
      <c r="A4594" t="s">
        <v>125</v>
      </c>
      <c r="B4594" t="s">
        <v>146</v>
      </c>
      <c r="C4594" t="s">
        <v>142</v>
      </c>
      <c r="D4594" t="s">
        <v>127</v>
      </c>
      <c r="E4594" t="s">
        <v>53</v>
      </c>
      <c r="F4594" t="s">
        <v>114</v>
      </c>
      <c r="G4594">
        <v>112323</v>
      </c>
      <c r="H4594" s="75">
        <v>43673</v>
      </c>
      <c r="I4594" t="s">
        <v>115</v>
      </c>
      <c r="J4594">
        <v>5000</v>
      </c>
      <c r="K4594">
        <v>168.66</v>
      </c>
      <c r="L4594">
        <v>29.645399999999999</v>
      </c>
      <c r="M4594">
        <v>16165.376</v>
      </c>
      <c r="N4594" t="s">
        <v>15</v>
      </c>
    </row>
    <row r="4595" spans="1:14" x14ac:dyDescent="0.2">
      <c r="A4595" t="s">
        <v>125</v>
      </c>
      <c r="B4595" t="s">
        <v>146</v>
      </c>
      <c r="C4595" t="s">
        <v>142</v>
      </c>
      <c r="D4595" t="s">
        <v>127</v>
      </c>
      <c r="E4595" t="s">
        <v>53</v>
      </c>
      <c r="F4595" t="s">
        <v>114</v>
      </c>
      <c r="G4595">
        <v>112323</v>
      </c>
      <c r="H4595" s="75">
        <v>43703</v>
      </c>
      <c r="I4595" t="s">
        <v>115</v>
      </c>
      <c r="J4595">
        <v>5000</v>
      </c>
      <c r="K4595">
        <v>167.4</v>
      </c>
      <c r="L4595">
        <v>29.868500000000001</v>
      </c>
      <c r="M4595">
        <v>16332.776</v>
      </c>
      <c r="N4595" t="s">
        <v>15</v>
      </c>
    </row>
    <row r="4596" spans="1:14" x14ac:dyDescent="0.2">
      <c r="A4596" t="s">
        <v>125</v>
      </c>
      <c r="B4596" t="s">
        <v>146</v>
      </c>
      <c r="C4596" t="s">
        <v>142</v>
      </c>
      <c r="D4596" t="s">
        <v>127</v>
      </c>
      <c r="E4596" t="s">
        <v>53</v>
      </c>
      <c r="F4596" t="s">
        <v>114</v>
      </c>
      <c r="G4596">
        <v>112323</v>
      </c>
      <c r="H4596" s="75">
        <v>43733</v>
      </c>
      <c r="I4596" t="s">
        <v>115</v>
      </c>
      <c r="J4596">
        <v>5000</v>
      </c>
      <c r="K4596">
        <v>164.84200000000001</v>
      </c>
      <c r="L4596">
        <v>30.332100000000001</v>
      </c>
      <c r="M4596">
        <v>16497.617999999999</v>
      </c>
      <c r="N4596" t="s">
        <v>15</v>
      </c>
    </row>
    <row r="4597" spans="1:14" x14ac:dyDescent="0.2">
      <c r="A4597" t="s">
        <v>125</v>
      </c>
      <c r="B4597" t="s">
        <v>146</v>
      </c>
      <c r="C4597" t="s">
        <v>142</v>
      </c>
      <c r="D4597" t="s">
        <v>127</v>
      </c>
      <c r="E4597" t="s">
        <v>53</v>
      </c>
      <c r="F4597" t="s">
        <v>114</v>
      </c>
      <c r="G4597">
        <v>112323</v>
      </c>
      <c r="H4597" s="75">
        <v>43763</v>
      </c>
      <c r="I4597" t="s">
        <v>115</v>
      </c>
      <c r="J4597">
        <v>5000</v>
      </c>
      <c r="K4597">
        <v>161.68799999999999</v>
      </c>
      <c r="L4597">
        <v>30.9238</v>
      </c>
      <c r="M4597">
        <v>16659.306</v>
      </c>
      <c r="N4597" t="s">
        <v>15</v>
      </c>
    </row>
    <row r="4598" spans="1:14" x14ac:dyDescent="0.2">
      <c r="A4598" t="s">
        <v>125</v>
      </c>
      <c r="B4598" t="s">
        <v>146</v>
      </c>
      <c r="C4598" t="s">
        <v>142</v>
      </c>
      <c r="D4598" t="s">
        <v>127</v>
      </c>
      <c r="E4598" t="s">
        <v>53</v>
      </c>
      <c r="F4598" t="s">
        <v>114</v>
      </c>
      <c r="G4598">
        <v>112323</v>
      </c>
      <c r="H4598" s="75">
        <v>43793</v>
      </c>
      <c r="I4598" t="s">
        <v>115</v>
      </c>
      <c r="J4598">
        <v>5000</v>
      </c>
      <c r="K4598">
        <v>163.791</v>
      </c>
      <c r="L4598">
        <v>30.526700000000002</v>
      </c>
      <c r="M4598">
        <v>16823.097000000002</v>
      </c>
      <c r="N4598" t="s">
        <v>15</v>
      </c>
    </row>
    <row r="4599" spans="1:14" x14ac:dyDescent="0.2">
      <c r="A4599" t="s">
        <v>125</v>
      </c>
      <c r="B4599" t="s">
        <v>146</v>
      </c>
      <c r="C4599" t="s">
        <v>142</v>
      </c>
      <c r="D4599" t="s">
        <v>127</v>
      </c>
      <c r="E4599" t="s">
        <v>53</v>
      </c>
      <c r="F4599" t="s">
        <v>114</v>
      </c>
      <c r="G4599">
        <v>112323</v>
      </c>
      <c r="H4599" s="75">
        <v>43793</v>
      </c>
      <c r="I4599" t="s">
        <v>117</v>
      </c>
      <c r="J4599">
        <v>2.5</v>
      </c>
      <c r="K4599">
        <v>0</v>
      </c>
      <c r="M4599">
        <v>16823.097000000002</v>
      </c>
      <c r="N4599" t="s">
        <v>46</v>
      </c>
    </row>
    <row r="4600" spans="1:14" x14ac:dyDescent="0.2">
      <c r="A4600" t="s">
        <v>125</v>
      </c>
      <c r="B4600" t="s">
        <v>146</v>
      </c>
      <c r="C4600" t="s">
        <v>142</v>
      </c>
      <c r="D4600" t="s">
        <v>127</v>
      </c>
      <c r="E4600" t="s">
        <v>53</v>
      </c>
      <c r="F4600" t="s">
        <v>114</v>
      </c>
      <c r="G4600">
        <v>112323</v>
      </c>
      <c r="H4600" s="75">
        <v>43823</v>
      </c>
      <c r="I4600" t="s">
        <v>115</v>
      </c>
      <c r="J4600">
        <v>5000</v>
      </c>
      <c r="K4600">
        <v>164.42</v>
      </c>
      <c r="L4600">
        <v>30.4099</v>
      </c>
      <c r="M4600">
        <v>16987.517</v>
      </c>
      <c r="N4600" t="s">
        <v>15</v>
      </c>
    </row>
    <row r="4601" spans="1:14" x14ac:dyDescent="0.2">
      <c r="A4601" t="s">
        <v>125</v>
      </c>
      <c r="B4601" t="s">
        <v>146</v>
      </c>
      <c r="C4601" t="s">
        <v>142</v>
      </c>
      <c r="D4601" t="s">
        <v>127</v>
      </c>
      <c r="E4601" t="s">
        <v>53</v>
      </c>
      <c r="F4601" t="s">
        <v>114</v>
      </c>
      <c r="G4601">
        <v>112323</v>
      </c>
      <c r="H4601" s="75">
        <v>43853</v>
      </c>
      <c r="I4601" t="s">
        <v>115</v>
      </c>
      <c r="J4601">
        <v>5000</v>
      </c>
      <c r="K4601">
        <v>161.95500000000001</v>
      </c>
      <c r="L4601">
        <v>30.872800000000002</v>
      </c>
      <c r="M4601">
        <v>17149.472000000002</v>
      </c>
      <c r="N4601" t="s">
        <v>15</v>
      </c>
    </row>
    <row r="4602" spans="1:14" x14ac:dyDescent="0.2">
      <c r="A4602" t="s">
        <v>125</v>
      </c>
      <c r="B4602" t="s">
        <v>146</v>
      </c>
      <c r="C4602" t="s">
        <v>142</v>
      </c>
      <c r="D4602" t="s">
        <v>127</v>
      </c>
      <c r="E4602" t="s">
        <v>53</v>
      </c>
      <c r="F4602" t="s">
        <v>114</v>
      </c>
      <c r="G4602">
        <v>112323</v>
      </c>
      <c r="H4602" s="75">
        <v>43883</v>
      </c>
      <c r="I4602" t="s">
        <v>115</v>
      </c>
      <c r="J4602">
        <v>5000</v>
      </c>
      <c r="K4602">
        <v>164.846</v>
      </c>
      <c r="L4602">
        <v>30.331399999999999</v>
      </c>
      <c r="M4602">
        <v>17314.316999999999</v>
      </c>
      <c r="N4602" t="s">
        <v>15</v>
      </c>
    </row>
    <row r="4603" spans="1:14" x14ac:dyDescent="0.2">
      <c r="A4603" t="s">
        <v>125</v>
      </c>
      <c r="B4603" t="s">
        <v>146</v>
      </c>
      <c r="C4603" t="s">
        <v>142</v>
      </c>
      <c r="D4603" t="s">
        <v>127</v>
      </c>
      <c r="E4603" t="s">
        <v>53</v>
      </c>
      <c r="F4603" t="s">
        <v>114</v>
      </c>
      <c r="G4603">
        <v>112323</v>
      </c>
      <c r="H4603" s="75">
        <v>43913</v>
      </c>
      <c r="I4603" t="s">
        <v>115</v>
      </c>
      <c r="J4603">
        <v>5000</v>
      </c>
      <c r="K4603">
        <v>161.24600000000001</v>
      </c>
      <c r="L4603">
        <v>31.008500000000002</v>
      </c>
      <c r="M4603">
        <v>17475.562999999998</v>
      </c>
      <c r="N4603" t="s">
        <v>15</v>
      </c>
    </row>
    <row r="4604" spans="1:14" x14ac:dyDescent="0.2">
      <c r="A4604" t="s">
        <v>125</v>
      </c>
      <c r="B4604" t="s">
        <v>146</v>
      </c>
      <c r="C4604" t="s">
        <v>142</v>
      </c>
      <c r="D4604" t="s">
        <v>127</v>
      </c>
      <c r="E4604" t="s">
        <v>53</v>
      </c>
      <c r="F4604" t="s">
        <v>114</v>
      </c>
      <c r="G4604">
        <v>112323</v>
      </c>
      <c r="H4604" s="75">
        <v>43943</v>
      </c>
      <c r="I4604" t="s">
        <v>115</v>
      </c>
      <c r="J4604">
        <v>5000</v>
      </c>
      <c r="K4604">
        <v>156.98099999999999</v>
      </c>
      <c r="L4604">
        <v>31.850899999999999</v>
      </c>
      <c r="M4604">
        <v>17632.544999999998</v>
      </c>
      <c r="N4604" t="s">
        <v>15</v>
      </c>
    </row>
    <row r="4605" spans="1:14" x14ac:dyDescent="0.2">
      <c r="A4605" t="s">
        <v>125</v>
      </c>
      <c r="B4605" t="s">
        <v>146</v>
      </c>
      <c r="C4605" t="s">
        <v>142</v>
      </c>
      <c r="D4605" t="s">
        <v>127</v>
      </c>
      <c r="E4605" t="s">
        <v>53</v>
      </c>
      <c r="F4605" t="s">
        <v>114</v>
      </c>
      <c r="G4605">
        <v>112323</v>
      </c>
      <c r="H4605" s="75">
        <v>43973</v>
      </c>
      <c r="I4605" t="s">
        <v>115</v>
      </c>
      <c r="J4605">
        <v>5000</v>
      </c>
      <c r="K4605">
        <v>158.38800000000001</v>
      </c>
      <c r="L4605">
        <v>31.568000000000001</v>
      </c>
      <c r="M4605">
        <v>17790.933000000001</v>
      </c>
      <c r="N4605" t="s">
        <v>15</v>
      </c>
    </row>
    <row r="4606" spans="1:14" x14ac:dyDescent="0.2">
      <c r="A4606" t="s">
        <v>125</v>
      </c>
      <c r="B4606" t="s">
        <v>146</v>
      </c>
      <c r="C4606" t="s">
        <v>142</v>
      </c>
      <c r="D4606" t="s">
        <v>127</v>
      </c>
      <c r="E4606" t="s">
        <v>53</v>
      </c>
      <c r="F4606" t="s">
        <v>114</v>
      </c>
      <c r="G4606">
        <v>112323</v>
      </c>
      <c r="H4606" s="75">
        <v>44003</v>
      </c>
      <c r="I4606" t="s">
        <v>115</v>
      </c>
      <c r="J4606">
        <v>5000</v>
      </c>
      <c r="K4606">
        <v>155.608</v>
      </c>
      <c r="L4606">
        <v>32.131999999999998</v>
      </c>
      <c r="M4606">
        <v>17946.541000000001</v>
      </c>
      <c r="N4606" t="s">
        <v>15</v>
      </c>
    </row>
    <row r="4607" spans="1:14" x14ac:dyDescent="0.2">
      <c r="A4607" t="s">
        <v>125</v>
      </c>
      <c r="B4607" t="s">
        <v>146</v>
      </c>
      <c r="C4607" t="s">
        <v>142</v>
      </c>
      <c r="D4607" t="s">
        <v>127</v>
      </c>
      <c r="E4607" t="s">
        <v>53</v>
      </c>
      <c r="F4607" t="s">
        <v>114</v>
      </c>
      <c r="G4607">
        <v>112323</v>
      </c>
      <c r="H4607" s="75">
        <v>44003</v>
      </c>
      <c r="I4607" t="s">
        <v>117</v>
      </c>
      <c r="J4607">
        <v>2.5</v>
      </c>
      <c r="K4607">
        <v>0</v>
      </c>
      <c r="M4607">
        <v>17946.541000000001</v>
      </c>
      <c r="N4607" t="s">
        <v>46</v>
      </c>
    </row>
    <row r="4608" spans="1:14" x14ac:dyDescent="0.2">
      <c r="A4608" t="s">
        <v>125</v>
      </c>
      <c r="B4608" t="s">
        <v>146</v>
      </c>
      <c r="C4608" t="s">
        <v>142</v>
      </c>
      <c r="D4608" t="s">
        <v>127</v>
      </c>
      <c r="E4608" t="s">
        <v>53</v>
      </c>
      <c r="F4608" t="s">
        <v>114</v>
      </c>
      <c r="G4608">
        <v>112323</v>
      </c>
      <c r="H4608" s="75">
        <v>44033</v>
      </c>
      <c r="I4608" t="s">
        <v>115</v>
      </c>
      <c r="J4608">
        <v>5000</v>
      </c>
      <c r="K4608">
        <v>158.05000000000001</v>
      </c>
      <c r="L4608">
        <v>31.6356</v>
      </c>
      <c r="M4608">
        <v>18104.591</v>
      </c>
      <c r="N4608" t="s">
        <v>15</v>
      </c>
    </row>
    <row r="4609" spans="1:14" x14ac:dyDescent="0.2">
      <c r="A4609" t="s">
        <v>125</v>
      </c>
      <c r="B4609" t="s">
        <v>146</v>
      </c>
      <c r="C4609" t="s">
        <v>142</v>
      </c>
      <c r="D4609" t="s">
        <v>127</v>
      </c>
      <c r="E4609" t="s">
        <v>53</v>
      </c>
      <c r="F4609" t="s">
        <v>114</v>
      </c>
      <c r="G4609">
        <v>112323</v>
      </c>
      <c r="H4609" s="75">
        <v>44063</v>
      </c>
      <c r="I4609" t="s">
        <v>115</v>
      </c>
      <c r="J4609">
        <v>5000</v>
      </c>
      <c r="K4609">
        <v>153.505</v>
      </c>
      <c r="L4609">
        <v>32.572299999999998</v>
      </c>
      <c r="M4609">
        <v>18258.096000000001</v>
      </c>
      <c r="N4609" t="s">
        <v>15</v>
      </c>
    </row>
    <row r="4610" spans="1:14" x14ac:dyDescent="0.2">
      <c r="A4610" t="s">
        <v>125</v>
      </c>
      <c r="B4610" t="s">
        <v>146</v>
      </c>
      <c r="C4610" t="s">
        <v>142</v>
      </c>
      <c r="D4610" t="s">
        <v>127</v>
      </c>
      <c r="E4610" t="s">
        <v>53</v>
      </c>
      <c r="F4610" t="s">
        <v>114</v>
      </c>
      <c r="G4610">
        <v>112323</v>
      </c>
      <c r="H4610" s="75">
        <v>44093</v>
      </c>
      <c r="I4610" t="s">
        <v>115</v>
      </c>
      <c r="J4610">
        <v>5000</v>
      </c>
      <c r="K4610">
        <v>154.20699999999999</v>
      </c>
      <c r="L4610">
        <v>32.423900000000003</v>
      </c>
      <c r="M4610">
        <v>18412.303</v>
      </c>
      <c r="N4610" t="s">
        <v>15</v>
      </c>
    </row>
    <row r="4611" spans="1:14" x14ac:dyDescent="0.2">
      <c r="A4611" t="s">
        <v>125</v>
      </c>
      <c r="B4611" t="s">
        <v>146</v>
      </c>
      <c r="C4611" t="s">
        <v>142</v>
      </c>
      <c r="D4611" t="s">
        <v>127</v>
      </c>
      <c r="E4611" t="s">
        <v>53</v>
      </c>
      <c r="F4611" t="s">
        <v>114</v>
      </c>
      <c r="G4611">
        <v>112323</v>
      </c>
      <c r="H4611" s="75">
        <v>44093</v>
      </c>
      <c r="I4611" t="s">
        <v>117</v>
      </c>
      <c r="J4611">
        <v>2.5</v>
      </c>
      <c r="K4611">
        <v>0</v>
      </c>
      <c r="M4611">
        <v>18412.303</v>
      </c>
      <c r="N4611" t="s">
        <v>46</v>
      </c>
    </row>
    <row r="4612" spans="1:14" x14ac:dyDescent="0.2">
      <c r="A4612" t="s">
        <v>125</v>
      </c>
      <c r="B4612" t="s">
        <v>146</v>
      </c>
      <c r="C4612" t="s">
        <v>142</v>
      </c>
      <c r="D4612" t="s">
        <v>127</v>
      </c>
      <c r="E4612" t="s">
        <v>53</v>
      </c>
      <c r="F4612" t="s">
        <v>114</v>
      </c>
      <c r="G4612">
        <v>112323</v>
      </c>
      <c r="H4612" s="75">
        <v>44123</v>
      </c>
      <c r="I4612" t="s">
        <v>115</v>
      </c>
      <c r="J4612">
        <v>5000</v>
      </c>
      <c r="K4612">
        <v>152.02199999999999</v>
      </c>
      <c r="L4612">
        <v>32.890099999999997</v>
      </c>
      <c r="M4612">
        <v>18564.324000000001</v>
      </c>
      <c r="N4612" t="s">
        <v>15</v>
      </c>
    </row>
    <row r="4613" spans="1:14" x14ac:dyDescent="0.2">
      <c r="A4613" t="s">
        <v>125</v>
      </c>
      <c r="B4613" t="s">
        <v>146</v>
      </c>
      <c r="C4613" t="s">
        <v>142</v>
      </c>
      <c r="D4613" t="s">
        <v>127</v>
      </c>
      <c r="E4613" t="s">
        <v>53</v>
      </c>
      <c r="F4613" t="s">
        <v>114</v>
      </c>
      <c r="G4613">
        <v>112323</v>
      </c>
      <c r="H4613" s="75">
        <v>44153</v>
      </c>
      <c r="I4613" t="s">
        <v>115</v>
      </c>
      <c r="J4613">
        <v>5000</v>
      </c>
      <c r="K4613">
        <v>153.988</v>
      </c>
      <c r="L4613">
        <v>32.47</v>
      </c>
      <c r="M4613">
        <v>18718.312999999998</v>
      </c>
      <c r="N4613" t="s">
        <v>15</v>
      </c>
    </row>
    <row r="4614" spans="1:14" x14ac:dyDescent="0.2">
      <c r="A4614" t="s">
        <v>125</v>
      </c>
      <c r="B4614" t="s">
        <v>146</v>
      </c>
      <c r="C4614" t="s">
        <v>142</v>
      </c>
      <c r="D4614" t="s">
        <v>127</v>
      </c>
      <c r="E4614" t="s">
        <v>53</v>
      </c>
      <c r="F4614" t="s">
        <v>114</v>
      </c>
      <c r="G4614">
        <v>112323</v>
      </c>
      <c r="H4614" s="75">
        <v>44183</v>
      </c>
      <c r="I4614" t="s">
        <v>115</v>
      </c>
      <c r="J4614">
        <v>5000</v>
      </c>
      <c r="K4614">
        <v>156.01300000000001</v>
      </c>
      <c r="L4614">
        <v>32.0486</v>
      </c>
      <c r="M4614">
        <v>18874.326000000001</v>
      </c>
      <c r="N4614" t="s">
        <v>15</v>
      </c>
    </row>
    <row r="4615" spans="1:14" x14ac:dyDescent="0.2">
      <c r="A4615" t="s">
        <v>125</v>
      </c>
      <c r="B4615" t="s">
        <v>146</v>
      </c>
      <c r="C4615" t="s">
        <v>142</v>
      </c>
      <c r="D4615" t="s">
        <v>127</v>
      </c>
      <c r="E4615" t="s">
        <v>53</v>
      </c>
      <c r="F4615" t="s">
        <v>114</v>
      </c>
      <c r="G4615">
        <v>112323</v>
      </c>
      <c r="H4615" s="75">
        <v>44213</v>
      </c>
      <c r="I4615" t="s">
        <v>115</v>
      </c>
      <c r="J4615">
        <v>5000</v>
      </c>
      <c r="K4615">
        <v>158.40799999999999</v>
      </c>
      <c r="L4615">
        <v>31.5641</v>
      </c>
      <c r="M4615">
        <v>19032.733</v>
      </c>
      <c r="N4615" t="s">
        <v>15</v>
      </c>
    </row>
    <row r="4616" spans="1:14" x14ac:dyDescent="0.2">
      <c r="A4616" t="s">
        <v>125</v>
      </c>
      <c r="B4616" t="s">
        <v>146</v>
      </c>
      <c r="C4616" t="s">
        <v>142</v>
      </c>
      <c r="D4616" t="s">
        <v>127</v>
      </c>
      <c r="E4616" t="s">
        <v>53</v>
      </c>
      <c r="F4616" t="s">
        <v>114</v>
      </c>
      <c r="G4616">
        <v>112323</v>
      </c>
      <c r="H4616" s="75">
        <v>44243</v>
      </c>
      <c r="I4616" t="s">
        <v>115</v>
      </c>
      <c r="J4616">
        <v>5000</v>
      </c>
      <c r="K4616">
        <v>158.048</v>
      </c>
      <c r="L4616">
        <v>31.635999999999999</v>
      </c>
      <c r="M4616">
        <v>19190.780999999999</v>
      </c>
      <c r="N4616" t="s">
        <v>15</v>
      </c>
    </row>
    <row r="4617" spans="1:14" x14ac:dyDescent="0.2">
      <c r="A4617" t="s">
        <v>125</v>
      </c>
      <c r="B4617" t="s">
        <v>146</v>
      </c>
      <c r="C4617" t="s">
        <v>142</v>
      </c>
      <c r="D4617" t="s">
        <v>127</v>
      </c>
      <c r="E4617" t="s">
        <v>53</v>
      </c>
      <c r="F4617" t="s">
        <v>114</v>
      </c>
      <c r="G4617">
        <v>112323</v>
      </c>
      <c r="H4617" s="75">
        <v>44243</v>
      </c>
      <c r="I4617" t="s">
        <v>117</v>
      </c>
      <c r="J4617">
        <v>2.5</v>
      </c>
      <c r="K4617">
        <v>0</v>
      </c>
      <c r="M4617">
        <v>19190.780999999999</v>
      </c>
      <c r="N4617" t="s">
        <v>46</v>
      </c>
    </row>
    <row r="4618" spans="1:14" x14ac:dyDescent="0.2">
      <c r="A4618" t="s">
        <v>125</v>
      </c>
      <c r="B4618" t="s">
        <v>146</v>
      </c>
      <c r="C4618" t="s">
        <v>142</v>
      </c>
      <c r="D4618" t="s">
        <v>127</v>
      </c>
      <c r="E4618" t="s">
        <v>53</v>
      </c>
      <c r="F4618" t="s">
        <v>114</v>
      </c>
      <c r="G4618">
        <v>112323</v>
      </c>
      <c r="H4618" s="75">
        <v>44273</v>
      </c>
      <c r="I4618" t="s">
        <v>115</v>
      </c>
      <c r="J4618">
        <v>5000</v>
      </c>
      <c r="K4618">
        <v>157.154</v>
      </c>
      <c r="L4618">
        <v>31.815899999999999</v>
      </c>
      <c r="M4618">
        <v>19347.935000000001</v>
      </c>
      <c r="N4618" t="s">
        <v>15</v>
      </c>
    </row>
    <row r="4619" spans="1:14" x14ac:dyDescent="0.2">
      <c r="A4619" t="s">
        <v>125</v>
      </c>
      <c r="B4619" t="s">
        <v>146</v>
      </c>
      <c r="C4619" t="s">
        <v>142</v>
      </c>
      <c r="D4619" t="s">
        <v>127</v>
      </c>
      <c r="E4619" t="s">
        <v>53</v>
      </c>
      <c r="F4619" t="s">
        <v>114</v>
      </c>
      <c r="G4619">
        <v>112323</v>
      </c>
      <c r="H4619" s="75">
        <v>44273</v>
      </c>
      <c r="I4619" t="s">
        <v>25</v>
      </c>
      <c r="J4619">
        <v>-123114.43</v>
      </c>
      <c r="K4619">
        <v>-3869.587</v>
      </c>
      <c r="L4619">
        <v>31.815899999999999</v>
      </c>
      <c r="M4619">
        <v>15478.348</v>
      </c>
      <c r="N4619" t="s">
        <v>16</v>
      </c>
    </row>
    <row r="4620" spans="1:14" x14ac:dyDescent="0.2">
      <c r="A4620" t="s">
        <v>125</v>
      </c>
      <c r="B4620" t="s">
        <v>146</v>
      </c>
      <c r="C4620" t="s">
        <v>142</v>
      </c>
      <c r="D4620" t="s">
        <v>127</v>
      </c>
      <c r="E4620" t="s">
        <v>53</v>
      </c>
      <c r="F4620" t="s">
        <v>114</v>
      </c>
      <c r="G4620">
        <v>112323</v>
      </c>
      <c r="H4620" s="75">
        <v>44303</v>
      </c>
      <c r="I4620" t="s">
        <v>115</v>
      </c>
      <c r="J4620">
        <v>5000</v>
      </c>
      <c r="K4620">
        <v>157.91</v>
      </c>
      <c r="L4620">
        <v>31.663599999999999</v>
      </c>
      <c r="M4620">
        <v>15636.258</v>
      </c>
      <c r="N4620" t="s">
        <v>15</v>
      </c>
    </row>
    <row r="4621" spans="1:14" x14ac:dyDescent="0.2">
      <c r="A4621" t="s">
        <v>125</v>
      </c>
      <c r="B4621" t="s">
        <v>146</v>
      </c>
      <c r="C4621" t="s">
        <v>142</v>
      </c>
      <c r="D4621" t="s">
        <v>127</v>
      </c>
      <c r="E4621" t="s">
        <v>53</v>
      </c>
      <c r="F4621" t="s">
        <v>114</v>
      </c>
      <c r="G4621">
        <v>112323</v>
      </c>
      <c r="H4621" s="75">
        <v>44333</v>
      </c>
      <c r="I4621" t="s">
        <v>115</v>
      </c>
      <c r="J4621">
        <v>5000</v>
      </c>
      <c r="K4621">
        <v>161.053</v>
      </c>
      <c r="L4621">
        <v>31.0458</v>
      </c>
      <c r="M4621">
        <v>15797.311</v>
      </c>
      <c r="N4621" t="s">
        <v>15</v>
      </c>
    </row>
    <row r="4622" spans="1:14" x14ac:dyDescent="0.2">
      <c r="A4622" t="s">
        <v>125</v>
      </c>
      <c r="B4622" t="s">
        <v>146</v>
      </c>
      <c r="C4622" t="s">
        <v>142</v>
      </c>
      <c r="D4622" t="s">
        <v>127</v>
      </c>
      <c r="E4622" t="s">
        <v>53</v>
      </c>
      <c r="F4622" t="s">
        <v>114</v>
      </c>
      <c r="G4622">
        <v>112323</v>
      </c>
      <c r="H4622" s="75">
        <v>44333</v>
      </c>
      <c r="I4622" t="s">
        <v>117</v>
      </c>
      <c r="J4622">
        <v>2.5</v>
      </c>
      <c r="K4622">
        <v>0</v>
      </c>
      <c r="M4622">
        <v>15797.311</v>
      </c>
      <c r="N4622" t="s">
        <v>46</v>
      </c>
    </row>
    <row r="4623" spans="1:14" x14ac:dyDescent="0.2">
      <c r="A4623" t="s">
        <v>125</v>
      </c>
      <c r="B4623" t="s">
        <v>146</v>
      </c>
      <c r="C4623" t="s">
        <v>142</v>
      </c>
      <c r="D4623" t="s">
        <v>127</v>
      </c>
      <c r="E4623" t="s">
        <v>53</v>
      </c>
      <c r="F4623" t="s">
        <v>114</v>
      </c>
      <c r="G4623">
        <v>112323</v>
      </c>
      <c r="H4623" s="75">
        <v>44363</v>
      </c>
      <c r="I4623" t="s">
        <v>115</v>
      </c>
      <c r="J4623">
        <v>5000</v>
      </c>
      <c r="K4623">
        <v>157.417</v>
      </c>
      <c r="L4623">
        <v>31.762699999999999</v>
      </c>
      <c r="M4623">
        <v>15954.727999999999</v>
      </c>
      <c r="N4623" t="s">
        <v>15</v>
      </c>
    </row>
    <row r="4624" spans="1:14" x14ac:dyDescent="0.2">
      <c r="A4624" t="s">
        <v>125</v>
      </c>
      <c r="B4624" t="s">
        <v>146</v>
      </c>
      <c r="C4624" t="s">
        <v>142</v>
      </c>
      <c r="D4624" t="s">
        <v>127</v>
      </c>
      <c r="E4624" t="s">
        <v>53</v>
      </c>
      <c r="F4624" t="s">
        <v>114</v>
      </c>
      <c r="G4624">
        <v>112323</v>
      </c>
      <c r="H4624" s="75">
        <v>44393</v>
      </c>
      <c r="I4624" t="s">
        <v>115</v>
      </c>
      <c r="J4624">
        <v>5000</v>
      </c>
      <c r="K4624">
        <v>158.20099999999999</v>
      </c>
      <c r="L4624">
        <v>31.605399999999999</v>
      </c>
      <c r="M4624">
        <v>16112.929</v>
      </c>
      <c r="N4624" t="s">
        <v>15</v>
      </c>
    </row>
    <row r="4625" spans="1:15" x14ac:dyDescent="0.2">
      <c r="A4625" t="s">
        <v>125</v>
      </c>
      <c r="B4625" t="s">
        <v>146</v>
      </c>
      <c r="C4625" t="s">
        <v>142</v>
      </c>
      <c r="D4625" t="s">
        <v>127</v>
      </c>
      <c r="E4625" t="s">
        <v>53</v>
      </c>
      <c r="F4625" t="s">
        <v>114</v>
      </c>
      <c r="G4625">
        <v>112323</v>
      </c>
      <c r="H4625" s="75">
        <v>44423</v>
      </c>
      <c r="I4625" t="s">
        <v>115</v>
      </c>
      <c r="J4625">
        <v>5000</v>
      </c>
      <c r="K4625">
        <v>153.726</v>
      </c>
      <c r="L4625">
        <v>32.525500000000001</v>
      </c>
      <c r="M4625">
        <v>16266.654</v>
      </c>
      <c r="N4625" t="s">
        <v>15</v>
      </c>
    </row>
    <row r="4626" spans="1:15" x14ac:dyDescent="0.2">
      <c r="A4626" t="s">
        <v>125</v>
      </c>
      <c r="B4626" t="s">
        <v>146</v>
      </c>
      <c r="C4626" t="s">
        <v>142</v>
      </c>
      <c r="D4626" t="s">
        <v>127</v>
      </c>
      <c r="E4626" t="s">
        <v>53</v>
      </c>
      <c r="F4626" t="s">
        <v>114</v>
      </c>
      <c r="G4626">
        <v>112323</v>
      </c>
      <c r="H4626" s="75">
        <v>44453</v>
      </c>
      <c r="I4626" t="s">
        <v>115</v>
      </c>
      <c r="J4626">
        <v>5000</v>
      </c>
      <c r="K4626">
        <v>156.10400000000001</v>
      </c>
      <c r="L4626">
        <v>32.029899999999998</v>
      </c>
      <c r="M4626">
        <v>16422.758999999998</v>
      </c>
      <c r="N4626" t="s">
        <v>15</v>
      </c>
    </row>
    <row r="4627" spans="1:15" x14ac:dyDescent="0.2">
      <c r="A4627" t="s">
        <v>125</v>
      </c>
      <c r="B4627" t="s">
        <v>146</v>
      </c>
      <c r="C4627" t="s">
        <v>142</v>
      </c>
      <c r="D4627" t="s">
        <v>127</v>
      </c>
      <c r="E4627" t="s">
        <v>53</v>
      </c>
      <c r="F4627" t="s">
        <v>114</v>
      </c>
      <c r="G4627">
        <v>112323</v>
      </c>
      <c r="H4627" s="75">
        <v>44483</v>
      </c>
      <c r="I4627" t="s">
        <v>115</v>
      </c>
      <c r="J4627">
        <v>5000</v>
      </c>
      <c r="K4627">
        <v>154.166</v>
      </c>
      <c r="L4627">
        <v>32.432600000000001</v>
      </c>
      <c r="M4627">
        <v>16576.924999999999</v>
      </c>
      <c r="N4627" t="s">
        <v>15</v>
      </c>
    </row>
    <row r="4628" spans="1:15" x14ac:dyDescent="0.2">
      <c r="A4628" t="s">
        <v>125</v>
      </c>
      <c r="B4628" t="s">
        <v>146</v>
      </c>
      <c r="C4628" t="s">
        <v>142</v>
      </c>
      <c r="D4628" t="s">
        <v>127</v>
      </c>
      <c r="E4628" t="s">
        <v>53</v>
      </c>
      <c r="F4628" t="s">
        <v>114</v>
      </c>
      <c r="G4628">
        <v>112323</v>
      </c>
      <c r="H4628" s="75">
        <v>44513</v>
      </c>
      <c r="I4628" t="s">
        <v>115</v>
      </c>
      <c r="J4628">
        <v>5000</v>
      </c>
      <c r="K4628">
        <v>150.61799999999999</v>
      </c>
      <c r="L4628">
        <v>33.1965</v>
      </c>
      <c r="M4628">
        <v>16727.543000000001</v>
      </c>
      <c r="N4628" t="s">
        <v>15</v>
      </c>
    </row>
    <row r="4629" spans="1:15" x14ac:dyDescent="0.2">
      <c r="A4629" t="s">
        <v>125</v>
      </c>
      <c r="B4629" t="s">
        <v>146</v>
      </c>
      <c r="C4629" t="s">
        <v>142</v>
      </c>
      <c r="D4629" t="s">
        <v>127</v>
      </c>
      <c r="E4629" t="s">
        <v>53</v>
      </c>
      <c r="F4629" t="s">
        <v>114</v>
      </c>
      <c r="G4629">
        <v>112323</v>
      </c>
      <c r="H4629" s="75">
        <v>44513</v>
      </c>
      <c r="I4629" t="s">
        <v>118</v>
      </c>
      <c r="J4629">
        <v>8363.77</v>
      </c>
      <c r="K4629">
        <v>0</v>
      </c>
      <c r="M4629">
        <v>16727.543000000001</v>
      </c>
      <c r="N4629" t="s">
        <v>19</v>
      </c>
      <c r="O4629">
        <v>8363.77</v>
      </c>
    </row>
    <row r="4630" spans="1:15" x14ac:dyDescent="0.2">
      <c r="A4630" t="s">
        <v>125</v>
      </c>
      <c r="B4630" t="s">
        <v>146</v>
      </c>
      <c r="C4630" t="s">
        <v>142</v>
      </c>
      <c r="D4630" t="s">
        <v>127</v>
      </c>
      <c r="E4630" t="s">
        <v>53</v>
      </c>
      <c r="F4630" t="s">
        <v>114</v>
      </c>
      <c r="G4630">
        <v>112323</v>
      </c>
      <c r="H4630" s="75">
        <v>44543</v>
      </c>
      <c r="I4630" t="s">
        <v>115</v>
      </c>
      <c r="J4630">
        <v>5000</v>
      </c>
      <c r="K4630">
        <v>147.279</v>
      </c>
      <c r="L4630">
        <v>33.949300000000001</v>
      </c>
      <c r="M4630">
        <v>16874.822</v>
      </c>
      <c r="N4630" t="s">
        <v>15</v>
      </c>
    </row>
    <row r="4631" spans="1:15" x14ac:dyDescent="0.2">
      <c r="A4631" t="s">
        <v>125</v>
      </c>
      <c r="B4631" t="s">
        <v>146</v>
      </c>
      <c r="C4631" t="s">
        <v>142</v>
      </c>
      <c r="D4631" t="s">
        <v>127</v>
      </c>
      <c r="E4631" t="s">
        <v>53</v>
      </c>
      <c r="F4631" t="s">
        <v>114</v>
      </c>
      <c r="G4631">
        <v>112323</v>
      </c>
      <c r="H4631" s="75">
        <v>44573</v>
      </c>
      <c r="I4631" t="s">
        <v>128</v>
      </c>
      <c r="J4631">
        <v>-572887.57999999996</v>
      </c>
      <c r="K4631">
        <v>-16874.822</v>
      </c>
      <c r="L4631">
        <v>33.949300000000001</v>
      </c>
      <c r="M4631">
        <v>0</v>
      </c>
      <c r="N4631" t="s">
        <v>16</v>
      </c>
    </row>
    <row r="4632" spans="1:15" x14ac:dyDescent="0.2">
      <c r="H4632" s="1"/>
    </row>
    <row r="4633" spans="1:15" x14ac:dyDescent="0.2">
      <c r="H4633" s="1"/>
    </row>
    <row r="4634" spans="1:15" x14ac:dyDescent="0.2">
      <c r="H4634" s="1"/>
    </row>
    <row r="4635" spans="1:15" x14ac:dyDescent="0.2">
      <c r="H4635" s="1"/>
    </row>
    <row r="4636" spans="1:15" x14ac:dyDescent="0.2">
      <c r="H4636" s="1"/>
    </row>
    <row r="4637" spans="1:15" x14ac:dyDescent="0.2">
      <c r="H4637" s="1"/>
    </row>
    <row r="4638" spans="1:15" x14ac:dyDescent="0.2">
      <c r="H4638" s="1"/>
    </row>
    <row r="4639" spans="1:15" x14ac:dyDescent="0.2">
      <c r="H4639" s="1"/>
    </row>
    <row r="4640" spans="1:15" x14ac:dyDescent="0.2">
      <c r="H4640" s="1"/>
    </row>
    <row r="4641" spans="8:8" x14ac:dyDescent="0.2">
      <c r="H4641" s="1"/>
    </row>
    <row r="4642" spans="8:8" x14ac:dyDescent="0.2">
      <c r="H4642" s="1"/>
    </row>
    <row r="4643" spans="8:8" x14ac:dyDescent="0.2">
      <c r="H4643" s="1"/>
    </row>
    <row r="4644" spans="8:8" x14ac:dyDescent="0.2">
      <c r="H4644" s="1"/>
    </row>
    <row r="4645" spans="8:8" x14ac:dyDescent="0.2">
      <c r="H4645" s="1"/>
    </row>
    <row r="4646" spans="8:8" x14ac:dyDescent="0.2">
      <c r="H4646" s="1"/>
    </row>
    <row r="4647" spans="8:8" x14ac:dyDescent="0.2">
      <c r="H4647" s="1"/>
    </row>
    <row r="4648" spans="8:8" x14ac:dyDescent="0.2">
      <c r="H4648" s="1"/>
    </row>
    <row r="4649" spans="8:8" x14ac:dyDescent="0.2">
      <c r="H4649" s="1"/>
    </row>
    <row r="4650" spans="8:8" x14ac:dyDescent="0.2">
      <c r="H4650" s="1"/>
    </row>
    <row r="4651" spans="8:8" x14ac:dyDescent="0.2">
      <c r="H4651" s="1"/>
    </row>
    <row r="4652" spans="8:8" x14ac:dyDescent="0.2">
      <c r="H4652" s="1"/>
    </row>
    <row r="4653" spans="8:8" x14ac:dyDescent="0.2">
      <c r="H4653" s="1"/>
    </row>
    <row r="4654" spans="8:8" x14ac:dyDescent="0.2">
      <c r="H4654" s="1"/>
    </row>
    <row r="4655" spans="8:8" x14ac:dyDescent="0.2">
      <c r="H4655" s="1"/>
    </row>
    <row r="4656" spans="8:8" x14ac:dyDescent="0.2">
      <c r="H4656" s="1"/>
    </row>
    <row r="4657" spans="8:8" x14ac:dyDescent="0.2">
      <c r="H4657" s="1"/>
    </row>
    <row r="4658" spans="8:8" x14ac:dyDescent="0.2">
      <c r="H4658" s="1"/>
    </row>
    <row r="4659" spans="8:8" x14ac:dyDescent="0.2">
      <c r="H4659" s="1"/>
    </row>
    <row r="4660" spans="8:8" x14ac:dyDescent="0.2">
      <c r="H4660" s="1"/>
    </row>
    <row r="4661" spans="8:8" x14ac:dyDescent="0.2">
      <c r="H4661" s="1"/>
    </row>
    <row r="4662" spans="8:8" x14ac:dyDescent="0.2">
      <c r="H4662" s="1"/>
    </row>
    <row r="4663" spans="8:8" x14ac:dyDescent="0.2">
      <c r="H4663" s="1"/>
    </row>
    <row r="4664" spans="8:8" x14ac:dyDescent="0.2">
      <c r="H4664" s="1"/>
    </row>
    <row r="4665" spans="8:8" x14ac:dyDescent="0.2">
      <c r="H4665" s="1"/>
    </row>
    <row r="4666" spans="8:8" x14ac:dyDescent="0.2">
      <c r="H4666" s="1"/>
    </row>
    <row r="4667" spans="8:8" x14ac:dyDescent="0.2">
      <c r="H4667" s="1"/>
    </row>
    <row r="4668" spans="8:8" x14ac:dyDescent="0.2">
      <c r="H4668" s="1"/>
    </row>
    <row r="4669" spans="8:8" x14ac:dyDescent="0.2">
      <c r="H4669" s="1"/>
    </row>
    <row r="4670" spans="8:8" x14ac:dyDescent="0.2">
      <c r="H4670" s="1"/>
    </row>
    <row r="4671" spans="8:8" x14ac:dyDescent="0.2">
      <c r="H4671" s="1"/>
    </row>
    <row r="4672" spans="8:8" x14ac:dyDescent="0.2">
      <c r="H4672" s="1"/>
    </row>
    <row r="4673" spans="8:8" x14ac:dyDescent="0.2">
      <c r="H4673" s="1"/>
    </row>
    <row r="4674" spans="8:8" x14ac:dyDescent="0.2">
      <c r="H4674" s="1"/>
    </row>
    <row r="4675" spans="8:8" x14ac:dyDescent="0.2">
      <c r="H4675" s="1"/>
    </row>
    <row r="4676" spans="8:8" x14ac:dyDescent="0.2">
      <c r="H4676" s="1"/>
    </row>
    <row r="4677" spans="8:8" x14ac:dyDescent="0.2">
      <c r="H4677" s="1"/>
    </row>
    <row r="4678" spans="8:8" x14ac:dyDescent="0.2">
      <c r="H4678" s="1"/>
    </row>
    <row r="4679" spans="8:8" x14ac:dyDescent="0.2">
      <c r="H4679" s="1"/>
    </row>
    <row r="4680" spans="8:8" x14ac:dyDescent="0.2">
      <c r="H4680" s="1"/>
    </row>
    <row r="4681" spans="8:8" x14ac:dyDescent="0.2">
      <c r="H4681" s="1"/>
    </row>
    <row r="4682" spans="8:8" x14ac:dyDescent="0.2">
      <c r="H4682" s="1"/>
    </row>
    <row r="4683" spans="8:8" x14ac:dyDescent="0.2">
      <c r="H4683" s="1"/>
    </row>
    <row r="4684" spans="8:8" x14ac:dyDescent="0.2">
      <c r="H4684" s="1"/>
    </row>
    <row r="4685" spans="8:8" x14ac:dyDescent="0.2">
      <c r="H4685" s="1"/>
    </row>
    <row r="4686" spans="8:8" x14ac:dyDescent="0.2">
      <c r="H4686" s="1"/>
    </row>
    <row r="4687" spans="8:8" x14ac:dyDescent="0.2">
      <c r="H4687" s="1"/>
    </row>
    <row r="4688" spans="8:8" x14ac:dyDescent="0.2">
      <c r="H4688" s="1"/>
    </row>
    <row r="4689" spans="8:8" x14ac:dyDescent="0.2">
      <c r="H4689" s="1"/>
    </row>
    <row r="4690" spans="8:8" x14ac:dyDescent="0.2">
      <c r="H4690" s="1"/>
    </row>
    <row r="4691" spans="8:8" x14ac:dyDescent="0.2">
      <c r="H4691" s="1"/>
    </row>
    <row r="4692" spans="8:8" x14ac:dyDescent="0.2">
      <c r="H4692" s="1"/>
    </row>
    <row r="4693" spans="8:8" x14ac:dyDescent="0.2">
      <c r="H4693" s="1"/>
    </row>
    <row r="4694" spans="8:8" x14ac:dyDescent="0.2">
      <c r="H4694" s="1"/>
    </row>
    <row r="4695" spans="8:8" x14ac:dyDescent="0.2">
      <c r="H4695" s="1"/>
    </row>
    <row r="4696" spans="8:8" x14ac:dyDescent="0.2">
      <c r="H4696" s="1"/>
    </row>
    <row r="4697" spans="8:8" x14ac:dyDescent="0.2">
      <c r="H4697" s="1"/>
    </row>
    <row r="4698" spans="8:8" x14ac:dyDescent="0.2">
      <c r="H4698" s="1"/>
    </row>
    <row r="4699" spans="8:8" x14ac:dyDescent="0.2">
      <c r="H4699" s="1"/>
    </row>
    <row r="4700" spans="8:8" x14ac:dyDescent="0.2">
      <c r="H4700" s="1"/>
    </row>
    <row r="4701" spans="8:8" x14ac:dyDescent="0.2">
      <c r="H4701" s="1"/>
    </row>
    <row r="4702" spans="8:8" x14ac:dyDescent="0.2">
      <c r="H4702" s="1"/>
    </row>
    <row r="4703" spans="8:8" x14ac:dyDescent="0.2">
      <c r="H4703" s="1"/>
    </row>
    <row r="4704" spans="8:8" x14ac:dyDescent="0.2">
      <c r="H4704" s="1"/>
    </row>
    <row r="4705" spans="8:8" x14ac:dyDescent="0.2">
      <c r="H4705" s="1"/>
    </row>
    <row r="4706" spans="8:8" x14ac:dyDescent="0.2">
      <c r="H4706" s="1"/>
    </row>
    <row r="4707" spans="8:8" x14ac:dyDescent="0.2">
      <c r="H4707" s="1"/>
    </row>
    <row r="4708" spans="8:8" x14ac:dyDescent="0.2">
      <c r="H4708" s="1"/>
    </row>
    <row r="4709" spans="8:8" x14ac:dyDescent="0.2">
      <c r="H4709" s="1"/>
    </row>
    <row r="4710" spans="8:8" x14ac:dyDescent="0.2">
      <c r="H4710" s="1"/>
    </row>
    <row r="4711" spans="8:8" x14ac:dyDescent="0.2">
      <c r="H4711" s="1"/>
    </row>
    <row r="4712" spans="8:8" x14ac:dyDescent="0.2">
      <c r="H4712" s="1"/>
    </row>
    <row r="4713" spans="8:8" x14ac:dyDescent="0.2">
      <c r="H4713" s="1"/>
    </row>
    <row r="4714" spans="8:8" x14ac:dyDescent="0.2">
      <c r="H4714" s="1"/>
    </row>
    <row r="4715" spans="8:8" x14ac:dyDescent="0.2">
      <c r="H4715" s="1"/>
    </row>
    <row r="4716" spans="8:8" x14ac:dyDescent="0.2">
      <c r="H4716" s="1"/>
    </row>
    <row r="4717" spans="8:8" x14ac:dyDescent="0.2">
      <c r="H4717" s="1"/>
    </row>
    <row r="4718" spans="8:8" x14ac:dyDescent="0.2">
      <c r="H4718" s="1"/>
    </row>
    <row r="4719" spans="8:8" x14ac:dyDescent="0.2">
      <c r="H4719" s="1"/>
    </row>
    <row r="4720" spans="8:8" x14ac:dyDescent="0.2">
      <c r="H4720" s="1"/>
    </row>
    <row r="4721" spans="8:8" x14ac:dyDescent="0.2">
      <c r="H4721" s="1"/>
    </row>
    <row r="4722" spans="8:8" x14ac:dyDescent="0.2">
      <c r="H4722" s="1"/>
    </row>
    <row r="4723" spans="8:8" x14ac:dyDescent="0.2">
      <c r="H4723" s="1"/>
    </row>
    <row r="4724" spans="8:8" x14ac:dyDescent="0.2">
      <c r="H4724" s="1"/>
    </row>
    <row r="4725" spans="8:8" x14ac:dyDescent="0.2">
      <c r="H4725" s="1"/>
    </row>
    <row r="4726" spans="8:8" x14ac:dyDescent="0.2">
      <c r="H4726" s="1"/>
    </row>
    <row r="4727" spans="8:8" x14ac:dyDescent="0.2">
      <c r="H4727" s="1"/>
    </row>
    <row r="4728" spans="8:8" x14ac:dyDescent="0.2">
      <c r="H4728" s="1"/>
    </row>
    <row r="4729" spans="8:8" x14ac:dyDescent="0.2">
      <c r="H4729" s="1"/>
    </row>
    <row r="4730" spans="8:8" x14ac:dyDescent="0.2">
      <c r="H4730" s="1"/>
    </row>
    <row r="4731" spans="8:8" x14ac:dyDescent="0.2">
      <c r="H4731" s="1"/>
    </row>
    <row r="4732" spans="8:8" x14ac:dyDescent="0.2">
      <c r="H4732" s="1"/>
    </row>
    <row r="4733" spans="8:8" x14ac:dyDescent="0.2">
      <c r="H4733" s="1"/>
    </row>
    <row r="4734" spans="8:8" x14ac:dyDescent="0.2">
      <c r="H4734" s="1"/>
    </row>
    <row r="4735" spans="8:8" x14ac:dyDescent="0.2">
      <c r="H4735" s="1"/>
    </row>
    <row r="4736" spans="8:8" x14ac:dyDescent="0.2">
      <c r="H4736" s="1"/>
    </row>
    <row r="4737" spans="8:8" x14ac:dyDescent="0.2">
      <c r="H4737" s="1"/>
    </row>
    <row r="4738" spans="8:8" x14ac:dyDescent="0.2">
      <c r="H4738" s="1"/>
    </row>
    <row r="4739" spans="8:8" x14ac:dyDescent="0.2">
      <c r="H4739" s="1"/>
    </row>
    <row r="4740" spans="8:8" x14ac:dyDescent="0.2">
      <c r="H4740" s="1"/>
    </row>
    <row r="4741" spans="8:8" x14ac:dyDescent="0.2">
      <c r="H4741" s="1"/>
    </row>
    <row r="4742" spans="8:8" x14ac:dyDescent="0.2">
      <c r="H4742" s="1"/>
    </row>
    <row r="4743" spans="8:8" x14ac:dyDescent="0.2">
      <c r="H4743" s="1"/>
    </row>
    <row r="4744" spans="8:8" x14ac:dyDescent="0.2">
      <c r="H4744" s="1"/>
    </row>
    <row r="4745" spans="8:8" x14ac:dyDescent="0.2">
      <c r="H4745" s="1"/>
    </row>
    <row r="4746" spans="8:8" x14ac:dyDescent="0.2">
      <c r="H4746" s="1"/>
    </row>
    <row r="4747" spans="8:8" x14ac:dyDescent="0.2">
      <c r="H4747" s="1"/>
    </row>
    <row r="4748" spans="8:8" x14ac:dyDescent="0.2">
      <c r="H4748" s="1"/>
    </row>
    <row r="4749" spans="8:8" x14ac:dyDescent="0.2">
      <c r="H4749" s="1"/>
    </row>
    <row r="4750" spans="8:8" x14ac:dyDescent="0.2">
      <c r="H4750" s="1"/>
    </row>
    <row r="4751" spans="8:8" x14ac:dyDescent="0.2">
      <c r="H4751" s="1"/>
    </row>
    <row r="4752" spans="8:8" x14ac:dyDescent="0.2">
      <c r="H4752" s="1"/>
    </row>
    <row r="4753" spans="8:8" x14ac:dyDescent="0.2">
      <c r="H4753" s="1"/>
    </row>
    <row r="4754" spans="8:8" x14ac:dyDescent="0.2">
      <c r="H4754" s="1"/>
    </row>
    <row r="4755" spans="8:8" x14ac:dyDescent="0.2">
      <c r="H4755" s="1"/>
    </row>
    <row r="4756" spans="8:8" x14ac:dyDescent="0.2">
      <c r="H4756" s="1"/>
    </row>
    <row r="4757" spans="8:8" x14ac:dyDescent="0.2">
      <c r="H4757" s="1"/>
    </row>
    <row r="4758" spans="8:8" x14ac:dyDescent="0.2">
      <c r="H4758" s="1"/>
    </row>
    <row r="4759" spans="8:8" x14ac:dyDescent="0.2">
      <c r="H4759" s="1"/>
    </row>
    <row r="4760" spans="8:8" x14ac:dyDescent="0.2">
      <c r="H4760" s="1"/>
    </row>
    <row r="4761" spans="8:8" x14ac:dyDescent="0.2">
      <c r="H4761" s="1"/>
    </row>
    <row r="4762" spans="8:8" x14ac:dyDescent="0.2">
      <c r="H4762" s="1"/>
    </row>
    <row r="4763" spans="8:8" x14ac:dyDescent="0.2">
      <c r="H4763" s="1"/>
    </row>
    <row r="4764" spans="8:8" x14ac:dyDescent="0.2">
      <c r="H4764" s="1"/>
    </row>
    <row r="4765" spans="8:8" x14ac:dyDescent="0.2">
      <c r="H4765" s="1"/>
    </row>
    <row r="4766" spans="8:8" x14ac:dyDescent="0.2">
      <c r="H4766" s="1"/>
    </row>
    <row r="4767" spans="8:8" x14ac:dyDescent="0.2">
      <c r="H4767" s="1"/>
    </row>
    <row r="4768" spans="8:8" x14ac:dyDescent="0.2">
      <c r="H4768" s="1"/>
    </row>
    <row r="4769" spans="8:8" x14ac:dyDescent="0.2">
      <c r="H4769" s="1"/>
    </row>
    <row r="4770" spans="8:8" x14ac:dyDescent="0.2">
      <c r="H4770" s="1"/>
    </row>
    <row r="4771" spans="8:8" x14ac:dyDescent="0.2">
      <c r="H4771" s="1"/>
    </row>
    <row r="4772" spans="8:8" x14ac:dyDescent="0.2">
      <c r="H4772" s="1"/>
    </row>
    <row r="4773" spans="8:8" x14ac:dyDescent="0.2">
      <c r="H4773" s="1"/>
    </row>
    <row r="4774" spans="8:8" x14ac:dyDescent="0.2">
      <c r="H4774" s="1"/>
    </row>
    <row r="4775" spans="8:8" x14ac:dyDescent="0.2">
      <c r="H4775" s="1"/>
    </row>
    <row r="4776" spans="8:8" x14ac:dyDescent="0.2">
      <c r="H4776" s="1"/>
    </row>
    <row r="4777" spans="8:8" x14ac:dyDescent="0.2">
      <c r="H4777" s="1"/>
    </row>
    <row r="4778" spans="8:8" x14ac:dyDescent="0.2">
      <c r="H4778" s="1"/>
    </row>
    <row r="4779" spans="8:8" x14ac:dyDescent="0.2">
      <c r="H4779" s="1"/>
    </row>
    <row r="4780" spans="8:8" x14ac:dyDescent="0.2">
      <c r="H4780" s="1"/>
    </row>
    <row r="4781" spans="8:8" x14ac:dyDescent="0.2">
      <c r="H4781" s="1"/>
    </row>
    <row r="4782" spans="8:8" x14ac:dyDescent="0.2">
      <c r="H4782" s="1"/>
    </row>
    <row r="4783" spans="8:8" x14ac:dyDescent="0.2">
      <c r="H4783" s="1"/>
    </row>
    <row r="4784" spans="8:8" x14ac:dyDescent="0.2">
      <c r="H4784" s="1"/>
    </row>
    <row r="4785" spans="8:8" x14ac:dyDescent="0.2">
      <c r="H4785" s="1"/>
    </row>
    <row r="4786" spans="8:8" x14ac:dyDescent="0.2">
      <c r="H4786" s="1"/>
    </row>
    <row r="4787" spans="8:8" x14ac:dyDescent="0.2">
      <c r="H4787" s="1"/>
    </row>
    <row r="4788" spans="8:8" x14ac:dyDescent="0.2">
      <c r="H4788" s="1"/>
    </row>
    <row r="4789" spans="8:8" x14ac:dyDescent="0.2">
      <c r="H4789" s="1"/>
    </row>
    <row r="4790" spans="8:8" x14ac:dyDescent="0.2">
      <c r="H4790" s="1"/>
    </row>
    <row r="4791" spans="8:8" x14ac:dyDescent="0.2">
      <c r="H4791" s="1"/>
    </row>
    <row r="4792" spans="8:8" x14ac:dyDescent="0.2">
      <c r="H4792" s="1"/>
    </row>
    <row r="4793" spans="8:8" x14ac:dyDescent="0.2">
      <c r="H4793" s="1"/>
    </row>
    <row r="4794" spans="8:8" x14ac:dyDescent="0.2">
      <c r="H4794" s="1"/>
    </row>
    <row r="4795" spans="8:8" x14ac:dyDescent="0.2">
      <c r="H4795" s="1"/>
    </row>
    <row r="4796" spans="8:8" x14ac:dyDescent="0.2">
      <c r="H4796" s="1"/>
    </row>
    <row r="4797" spans="8:8" x14ac:dyDescent="0.2">
      <c r="H4797" s="1"/>
    </row>
    <row r="4798" spans="8:8" x14ac:dyDescent="0.2">
      <c r="H4798" s="1"/>
    </row>
    <row r="4799" spans="8:8" x14ac:dyDescent="0.2">
      <c r="H4799" s="1"/>
    </row>
    <row r="4800" spans="8:8" x14ac:dyDescent="0.2">
      <c r="H4800" s="1"/>
    </row>
    <row r="4801" spans="8:8" x14ac:dyDescent="0.2">
      <c r="H4801" s="1"/>
    </row>
    <row r="4802" spans="8:8" x14ac:dyDescent="0.2">
      <c r="H4802" s="1"/>
    </row>
    <row r="4803" spans="8:8" x14ac:dyDescent="0.2">
      <c r="H4803" s="1"/>
    </row>
    <row r="4804" spans="8:8" x14ac:dyDescent="0.2">
      <c r="H4804" s="1"/>
    </row>
    <row r="4805" spans="8:8" x14ac:dyDescent="0.2">
      <c r="H4805" s="1"/>
    </row>
    <row r="4806" spans="8:8" x14ac:dyDescent="0.2">
      <c r="H4806" s="1"/>
    </row>
    <row r="4807" spans="8:8" x14ac:dyDescent="0.2">
      <c r="H4807" s="1"/>
    </row>
    <row r="4808" spans="8:8" x14ac:dyDescent="0.2">
      <c r="H4808" s="1"/>
    </row>
    <row r="4809" spans="8:8" x14ac:dyDescent="0.2">
      <c r="H4809" s="1"/>
    </row>
    <row r="4810" spans="8:8" x14ac:dyDescent="0.2">
      <c r="H4810" s="1"/>
    </row>
    <row r="4811" spans="8:8" x14ac:dyDescent="0.2">
      <c r="H4811" s="1"/>
    </row>
    <row r="4812" spans="8:8" x14ac:dyDescent="0.2">
      <c r="H4812" s="1"/>
    </row>
    <row r="4813" spans="8:8" x14ac:dyDescent="0.2">
      <c r="H4813" s="1"/>
    </row>
    <row r="4814" spans="8:8" x14ac:dyDescent="0.2">
      <c r="H4814" s="1"/>
    </row>
    <row r="4815" spans="8:8" x14ac:dyDescent="0.2">
      <c r="H4815" s="1"/>
    </row>
    <row r="4816" spans="8:8" x14ac:dyDescent="0.2">
      <c r="H4816" s="1"/>
    </row>
    <row r="4817" spans="8:8" x14ac:dyDescent="0.2">
      <c r="H4817" s="1"/>
    </row>
    <row r="4818" spans="8:8" x14ac:dyDescent="0.2">
      <c r="H4818" s="1"/>
    </row>
    <row r="4819" spans="8:8" x14ac:dyDescent="0.2">
      <c r="H4819" s="1"/>
    </row>
    <row r="4820" spans="8:8" x14ac:dyDescent="0.2">
      <c r="H4820" s="1"/>
    </row>
    <row r="4821" spans="8:8" x14ac:dyDescent="0.2">
      <c r="H4821" s="1"/>
    </row>
    <row r="4822" spans="8:8" x14ac:dyDescent="0.2">
      <c r="H4822" s="1"/>
    </row>
    <row r="4823" spans="8:8" x14ac:dyDescent="0.2">
      <c r="H4823" s="1"/>
    </row>
    <row r="4824" spans="8:8" x14ac:dyDescent="0.2">
      <c r="H4824" s="1"/>
    </row>
    <row r="4825" spans="8:8" x14ac:dyDescent="0.2">
      <c r="H4825" s="1"/>
    </row>
    <row r="4826" spans="8:8" x14ac:dyDescent="0.2">
      <c r="H4826" s="1"/>
    </row>
    <row r="4827" spans="8:8" x14ac:dyDescent="0.2">
      <c r="H4827" s="1"/>
    </row>
    <row r="4828" spans="8:8" x14ac:dyDescent="0.2">
      <c r="H4828" s="1"/>
    </row>
    <row r="4829" spans="8:8" x14ac:dyDescent="0.2">
      <c r="H4829" s="1"/>
    </row>
    <row r="4830" spans="8:8" x14ac:dyDescent="0.2">
      <c r="H4830" s="1"/>
    </row>
    <row r="4831" spans="8:8" x14ac:dyDescent="0.2">
      <c r="H4831" s="1"/>
    </row>
    <row r="4832" spans="8:8" x14ac:dyDescent="0.2">
      <c r="H4832" s="1"/>
    </row>
    <row r="4833" spans="8:8" x14ac:dyDescent="0.2">
      <c r="H4833" s="1"/>
    </row>
    <row r="4834" spans="8:8" x14ac:dyDescent="0.2">
      <c r="H4834" s="1"/>
    </row>
    <row r="4835" spans="8:8" x14ac:dyDescent="0.2">
      <c r="H4835" s="1"/>
    </row>
    <row r="4836" spans="8:8" x14ac:dyDescent="0.2">
      <c r="H4836" s="1"/>
    </row>
    <row r="4837" spans="8:8" x14ac:dyDescent="0.2">
      <c r="H4837" s="1"/>
    </row>
    <row r="4838" spans="8:8" x14ac:dyDescent="0.2">
      <c r="H4838" s="1"/>
    </row>
    <row r="4839" spans="8:8" x14ac:dyDescent="0.2">
      <c r="H4839" s="1"/>
    </row>
    <row r="4840" spans="8:8" x14ac:dyDescent="0.2">
      <c r="H4840" s="1"/>
    </row>
    <row r="4841" spans="8:8" x14ac:dyDescent="0.2">
      <c r="H4841" s="1"/>
    </row>
    <row r="4842" spans="8:8" x14ac:dyDescent="0.2">
      <c r="H4842" s="1"/>
    </row>
    <row r="4843" spans="8:8" x14ac:dyDescent="0.2">
      <c r="H4843" s="1"/>
    </row>
    <row r="4844" spans="8:8" x14ac:dyDescent="0.2">
      <c r="H4844" s="1"/>
    </row>
    <row r="4845" spans="8:8" x14ac:dyDescent="0.2">
      <c r="H4845" s="1"/>
    </row>
    <row r="4846" spans="8:8" x14ac:dyDescent="0.2">
      <c r="H4846" s="1"/>
    </row>
    <row r="4847" spans="8:8" x14ac:dyDescent="0.2">
      <c r="H4847" s="1"/>
    </row>
    <row r="4848" spans="8:8" x14ac:dyDescent="0.2">
      <c r="H4848" s="1"/>
    </row>
    <row r="4849" spans="8:8" x14ac:dyDescent="0.2">
      <c r="H4849" s="1"/>
    </row>
    <row r="4850" spans="8:8" x14ac:dyDescent="0.2">
      <c r="H4850" s="1"/>
    </row>
    <row r="4851" spans="8:8" x14ac:dyDescent="0.2">
      <c r="H4851" s="1"/>
    </row>
    <row r="4852" spans="8:8" x14ac:dyDescent="0.2">
      <c r="H4852" s="1"/>
    </row>
    <row r="4853" spans="8:8" x14ac:dyDescent="0.2">
      <c r="H4853" s="1"/>
    </row>
    <row r="4854" spans="8:8" x14ac:dyDescent="0.2">
      <c r="H4854" s="1"/>
    </row>
    <row r="4855" spans="8:8" x14ac:dyDescent="0.2">
      <c r="H4855" s="1"/>
    </row>
    <row r="4856" spans="8:8" x14ac:dyDescent="0.2">
      <c r="H4856" s="1"/>
    </row>
    <row r="4857" spans="8:8" x14ac:dyDescent="0.2">
      <c r="H4857" s="1"/>
    </row>
    <row r="4858" spans="8:8" x14ac:dyDescent="0.2">
      <c r="H4858" s="1"/>
    </row>
    <row r="4859" spans="8:8" x14ac:dyDescent="0.2">
      <c r="H4859" s="1"/>
    </row>
    <row r="4860" spans="8:8" x14ac:dyDescent="0.2">
      <c r="H4860" s="1"/>
    </row>
    <row r="4861" spans="8:8" x14ac:dyDescent="0.2">
      <c r="H4861" s="1"/>
    </row>
    <row r="4862" spans="8:8" x14ac:dyDescent="0.2">
      <c r="H4862" s="1"/>
    </row>
    <row r="4863" spans="8:8" x14ac:dyDescent="0.2">
      <c r="H4863" s="1"/>
    </row>
    <row r="4864" spans="8:8" x14ac:dyDescent="0.2">
      <c r="H4864" s="1"/>
    </row>
    <row r="4865" spans="8:8" x14ac:dyDescent="0.2">
      <c r="H4865" s="1"/>
    </row>
    <row r="4866" spans="8:8" x14ac:dyDescent="0.2">
      <c r="H4866" s="1"/>
    </row>
    <row r="4867" spans="8:8" x14ac:dyDescent="0.2">
      <c r="H4867" s="1"/>
    </row>
    <row r="4868" spans="8:8" x14ac:dyDescent="0.2">
      <c r="H4868" s="1"/>
    </row>
    <row r="4869" spans="8:8" x14ac:dyDescent="0.2">
      <c r="H4869" s="1"/>
    </row>
    <row r="4870" spans="8:8" x14ac:dyDescent="0.2">
      <c r="H4870" s="1"/>
    </row>
    <row r="4871" spans="8:8" x14ac:dyDescent="0.2">
      <c r="H4871" s="1"/>
    </row>
    <row r="4872" spans="8:8" x14ac:dyDescent="0.2">
      <c r="H4872" s="1"/>
    </row>
    <row r="4873" spans="8:8" x14ac:dyDescent="0.2">
      <c r="H4873" s="1"/>
    </row>
    <row r="4874" spans="8:8" x14ac:dyDescent="0.2">
      <c r="H4874" s="1"/>
    </row>
    <row r="4875" spans="8:8" x14ac:dyDescent="0.2">
      <c r="H4875" s="1"/>
    </row>
    <row r="4876" spans="8:8" x14ac:dyDescent="0.2">
      <c r="H4876" s="1"/>
    </row>
    <row r="4877" spans="8:8" x14ac:dyDescent="0.2">
      <c r="H4877" s="1"/>
    </row>
    <row r="4878" spans="8:8" x14ac:dyDescent="0.2">
      <c r="H4878" s="1"/>
    </row>
    <row r="4879" spans="8:8" x14ac:dyDescent="0.2">
      <c r="H4879" s="1"/>
    </row>
    <row r="4880" spans="8:8" x14ac:dyDescent="0.2">
      <c r="H4880" s="1"/>
    </row>
    <row r="4881" spans="8:8" x14ac:dyDescent="0.2">
      <c r="H4881" s="1"/>
    </row>
    <row r="4882" spans="8:8" x14ac:dyDescent="0.2">
      <c r="H4882" s="1"/>
    </row>
    <row r="4883" spans="8:8" x14ac:dyDescent="0.2">
      <c r="H4883" s="1"/>
    </row>
    <row r="4884" spans="8:8" x14ac:dyDescent="0.2">
      <c r="H4884" s="1"/>
    </row>
    <row r="4885" spans="8:8" x14ac:dyDescent="0.2">
      <c r="H4885" s="1"/>
    </row>
    <row r="4886" spans="8:8" x14ac:dyDescent="0.2">
      <c r="H4886" s="1"/>
    </row>
    <row r="4887" spans="8:8" x14ac:dyDescent="0.2">
      <c r="H4887" s="1"/>
    </row>
    <row r="4888" spans="8:8" x14ac:dyDescent="0.2">
      <c r="H4888" s="1"/>
    </row>
    <row r="4889" spans="8:8" x14ac:dyDescent="0.2">
      <c r="H4889" s="1"/>
    </row>
    <row r="4890" spans="8:8" x14ac:dyDescent="0.2">
      <c r="H4890" s="1"/>
    </row>
    <row r="4891" spans="8:8" x14ac:dyDescent="0.2">
      <c r="H4891" s="1"/>
    </row>
    <row r="4892" spans="8:8" x14ac:dyDescent="0.2">
      <c r="H4892" s="1"/>
    </row>
    <row r="4893" spans="8:8" x14ac:dyDescent="0.2">
      <c r="H4893" s="1"/>
    </row>
    <row r="4894" spans="8:8" x14ac:dyDescent="0.2">
      <c r="H4894" s="1"/>
    </row>
    <row r="4895" spans="8:8" x14ac:dyDescent="0.2">
      <c r="H4895" s="1"/>
    </row>
    <row r="4896" spans="8:8" x14ac:dyDescent="0.2">
      <c r="H4896" s="1"/>
    </row>
    <row r="4897" spans="8:8" x14ac:dyDescent="0.2">
      <c r="H4897" s="1"/>
    </row>
    <row r="4898" spans="8:8" x14ac:dyDescent="0.2">
      <c r="H4898" s="1"/>
    </row>
    <row r="4899" spans="8:8" x14ac:dyDescent="0.2">
      <c r="H4899" s="1"/>
    </row>
    <row r="4900" spans="8:8" x14ac:dyDescent="0.2">
      <c r="H4900" s="1"/>
    </row>
    <row r="4901" spans="8:8" x14ac:dyDescent="0.2">
      <c r="H4901" s="1"/>
    </row>
    <row r="4902" spans="8:8" x14ac:dyDescent="0.2">
      <c r="H4902" s="1"/>
    </row>
    <row r="4903" spans="8:8" x14ac:dyDescent="0.2">
      <c r="H4903" s="1"/>
    </row>
    <row r="4904" spans="8:8" x14ac:dyDescent="0.2">
      <c r="H4904" s="1"/>
    </row>
    <row r="4905" spans="8:8" x14ac:dyDescent="0.2">
      <c r="H4905" s="1"/>
    </row>
    <row r="4906" spans="8:8" x14ac:dyDescent="0.2">
      <c r="H4906" s="1"/>
    </row>
    <row r="4907" spans="8:8" x14ac:dyDescent="0.2">
      <c r="H4907" s="1"/>
    </row>
    <row r="4908" spans="8:8" x14ac:dyDescent="0.2">
      <c r="H4908" s="1"/>
    </row>
    <row r="4909" spans="8:8" x14ac:dyDescent="0.2">
      <c r="H4909" s="1"/>
    </row>
    <row r="4910" spans="8:8" x14ac:dyDescent="0.2">
      <c r="H4910" s="1"/>
    </row>
    <row r="4911" spans="8:8" x14ac:dyDescent="0.2">
      <c r="H4911" s="1"/>
    </row>
    <row r="4912" spans="8:8" x14ac:dyDescent="0.2">
      <c r="H4912" s="1"/>
    </row>
    <row r="4913" spans="8:8" x14ac:dyDescent="0.2">
      <c r="H4913" s="1"/>
    </row>
    <row r="4914" spans="8:8" x14ac:dyDescent="0.2">
      <c r="H4914" s="1"/>
    </row>
    <row r="4915" spans="8:8" x14ac:dyDescent="0.2">
      <c r="H4915" s="1"/>
    </row>
    <row r="4916" spans="8:8" x14ac:dyDescent="0.2">
      <c r="H4916" s="1"/>
    </row>
    <row r="4917" spans="8:8" x14ac:dyDescent="0.2">
      <c r="H4917" s="1"/>
    </row>
    <row r="4918" spans="8:8" x14ac:dyDescent="0.2">
      <c r="H4918" s="1"/>
    </row>
    <row r="4919" spans="8:8" x14ac:dyDescent="0.2">
      <c r="H4919" s="1"/>
    </row>
    <row r="4920" spans="8:8" x14ac:dyDescent="0.2">
      <c r="H4920" s="1"/>
    </row>
    <row r="4921" spans="8:8" x14ac:dyDescent="0.2">
      <c r="H4921" s="1"/>
    </row>
    <row r="4922" spans="8:8" x14ac:dyDescent="0.2">
      <c r="H4922" s="1"/>
    </row>
    <row r="4923" spans="8:8" x14ac:dyDescent="0.2">
      <c r="H4923" s="1"/>
    </row>
    <row r="4924" spans="8:8" x14ac:dyDescent="0.2">
      <c r="H4924" s="1"/>
    </row>
    <row r="4925" spans="8:8" x14ac:dyDescent="0.2">
      <c r="H4925" s="1"/>
    </row>
    <row r="4926" spans="8:8" x14ac:dyDescent="0.2">
      <c r="H4926" s="1"/>
    </row>
    <row r="4927" spans="8:8" x14ac:dyDescent="0.2">
      <c r="H4927" s="1"/>
    </row>
    <row r="4928" spans="8:8" x14ac:dyDescent="0.2">
      <c r="H4928" s="1"/>
    </row>
    <row r="4929" spans="8:8" x14ac:dyDescent="0.2">
      <c r="H4929" s="1"/>
    </row>
    <row r="4930" spans="8:8" x14ac:dyDescent="0.2">
      <c r="H4930" s="1"/>
    </row>
    <row r="4931" spans="8:8" x14ac:dyDescent="0.2">
      <c r="H4931" s="1"/>
    </row>
    <row r="4932" spans="8:8" x14ac:dyDescent="0.2">
      <c r="H4932" s="1"/>
    </row>
    <row r="4933" spans="8:8" x14ac:dyDescent="0.2">
      <c r="H4933" s="1"/>
    </row>
    <row r="4934" spans="8:8" x14ac:dyDescent="0.2">
      <c r="H4934" s="1"/>
    </row>
    <row r="4935" spans="8:8" x14ac:dyDescent="0.2">
      <c r="H4935" s="1"/>
    </row>
    <row r="4936" spans="8:8" x14ac:dyDescent="0.2">
      <c r="H4936" s="1"/>
    </row>
    <row r="4937" spans="8:8" x14ac:dyDescent="0.2">
      <c r="H4937" s="1"/>
    </row>
    <row r="4938" spans="8:8" x14ac:dyDescent="0.2">
      <c r="H4938" s="1"/>
    </row>
    <row r="4939" spans="8:8" x14ac:dyDescent="0.2">
      <c r="H4939" s="1"/>
    </row>
    <row r="4940" spans="8:8" x14ac:dyDescent="0.2">
      <c r="H4940" s="1"/>
    </row>
    <row r="4941" spans="8:8" x14ac:dyDescent="0.2">
      <c r="H4941" s="1"/>
    </row>
    <row r="4942" spans="8:8" x14ac:dyDescent="0.2">
      <c r="H4942" s="1"/>
    </row>
    <row r="4943" spans="8:8" x14ac:dyDescent="0.2">
      <c r="H4943" s="1"/>
    </row>
    <row r="4944" spans="8:8" x14ac:dyDescent="0.2">
      <c r="H4944" s="1"/>
    </row>
    <row r="4945" spans="8:8" x14ac:dyDescent="0.2">
      <c r="H4945" s="1"/>
    </row>
    <row r="4946" spans="8:8" x14ac:dyDescent="0.2">
      <c r="H4946" s="1"/>
    </row>
    <row r="4947" spans="8:8" x14ac:dyDescent="0.2">
      <c r="H4947" s="1"/>
    </row>
    <row r="4948" spans="8:8" x14ac:dyDescent="0.2">
      <c r="H4948" s="1"/>
    </row>
    <row r="4949" spans="8:8" x14ac:dyDescent="0.2">
      <c r="H4949" s="1"/>
    </row>
    <row r="4950" spans="8:8" x14ac:dyDescent="0.2">
      <c r="H4950" s="1"/>
    </row>
    <row r="4951" spans="8:8" x14ac:dyDescent="0.2">
      <c r="H4951" s="1"/>
    </row>
    <row r="4952" spans="8:8" x14ac:dyDescent="0.2">
      <c r="H4952" s="1"/>
    </row>
    <row r="4953" spans="8:8" x14ac:dyDescent="0.2">
      <c r="H4953" s="1"/>
    </row>
    <row r="4954" spans="8:8" x14ac:dyDescent="0.2">
      <c r="H4954" s="1"/>
    </row>
    <row r="4955" spans="8:8" x14ac:dyDescent="0.2">
      <c r="H4955" s="1"/>
    </row>
    <row r="4956" spans="8:8" x14ac:dyDescent="0.2">
      <c r="H4956" s="1"/>
    </row>
    <row r="4957" spans="8:8" x14ac:dyDescent="0.2">
      <c r="H4957" s="1"/>
    </row>
    <row r="4958" spans="8:8" x14ac:dyDescent="0.2">
      <c r="H4958" s="1"/>
    </row>
    <row r="4959" spans="8:8" x14ac:dyDescent="0.2">
      <c r="H4959" s="1"/>
    </row>
    <row r="4960" spans="8:8" x14ac:dyDescent="0.2">
      <c r="H4960" s="1"/>
    </row>
    <row r="4961" spans="8:8" x14ac:dyDescent="0.2">
      <c r="H4961" s="1"/>
    </row>
    <row r="4962" spans="8:8" x14ac:dyDescent="0.2">
      <c r="H4962" s="1"/>
    </row>
    <row r="4963" spans="8:8" x14ac:dyDescent="0.2">
      <c r="H4963" s="1"/>
    </row>
    <row r="4964" spans="8:8" x14ac:dyDescent="0.2">
      <c r="H4964" s="1"/>
    </row>
    <row r="4965" spans="8:8" x14ac:dyDescent="0.2">
      <c r="H4965" s="1"/>
    </row>
    <row r="4966" spans="8:8" x14ac:dyDescent="0.2">
      <c r="H4966" s="1"/>
    </row>
    <row r="4967" spans="8:8" x14ac:dyDescent="0.2">
      <c r="H4967" s="1"/>
    </row>
    <row r="4968" spans="8:8" x14ac:dyDescent="0.2">
      <c r="H4968" s="1"/>
    </row>
    <row r="4969" spans="8:8" x14ac:dyDescent="0.2">
      <c r="H4969" s="1"/>
    </row>
    <row r="4970" spans="8:8" x14ac:dyDescent="0.2">
      <c r="H4970" s="1"/>
    </row>
    <row r="4971" spans="8:8" x14ac:dyDescent="0.2">
      <c r="H4971" s="1"/>
    </row>
    <row r="4972" spans="8:8" x14ac:dyDescent="0.2">
      <c r="H4972" s="1"/>
    </row>
    <row r="4973" spans="8:8" x14ac:dyDescent="0.2">
      <c r="H4973" s="1"/>
    </row>
    <row r="4974" spans="8:8" x14ac:dyDescent="0.2">
      <c r="H4974" s="1"/>
    </row>
    <row r="4975" spans="8:8" x14ac:dyDescent="0.2">
      <c r="H4975" s="1"/>
    </row>
    <row r="4976" spans="8:8" x14ac:dyDescent="0.2">
      <c r="H4976" s="1"/>
    </row>
    <row r="4977" spans="8:8" x14ac:dyDescent="0.2">
      <c r="H4977" s="1"/>
    </row>
    <row r="4978" spans="8:8" x14ac:dyDescent="0.2">
      <c r="H4978" s="1"/>
    </row>
    <row r="4979" spans="8:8" x14ac:dyDescent="0.2">
      <c r="H4979" s="1"/>
    </row>
    <row r="4980" spans="8:8" x14ac:dyDescent="0.2">
      <c r="H4980" s="1"/>
    </row>
    <row r="4981" spans="8:8" x14ac:dyDescent="0.2">
      <c r="H4981" s="1"/>
    </row>
    <row r="4982" spans="8:8" x14ac:dyDescent="0.2">
      <c r="H4982" s="1"/>
    </row>
    <row r="4983" spans="8:8" x14ac:dyDescent="0.2">
      <c r="H4983" s="1"/>
    </row>
    <row r="4984" spans="8:8" x14ac:dyDescent="0.2">
      <c r="H4984" s="1"/>
    </row>
    <row r="4985" spans="8:8" x14ac:dyDescent="0.2">
      <c r="H4985" s="1"/>
    </row>
    <row r="4986" spans="8:8" x14ac:dyDescent="0.2">
      <c r="H4986" s="1"/>
    </row>
    <row r="4987" spans="8:8" x14ac:dyDescent="0.2">
      <c r="H4987" s="1"/>
    </row>
    <row r="4988" spans="8:8" x14ac:dyDescent="0.2">
      <c r="H4988" s="1"/>
    </row>
    <row r="4989" spans="8:8" x14ac:dyDescent="0.2">
      <c r="H4989" s="1"/>
    </row>
    <row r="4990" spans="8:8" x14ac:dyDescent="0.2">
      <c r="H4990" s="1"/>
    </row>
    <row r="4991" spans="8:8" x14ac:dyDescent="0.2">
      <c r="H4991" s="1"/>
    </row>
    <row r="4992" spans="8:8" x14ac:dyDescent="0.2">
      <c r="H4992" s="1"/>
    </row>
    <row r="4993" spans="8:8" x14ac:dyDescent="0.2">
      <c r="H4993" s="1"/>
    </row>
    <row r="4994" spans="8:8" x14ac:dyDescent="0.2">
      <c r="H4994" s="1"/>
    </row>
    <row r="4995" spans="8:8" x14ac:dyDescent="0.2">
      <c r="H4995" s="1"/>
    </row>
    <row r="4996" spans="8:8" x14ac:dyDescent="0.2">
      <c r="H4996" s="1"/>
    </row>
    <row r="4997" spans="8:8" x14ac:dyDescent="0.2">
      <c r="H4997" s="1"/>
    </row>
    <row r="4998" spans="8:8" x14ac:dyDescent="0.2">
      <c r="H4998" s="1"/>
    </row>
    <row r="4999" spans="8:8" x14ac:dyDescent="0.2">
      <c r="H4999" s="1"/>
    </row>
    <row r="5000" spans="8:8" x14ac:dyDescent="0.2">
      <c r="H5000" s="1"/>
    </row>
    <row r="5001" spans="8:8" x14ac:dyDescent="0.2">
      <c r="H5001" s="1"/>
    </row>
    <row r="5002" spans="8:8" x14ac:dyDescent="0.2">
      <c r="H5002" s="1"/>
    </row>
    <row r="5003" spans="8:8" x14ac:dyDescent="0.2">
      <c r="H5003" s="1"/>
    </row>
    <row r="5004" spans="8:8" x14ac:dyDescent="0.2">
      <c r="H5004" s="1"/>
    </row>
    <row r="5005" spans="8:8" x14ac:dyDescent="0.2">
      <c r="H5005" s="1"/>
    </row>
    <row r="5006" spans="8:8" x14ac:dyDescent="0.2">
      <c r="H5006" s="1"/>
    </row>
    <row r="5007" spans="8:8" x14ac:dyDescent="0.2">
      <c r="H5007" s="1"/>
    </row>
    <row r="5008" spans="8:8" x14ac:dyDescent="0.2">
      <c r="H5008" s="1"/>
    </row>
    <row r="5009" spans="8:8" x14ac:dyDescent="0.2">
      <c r="H5009" s="1"/>
    </row>
    <row r="5010" spans="8:8" x14ac:dyDescent="0.2">
      <c r="H5010" s="1"/>
    </row>
    <row r="5011" spans="8:8" x14ac:dyDescent="0.2">
      <c r="H5011" s="1"/>
    </row>
    <row r="5012" spans="8:8" x14ac:dyDescent="0.2">
      <c r="H5012" s="1"/>
    </row>
    <row r="5013" spans="8:8" x14ac:dyDescent="0.2">
      <c r="H5013" s="1"/>
    </row>
    <row r="5014" spans="8:8" x14ac:dyDescent="0.2">
      <c r="H5014" s="1"/>
    </row>
    <row r="5015" spans="8:8" x14ac:dyDescent="0.2">
      <c r="H5015" s="1"/>
    </row>
    <row r="5016" spans="8:8" x14ac:dyDescent="0.2">
      <c r="H5016" s="1"/>
    </row>
    <row r="5017" spans="8:8" x14ac:dyDescent="0.2">
      <c r="H5017" s="1"/>
    </row>
    <row r="5018" spans="8:8" x14ac:dyDescent="0.2">
      <c r="H5018" s="1"/>
    </row>
    <row r="5019" spans="8:8" x14ac:dyDescent="0.2">
      <c r="H5019" s="1"/>
    </row>
    <row r="5020" spans="8:8" x14ac:dyDescent="0.2">
      <c r="H5020" s="1"/>
    </row>
    <row r="5021" spans="8:8" x14ac:dyDescent="0.2">
      <c r="H5021" s="1"/>
    </row>
    <row r="5022" spans="8:8" x14ac:dyDescent="0.2">
      <c r="H5022" s="1"/>
    </row>
    <row r="5023" spans="8:8" x14ac:dyDescent="0.2">
      <c r="H5023" s="1"/>
    </row>
    <row r="5024" spans="8:8" x14ac:dyDescent="0.2">
      <c r="H5024" s="1"/>
    </row>
    <row r="5025" spans="8:8" x14ac:dyDescent="0.2">
      <c r="H5025" s="1"/>
    </row>
    <row r="5026" spans="8:8" x14ac:dyDescent="0.2">
      <c r="H5026" s="1"/>
    </row>
    <row r="5027" spans="8:8" x14ac:dyDescent="0.2">
      <c r="H5027" s="1"/>
    </row>
    <row r="5028" spans="8:8" x14ac:dyDescent="0.2">
      <c r="H5028" s="1"/>
    </row>
    <row r="5029" spans="8:8" x14ac:dyDescent="0.2">
      <c r="H5029" s="1"/>
    </row>
    <row r="5030" spans="8:8" x14ac:dyDescent="0.2">
      <c r="H5030" s="1"/>
    </row>
    <row r="5031" spans="8:8" x14ac:dyDescent="0.2">
      <c r="H5031" s="1"/>
    </row>
    <row r="5032" spans="8:8" x14ac:dyDescent="0.2">
      <c r="H5032" s="1"/>
    </row>
    <row r="5033" spans="8:8" x14ac:dyDescent="0.2">
      <c r="H5033" s="1"/>
    </row>
    <row r="5034" spans="8:8" x14ac:dyDescent="0.2">
      <c r="H5034" s="1"/>
    </row>
    <row r="5035" spans="8:8" x14ac:dyDescent="0.2">
      <c r="H5035" s="1"/>
    </row>
    <row r="5036" spans="8:8" x14ac:dyDescent="0.2">
      <c r="H5036" s="1"/>
    </row>
    <row r="5037" spans="8:8" x14ac:dyDescent="0.2">
      <c r="H5037" s="1"/>
    </row>
    <row r="5038" spans="8:8" x14ac:dyDescent="0.2">
      <c r="H5038" s="1"/>
    </row>
    <row r="5039" spans="8:8" x14ac:dyDescent="0.2">
      <c r="H5039" s="1"/>
    </row>
    <row r="5040" spans="8:8" x14ac:dyDescent="0.2">
      <c r="H5040" s="1"/>
    </row>
    <row r="5041" spans="8:8" x14ac:dyDescent="0.2">
      <c r="H5041" s="1"/>
    </row>
    <row r="5042" spans="8:8" x14ac:dyDescent="0.2">
      <c r="H5042" s="1"/>
    </row>
    <row r="5043" spans="8:8" x14ac:dyDescent="0.2">
      <c r="H5043" s="1"/>
    </row>
    <row r="5044" spans="8:8" x14ac:dyDescent="0.2">
      <c r="H5044" s="1"/>
    </row>
    <row r="5045" spans="8:8" x14ac:dyDescent="0.2">
      <c r="H5045" s="1"/>
    </row>
    <row r="5046" spans="8:8" x14ac:dyDescent="0.2">
      <c r="H5046" s="1"/>
    </row>
    <row r="5047" spans="8:8" x14ac:dyDescent="0.2">
      <c r="H5047" s="1"/>
    </row>
    <row r="5048" spans="8:8" x14ac:dyDescent="0.2">
      <c r="H5048" s="1"/>
    </row>
    <row r="5049" spans="8:8" x14ac:dyDescent="0.2">
      <c r="H5049" s="1"/>
    </row>
    <row r="5050" spans="8:8" x14ac:dyDescent="0.2">
      <c r="H5050" s="1"/>
    </row>
    <row r="5051" spans="8:8" x14ac:dyDescent="0.2">
      <c r="H5051" s="1"/>
    </row>
    <row r="5052" spans="8:8" x14ac:dyDescent="0.2">
      <c r="H5052" s="1"/>
    </row>
    <row r="5053" spans="8:8" x14ac:dyDescent="0.2">
      <c r="H5053" s="1"/>
    </row>
    <row r="5054" spans="8:8" x14ac:dyDescent="0.2">
      <c r="H5054" s="1"/>
    </row>
    <row r="5055" spans="8:8" x14ac:dyDescent="0.2">
      <c r="H5055" s="1"/>
    </row>
    <row r="5056" spans="8:8" x14ac:dyDescent="0.2">
      <c r="H5056" s="1"/>
    </row>
    <row r="5057" spans="8:8" x14ac:dyDescent="0.2">
      <c r="H5057" s="1"/>
    </row>
    <row r="5058" spans="8:8" x14ac:dyDescent="0.2">
      <c r="H5058" s="1"/>
    </row>
    <row r="5059" spans="8:8" x14ac:dyDescent="0.2">
      <c r="H5059" s="1"/>
    </row>
    <row r="5060" spans="8:8" x14ac:dyDescent="0.2">
      <c r="H5060" s="1"/>
    </row>
    <row r="5061" spans="8:8" x14ac:dyDescent="0.2">
      <c r="H5061" s="1"/>
    </row>
    <row r="5062" spans="8:8" x14ac:dyDescent="0.2">
      <c r="H5062" s="1"/>
    </row>
    <row r="5063" spans="8:8" x14ac:dyDescent="0.2">
      <c r="H5063" s="1"/>
    </row>
    <row r="5064" spans="8:8" x14ac:dyDescent="0.2">
      <c r="H5064" s="1"/>
    </row>
    <row r="5065" spans="8:8" x14ac:dyDescent="0.2">
      <c r="H5065" s="1"/>
    </row>
    <row r="5066" spans="8:8" x14ac:dyDescent="0.2">
      <c r="H5066" s="1"/>
    </row>
    <row r="5067" spans="8:8" x14ac:dyDescent="0.2">
      <c r="H5067" s="1"/>
    </row>
    <row r="5068" spans="8:8" x14ac:dyDescent="0.2">
      <c r="H5068" s="1"/>
    </row>
    <row r="5069" spans="8:8" x14ac:dyDescent="0.2">
      <c r="H5069" s="1"/>
    </row>
    <row r="5070" spans="8:8" x14ac:dyDescent="0.2">
      <c r="H5070" s="1"/>
    </row>
    <row r="5071" spans="8:8" x14ac:dyDescent="0.2">
      <c r="H5071" s="1"/>
    </row>
    <row r="5072" spans="8:8" x14ac:dyDescent="0.2">
      <c r="H5072" s="1"/>
    </row>
    <row r="5073" spans="8:8" x14ac:dyDescent="0.2">
      <c r="H5073" s="1"/>
    </row>
    <row r="5074" spans="8:8" x14ac:dyDescent="0.2">
      <c r="H5074" s="1"/>
    </row>
    <row r="5075" spans="8:8" x14ac:dyDescent="0.2">
      <c r="H5075" s="1"/>
    </row>
    <row r="5076" spans="8:8" x14ac:dyDescent="0.2">
      <c r="H5076" s="1"/>
    </row>
    <row r="5077" spans="8:8" x14ac:dyDescent="0.2">
      <c r="H5077" s="1"/>
    </row>
    <row r="5078" spans="8:8" x14ac:dyDescent="0.2">
      <c r="H5078" s="1"/>
    </row>
    <row r="5079" spans="8:8" x14ac:dyDescent="0.2">
      <c r="H5079" s="1"/>
    </row>
    <row r="5080" spans="8:8" x14ac:dyDescent="0.2">
      <c r="H5080" s="1"/>
    </row>
    <row r="5081" spans="8:8" x14ac:dyDescent="0.2">
      <c r="H5081" s="1"/>
    </row>
    <row r="5082" spans="8:8" x14ac:dyDescent="0.2">
      <c r="H5082" s="1"/>
    </row>
    <row r="5083" spans="8:8" x14ac:dyDescent="0.2">
      <c r="H5083" s="1"/>
    </row>
    <row r="5084" spans="8:8" x14ac:dyDescent="0.2">
      <c r="H5084" s="1"/>
    </row>
    <row r="5085" spans="8:8" x14ac:dyDescent="0.2">
      <c r="H5085" s="1"/>
    </row>
    <row r="5086" spans="8:8" x14ac:dyDescent="0.2">
      <c r="H5086" s="1"/>
    </row>
    <row r="5087" spans="8:8" x14ac:dyDescent="0.2">
      <c r="H5087" s="1"/>
    </row>
    <row r="5088" spans="8:8" x14ac:dyDescent="0.2">
      <c r="H5088" s="1"/>
    </row>
    <row r="5089" spans="8:8" x14ac:dyDescent="0.2">
      <c r="H5089" s="1"/>
    </row>
    <row r="5090" spans="8:8" x14ac:dyDescent="0.2">
      <c r="H5090" s="1"/>
    </row>
    <row r="5091" spans="8:8" x14ac:dyDescent="0.2">
      <c r="H5091" s="1"/>
    </row>
    <row r="5092" spans="8:8" x14ac:dyDescent="0.2">
      <c r="H5092" s="1"/>
    </row>
    <row r="5093" spans="8:8" x14ac:dyDescent="0.2">
      <c r="H5093" s="1"/>
    </row>
    <row r="5094" spans="8:8" x14ac:dyDescent="0.2">
      <c r="H5094" s="1"/>
    </row>
    <row r="5095" spans="8:8" x14ac:dyDescent="0.2">
      <c r="H5095" s="1"/>
    </row>
    <row r="5096" spans="8:8" x14ac:dyDescent="0.2">
      <c r="H5096" s="1"/>
    </row>
    <row r="5097" spans="8:8" x14ac:dyDescent="0.2">
      <c r="H5097" s="1"/>
    </row>
    <row r="5098" spans="8:8" x14ac:dyDescent="0.2">
      <c r="H5098" s="1"/>
    </row>
    <row r="5099" spans="8:8" x14ac:dyDescent="0.2">
      <c r="H5099" s="1"/>
    </row>
    <row r="5100" spans="8:8" x14ac:dyDescent="0.2">
      <c r="H5100" s="1"/>
    </row>
    <row r="5101" spans="8:8" x14ac:dyDescent="0.2">
      <c r="H5101" s="1"/>
    </row>
    <row r="5102" spans="8:8" x14ac:dyDescent="0.2">
      <c r="H5102" s="1"/>
    </row>
    <row r="5103" spans="8:8" x14ac:dyDescent="0.2">
      <c r="H5103" s="1"/>
    </row>
    <row r="5104" spans="8:8" x14ac:dyDescent="0.2">
      <c r="H5104" s="1"/>
    </row>
    <row r="5105" spans="8:8" x14ac:dyDescent="0.2">
      <c r="H5105" s="1"/>
    </row>
    <row r="5106" spans="8:8" x14ac:dyDescent="0.2">
      <c r="H5106" s="1"/>
    </row>
    <row r="5107" spans="8:8" x14ac:dyDescent="0.2">
      <c r="H5107" s="1"/>
    </row>
    <row r="5108" spans="8:8" x14ac:dyDescent="0.2">
      <c r="H5108" s="1"/>
    </row>
    <row r="5109" spans="8:8" x14ac:dyDescent="0.2">
      <c r="H5109" s="1"/>
    </row>
    <row r="5110" spans="8:8" x14ac:dyDescent="0.2">
      <c r="H5110" s="1"/>
    </row>
    <row r="5111" spans="8:8" x14ac:dyDescent="0.2">
      <c r="H5111" s="1"/>
    </row>
    <row r="5112" spans="8:8" x14ac:dyDescent="0.2">
      <c r="H5112" s="1"/>
    </row>
    <row r="5113" spans="8:8" x14ac:dyDescent="0.2">
      <c r="H5113" s="1"/>
    </row>
    <row r="5114" spans="8:8" x14ac:dyDescent="0.2">
      <c r="H5114" s="1"/>
    </row>
    <row r="5115" spans="8:8" x14ac:dyDescent="0.2">
      <c r="H5115" s="1"/>
    </row>
    <row r="5116" spans="8:8" x14ac:dyDescent="0.2">
      <c r="H5116" s="1"/>
    </row>
    <row r="5117" spans="8:8" x14ac:dyDescent="0.2">
      <c r="H5117" s="1"/>
    </row>
    <row r="5118" spans="8:8" x14ac:dyDescent="0.2">
      <c r="H5118" s="1"/>
    </row>
    <row r="5119" spans="8:8" x14ac:dyDescent="0.2">
      <c r="H5119" s="1"/>
    </row>
    <row r="5120" spans="8:8" x14ac:dyDescent="0.2">
      <c r="H5120" s="1"/>
    </row>
    <row r="5121" spans="8:8" x14ac:dyDescent="0.2">
      <c r="H5121" s="1"/>
    </row>
    <row r="5122" spans="8:8" x14ac:dyDescent="0.2">
      <c r="H5122" s="1"/>
    </row>
    <row r="5123" spans="8:8" x14ac:dyDescent="0.2">
      <c r="H5123" s="1"/>
    </row>
    <row r="5124" spans="8:8" x14ac:dyDescent="0.2">
      <c r="H5124" s="1"/>
    </row>
    <row r="5125" spans="8:8" x14ac:dyDescent="0.2">
      <c r="H5125" s="1"/>
    </row>
    <row r="5126" spans="8:8" x14ac:dyDescent="0.2">
      <c r="H5126" s="1"/>
    </row>
    <row r="5127" spans="8:8" x14ac:dyDescent="0.2">
      <c r="H5127" s="1"/>
    </row>
    <row r="5128" spans="8:8" x14ac:dyDescent="0.2">
      <c r="H5128" s="1"/>
    </row>
    <row r="5129" spans="8:8" x14ac:dyDescent="0.2">
      <c r="H5129" s="1"/>
    </row>
    <row r="5130" spans="8:8" x14ac:dyDescent="0.2">
      <c r="H5130" s="1"/>
    </row>
    <row r="5131" spans="8:8" x14ac:dyDescent="0.2">
      <c r="H5131" s="1"/>
    </row>
    <row r="5132" spans="8:8" x14ac:dyDescent="0.2">
      <c r="H5132" s="1"/>
    </row>
    <row r="5133" spans="8:8" x14ac:dyDescent="0.2">
      <c r="H5133" s="1"/>
    </row>
    <row r="5134" spans="8:8" x14ac:dyDescent="0.2">
      <c r="H5134" s="1"/>
    </row>
    <row r="5135" spans="8:8" x14ac:dyDescent="0.2">
      <c r="H5135" s="1"/>
    </row>
    <row r="5136" spans="8:8" x14ac:dyDescent="0.2">
      <c r="H5136" s="1"/>
    </row>
    <row r="5137" spans="8:8" x14ac:dyDescent="0.2">
      <c r="H5137" s="1"/>
    </row>
    <row r="5138" spans="8:8" x14ac:dyDescent="0.2">
      <c r="H5138" s="1"/>
    </row>
    <row r="5139" spans="8:8" x14ac:dyDescent="0.2">
      <c r="H5139" s="1"/>
    </row>
    <row r="5140" spans="8:8" x14ac:dyDescent="0.2">
      <c r="H5140" s="1"/>
    </row>
    <row r="5141" spans="8:8" x14ac:dyDescent="0.2">
      <c r="H5141" s="1"/>
    </row>
    <row r="5142" spans="8:8" x14ac:dyDescent="0.2">
      <c r="H5142" s="1"/>
    </row>
    <row r="5143" spans="8:8" x14ac:dyDescent="0.2">
      <c r="H5143" s="1"/>
    </row>
    <row r="5144" spans="8:8" x14ac:dyDescent="0.2">
      <c r="H5144" s="1"/>
    </row>
    <row r="5145" spans="8:8" x14ac:dyDescent="0.2">
      <c r="H5145" s="1"/>
    </row>
    <row r="5146" spans="8:8" x14ac:dyDescent="0.2">
      <c r="H5146" s="1"/>
    </row>
    <row r="5147" spans="8:8" x14ac:dyDescent="0.2">
      <c r="H5147" s="1"/>
    </row>
    <row r="5148" spans="8:8" x14ac:dyDescent="0.2">
      <c r="H5148" s="1"/>
    </row>
    <row r="5149" spans="8:8" x14ac:dyDescent="0.2">
      <c r="H5149" s="1"/>
    </row>
    <row r="5150" spans="8:8" x14ac:dyDescent="0.2">
      <c r="H5150" s="1"/>
    </row>
    <row r="5151" spans="8:8" x14ac:dyDescent="0.2">
      <c r="H5151" s="1"/>
    </row>
    <row r="5152" spans="8:8" x14ac:dyDescent="0.2">
      <c r="H5152" s="1"/>
    </row>
    <row r="5153" spans="8:8" x14ac:dyDescent="0.2">
      <c r="H5153" s="1"/>
    </row>
    <row r="5154" spans="8:8" x14ac:dyDescent="0.2">
      <c r="H5154" s="1"/>
    </row>
    <row r="5155" spans="8:8" x14ac:dyDescent="0.2">
      <c r="H5155" s="1"/>
    </row>
    <row r="5156" spans="8:8" x14ac:dyDescent="0.2">
      <c r="H5156" s="1"/>
    </row>
    <row r="5157" spans="8:8" x14ac:dyDescent="0.2">
      <c r="H5157" s="1"/>
    </row>
    <row r="5158" spans="8:8" x14ac:dyDescent="0.2">
      <c r="H5158" s="1"/>
    </row>
    <row r="5159" spans="8:8" x14ac:dyDescent="0.2">
      <c r="H5159" s="1"/>
    </row>
    <row r="5160" spans="8:8" x14ac:dyDescent="0.2">
      <c r="H5160" s="1"/>
    </row>
    <row r="5161" spans="8:8" x14ac:dyDescent="0.2">
      <c r="H5161" s="1"/>
    </row>
    <row r="5162" spans="8:8" x14ac:dyDescent="0.2">
      <c r="H5162" s="1"/>
    </row>
    <row r="5163" spans="8:8" x14ac:dyDescent="0.2">
      <c r="H5163" s="1"/>
    </row>
    <row r="5164" spans="8:8" x14ac:dyDescent="0.2">
      <c r="H5164" s="1"/>
    </row>
    <row r="5165" spans="8:8" x14ac:dyDescent="0.2">
      <c r="H5165" s="1"/>
    </row>
    <row r="5166" spans="8:8" x14ac:dyDescent="0.2">
      <c r="H5166" s="1"/>
    </row>
    <row r="5167" spans="8:8" x14ac:dyDescent="0.2">
      <c r="H5167" s="1"/>
    </row>
    <row r="5168" spans="8:8" x14ac:dyDescent="0.2">
      <c r="H5168" s="1"/>
    </row>
    <row r="5169" spans="8:8" x14ac:dyDescent="0.2">
      <c r="H5169" s="1"/>
    </row>
    <row r="5170" spans="8:8" x14ac:dyDescent="0.2">
      <c r="H5170" s="1"/>
    </row>
    <row r="5171" spans="8:8" x14ac:dyDescent="0.2">
      <c r="H5171" s="1"/>
    </row>
    <row r="5172" spans="8:8" x14ac:dyDescent="0.2">
      <c r="H5172" s="1"/>
    </row>
    <row r="5173" spans="8:8" x14ac:dyDescent="0.2">
      <c r="H5173" s="1"/>
    </row>
    <row r="5174" spans="8:8" x14ac:dyDescent="0.2">
      <c r="H5174" s="1"/>
    </row>
    <row r="5175" spans="8:8" x14ac:dyDescent="0.2">
      <c r="H5175" s="1"/>
    </row>
    <row r="5176" spans="8:8" x14ac:dyDescent="0.2">
      <c r="H5176" s="1"/>
    </row>
    <row r="5177" spans="8:8" x14ac:dyDescent="0.2">
      <c r="H5177" s="1"/>
    </row>
    <row r="5178" spans="8:8" x14ac:dyDescent="0.2">
      <c r="H5178" s="1"/>
    </row>
    <row r="5179" spans="8:8" x14ac:dyDescent="0.2">
      <c r="H5179" s="1"/>
    </row>
    <row r="5180" spans="8:8" x14ac:dyDescent="0.2">
      <c r="H5180" s="1"/>
    </row>
    <row r="5181" spans="8:8" x14ac:dyDescent="0.2">
      <c r="H5181" s="1"/>
    </row>
    <row r="5182" spans="8:8" x14ac:dyDescent="0.2">
      <c r="H5182" s="1"/>
    </row>
    <row r="5183" spans="8:8" x14ac:dyDescent="0.2">
      <c r="H5183" s="1"/>
    </row>
    <row r="5184" spans="8:8" x14ac:dyDescent="0.2">
      <c r="H5184" s="1"/>
    </row>
    <row r="5185" spans="8:8" x14ac:dyDescent="0.2">
      <c r="H5185" s="1"/>
    </row>
    <row r="5186" spans="8:8" x14ac:dyDescent="0.2">
      <c r="H5186" s="1"/>
    </row>
    <row r="5187" spans="8:8" x14ac:dyDescent="0.2">
      <c r="H5187" s="1"/>
    </row>
    <row r="5188" spans="8:8" x14ac:dyDescent="0.2">
      <c r="H5188" s="1"/>
    </row>
    <row r="5189" spans="8:8" x14ac:dyDescent="0.2">
      <c r="H5189" s="1"/>
    </row>
    <row r="5190" spans="8:8" x14ac:dyDescent="0.2">
      <c r="H5190" s="1"/>
    </row>
    <row r="5191" spans="8:8" x14ac:dyDescent="0.2">
      <c r="H5191" s="1"/>
    </row>
    <row r="5192" spans="8:8" x14ac:dyDescent="0.2">
      <c r="H5192" s="1"/>
    </row>
    <row r="5193" spans="8:8" x14ac:dyDescent="0.2">
      <c r="H5193" s="1"/>
    </row>
    <row r="5194" spans="8:8" x14ac:dyDescent="0.2">
      <c r="H5194" s="1"/>
    </row>
    <row r="5195" spans="8:8" x14ac:dyDescent="0.2">
      <c r="H5195" s="1"/>
    </row>
    <row r="5196" spans="8:8" x14ac:dyDescent="0.2">
      <c r="H5196" s="1"/>
    </row>
    <row r="5197" spans="8:8" x14ac:dyDescent="0.2">
      <c r="H5197" s="1"/>
    </row>
    <row r="5198" spans="8:8" x14ac:dyDescent="0.2">
      <c r="H5198" s="1"/>
    </row>
    <row r="5199" spans="8:8" x14ac:dyDescent="0.2">
      <c r="H5199" s="1"/>
    </row>
    <row r="5200" spans="8:8" x14ac:dyDescent="0.2">
      <c r="H5200" s="1"/>
    </row>
    <row r="5201" spans="8:8" x14ac:dyDescent="0.2">
      <c r="H5201" s="1"/>
    </row>
    <row r="5202" spans="8:8" x14ac:dyDescent="0.2">
      <c r="H5202" s="1"/>
    </row>
    <row r="5203" spans="8:8" x14ac:dyDescent="0.2">
      <c r="H5203" s="1"/>
    </row>
    <row r="5204" spans="8:8" x14ac:dyDescent="0.2">
      <c r="H5204" s="1"/>
    </row>
    <row r="5205" spans="8:8" x14ac:dyDescent="0.2">
      <c r="H5205" s="1"/>
    </row>
    <row r="5206" spans="8:8" x14ac:dyDescent="0.2">
      <c r="H5206" s="1"/>
    </row>
    <row r="5207" spans="8:8" x14ac:dyDescent="0.2">
      <c r="H5207" s="1"/>
    </row>
    <row r="5208" spans="8:8" x14ac:dyDescent="0.2">
      <c r="H5208" s="1"/>
    </row>
    <row r="5209" spans="8:8" x14ac:dyDescent="0.2">
      <c r="H5209" s="1"/>
    </row>
    <row r="5210" spans="8:8" x14ac:dyDescent="0.2">
      <c r="H5210" s="1"/>
    </row>
    <row r="5211" spans="8:8" x14ac:dyDescent="0.2">
      <c r="H5211" s="1"/>
    </row>
    <row r="5212" spans="8:8" x14ac:dyDescent="0.2">
      <c r="H5212" s="1"/>
    </row>
    <row r="5213" spans="8:8" x14ac:dyDescent="0.2">
      <c r="H5213" s="1"/>
    </row>
    <row r="5214" spans="8:8" x14ac:dyDescent="0.2">
      <c r="H5214" s="1"/>
    </row>
    <row r="5215" spans="8:8" x14ac:dyDescent="0.2">
      <c r="H5215" s="1"/>
    </row>
    <row r="5216" spans="8:8" x14ac:dyDescent="0.2">
      <c r="H5216" s="1"/>
    </row>
    <row r="5217" spans="8:8" x14ac:dyDescent="0.2">
      <c r="H5217" s="1"/>
    </row>
    <row r="5218" spans="8:8" x14ac:dyDescent="0.2">
      <c r="H5218" s="1"/>
    </row>
    <row r="5219" spans="8:8" x14ac:dyDescent="0.2">
      <c r="H5219" s="1"/>
    </row>
    <row r="5220" spans="8:8" x14ac:dyDescent="0.2">
      <c r="H5220" s="1"/>
    </row>
    <row r="5221" spans="8:8" x14ac:dyDescent="0.2">
      <c r="H5221" s="1"/>
    </row>
    <row r="5222" spans="8:8" x14ac:dyDescent="0.2">
      <c r="H5222" s="1"/>
    </row>
    <row r="5223" spans="8:8" x14ac:dyDescent="0.2">
      <c r="H5223" s="1"/>
    </row>
    <row r="5224" spans="8:8" x14ac:dyDescent="0.2">
      <c r="H5224" s="1"/>
    </row>
    <row r="5225" spans="8:8" x14ac:dyDescent="0.2">
      <c r="H5225" s="1"/>
    </row>
    <row r="5226" spans="8:8" x14ac:dyDescent="0.2">
      <c r="H5226" s="1"/>
    </row>
    <row r="5227" spans="8:8" x14ac:dyDescent="0.2">
      <c r="H5227" s="1"/>
    </row>
    <row r="5228" spans="8:8" x14ac:dyDescent="0.2">
      <c r="H5228" s="1"/>
    </row>
    <row r="5229" spans="8:8" x14ac:dyDescent="0.2">
      <c r="H5229" s="1"/>
    </row>
    <row r="5230" spans="8:8" x14ac:dyDescent="0.2">
      <c r="H5230" s="1"/>
    </row>
    <row r="5231" spans="8:8" x14ac:dyDescent="0.2">
      <c r="H5231" s="1"/>
    </row>
    <row r="5232" spans="8:8" x14ac:dyDescent="0.2">
      <c r="H5232" s="1"/>
    </row>
    <row r="5233" spans="8:8" x14ac:dyDescent="0.2">
      <c r="H5233" s="1"/>
    </row>
    <row r="5234" spans="8:8" x14ac:dyDescent="0.2">
      <c r="H5234" s="1"/>
    </row>
    <row r="5235" spans="8:8" x14ac:dyDescent="0.2">
      <c r="H5235" s="1"/>
    </row>
    <row r="5236" spans="8:8" x14ac:dyDescent="0.2">
      <c r="H5236" s="1"/>
    </row>
    <row r="5237" spans="8:8" x14ac:dyDescent="0.2">
      <c r="H5237" s="1"/>
    </row>
    <row r="5238" spans="8:8" x14ac:dyDescent="0.2">
      <c r="H5238" s="1"/>
    </row>
    <row r="5239" spans="8:8" x14ac:dyDescent="0.2">
      <c r="H5239" s="1"/>
    </row>
    <row r="5240" spans="8:8" x14ac:dyDescent="0.2">
      <c r="H5240" s="1"/>
    </row>
    <row r="5241" spans="8:8" x14ac:dyDescent="0.2">
      <c r="H5241" s="1"/>
    </row>
    <row r="5242" spans="8:8" x14ac:dyDescent="0.2">
      <c r="H5242" s="1"/>
    </row>
    <row r="5243" spans="8:8" x14ac:dyDescent="0.2">
      <c r="H5243" s="1"/>
    </row>
    <row r="5244" spans="8:8" x14ac:dyDescent="0.2">
      <c r="H5244" s="1"/>
    </row>
    <row r="5245" spans="8:8" x14ac:dyDescent="0.2">
      <c r="H5245" s="1"/>
    </row>
    <row r="5246" spans="8:8" x14ac:dyDescent="0.2">
      <c r="H5246" s="1"/>
    </row>
    <row r="5247" spans="8:8" x14ac:dyDescent="0.2">
      <c r="H5247" s="1"/>
    </row>
    <row r="5248" spans="8:8" x14ac:dyDescent="0.2">
      <c r="H5248" s="1"/>
    </row>
    <row r="5249" spans="8:8" x14ac:dyDescent="0.2">
      <c r="H5249" s="1"/>
    </row>
    <row r="5250" spans="8:8" x14ac:dyDescent="0.2">
      <c r="H5250" s="1"/>
    </row>
    <row r="5251" spans="8:8" x14ac:dyDescent="0.2">
      <c r="H5251" s="1"/>
    </row>
    <row r="5252" spans="8:8" x14ac:dyDescent="0.2">
      <c r="H5252" s="1"/>
    </row>
    <row r="5253" spans="8:8" x14ac:dyDescent="0.2">
      <c r="H5253" s="1"/>
    </row>
    <row r="5254" spans="8:8" x14ac:dyDescent="0.2">
      <c r="H5254" s="1"/>
    </row>
    <row r="5255" spans="8:8" x14ac:dyDescent="0.2">
      <c r="H5255" s="1"/>
    </row>
    <row r="5256" spans="8:8" x14ac:dyDescent="0.2">
      <c r="H5256" s="1"/>
    </row>
    <row r="5257" spans="8:8" x14ac:dyDescent="0.2">
      <c r="H5257" s="1"/>
    </row>
    <row r="5258" spans="8:8" x14ac:dyDescent="0.2">
      <c r="H5258" s="1"/>
    </row>
    <row r="5259" spans="8:8" x14ac:dyDescent="0.2">
      <c r="H5259" s="1"/>
    </row>
    <row r="5260" spans="8:8" x14ac:dyDescent="0.2">
      <c r="H5260" s="1"/>
    </row>
    <row r="5261" spans="8:8" x14ac:dyDescent="0.2">
      <c r="H5261" s="1"/>
    </row>
    <row r="5262" spans="8:8" x14ac:dyDescent="0.2">
      <c r="H5262" s="1"/>
    </row>
    <row r="5263" spans="8:8" x14ac:dyDescent="0.2">
      <c r="H5263" s="1"/>
    </row>
    <row r="5264" spans="8:8" x14ac:dyDescent="0.2">
      <c r="H5264" s="1"/>
    </row>
    <row r="5265" spans="8:8" x14ac:dyDescent="0.2">
      <c r="H5265" s="1"/>
    </row>
    <row r="5266" spans="8:8" x14ac:dyDescent="0.2">
      <c r="H5266" s="1"/>
    </row>
    <row r="5267" spans="8:8" x14ac:dyDescent="0.2">
      <c r="H5267" s="1"/>
    </row>
    <row r="5268" spans="8:8" x14ac:dyDescent="0.2">
      <c r="H5268" s="1"/>
    </row>
    <row r="5269" spans="8:8" x14ac:dyDescent="0.2">
      <c r="H5269" s="1"/>
    </row>
    <row r="5270" spans="8:8" x14ac:dyDescent="0.2">
      <c r="H5270" s="1"/>
    </row>
    <row r="5271" spans="8:8" x14ac:dyDescent="0.2">
      <c r="H5271" s="1"/>
    </row>
    <row r="5272" spans="8:8" x14ac:dyDescent="0.2">
      <c r="H5272" s="1"/>
    </row>
    <row r="5273" spans="8:8" x14ac:dyDescent="0.2">
      <c r="H5273" s="1"/>
    </row>
    <row r="5274" spans="8:8" x14ac:dyDescent="0.2">
      <c r="H5274" s="1"/>
    </row>
    <row r="5275" spans="8:8" x14ac:dyDescent="0.2">
      <c r="H5275" s="1"/>
    </row>
    <row r="5276" spans="8:8" x14ac:dyDescent="0.2">
      <c r="H5276" s="1"/>
    </row>
    <row r="5277" spans="8:8" x14ac:dyDescent="0.2">
      <c r="H5277" s="1"/>
    </row>
    <row r="5278" spans="8:8" x14ac:dyDescent="0.2">
      <c r="H5278" s="1"/>
    </row>
    <row r="5279" spans="8:8" x14ac:dyDescent="0.2">
      <c r="H5279" s="1"/>
    </row>
    <row r="5280" spans="8:8" x14ac:dyDescent="0.2">
      <c r="H5280" s="1"/>
    </row>
    <row r="5281" spans="8:8" x14ac:dyDescent="0.2">
      <c r="H5281" s="1"/>
    </row>
    <row r="5282" spans="8:8" x14ac:dyDescent="0.2">
      <c r="H5282" s="1"/>
    </row>
    <row r="5283" spans="8:8" x14ac:dyDescent="0.2">
      <c r="H5283" s="1"/>
    </row>
    <row r="5284" spans="8:8" x14ac:dyDescent="0.2">
      <c r="H5284" s="1"/>
    </row>
    <row r="5285" spans="8:8" x14ac:dyDescent="0.2">
      <c r="H5285" s="1"/>
    </row>
    <row r="5286" spans="8:8" x14ac:dyDescent="0.2">
      <c r="H5286" s="1"/>
    </row>
    <row r="5287" spans="8:8" x14ac:dyDescent="0.2">
      <c r="H5287" s="1"/>
    </row>
    <row r="5288" spans="8:8" x14ac:dyDescent="0.2">
      <c r="H5288" s="1"/>
    </row>
    <row r="5289" spans="8:8" x14ac:dyDescent="0.2">
      <c r="H5289" s="1"/>
    </row>
    <row r="5290" spans="8:8" x14ac:dyDescent="0.2">
      <c r="H5290" s="1"/>
    </row>
    <row r="5291" spans="8:8" x14ac:dyDescent="0.2">
      <c r="H5291" s="1"/>
    </row>
    <row r="5292" spans="8:8" x14ac:dyDescent="0.2">
      <c r="H5292" s="1"/>
    </row>
    <row r="5293" spans="8:8" x14ac:dyDescent="0.2">
      <c r="H5293" s="1"/>
    </row>
    <row r="5294" spans="8:8" x14ac:dyDescent="0.2">
      <c r="H5294" s="1"/>
    </row>
    <row r="5295" spans="8:8" x14ac:dyDescent="0.2">
      <c r="H5295" s="1"/>
    </row>
    <row r="5296" spans="8:8" x14ac:dyDescent="0.2">
      <c r="H5296" s="1"/>
    </row>
    <row r="5297" spans="8:8" x14ac:dyDescent="0.2">
      <c r="H5297" s="1"/>
    </row>
    <row r="5298" spans="8:8" x14ac:dyDescent="0.2">
      <c r="H5298" s="1"/>
    </row>
    <row r="5299" spans="8:8" x14ac:dyDescent="0.2">
      <c r="H5299" s="1"/>
    </row>
    <row r="5300" spans="8:8" x14ac:dyDescent="0.2">
      <c r="H5300" s="1"/>
    </row>
    <row r="5301" spans="8:8" x14ac:dyDescent="0.2">
      <c r="H5301" s="1"/>
    </row>
    <row r="5302" spans="8:8" x14ac:dyDescent="0.2">
      <c r="H5302" s="1"/>
    </row>
    <row r="5303" spans="8:8" x14ac:dyDescent="0.2">
      <c r="H5303" s="1"/>
    </row>
    <row r="5304" spans="8:8" x14ac:dyDescent="0.2">
      <c r="H5304" s="1"/>
    </row>
    <row r="5305" spans="8:8" x14ac:dyDescent="0.2">
      <c r="H5305" s="1"/>
    </row>
    <row r="5306" spans="8:8" x14ac:dyDescent="0.2">
      <c r="H5306" s="1"/>
    </row>
    <row r="5307" spans="8:8" x14ac:dyDescent="0.2">
      <c r="H5307" s="1"/>
    </row>
    <row r="5308" spans="8:8" x14ac:dyDescent="0.2">
      <c r="H5308" s="1"/>
    </row>
    <row r="5309" spans="8:8" x14ac:dyDescent="0.2">
      <c r="H5309" s="1"/>
    </row>
    <row r="5310" spans="8:8" x14ac:dyDescent="0.2">
      <c r="H5310" s="1"/>
    </row>
    <row r="5311" spans="8:8" x14ac:dyDescent="0.2">
      <c r="H5311" s="1"/>
    </row>
    <row r="5312" spans="8:8" x14ac:dyDescent="0.2">
      <c r="H5312" s="1"/>
    </row>
    <row r="5313" spans="8:8" x14ac:dyDescent="0.2">
      <c r="H5313" s="1"/>
    </row>
    <row r="5314" spans="8:8" x14ac:dyDescent="0.2">
      <c r="H5314" s="1"/>
    </row>
    <row r="5315" spans="8:8" x14ac:dyDescent="0.2">
      <c r="H5315" s="1"/>
    </row>
    <row r="5316" spans="8:8" x14ac:dyDescent="0.2">
      <c r="H5316" s="1"/>
    </row>
    <row r="5317" spans="8:8" x14ac:dyDescent="0.2">
      <c r="H5317" s="1"/>
    </row>
    <row r="5318" spans="8:8" x14ac:dyDescent="0.2">
      <c r="H5318" s="1"/>
    </row>
    <row r="5319" spans="8:8" x14ac:dyDescent="0.2">
      <c r="H5319" s="1"/>
    </row>
    <row r="5320" spans="8:8" x14ac:dyDescent="0.2">
      <c r="H5320" s="1"/>
    </row>
    <row r="5321" spans="8:8" x14ac:dyDescent="0.2">
      <c r="H5321" s="1"/>
    </row>
    <row r="5322" spans="8:8" x14ac:dyDescent="0.2">
      <c r="H5322" s="1"/>
    </row>
    <row r="5323" spans="8:8" x14ac:dyDescent="0.2">
      <c r="H5323" s="1"/>
    </row>
    <row r="5324" spans="8:8" x14ac:dyDescent="0.2">
      <c r="H5324" s="1"/>
    </row>
    <row r="5325" spans="8:8" x14ac:dyDescent="0.2">
      <c r="H5325" s="1"/>
    </row>
    <row r="5326" spans="8:8" x14ac:dyDescent="0.2">
      <c r="H5326" s="1"/>
    </row>
    <row r="5327" spans="8:8" x14ac:dyDescent="0.2">
      <c r="H5327" s="1"/>
    </row>
    <row r="5328" spans="8:8" x14ac:dyDescent="0.2">
      <c r="H5328" s="1"/>
    </row>
    <row r="5329" spans="8:8" x14ac:dyDescent="0.2">
      <c r="H5329" s="1"/>
    </row>
    <row r="5330" spans="8:8" x14ac:dyDescent="0.2">
      <c r="H5330" s="1"/>
    </row>
    <row r="5331" spans="8:8" x14ac:dyDescent="0.2">
      <c r="H5331" s="1"/>
    </row>
    <row r="5332" spans="8:8" x14ac:dyDescent="0.2">
      <c r="H5332" s="1"/>
    </row>
    <row r="5333" spans="8:8" x14ac:dyDescent="0.2">
      <c r="H5333" s="1"/>
    </row>
    <row r="5334" spans="8:8" x14ac:dyDescent="0.2">
      <c r="H5334" s="1"/>
    </row>
    <row r="5335" spans="8:8" x14ac:dyDescent="0.2">
      <c r="H5335" s="1"/>
    </row>
    <row r="5336" spans="8:8" x14ac:dyDescent="0.2">
      <c r="H5336" s="1"/>
    </row>
    <row r="5337" spans="8:8" x14ac:dyDescent="0.2">
      <c r="H5337" s="1"/>
    </row>
    <row r="5338" spans="8:8" x14ac:dyDescent="0.2">
      <c r="H5338" s="1"/>
    </row>
    <row r="5339" spans="8:8" x14ac:dyDescent="0.2">
      <c r="H5339" s="1"/>
    </row>
    <row r="5340" spans="8:8" x14ac:dyDescent="0.2">
      <c r="H5340" s="1"/>
    </row>
    <row r="5341" spans="8:8" x14ac:dyDescent="0.2">
      <c r="H5341" s="1"/>
    </row>
    <row r="5342" spans="8:8" x14ac:dyDescent="0.2">
      <c r="H5342" s="1"/>
    </row>
    <row r="5343" spans="8:8" x14ac:dyDescent="0.2">
      <c r="H5343" s="1"/>
    </row>
    <row r="5344" spans="8:8" x14ac:dyDescent="0.2">
      <c r="H5344" s="1"/>
    </row>
    <row r="5345" spans="8:8" x14ac:dyDescent="0.2">
      <c r="H5345" s="1"/>
    </row>
    <row r="5346" spans="8:8" x14ac:dyDescent="0.2">
      <c r="H5346" s="1"/>
    </row>
    <row r="5347" spans="8:8" x14ac:dyDescent="0.2">
      <c r="H5347" s="1"/>
    </row>
    <row r="5348" spans="8:8" x14ac:dyDescent="0.2">
      <c r="H5348" s="1"/>
    </row>
    <row r="5349" spans="8:8" x14ac:dyDescent="0.2">
      <c r="H5349" s="1"/>
    </row>
    <row r="5350" spans="8:8" x14ac:dyDescent="0.2">
      <c r="H5350" s="1"/>
    </row>
    <row r="5351" spans="8:8" x14ac:dyDescent="0.2">
      <c r="H5351" s="1"/>
    </row>
    <row r="5352" spans="8:8" x14ac:dyDescent="0.2">
      <c r="H5352" s="1"/>
    </row>
    <row r="5353" spans="8:8" x14ac:dyDescent="0.2">
      <c r="H5353" s="1"/>
    </row>
    <row r="5354" spans="8:8" x14ac:dyDescent="0.2">
      <c r="H5354" s="1"/>
    </row>
    <row r="5355" spans="8:8" x14ac:dyDescent="0.2">
      <c r="H5355" s="1"/>
    </row>
    <row r="5356" spans="8:8" x14ac:dyDescent="0.2">
      <c r="H5356" s="1"/>
    </row>
    <row r="5357" spans="8:8" x14ac:dyDescent="0.2">
      <c r="H5357" s="1"/>
    </row>
    <row r="5358" spans="8:8" x14ac:dyDescent="0.2">
      <c r="H5358" s="1"/>
    </row>
    <row r="5359" spans="8:8" x14ac:dyDescent="0.2">
      <c r="H5359" s="1"/>
    </row>
    <row r="5360" spans="8:8" x14ac:dyDescent="0.2">
      <c r="H5360" s="1"/>
    </row>
    <row r="5361" spans="8:8" x14ac:dyDescent="0.2">
      <c r="H5361" s="1"/>
    </row>
    <row r="5362" spans="8:8" x14ac:dyDescent="0.2">
      <c r="H5362" s="1"/>
    </row>
    <row r="5363" spans="8:8" x14ac:dyDescent="0.2">
      <c r="H5363" s="1"/>
    </row>
    <row r="5364" spans="8:8" x14ac:dyDescent="0.2">
      <c r="H5364" s="1"/>
    </row>
    <row r="5365" spans="8:8" x14ac:dyDescent="0.2">
      <c r="H5365" s="1"/>
    </row>
    <row r="5366" spans="8:8" x14ac:dyDescent="0.2">
      <c r="H5366" s="1"/>
    </row>
    <row r="5367" spans="8:8" x14ac:dyDescent="0.2">
      <c r="H5367" s="1"/>
    </row>
    <row r="5368" spans="8:8" x14ac:dyDescent="0.2">
      <c r="H5368" s="1"/>
    </row>
    <row r="5369" spans="8:8" x14ac:dyDescent="0.2">
      <c r="H5369" s="1"/>
    </row>
    <row r="5370" spans="8:8" x14ac:dyDescent="0.2">
      <c r="H5370" s="1"/>
    </row>
    <row r="5371" spans="8:8" x14ac:dyDescent="0.2">
      <c r="H5371" s="1"/>
    </row>
    <row r="5372" spans="8:8" x14ac:dyDescent="0.2">
      <c r="H5372" s="1"/>
    </row>
    <row r="5373" spans="8:8" x14ac:dyDescent="0.2">
      <c r="H5373" s="1"/>
    </row>
    <row r="5374" spans="8:8" x14ac:dyDescent="0.2">
      <c r="H5374" s="1"/>
    </row>
    <row r="5375" spans="8:8" x14ac:dyDescent="0.2">
      <c r="H5375" s="1"/>
    </row>
    <row r="5376" spans="8:8" x14ac:dyDescent="0.2">
      <c r="H5376" s="1"/>
    </row>
    <row r="5377" spans="8:8" x14ac:dyDescent="0.2">
      <c r="H5377" s="1"/>
    </row>
    <row r="5378" spans="8:8" x14ac:dyDescent="0.2">
      <c r="H5378" s="1"/>
    </row>
    <row r="5379" spans="8:8" x14ac:dyDescent="0.2">
      <c r="H5379" s="1"/>
    </row>
    <row r="5380" spans="8:8" x14ac:dyDescent="0.2">
      <c r="H5380" s="1"/>
    </row>
    <row r="5381" spans="8:8" x14ac:dyDescent="0.2">
      <c r="H5381" s="1"/>
    </row>
    <row r="5382" spans="8:8" x14ac:dyDescent="0.2">
      <c r="H5382" s="1"/>
    </row>
    <row r="5383" spans="8:8" x14ac:dyDescent="0.2">
      <c r="H5383" s="1"/>
    </row>
    <row r="5384" spans="8:8" x14ac:dyDescent="0.2">
      <c r="H5384" s="1"/>
    </row>
    <row r="5385" spans="8:8" x14ac:dyDescent="0.2">
      <c r="H5385" s="1"/>
    </row>
    <row r="5386" spans="8:8" x14ac:dyDescent="0.2">
      <c r="H5386" s="1"/>
    </row>
    <row r="5387" spans="8:8" x14ac:dyDescent="0.2">
      <c r="H5387" s="1"/>
    </row>
    <row r="5388" spans="8:8" x14ac:dyDescent="0.2">
      <c r="H5388" s="1"/>
    </row>
    <row r="5389" spans="8:8" x14ac:dyDescent="0.2">
      <c r="H5389" s="1"/>
    </row>
    <row r="5390" spans="8:8" x14ac:dyDescent="0.2">
      <c r="H5390" s="1"/>
    </row>
    <row r="5391" spans="8:8" x14ac:dyDescent="0.2">
      <c r="H5391" s="1"/>
    </row>
    <row r="5392" spans="8:8" x14ac:dyDescent="0.2">
      <c r="H5392" s="1"/>
    </row>
    <row r="5393" spans="8:8" x14ac:dyDescent="0.2">
      <c r="H5393" s="1"/>
    </row>
    <row r="5394" spans="8:8" x14ac:dyDescent="0.2">
      <c r="H5394" s="1"/>
    </row>
    <row r="5395" spans="8:8" x14ac:dyDescent="0.2">
      <c r="H5395" s="1"/>
    </row>
    <row r="5396" spans="8:8" x14ac:dyDescent="0.2">
      <c r="H5396" s="1"/>
    </row>
    <row r="5397" spans="8:8" x14ac:dyDescent="0.2">
      <c r="H5397" s="1"/>
    </row>
    <row r="5398" spans="8:8" x14ac:dyDescent="0.2">
      <c r="H5398" s="1"/>
    </row>
    <row r="5399" spans="8:8" x14ac:dyDescent="0.2">
      <c r="H5399" s="1"/>
    </row>
    <row r="5400" spans="8:8" x14ac:dyDescent="0.2">
      <c r="H5400" s="1"/>
    </row>
    <row r="5401" spans="8:8" x14ac:dyDescent="0.2">
      <c r="H5401" s="1"/>
    </row>
    <row r="5402" spans="8:8" x14ac:dyDescent="0.2">
      <c r="H5402" s="1"/>
    </row>
    <row r="5403" spans="8:8" x14ac:dyDescent="0.2">
      <c r="H5403" s="1"/>
    </row>
    <row r="5404" spans="8:8" x14ac:dyDescent="0.2">
      <c r="H5404" s="1"/>
    </row>
    <row r="5405" spans="8:8" x14ac:dyDescent="0.2">
      <c r="H5405" s="1"/>
    </row>
    <row r="5406" spans="8:8" x14ac:dyDescent="0.2">
      <c r="H5406" s="1"/>
    </row>
    <row r="5407" spans="8:8" x14ac:dyDescent="0.2">
      <c r="H5407" s="1"/>
    </row>
    <row r="5408" spans="8:8" x14ac:dyDescent="0.2">
      <c r="H5408" s="1"/>
    </row>
    <row r="5409" spans="8:8" x14ac:dyDescent="0.2">
      <c r="H5409" s="1"/>
    </row>
    <row r="5410" spans="8:8" x14ac:dyDescent="0.2">
      <c r="H5410" s="1"/>
    </row>
    <row r="5411" spans="8:8" x14ac:dyDescent="0.2">
      <c r="H5411" s="1"/>
    </row>
    <row r="5412" spans="8:8" x14ac:dyDescent="0.2">
      <c r="H5412" s="1"/>
    </row>
    <row r="5413" spans="8:8" x14ac:dyDescent="0.2">
      <c r="H5413" s="1"/>
    </row>
    <row r="5414" spans="8:8" x14ac:dyDescent="0.2">
      <c r="H5414" s="1"/>
    </row>
    <row r="5415" spans="8:8" x14ac:dyDescent="0.2">
      <c r="H5415" s="1"/>
    </row>
    <row r="5416" spans="8:8" x14ac:dyDescent="0.2">
      <c r="H5416" s="1"/>
    </row>
    <row r="5417" spans="8:8" x14ac:dyDescent="0.2">
      <c r="H5417" s="1"/>
    </row>
    <row r="5418" spans="8:8" x14ac:dyDescent="0.2">
      <c r="H5418" s="1"/>
    </row>
    <row r="5419" spans="8:8" x14ac:dyDescent="0.2">
      <c r="H5419" s="1"/>
    </row>
    <row r="5420" spans="8:8" x14ac:dyDescent="0.2">
      <c r="H5420" s="1"/>
    </row>
    <row r="5421" spans="8:8" x14ac:dyDescent="0.2">
      <c r="H5421" s="1"/>
    </row>
    <row r="5422" spans="8:8" x14ac:dyDescent="0.2">
      <c r="H5422" s="1"/>
    </row>
    <row r="5423" spans="8:8" x14ac:dyDescent="0.2">
      <c r="H5423" s="1"/>
    </row>
    <row r="5424" spans="8:8" x14ac:dyDescent="0.2">
      <c r="H5424" s="1"/>
    </row>
    <row r="5425" spans="8:8" x14ac:dyDescent="0.2">
      <c r="H5425" s="1"/>
    </row>
    <row r="5426" spans="8:8" x14ac:dyDescent="0.2">
      <c r="H5426" s="1"/>
    </row>
    <row r="5427" spans="8:8" x14ac:dyDescent="0.2">
      <c r="H5427" s="1"/>
    </row>
    <row r="5428" spans="8:8" x14ac:dyDescent="0.2">
      <c r="H5428" s="1"/>
    </row>
    <row r="5429" spans="8:8" x14ac:dyDescent="0.2">
      <c r="H5429" s="1"/>
    </row>
    <row r="5430" spans="8:8" x14ac:dyDescent="0.2">
      <c r="H5430" s="1"/>
    </row>
    <row r="5431" spans="8:8" x14ac:dyDescent="0.2">
      <c r="H5431" s="1"/>
    </row>
    <row r="5432" spans="8:8" x14ac:dyDescent="0.2">
      <c r="H5432" s="1"/>
    </row>
    <row r="5433" spans="8:8" x14ac:dyDescent="0.2">
      <c r="H5433" s="1"/>
    </row>
    <row r="5434" spans="8:8" x14ac:dyDescent="0.2">
      <c r="H5434" s="1"/>
    </row>
    <row r="5435" spans="8:8" x14ac:dyDescent="0.2">
      <c r="H5435" s="1"/>
    </row>
    <row r="5436" spans="8:8" x14ac:dyDescent="0.2">
      <c r="H5436" s="1"/>
    </row>
    <row r="5437" spans="8:8" x14ac:dyDescent="0.2">
      <c r="H5437" s="1"/>
    </row>
    <row r="5438" spans="8:8" x14ac:dyDescent="0.2">
      <c r="H5438" s="1"/>
    </row>
    <row r="5439" spans="8:8" x14ac:dyDescent="0.2">
      <c r="H5439" s="1"/>
    </row>
    <row r="5440" spans="8:8" x14ac:dyDescent="0.2">
      <c r="H5440" s="1"/>
    </row>
    <row r="5441" spans="8:8" x14ac:dyDescent="0.2">
      <c r="H5441" s="1"/>
    </row>
    <row r="5442" spans="8:8" x14ac:dyDescent="0.2">
      <c r="H5442" s="1"/>
    </row>
    <row r="5443" spans="8:8" x14ac:dyDescent="0.2">
      <c r="H5443" s="1"/>
    </row>
    <row r="5444" spans="8:8" x14ac:dyDescent="0.2">
      <c r="H5444" s="1"/>
    </row>
    <row r="5445" spans="8:8" x14ac:dyDescent="0.2">
      <c r="H5445" s="1"/>
    </row>
    <row r="5446" spans="8:8" x14ac:dyDescent="0.2">
      <c r="H5446" s="1"/>
    </row>
    <row r="5447" spans="8:8" x14ac:dyDescent="0.2">
      <c r="H5447" s="1"/>
    </row>
    <row r="5448" spans="8:8" x14ac:dyDescent="0.2">
      <c r="H5448" s="1"/>
    </row>
    <row r="5449" spans="8:8" x14ac:dyDescent="0.2">
      <c r="H5449" s="1"/>
    </row>
    <row r="5450" spans="8:8" x14ac:dyDescent="0.2">
      <c r="H5450" s="1"/>
    </row>
    <row r="5451" spans="8:8" x14ac:dyDescent="0.2">
      <c r="H5451" s="1"/>
    </row>
    <row r="5452" spans="8:8" x14ac:dyDescent="0.2">
      <c r="H5452" s="1"/>
    </row>
    <row r="5453" spans="8:8" x14ac:dyDescent="0.2">
      <c r="H5453" s="1"/>
    </row>
    <row r="5454" spans="8:8" x14ac:dyDescent="0.2">
      <c r="H5454" s="1"/>
    </row>
    <row r="5455" spans="8:8" x14ac:dyDescent="0.2">
      <c r="H5455" s="1"/>
    </row>
    <row r="5456" spans="8:8" x14ac:dyDescent="0.2">
      <c r="H5456" s="1"/>
    </row>
    <row r="5457" spans="8:8" x14ac:dyDescent="0.2">
      <c r="H5457" s="1"/>
    </row>
    <row r="5458" spans="8:8" x14ac:dyDescent="0.2">
      <c r="H5458" s="1"/>
    </row>
    <row r="5459" spans="8:8" x14ac:dyDescent="0.2">
      <c r="H5459" s="1"/>
    </row>
    <row r="5460" spans="8:8" x14ac:dyDescent="0.2">
      <c r="H5460" s="1"/>
    </row>
    <row r="5461" spans="8:8" x14ac:dyDescent="0.2">
      <c r="H5461" s="1"/>
    </row>
    <row r="5462" spans="8:8" x14ac:dyDescent="0.2">
      <c r="H5462" s="1"/>
    </row>
    <row r="5463" spans="8:8" x14ac:dyDescent="0.2">
      <c r="H5463" s="1"/>
    </row>
    <row r="5464" spans="8:8" x14ac:dyDescent="0.2">
      <c r="H5464" s="1"/>
    </row>
    <row r="5465" spans="8:8" x14ac:dyDescent="0.2">
      <c r="H5465" s="1"/>
    </row>
    <row r="5466" spans="8:8" x14ac:dyDescent="0.2">
      <c r="H5466" s="1"/>
    </row>
    <row r="5467" spans="8:8" x14ac:dyDescent="0.2">
      <c r="H5467" s="1"/>
    </row>
    <row r="5468" spans="8:8" x14ac:dyDescent="0.2">
      <c r="H5468" s="1"/>
    </row>
    <row r="5469" spans="8:8" x14ac:dyDescent="0.2">
      <c r="H5469" s="1"/>
    </row>
    <row r="5470" spans="8:8" x14ac:dyDescent="0.2">
      <c r="H5470" s="1"/>
    </row>
    <row r="5471" spans="8:8" x14ac:dyDescent="0.2">
      <c r="H5471" s="1"/>
    </row>
    <row r="5472" spans="8:8" x14ac:dyDescent="0.2">
      <c r="H5472" s="1"/>
    </row>
    <row r="5473" spans="8:8" x14ac:dyDescent="0.2">
      <c r="H5473" s="1"/>
    </row>
    <row r="5474" spans="8:8" x14ac:dyDescent="0.2">
      <c r="H5474" s="1"/>
    </row>
    <row r="5475" spans="8:8" x14ac:dyDescent="0.2">
      <c r="H5475" s="1"/>
    </row>
    <row r="5476" spans="8:8" x14ac:dyDescent="0.2">
      <c r="H5476" s="1"/>
    </row>
    <row r="5477" spans="8:8" x14ac:dyDescent="0.2">
      <c r="H5477" s="1"/>
    </row>
    <row r="5478" spans="8:8" x14ac:dyDescent="0.2">
      <c r="H5478" s="1"/>
    </row>
    <row r="5479" spans="8:8" x14ac:dyDescent="0.2">
      <c r="H5479" s="1"/>
    </row>
    <row r="5480" spans="8:8" x14ac:dyDescent="0.2">
      <c r="H5480" s="1"/>
    </row>
    <row r="5481" spans="8:8" x14ac:dyDescent="0.2">
      <c r="H5481" s="1"/>
    </row>
    <row r="5482" spans="8:8" x14ac:dyDescent="0.2">
      <c r="H5482" s="1"/>
    </row>
    <row r="5483" spans="8:8" x14ac:dyDescent="0.2">
      <c r="H5483" s="1"/>
    </row>
    <row r="5484" spans="8:8" x14ac:dyDescent="0.2">
      <c r="H5484" s="1"/>
    </row>
    <row r="5485" spans="8:8" x14ac:dyDescent="0.2">
      <c r="H5485" s="1"/>
    </row>
    <row r="5486" spans="8:8" x14ac:dyDescent="0.2">
      <c r="H5486" s="1"/>
    </row>
    <row r="5487" spans="8:8" x14ac:dyDescent="0.2">
      <c r="H5487" s="1"/>
    </row>
    <row r="5488" spans="8:8" x14ac:dyDescent="0.2">
      <c r="H5488" s="1"/>
    </row>
    <row r="5489" spans="8:8" x14ac:dyDescent="0.2">
      <c r="H5489" s="1"/>
    </row>
    <row r="5490" spans="8:8" x14ac:dyDescent="0.2">
      <c r="H5490" s="1"/>
    </row>
    <row r="5491" spans="8:8" x14ac:dyDescent="0.2">
      <c r="H5491" s="1"/>
    </row>
    <row r="5492" spans="8:8" x14ac:dyDescent="0.2">
      <c r="H5492" s="1"/>
    </row>
    <row r="5493" spans="8:8" x14ac:dyDescent="0.2">
      <c r="H5493" s="1"/>
    </row>
    <row r="5494" spans="8:8" x14ac:dyDescent="0.2">
      <c r="H5494" s="1"/>
    </row>
    <row r="5495" spans="8:8" x14ac:dyDescent="0.2">
      <c r="H5495" s="1"/>
    </row>
    <row r="5496" spans="8:8" x14ac:dyDescent="0.2">
      <c r="H5496" s="1"/>
    </row>
    <row r="5497" spans="8:8" x14ac:dyDescent="0.2">
      <c r="H5497" s="1"/>
    </row>
    <row r="5498" spans="8:8" x14ac:dyDescent="0.2">
      <c r="H5498" s="1"/>
    </row>
    <row r="5499" spans="8:8" x14ac:dyDescent="0.2">
      <c r="H5499" s="1"/>
    </row>
    <row r="5500" spans="8:8" x14ac:dyDescent="0.2">
      <c r="H5500" s="1"/>
    </row>
    <row r="5501" spans="8:8" x14ac:dyDescent="0.2">
      <c r="H5501" s="1"/>
    </row>
    <row r="5502" spans="8:8" x14ac:dyDescent="0.2">
      <c r="H5502" s="1"/>
    </row>
    <row r="5503" spans="8:8" x14ac:dyDescent="0.2">
      <c r="H5503" s="1"/>
    </row>
    <row r="5504" spans="8:8" x14ac:dyDescent="0.2">
      <c r="H5504" s="1"/>
    </row>
    <row r="5505" spans="8:8" x14ac:dyDescent="0.2">
      <c r="H5505" s="1"/>
    </row>
    <row r="5506" spans="8:8" x14ac:dyDescent="0.2">
      <c r="H5506" s="1"/>
    </row>
    <row r="5507" spans="8:8" x14ac:dyDescent="0.2">
      <c r="H5507" s="1"/>
    </row>
    <row r="5508" spans="8:8" x14ac:dyDescent="0.2">
      <c r="H5508" s="1"/>
    </row>
    <row r="5509" spans="8:8" x14ac:dyDescent="0.2">
      <c r="H5509" s="1"/>
    </row>
    <row r="5510" spans="8:8" x14ac:dyDescent="0.2">
      <c r="H5510" s="1"/>
    </row>
    <row r="5511" spans="8:8" x14ac:dyDescent="0.2">
      <c r="H5511" s="1"/>
    </row>
    <row r="5512" spans="8:8" x14ac:dyDescent="0.2">
      <c r="H5512" s="1"/>
    </row>
    <row r="5513" spans="8:8" x14ac:dyDescent="0.2">
      <c r="H5513" s="1"/>
    </row>
    <row r="5514" spans="8:8" x14ac:dyDescent="0.2">
      <c r="H5514" s="1"/>
    </row>
    <row r="5515" spans="8:8" x14ac:dyDescent="0.2">
      <c r="H5515" s="1"/>
    </row>
    <row r="5516" spans="8:8" x14ac:dyDescent="0.2">
      <c r="H5516" s="1"/>
    </row>
    <row r="5517" spans="8:8" x14ac:dyDescent="0.2">
      <c r="H5517" s="1"/>
    </row>
    <row r="5518" spans="8:8" x14ac:dyDescent="0.2">
      <c r="H5518" s="1"/>
    </row>
    <row r="5519" spans="8:8" x14ac:dyDescent="0.2">
      <c r="H5519" s="1"/>
    </row>
    <row r="5520" spans="8:8" x14ac:dyDescent="0.2">
      <c r="H5520" s="1"/>
    </row>
    <row r="5521" spans="8:8" x14ac:dyDescent="0.2">
      <c r="H5521" s="1"/>
    </row>
    <row r="5522" spans="8:8" x14ac:dyDescent="0.2">
      <c r="H5522" s="1"/>
    </row>
    <row r="5523" spans="8:8" x14ac:dyDescent="0.2">
      <c r="H5523" s="1"/>
    </row>
    <row r="5524" spans="8:8" x14ac:dyDescent="0.2">
      <c r="H5524" s="1"/>
    </row>
    <row r="5525" spans="8:8" x14ac:dyDescent="0.2">
      <c r="H5525" s="1"/>
    </row>
    <row r="5526" spans="8:8" x14ac:dyDescent="0.2">
      <c r="H5526" s="1"/>
    </row>
    <row r="5527" spans="8:8" x14ac:dyDescent="0.2">
      <c r="H5527" s="1"/>
    </row>
    <row r="5528" spans="8:8" x14ac:dyDescent="0.2">
      <c r="H5528" s="1"/>
    </row>
    <row r="5529" spans="8:8" x14ac:dyDescent="0.2">
      <c r="H5529" s="1"/>
    </row>
    <row r="5530" spans="8:8" x14ac:dyDescent="0.2">
      <c r="H5530" s="1"/>
    </row>
    <row r="5531" spans="8:8" x14ac:dyDescent="0.2">
      <c r="H5531" s="1"/>
    </row>
    <row r="5532" spans="8:8" x14ac:dyDescent="0.2">
      <c r="H5532" s="1"/>
    </row>
    <row r="5533" spans="8:8" x14ac:dyDescent="0.2">
      <c r="H5533" s="1"/>
    </row>
    <row r="5534" spans="8:8" x14ac:dyDescent="0.2">
      <c r="H5534" s="1"/>
    </row>
    <row r="5535" spans="8:8" x14ac:dyDescent="0.2">
      <c r="H5535" s="1"/>
    </row>
    <row r="5536" spans="8:8" x14ac:dyDescent="0.2">
      <c r="H5536" s="1"/>
    </row>
    <row r="5537" spans="8:8" x14ac:dyDescent="0.2">
      <c r="H5537" s="1"/>
    </row>
    <row r="5538" spans="8:8" x14ac:dyDescent="0.2">
      <c r="H5538" s="1"/>
    </row>
    <row r="5539" spans="8:8" x14ac:dyDescent="0.2">
      <c r="H5539" s="1"/>
    </row>
    <row r="5540" spans="8:8" x14ac:dyDescent="0.2">
      <c r="H5540" s="1"/>
    </row>
    <row r="5541" spans="8:8" x14ac:dyDescent="0.2">
      <c r="H5541" s="1"/>
    </row>
    <row r="5542" spans="8:8" x14ac:dyDescent="0.2">
      <c r="H5542" s="1"/>
    </row>
    <row r="5543" spans="8:8" x14ac:dyDescent="0.2">
      <c r="H5543" s="1"/>
    </row>
    <row r="5544" spans="8:8" x14ac:dyDescent="0.2">
      <c r="H5544" s="1"/>
    </row>
    <row r="5545" spans="8:8" x14ac:dyDescent="0.2">
      <c r="H5545" s="1"/>
    </row>
    <row r="5546" spans="8:8" x14ac:dyDescent="0.2">
      <c r="H5546" s="1"/>
    </row>
    <row r="5547" spans="8:8" x14ac:dyDescent="0.2">
      <c r="H5547" s="1"/>
    </row>
    <row r="5548" spans="8:8" x14ac:dyDescent="0.2">
      <c r="H5548" s="1"/>
    </row>
    <row r="5549" spans="8:8" x14ac:dyDescent="0.2">
      <c r="H5549" s="1"/>
    </row>
    <row r="5550" spans="8:8" x14ac:dyDescent="0.2">
      <c r="H5550" s="1"/>
    </row>
    <row r="5551" spans="8:8" x14ac:dyDescent="0.2">
      <c r="H5551" s="1"/>
    </row>
    <row r="5552" spans="8:8" x14ac:dyDescent="0.2">
      <c r="H5552" s="1"/>
    </row>
    <row r="5553" spans="8:8" x14ac:dyDescent="0.2">
      <c r="H5553" s="1"/>
    </row>
    <row r="5554" spans="8:8" x14ac:dyDescent="0.2">
      <c r="H5554" s="1"/>
    </row>
    <row r="5555" spans="8:8" x14ac:dyDescent="0.2">
      <c r="H5555" s="1"/>
    </row>
    <row r="5556" spans="8:8" x14ac:dyDescent="0.2">
      <c r="H5556" s="1"/>
    </row>
    <row r="5557" spans="8:8" x14ac:dyDescent="0.2">
      <c r="H5557" s="1"/>
    </row>
    <row r="5558" spans="8:8" x14ac:dyDescent="0.2">
      <c r="H5558" s="1"/>
    </row>
    <row r="5559" spans="8:8" x14ac:dyDescent="0.2">
      <c r="H5559" s="1"/>
    </row>
    <row r="5560" spans="8:8" x14ac:dyDescent="0.2">
      <c r="H5560" s="1"/>
    </row>
    <row r="5561" spans="8:8" x14ac:dyDescent="0.2">
      <c r="H5561" s="1"/>
    </row>
    <row r="5562" spans="8:8" x14ac:dyDescent="0.2">
      <c r="H5562" s="1"/>
    </row>
    <row r="5563" spans="8:8" x14ac:dyDescent="0.2">
      <c r="H5563" s="1"/>
    </row>
    <row r="5564" spans="8:8" x14ac:dyDescent="0.2">
      <c r="H5564" s="1"/>
    </row>
    <row r="5565" spans="8:8" x14ac:dyDescent="0.2">
      <c r="H5565" s="1"/>
    </row>
    <row r="5566" spans="8:8" x14ac:dyDescent="0.2">
      <c r="H5566" s="1"/>
    </row>
    <row r="5567" spans="8:8" x14ac:dyDescent="0.2">
      <c r="H5567" s="1"/>
    </row>
    <row r="5568" spans="8:8" x14ac:dyDescent="0.2">
      <c r="H5568" s="1"/>
    </row>
    <row r="5569" spans="8:8" x14ac:dyDescent="0.2">
      <c r="H5569" s="1"/>
    </row>
    <row r="5570" spans="8:8" x14ac:dyDescent="0.2">
      <c r="H5570" s="1"/>
    </row>
    <row r="5571" spans="8:8" x14ac:dyDescent="0.2">
      <c r="H5571" s="1"/>
    </row>
    <row r="5572" spans="8:8" x14ac:dyDescent="0.2">
      <c r="H5572" s="1"/>
    </row>
    <row r="5573" spans="8:8" x14ac:dyDescent="0.2">
      <c r="H5573" s="1"/>
    </row>
    <row r="5574" spans="8:8" x14ac:dyDescent="0.2">
      <c r="H5574" s="1"/>
    </row>
    <row r="5575" spans="8:8" x14ac:dyDescent="0.2">
      <c r="H5575" s="1"/>
    </row>
    <row r="5576" spans="8:8" x14ac:dyDescent="0.2">
      <c r="H5576" s="1"/>
    </row>
    <row r="5577" spans="8:8" x14ac:dyDescent="0.2">
      <c r="H5577" s="1"/>
    </row>
    <row r="5578" spans="8:8" x14ac:dyDescent="0.2">
      <c r="H5578" s="1"/>
    </row>
    <row r="5579" spans="8:8" x14ac:dyDescent="0.2">
      <c r="H5579" s="1"/>
    </row>
    <row r="5580" spans="8:8" x14ac:dyDescent="0.2">
      <c r="H5580" s="1"/>
    </row>
    <row r="5581" spans="8:8" x14ac:dyDescent="0.2">
      <c r="H5581" s="1"/>
    </row>
    <row r="5582" spans="8:8" x14ac:dyDescent="0.2">
      <c r="H5582" s="1"/>
    </row>
    <row r="5583" spans="8:8" x14ac:dyDescent="0.2">
      <c r="H5583" s="1"/>
    </row>
    <row r="5584" spans="8:8" x14ac:dyDescent="0.2">
      <c r="H5584" s="1"/>
    </row>
    <row r="5585" spans="8:8" x14ac:dyDescent="0.2">
      <c r="H5585" s="1"/>
    </row>
    <row r="5586" spans="8:8" x14ac:dyDescent="0.2">
      <c r="H5586" s="1"/>
    </row>
    <row r="5587" spans="8:8" x14ac:dyDescent="0.2">
      <c r="H5587" s="1"/>
    </row>
    <row r="5588" spans="8:8" x14ac:dyDescent="0.2">
      <c r="H5588" s="1"/>
    </row>
    <row r="5589" spans="8:8" x14ac:dyDescent="0.2">
      <c r="H5589" s="1"/>
    </row>
    <row r="5590" spans="8:8" x14ac:dyDescent="0.2">
      <c r="H5590" s="1"/>
    </row>
    <row r="5591" spans="8:8" x14ac:dyDescent="0.2">
      <c r="H5591" s="1"/>
    </row>
    <row r="5592" spans="8:8" x14ac:dyDescent="0.2">
      <c r="H5592" s="1"/>
    </row>
    <row r="5593" spans="8:8" x14ac:dyDescent="0.2">
      <c r="H5593" s="1"/>
    </row>
    <row r="5594" spans="8:8" x14ac:dyDescent="0.2">
      <c r="H5594" s="1"/>
    </row>
    <row r="5595" spans="8:8" x14ac:dyDescent="0.2">
      <c r="H5595" s="1"/>
    </row>
    <row r="5596" spans="8:8" x14ac:dyDescent="0.2">
      <c r="H5596" s="1"/>
    </row>
    <row r="5597" spans="8:8" x14ac:dyDescent="0.2">
      <c r="H5597" s="1"/>
    </row>
    <row r="5598" spans="8:8" x14ac:dyDescent="0.2">
      <c r="H5598" s="1"/>
    </row>
    <row r="5599" spans="8:8" x14ac:dyDescent="0.2">
      <c r="H5599" s="1"/>
    </row>
    <row r="5600" spans="8:8" x14ac:dyDescent="0.2">
      <c r="H5600" s="1"/>
    </row>
    <row r="5601" spans="8:8" x14ac:dyDescent="0.2">
      <c r="H5601" s="1"/>
    </row>
    <row r="5602" spans="8:8" x14ac:dyDescent="0.2">
      <c r="H5602" s="1"/>
    </row>
    <row r="5603" spans="8:8" x14ac:dyDescent="0.2">
      <c r="H5603" s="1"/>
    </row>
    <row r="5604" spans="8:8" x14ac:dyDescent="0.2">
      <c r="H5604" s="1"/>
    </row>
    <row r="5605" spans="8:8" x14ac:dyDescent="0.2">
      <c r="H5605" s="1"/>
    </row>
    <row r="5606" spans="8:8" x14ac:dyDescent="0.2">
      <c r="H5606" s="1"/>
    </row>
    <row r="5607" spans="8:8" x14ac:dyDescent="0.2">
      <c r="H5607" s="1"/>
    </row>
    <row r="5608" spans="8:8" x14ac:dyDescent="0.2">
      <c r="H5608" s="1"/>
    </row>
    <row r="5609" spans="8:8" x14ac:dyDescent="0.2">
      <c r="H5609" s="1"/>
    </row>
    <row r="5610" spans="8:8" x14ac:dyDescent="0.2">
      <c r="H5610" s="1"/>
    </row>
    <row r="5611" spans="8:8" x14ac:dyDescent="0.2">
      <c r="H5611" s="1"/>
    </row>
    <row r="5612" spans="8:8" x14ac:dyDescent="0.2">
      <c r="H5612" s="1"/>
    </row>
    <row r="5613" spans="8:8" x14ac:dyDescent="0.2">
      <c r="H5613" s="1"/>
    </row>
    <row r="5614" spans="8:8" x14ac:dyDescent="0.2">
      <c r="H5614" s="1"/>
    </row>
    <row r="5615" spans="8:8" x14ac:dyDescent="0.2">
      <c r="H5615" s="1"/>
    </row>
    <row r="5616" spans="8:8" x14ac:dyDescent="0.2">
      <c r="H5616" s="1"/>
    </row>
    <row r="5617" spans="8:8" x14ac:dyDescent="0.2">
      <c r="H5617" s="1"/>
    </row>
    <row r="5618" spans="8:8" x14ac:dyDescent="0.2">
      <c r="H5618" s="1"/>
    </row>
    <row r="5619" spans="8:8" x14ac:dyDescent="0.2">
      <c r="H5619" s="1"/>
    </row>
    <row r="5620" spans="8:8" x14ac:dyDescent="0.2">
      <c r="H5620" s="1"/>
    </row>
    <row r="5621" spans="8:8" x14ac:dyDescent="0.2">
      <c r="H5621" s="1"/>
    </row>
    <row r="5622" spans="8:8" x14ac:dyDescent="0.2">
      <c r="H5622" s="1"/>
    </row>
    <row r="5623" spans="8:8" x14ac:dyDescent="0.2">
      <c r="H5623" s="1"/>
    </row>
    <row r="5624" spans="8:8" x14ac:dyDescent="0.2">
      <c r="H5624" s="1"/>
    </row>
    <row r="5625" spans="8:8" x14ac:dyDescent="0.2">
      <c r="H5625" s="1"/>
    </row>
    <row r="5626" spans="8:8" x14ac:dyDescent="0.2">
      <c r="H5626" s="1"/>
    </row>
    <row r="5627" spans="8:8" x14ac:dyDescent="0.2">
      <c r="H5627" s="1"/>
    </row>
    <row r="5628" spans="8:8" x14ac:dyDescent="0.2">
      <c r="H5628" s="1"/>
    </row>
    <row r="5629" spans="8:8" x14ac:dyDescent="0.2">
      <c r="H5629" s="1"/>
    </row>
    <row r="5630" spans="8:8" x14ac:dyDescent="0.2">
      <c r="H5630" s="1"/>
    </row>
    <row r="5631" spans="8:8" x14ac:dyDescent="0.2">
      <c r="H5631" s="1"/>
    </row>
    <row r="5632" spans="8:8" x14ac:dyDescent="0.2">
      <c r="H5632" s="1"/>
    </row>
    <row r="5633" spans="8:8" x14ac:dyDescent="0.2">
      <c r="H5633" s="1"/>
    </row>
    <row r="5634" spans="8:8" x14ac:dyDescent="0.2">
      <c r="H5634" s="1"/>
    </row>
    <row r="5635" spans="8:8" x14ac:dyDescent="0.2">
      <c r="H5635" s="1"/>
    </row>
    <row r="5636" spans="8:8" x14ac:dyDescent="0.2">
      <c r="H5636" s="1"/>
    </row>
    <row r="5637" spans="8:8" x14ac:dyDescent="0.2">
      <c r="H5637" s="1"/>
    </row>
    <row r="5638" spans="8:8" x14ac:dyDescent="0.2">
      <c r="H5638" s="1"/>
    </row>
    <row r="5639" spans="8:8" x14ac:dyDescent="0.2">
      <c r="H5639" s="1"/>
    </row>
    <row r="5640" spans="8:8" x14ac:dyDescent="0.2">
      <c r="H5640" s="1"/>
    </row>
    <row r="5641" spans="8:8" x14ac:dyDescent="0.2">
      <c r="H5641" s="1"/>
    </row>
    <row r="5642" spans="8:8" x14ac:dyDescent="0.2">
      <c r="H5642" s="1"/>
    </row>
    <row r="5643" spans="8:8" x14ac:dyDescent="0.2">
      <c r="H5643" s="1"/>
    </row>
    <row r="5644" spans="8:8" x14ac:dyDescent="0.2">
      <c r="H5644" s="1"/>
    </row>
    <row r="5645" spans="8:8" x14ac:dyDescent="0.2">
      <c r="H5645" s="1"/>
    </row>
    <row r="5646" spans="8:8" x14ac:dyDescent="0.2">
      <c r="H5646" s="1"/>
    </row>
    <row r="5647" spans="8:8" x14ac:dyDescent="0.2">
      <c r="H5647" s="1"/>
    </row>
    <row r="5648" spans="8:8" x14ac:dyDescent="0.2">
      <c r="H5648" s="1"/>
    </row>
    <row r="5649" spans="8:8" x14ac:dyDescent="0.2">
      <c r="H5649" s="1"/>
    </row>
    <row r="5650" spans="8:8" x14ac:dyDescent="0.2">
      <c r="H5650" s="1"/>
    </row>
    <row r="5651" spans="8:8" x14ac:dyDescent="0.2">
      <c r="H5651" s="1"/>
    </row>
    <row r="5652" spans="8:8" x14ac:dyDescent="0.2">
      <c r="H5652" s="1"/>
    </row>
    <row r="5653" spans="8:8" x14ac:dyDescent="0.2">
      <c r="H5653" s="1"/>
    </row>
    <row r="5654" spans="8:8" x14ac:dyDescent="0.2">
      <c r="H5654" s="1"/>
    </row>
    <row r="5655" spans="8:8" x14ac:dyDescent="0.2">
      <c r="H5655" s="1"/>
    </row>
    <row r="5656" spans="8:8" x14ac:dyDescent="0.2">
      <c r="H5656" s="1"/>
    </row>
    <row r="5657" spans="8:8" x14ac:dyDescent="0.2">
      <c r="H5657" s="1"/>
    </row>
    <row r="5658" spans="8:8" x14ac:dyDescent="0.2">
      <c r="H5658" s="1"/>
    </row>
    <row r="5659" spans="8:8" x14ac:dyDescent="0.2">
      <c r="H5659" s="1"/>
    </row>
    <row r="5660" spans="8:8" x14ac:dyDescent="0.2">
      <c r="H5660" s="1"/>
    </row>
    <row r="5661" spans="8:8" x14ac:dyDescent="0.2">
      <c r="H5661" s="1"/>
    </row>
    <row r="5662" spans="8:8" x14ac:dyDescent="0.2">
      <c r="H5662" s="1"/>
    </row>
    <row r="5663" spans="8:8" x14ac:dyDescent="0.2">
      <c r="H5663" s="1"/>
    </row>
    <row r="5664" spans="8:8" x14ac:dyDescent="0.2">
      <c r="H5664" s="1"/>
    </row>
    <row r="5665" spans="8:8" x14ac:dyDescent="0.2">
      <c r="H5665" s="1"/>
    </row>
    <row r="5666" spans="8:8" x14ac:dyDescent="0.2">
      <c r="H5666" s="1"/>
    </row>
    <row r="5667" spans="8:8" x14ac:dyDescent="0.2">
      <c r="H5667" s="1"/>
    </row>
    <row r="5668" spans="8:8" x14ac:dyDescent="0.2">
      <c r="H5668" s="1"/>
    </row>
    <row r="5669" spans="8:8" x14ac:dyDescent="0.2">
      <c r="H5669" s="1"/>
    </row>
    <row r="5670" spans="8:8" x14ac:dyDescent="0.2">
      <c r="H5670" s="1"/>
    </row>
    <row r="5671" spans="8:8" x14ac:dyDescent="0.2">
      <c r="H5671" s="1"/>
    </row>
    <row r="5672" spans="8:8" x14ac:dyDescent="0.2">
      <c r="H5672" s="1"/>
    </row>
    <row r="5673" spans="8:8" x14ac:dyDescent="0.2">
      <c r="H5673" s="1"/>
    </row>
    <row r="5674" spans="8:8" x14ac:dyDescent="0.2">
      <c r="H5674" s="1"/>
    </row>
    <row r="5675" spans="8:8" x14ac:dyDescent="0.2">
      <c r="H5675" s="1"/>
    </row>
    <row r="5676" spans="8:8" x14ac:dyDescent="0.2">
      <c r="H5676" s="1"/>
    </row>
    <row r="5677" spans="8:8" x14ac:dyDescent="0.2">
      <c r="H5677" s="1"/>
    </row>
    <row r="5678" spans="8:8" x14ac:dyDescent="0.2">
      <c r="H5678" s="1"/>
    </row>
    <row r="5679" spans="8:8" x14ac:dyDescent="0.2">
      <c r="H5679" s="1"/>
    </row>
    <row r="5680" spans="8:8" x14ac:dyDescent="0.2">
      <c r="H5680" s="1"/>
    </row>
    <row r="5681" spans="8:8" x14ac:dyDescent="0.2">
      <c r="H5681" s="1"/>
    </row>
    <row r="5682" spans="8:8" x14ac:dyDescent="0.2">
      <c r="H5682" s="1"/>
    </row>
    <row r="5683" spans="8:8" x14ac:dyDescent="0.2">
      <c r="H5683" s="1"/>
    </row>
    <row r="5684" spans="8:8" x14ac:dyDescent="0.2">
      <c r="H5684" s="1"/>
    </row>
    <row r="5685" spans="8:8" x14ac:dyDescent="0.2">
      <c r="H5685" s="1"/>
    </row>
    <row r="5686" spans="8:8" x14ac:dyDescent="0.2">
      <c r="H5686" s="1"/>
    </row>
    <row r="5687" spans="8:8" x14ac:dyDescent="0.2">
      <c r="H5687" s="1"/>
    </row>
    <row r="5688" spans="8:8" x14ac:dyDescent="0.2">
      <c r="H5688" s="1"/>
    </row>
    <row r="5689" spans="8:8" x14ac:dyDescent="0.2">
      <c r="H5689" s="1"/>
    </row>
    <row r="5690" spans="8:8" x14ac:dyDescent="0.2">
      <c r="H5690" s="1"/>
    </row>
    <row r="5691" spans="8:8" x14ac:dyDescent="0.2">
      <c r="H5691" s="1"/>
    </row>
    <row r="5692" spans="8:8" x14ac:dyDescent="0.2">
      <c r="H5692" s="1"/>
    </row>
    <row r="5693" spans="8:8" x14ac:dyDescent="0.2">
      <c r="H5693" s="1"/>
    </row>
    <row r="5694" spans="8:8" x14ac:dyDescent="0.2">
      <c r="H5694" s="1"/>
    </row>
    <row r="5695" spans="8:8" x14ac:dyDescent="0.2">
      <c r="H5695" s="1"/>
    </row>
    <row r="5696" spans="8:8" x14ac:dyDescent="0.2">
      <c r="H5696" s="1"/>
    </row>
    <row r="5697" spans="8:8" x14ac:dyDescent="0.2">
      <c r="H5697" s="1"/>
    </row>
    <row r="5698" spans="8:8" x14ac:dyDescent="0.2">
      <c r="H5698" s="1"/>
    </row>
    <row r="5699" spans="8:8" x14ac:dyDescent="0.2">
      <c r="H5699" s="1"/>
    </row>
    <row r="5700" spans="8:8" x14ac:dyDescent="0.2">
      <c r="H5700" s="1"/>
    </row>
    <row r="5701" spans="8:8" x14ac:dyDescent="0.2">
      <c r="H5701" s="1"/>
    </row>
    <row r="5702" spans="8:8" x14ac:dyDescent="0.2">
      <c r="H5702" s="1"/>
    </row>
    <row r="5703" spans="8:8" x14ac:dyDescent="0.2">
      <c r="H5703" s="1"/>
    </row>
    <row r="5704" spans="8:8" x14ac:dyDescent="0.2">
      <c r="H5704" s="1"/>
    </row>
    <row r="5705" spans="8:8" x14ac:dyDescent="0.2">
      <c r="H5705" s="1"/>
    </row>
    <row r="5706" spans="8:8" x14ac:dyDescent="0.2">
      <c r="H5706" s="1"/>
    </row>
    <row r="5707" spans="8:8" x14ac:dyDescent="0.2">
      <c r="H5707" s="1"/>
    </row>
    <row r="5708" spans="8:8" x14ac:dyDescent="0.2">
      <c r="H5708" s="1"/>
    </row>
    <row r="5709" spans="8:8" x14ac:dyDescent="0.2">
      <c r="H5709" s="1"/>
    </row>
    <row r="5710" spans="8:8" x14ac:dyDescent="0.2">
      <c r="H5710" s="1"/>
    </row>
    <row r="5711" spans="8:8" x14ac:dyDescent="0.2">
      <c r="H5711" s="1"/>
    </row>
    <row r="5712" spans="8:8" x14ac:dyDescent="0.2">
      <c r="H5712" s="1"/>
    </row>
    <row r="5713" spans="8:8" x14ac:dyDescent="0.2">
      <c r="H5713" s="1"/>
    </row>
    <row r="5714" spans="8:8" x14ac:dyDescent="0.2">
      <c r="H5714" s="1"/>
    </row>
    <row r="5715" spans="8:8" x14ac:dyDescent="0.2">
      <c r="H5715" s="1"/>
    </row>
    <row r="5716" spans="8:8" x14ac:dyDescent="0.2">
      <c r="H5716" s="1"/>
    </row>
    <row r="5717" spans="8:8" x14ac:dyDescent="0.2">
      <c r="H5717" s="1"/>
    </row>
    <row r="5718" spans="8:8" x14ac:dyDescent="0.2">
      <c r="H5718" s="1"/>
    </row>
    <row r="5719" spans="8:8" x14ac:dyDescent="0.2">
      <c r="H5719" s="1"/>
    </row>
    <row r="5720" spans="8:8" x14ac:dyDescent="0.2">
      <c r="H5720" s="1"/>
    </row>
    <row r="5721" spans="8:8" x14ac:dyDescent="0.2">
      <c r="H5721" s="1"/>
    </row>
    <row r="5722" spans="8:8" x14ac:dyDescent="0.2">
      <c r="H5722" s="1"/>
    </row>
    <row r="5723" spans="8:8" x14ac:dyDescent="0.2">
      <c r="H5723" s="1"/>
    </row>
    <row r="5724" spans="8:8" x14ac:dyDescent="0.2">
      <c r="H5724" s="1"/>
    </row>
    <row r="5725" spans="8:8" x14ac:dyDescent="0.2">
      <c r="H5725" s="1"/>
    </row>
    <row r="5726" spans="8:8" x14ac:dyDescent="0.2">
      <c r="H5726" s="1"/>
    </row>
    <row r="5727" spans="8:8" x14ac:dyDescent="0.2">
      <c r="H5727" s="1"/>
    </row>
    <row r="5728" spans="8:8" x14ac:dyDescent="0.2">
      <c r="H5728" s="1"/>
    </row>
    <row r="5729" spans="8:8" x14ac:dyDescent="0.2">
      <c r="H5729" s="1"/>
    </row>
    <row r="5730" spans="8:8" x14ac:dyDescent="0.2">
      <c r="H5730" s="1"/>
    </row>
    <row r="5731" spans="8:8" x14ac:dyDescent="0.2">
      <c r="H5731" s="1"/>
    </row>
    <row r="5732" spans="8:8" x14ac:dyDescent="0.2">
      <c r="H5732" s="1"/>
    </row>
    <row r="5733" spans="8:8" x14ac:dyDescent="0.2">
      <c r="H5733" s="1"/>
    </row>
    <row r="5734" spans="8:8" x14ac:dyDescent="0.2">
      <c r="H5734" s="1"/>
    </row>
    <row r="5735" spans="8:8" x14ac:dyDescent="0.2">
      <c r="H5735" s="1"/>
    </row>
    <row r="5736" spans="8:8" x14ac:dyDescent="0.2">
      <c r="H5736" s="1"/>
    </row>
    <row r="5737" spans="8:8" x14ac:dyDescent="0.2">
      <c r="H5737" s="1"/>
    </row>
    <row r="5738" spans="8:8" x14ac:dyDescent="0.2">
      <c r="H5738" s="1"/>
    </row>
    <row r="5739" spans="8:8" x14ac:dyDescent="0.2">
      <c r="H5739" s="1"/>
    </row>
    <row r="5740" spans="8:8" x14ac:dyDescent="0.2">
      <c r="H5740" s="1"/>
    </row>
    <row r="5741" spans="8:8" x14ac:dyDescent="0.2">
      <c r="H5741" s="1"/>
    </row>
    <row r="5742" spans="8:8" x14ac:dyDescent="0.2">
      <c r="H5742" s="1"/>
    </row>
    <row r="5743" spans="8:8" x14ac:dyDescent="0.2">
      <c r="H5743" s="1"/>
    </row>
    <row r="5744" spans="8:8" x14ac:dyDescent="0.2">
      <c r="H5744" s="1"/>
    </row>
    <row r="5745" spans="8:8" x14ac:dyDescent="0.2">
      <c r="H5745" s="1"/>
    </row>
    <row r="5746" spans="8:8" x14ac:dyDescent="0.2">
      <c r="H5746" s="1"/>
    </row>
    <row r="5747" spans="8:8" x14ac:dyDescent="0.2">
      <c r="H5747" s="1"/>
    </row>
    <row r="5748" spans="8:8" x14ac:dyDescent="0.2">
      <c r="H5748" s="1"/>
    </row>
    <row r="5749" spans="8:8" x14ac:dyDescent="0.2">
      <c r="H5749" s="1"/>
    </row>
    <row r="5750" spans="8:8" x14ac:dyDescent="0.2">
      <c r="H5750" s="1"/>
    </row>
    <row r="5751" spans="8:8" x14ac:dyDescent="0.2">
      <c r="H5751" s="1"/>
    </row>
    <row r="5752" spans="8:8" x14ac:dyDescent="0.2">
      <c r="H5752" s="1"/>
    </row>
    <row r="5753" spans="8:8" x14ac:dyDescent="0.2">
      <c r="H5753" s="1"/>
    </row>
    <row r="5754" spans="8:8" x14ac:dyDescent="0.2">
      <c r="H5754" s="1"/>
    </row>
    <row r="5755" spans="8:8" x14ac:dyDescent="0.2">
      <c r="H5755" s="1"/>
    </row>
    <row r="5756" spans="8:8" x14ac:dyDescent="0.2">
      <c r="H5756" s="1"/>
    </row>
    <row r="5757" spans="8:8" x14ac:dyDescent="0.2">
      <c r="H5757" s="1"/>
    </row>
    <row r="5758" spans="8:8" x14ac:dyDescent="0.2">
      <c r="H5758" s="1"/>
    </row>
    <row r="5759" spans="8:8" x14ac:dyDescent="0.2">
      <c r="H5759" s="1"/>
    </row>
    <row r="5760" spans="8:8" x14ac:dyDescent="0.2">
      <c r="H5760" s="1"/>
    </row>
    <row r="5761" spans="8:8" x14ac:dyDescent="0.2">
      <c r="H5761" s="1"/>
    </row>
    <row r="5762" spans="8:8" x14ac:dyDescent="0.2">
      <c r="H5762" s="1"/>
    </row>
    <row r="5763" spans="8:8" x14ac:dyDescent="0.2">
      <c r="H5763" s="1"/>
    </row>
    <row r="5764" spans="8:8" x14ac:dyDescent="0.2">
      <c r="H5764" s="1"/>
    </row>
    <row r="5765" spans="8:8" x14ac:dyDescent="0.2">
      <c r="H5765" s="1"/>
    </row>
    <row r="5766" spans="8:8" x14ac:dyDescent="0.2">
      <c r="H5766" s="1"/>
    </row>
    <row r="5767" spans="8:8" x14ac:dyDescent="0.2">
      <c r="H5767" s="1"/>
    </row>
    <row r="5768" spans="8:8" x14ac:dyDescent="0.2">
      <c r="H5768" s="1"/>
    </row>
    <row r="5769" spans="8:8" x14ac:dyDescent="0.2">
      <c r="H5769" s="1"/>
    </row>
    <row r="5770" spans="8:8" x14ac:dyDescent="0.2">
      <c r="H5770" s="1"/>
    </row>
    <row r="5771" spans="8:8" x14ac:dyDescent="0.2">
      <c r="H5771" s="1"/>
    </row>
    <row r="5772" spans="8:8" x14ac:dyDescent="0.2">
      <c r="H5772" s="1"/>
    </row>
    <row r="5773" spans="8:8" x14ac:dyDescent="0.2">
      <c r="H5773" s="1"/>
    </row>
    <row r="5774" spans="8:8" x14ac:dyDescent="0.2">
      <c r="H5774" s="1"/>
    </row>
    <row r="5775" spans="8:8" x14ac:dyDescent="0.2">
      <c r="H5775" s="1"/>
    </row>
    <row r="5776" spans="8:8" x14ac:dyDescent="0.2">
      <c r="H5776" s="1"/>
    </row>
    <row r="5777" spans="8:8" x14ac:dyDescent="0.2">
      <c r="H5777" s="1"/>
    </row>
    <row r="5778" spans="8:8" x14ac:dyDescent="0.2">
      <c r="H5778" s="1"/>
    </row>
    <row r="5779" spans="8:8" x14ac:dyDescent="0.2">
      <c r="H5779" s="1"/>
    </row>
    <row r="5780" spans="8:8" x14ac:dyDescent="0.2">
      <c r="H5780" s="1"/>
    </row>
    <row r="5781" spans="8:8" x14ac:dyDescent="0.2">
      <c r="H5781" s="1"/>
    </row>
    <row r="5782" spans="8:8" x14ac:dyDescent="0.2">
      <c r="H5782" s="1"/>
    </row>
    <row r="5783" spans="8:8" x14ac:dyDescent="0.2">
      <c r="H5783" s="1"/>
    </row>
    <row r="5784" spans="8:8" x14ac:dyDescent="0.2">
      <c r="H5784" s="1"/>
    </row>
    <row r="5785" spans="8:8" x14ac:dyDescent="0.2">
      <c r="H5785" s="1"/>
    </row>
    <row r="5786" spans="8:8" x14ac:dyDescent="0.2">
      <c r="H5786" s="1"/>
    </row>
    <row r="5787" spans="8:8" x14ac:dyDescent="0.2">
      <c r="H5787" s="1"/>
    </row>
    <row r="5788" spans="8:8" x14ac:dyDescent="0.2">
      <c r="H5788" s="1"/>
    </row>
    <row r="5789" spans="8:8" x14ac:dyDescent="0.2">
      <c r="H5789" s="1"/>
    </row>
    <row r="5790" spans="8:8" x14ac:dyDescent="0.2">
      <c r="H5790" s="1"/>
    </row>
    <row r="5791" spans="8:8" x14ac:dyDescent="0.2">
      <c r="H5791" s="1"/>
    </row>
    <row r="5792" spans="8:8" x14ac:dyDescent="0.2">
      <c r="H5792" s="1"/>
    </row>
    <row r="5793" spans="8:8" x14ac:dyDescent="0.2">
      <c r="H5793" s="1"/>
    </row>
    <row r="5794" spans="8:8" x14ac:dyDescent="0.2">
      <c r="H5794" s="1"/>
    </row>
    <row r="5795" spans="8:8" x14ac:dyDescent="0.2">
      <c r="H5795" s="1"/>
    </row>
    <row r="5796" spans="8:8" x14ac:dyDescent="0.2">
      <c r="H5796" s="1"/>
    </row>
    <row r="5797" spans="8:8" x14ac:dyDescent="0.2">
      <c r="H5797" s="1"/>
    </row>
    <row r="5798" spans="8:8" x14ac:dyDescent="0.2">
      <c r="H5798" s="1"/>
    </row>
    <row r="5799" spans="8:8" x14ac:dyDescent="0.2">
      <c r="H5799" s="1"/>
    </row>
    <row r="5800" spans="8:8" x14ac:dyDescent="0.2">
      <c r="H5800" s="1"/>
    </row>
    <row r="5801" spans="8:8" x14ac:dyDescent="0.2">
      <c r="H5801" s="1"/>
    </row>
    <row r="5802" spans="8:8" x14ac:dyDescent="0.2">
      <c r="H5802" s="1"/>
    </row>
    <row r="5803" spans="8:8" x14ac:dyDescent="0.2">
      <c r="H5803" s="1"/>
    </row>
    <row r="5804" spans="8:8" x14ac:dyDescent="0.2">
      <c r="H5804" s="1"/>
    </row>
    <row r="5805" spans="8:8" x14ac:dyDescent="0.2">
      <c r="H5805" s="1"/>
    </row>
    <row r="5806" spans="8:8" x14ac:dyDescent="0.2">
      <c r="H5806" s="1"/>
    </row>
    <row r="5807" spans="8:8" x14ac:dyDescent="0.2">
      <c r="H5807" s="1"/>
    </row>
    <row r="5808" spans="8:8" x14ac:dyDescent="0.2">
      <c r="H5808" s="1"/>
    </row>
    <row r="5809" spans="8:8" x14ac:dyDescent="0.2">
      <c r="H5809" s="1"/>
    </row>
    <row r="5810" spans="8:8" x14ac:dyDescent="0.2">
      <c r="H5810" s="1"/>
    </row>
    <row r="5811" spans="8:8" x14ac:dyDescent="0.2">
      <c r="H5811" s="1"/>
    </row>
    <row r="5812" spans="8:8" x14ac:dyDescent="0.2">
      <c r="H5812" s="1"/>
    </row>
    <row r="5813" spans="8:8" x14ac:dyDescent="0.2">
      <c r="H5813" s="1"/>
    </row>
    <row r="5814" spans="8:8" x14ac:dyDescent="0.2">
      <c r="H5814" s="1"/>
    </row>
    <row r="5815" spans="8:8" x14ac:dyDescent="0.2">
      <c r="H5815" s="1"/>
    </row>
    <row r="5816" spans="8:8" x14ac:dyDescent="0.2">
      <c r="H5816" s="1"/>
    </row>
    <row r="5817" spans="8:8" x14ac:dyDescent="0.2">
      <c r="H5817" s="1"/>
    </row>
    <row r="5818" spans="8:8" x14ac:dyDescent="0.2">
      <c r="H5818" s="1"/>
    </row>
    <row r="5819" spans="8:8" x14ac:dyDescent="0.2">
      <c r="H5819" s="1"/>
    </row>
    <row r="5820" spans="8:8" x14ac:dyDescent="0.2">
      <c r="H5820" s="1"/>
    </row>
    <row r="5821" spans="8:8" x14ac:dyDescent="0.2">
      <c r="H5821" s="1"/>
    </row>
    <row r="5822" spans="8:8" x14ac:dyDescent="0.2">
      <c r="H5822" s="1"/>
    </row>
    <row r="5823" spans="8:8" x14ac:dyDescent="0.2">
      <c r="H5823" s="1"/>
    </row>
    <row r="5824" spans="8:8" x14ac:dyDescent="0.2">
      <c r="H5824" s="1"/>
    </row>
    <row r="5825" spans="8:8" x14ac:dyDescent="0.2">
      <c r="H5825" s="1"/>
    </row>
    <row r="5826" spans="8:8" x14ac:dyDescent="0.2">
      <c r="H5826" s="1"/>
    </row>
    <row r="5827" spans="8:8" x14ac:dyDescent="0.2">
      <c r="H5827" s="1"/>
    </row>
    <row r="5828" spans="8:8" x14ac:dyDescent="0.2">
      <c r="H5828" s="1"/>
    </row>
    <row r="5829" spans="8:8" x14ac:dyDescent="0.2">
      <c r="H5829" s="1"/>
    </row>
    <row r="5830" spans="8:8" x14ac:dyDescent="0.2">
      <c r="H5830" s="1"/>
    </row>
    <row r="5831" spans="8:8" x14ac:dyDescent="0.2">
      <c r="H5831" s="1"/>
    </row>
    <row r="5832" spans="8:8" x14ac:dyDescent="0.2">
      <c r="H5832" s="1"/>
    </row>
    <row r="5833" spans="8:8" x14ac:dyDescent="0.2">
      <c r="H5833" s="1"/>
    </row>
    <row r="5834" spans="8:8" x14ac:dyDescent="0.2">
      <c r="H5834" s="1"/>
    </row>
    <row r="5835" spans="8:8" x14ac:dyDescent="0.2">
      <c r="H5835" s="1"/>
    </row>
    <row r="5836" spans="8:8" x14ac:dyDescent="0.2">
      <c r="H5836" s="1"/>
    </row>
    <row r="5837" spans="8:8" x14ac:dyDescent="0.2">
      <c r="H5837" s="1"/>
    </row>
    <row r="5838" spans="8:8" x14ac:dyDescent="0.2">
      <c r="H5838" s="1"/>
    </row>
    <row r="5839" spans="8:8" x14ac:dyDescent="0.2">
      <c r="H5839" s="1"/>
    </row>
    <row r="5840" spans="8:8" x14ac:dyDescent="0.2">
      <c r="H5840" s="1"/>
    </row>
    <row r="5841" spans="8:8" x14ac:dyDescent="0.2">
      <c r="H5841" s="1"/>
    </row>
    <row r="5842" spans="8:8" x14ac:dyDescent="0.2">
      <c r="H5842" s="1"/>
    </row>
    <row r="5843" spans="8:8" x14ac:dyDescent="0.2">
      <c r="H5843" s="1"/>
    </row>
    <row r="5844" spans="8:8" x14ac:dyDescent="0.2">
      <c r="H5844" s="1"/>
    </row>
    <row r="5845" spans="8:8" x14ac:dyDescent="0.2">
      <c r="H5845" s="1"/>
    </row>
    <row r="5846" spans="8:8" x14ac:dyDescent="0.2">
      <c r="H5846" s="1"/>
    </row>
    <row r="5847" spans="8:8" x14ac:dyDescent="0.2">
      <c r="H5847" s="1"/>
    </row>
    <row r="5848" spans="8:8" x14ac:dyDescent="0.2">
      <c r="H5848" s="1"/>
    </row>
    <row r="5849" spans="8:8" x14ac:dyDescent="0.2">
      <c r="H5849" s="1"/>
    </row>
    <row r="5850" spans="8:8" x14ac:dyDescent="0.2">
      <c r="H5850" s="1"/>
    </row>
    <row r="5851" spans="8:8" x14ac:dyDescent="0.2">
      <c r="H5851" s="1"/>
    </row>
    <row r="5852" spans="8:8" x14ac:dyDescent="0.2">
      <c r="H5852" s="1"/>
    </row>
    <row r="5853" spans="8:8" x14ac:dyDescent="0.2">
      <c r="H5853" s="1"/>
    </row>
    <row r="5854" spans="8:8" x14ac:dyDescent="0.2">
      <c r="H5854" s="1"/>
    </row>
    <row r="5855" spans="8:8" x14ac:dyDescent="0.2">
      <c r="H5855" s="1"/>
    </row>
    <row r="5856" spans="8:8" x14ac:dyDescent="0.2">
      <c r="H5856" s="1"/>
    </row>
    <row r="5857" spans="8:8" x14ac:dyDescent="0.2">
      <c r="H5857" s="1"/>
    </row>
    <row r="5858" spans="8:8" x14ac:dyDescent="0.2">
      <c r="H5858" s="1"/>
    </row>
    <row r="5859" spans="8:8" x14ac:dyDescent="0.2">
      <c r="H5859" s="1"/>
    </row>
    <row r="5860" spans="8:8" x14ac:dyDescent="0.2">
      <c r="H5860" s="1"/>
    </row>
    <row r="5861" spans="8:8" x14ac:dyDescent="0.2">
      <c r="H5861" s="1"/>
    </row>
    <row r="5862" spans="8:8" x14ac:dyDescent="0.2">
      <c r="H5862" s="1"/>
    </row>
    <row r="5863" spans="8:8" x14ac:dyDescent="0.2">
      <c r="H5863" s="1"/>
    </row>
    <row r="5864" spans="8:8" x14ac:dyDescent="0.2">
      <c r="H5864" s="1"/>
    </row>
    <row r="5865" spans="8:8" x14ac:dyDescent="0.2">
      <c r="H5865" s="1"/>
    </row>
    <row r="5866" spans="8:8" x14ac:dyDescent="0.2">
      <c r="H5866" s="1"/>
    </row>
    <row r="5867" spans="8:8" x14ac:dyDescent="0.2">
      <c r="H5867" s="1"/>
    </row>
    <row r="5868" spans="8:8" x14ac:dyDescent="0.2">
      <c r="H5868" s="1"/>
    </row>
    <row r="5869" spans="8:8" x14ac:dyDescent="0.2">
      <c r="H5869" s="1"/>
    </row>
    <row r="5870" spans="8:8" x14ac:dyDescent="0.2">
      <c r="H5870" s="1"/>
    </row>
    <row r="5871" spans="8:8" x14ac:dyDescent="0.2">
      <c r="H5871" s="1"/>
    </row>
    <row r="5872" spans="8:8" x14ac:dyDescent="0.2">
      <c r="H5872" s="1"/>
    </row>
    <row r="5873" spans="8:8" x14ac:dyDescent="0.2">
      <c r="H5873" s="1"/>
    </row>
    <row r="5874" spans="8:8" x14ac:dyDescent="0.2">
      <c r="H5874" s="1"/>
    </row>
    <row r="5875" spans="8:8" x14ac:dyDescent="0.2">
      <c r="H5875" s="1"/>
    </row>
    <row r="5876" spans="8:8" x14ac:dyDescent="0.2">
      <c r="H5876" s="1"/>
    </row>
    <row r="5877" spans="8:8" x14ac:dyDescent="0.2">
      <c r="H5877" s="1"/>
    </row>
    <row r="5878" spans="8:8" x14ac:dyDescent="0.2">
      <c r="H5878" s="1"/>
    </row>
    <row r="5879" spans="8:8" x14ac:dyDescent="0.2">
      <c r="H5879" s="1"/>
    </row>
    <row r="5880" spans="8:8" x14ac:dyDescent="0.2">
      <c r="H5880" s="1"/>
    </row>
    <row r="5881" spans="8:8" x14ac:dyDescent="0.2">
      <c r="H5881" s="1"/>
    </row>
    <row r="5882" spans="8:8" x14ac:dyDescent="0.2">
      <c r="H5882" s="1"/>
    </row>
    <row r="5883" spans="8:8" x14ac:dyDescent="0.2">
      <c r="H5883" s="1"/>
    </row>
    <row r="5884" spans="8:8" x14ac:dyDescent="0.2">
      <c r="H5884" s="1"/>
    </row>
    <row r="5885" spans="8:8" x14ac:dyDescent="0.2">
      <c r="H5885" s="1"/>
    </row>
    <row r="5886" spans="8:8" x14ac:dyDescent="0.2">
      <c r="H5886" s="1"/>
    </row>
    <row r="5887" spans="8:8" x14ac:dyDescent="0.2">
      <c r="H5887" s="1"/>
    </row>
    <row r="5888" spans="8:8" x14ac:dyDescent="0.2">
      <c r="H5888" s="1"/>
    </row>
    <row r="5889" spans="8:8" x14ac:dyDescent="0.2">
      <c r="H5889" s="1"/>
    </row>
    <row r="5890" spans="8:8" x14ac:dyDescent="0.2">
      <c r="H5890" s="1"/>
    </row>
    <row r="5891" spans="8:8" x14ac:dyDescent="0.2">
      <c r="H5891" s="1"/>
    </row>
    <row r="5892" spans="8:8" x14ac:dyDescent="0.2">
      <c r="H5892" s="1"/>
    </row>
    <row r="5893" spans="8:8" x14ac:dyDescent="0.2">
      <c r="H5893" s="1"/>
    </row>
    <row r="5894" spans="8:8" x14ac:dyDescent="0.2">
      <c r="H5894" s="1"/>
    </row>
    <row r="5895" spans="8:8" x14ac:dyDescent="0.2">
      <c r="H5895" s="1"/>
    </row>
    <row r="5896" spans="8:8" x14ac:dyDescent="0.2">
      <c r="H5896" s="1"/>
    </row>
    <row r="5897" spans="8:8" x14ac:dyDescent="0.2">
      <c r="H5897" s="1"/>
    </row>
    <row r="5898" spans="8:8" x14ac:dyDescent="0.2">
      <c r="H5898" s="1"/>
    </row>
    <row r="5899" spans="8:8" x14ac:dyDescent="0.2">
      <c r="H5899" s="1"/>
    </row>
    <row r="5900" spans="8:8" x14ac:dyDescent="0.2">
      <c r="H5900" s="1"/>
    </row>
    <row r="5901" spans="8:8" x14ac:dyDescent="0.2">
      <c r="H5901" s="1"/>
    </row>
    <row r="5902" spans="8:8" x14ac:dyDescent="0.2">
      <c r="H5902" s="1"/>
    </row>
    <row r="5903" spans="8:8" x14ac:dyDescent="0.2">
      <c r="H5903" s="1"/>
    </row>
    <row r="5904" spans="8:8" x14ac:dyDescent="0.2">
      <c r="H5904" s="1"/>
    </row>
    <row r="5905" spans="8:8" x14ac:dyDescent="0.2">
      <c r="H5905" s="1"/>
    </row>
    <row r="5906" spans="8:8" x14ac:dyDescent="0.2">
      <c r="H5906" s="1"/>
    </row>
    <row r="5907" spans="8:8" x14ac:dyDescent="0.2">
      <c r="H5907" s="1"/>
    </row>
    <row r="5908" spans="8:8" x14ac:dyDescent="0.2">
      <c r="H5908" s="1"/>
    </row>
    <row r="5909" spans="8:8" x14ac:dyDescent="0.2">
      <c r="H5909" s="1"/>
    </row>
    <row r="5910" spans="8:8" x14ac:dyDescent="0.2">
      <c r="H5910" s="1"/>
    </row>
    <row r="5911" spans="8:8" x14ac:dyDescent="0.2">
      <c r="H5911" s="1"/>
    </row>
    <row r="5912" spans="8:8" x14ac:dyDescent="0.2">
      <c r="H5912" s="1"/>
    </row>
    <row r="5913" spans="8:8" x14ac:dyDescent="0.2">
      <c r="H5913" s="1"/>
    </row>
    <row r="5914" spans="8:8" x14ac:dyDescent="0.2">
      <c r="H5914" s="1"/>
    </row>
    <row r="5915" spans="8:8" x14ac:dyDescent="0.2">
      <c r="H5915" s="1"/>
    </row>
    <row r="5916" spans="8:8" x14ac:dyDescent="0.2">
      <c r="H5916" s="1"/>
    </row>
    <row r="5917" spans="8:8" x14ac:dyDescent="0.2">
      <c r="H5917" s="1"/>
    </row>
    <row r="5918" spans="8:8" x14ac:dyDescent="0.2">
      <c r="H5918" s="1"/>
    </row>
    <row r="5919" spans="8:8" x14ac:dyDescent="0.2">
      <c r="H5919" s="1"/>
    </row>
    <row r="5920" spans="8:8" x14ac:dyDescent="0.2">
      <c r="H5920" s="1"/>
    </row>
    <row r="5921" spans="8:8" x14ac:dyDescent="0.2">
      <c r="H5921" s="1"/>
    </row>
    <row r="5922" spans="8:8" x14ac:dyDescent="0.2">
      <c r="H5922" s="1"/>
    </row>
    <row r="5923" spans="8:8" x14ac:dyDescent="0.2">
      <c r="H5923" s="1"/>
    </row>
    <row r="5924" spans="8:8" x14ac:dyDescent="0.2">
      <c r="H5924" s="1"/>
    </row>
    <row r="5925" spans="8:8" x14ac:dyDescent="0.2">
      <c r="H5925" s="1"/>
    </row>
    <row r="5926" spans="8:8" x14ac:dyDescent="0.2">
      <c r="H5926" s="1"/>
    </row>
    <row r="5927" spans="8:8" x14ac:dyDescent="0.2">
      <c r="H5927" s="1"/>
    </row>
    <row r="5928" spans="8:8" x14ac:dyDescent="0.2">
      <c r="H5928" s="1"/>
    </row>
    <row r="5929" spans="8:8" x14ac:dyDescent="0.2">
      <c r="H5929" s="1"/>
    </row>
    <row r="5930" spans="8:8" x14ac:dyDescent="0.2">
      <c r="H5930" s="1"/>
    </row>
    <row r="5931" spans="8:8" x14ac:dyDescent="0.2">
      <c r="H5931" s="1"/>
    </row>
    <row r="5932" spans="8:8" x14ac:dyDescent="0.2">
      <c r="H5932" s="1"/>
    </row>
    <row r="5933" spans="8:8" x14ac:dyDescent="0.2">
      <c r="H5933" s="1"/>
    </row>
    <row r="5934" spans="8:8" x14ac:dyDescent="0.2">
      <c r="H5934" s="1"/>
    </row>
    <row r="5935" spans="8:8" x14ac:dyDescent="0.2">
      <c r="H5935" s="1"/>
    </row>
    <row r="5936" spans="8:8" x14ac:dyDescent="0.2">
      <c r="H5936" s="1"/>
    </row>
    <row r="5937" spans="8:8" x14ac:dyDescent="0.2">
      <c r="H5937" s="1"/>
    </row>
    <row r="5938" spans="8:8" x14ac:dyDescent="0.2">
      <c r="H5938" s="1"/>
    </row>
    <row r="5939" spans="8:8" x14ac:dyDescent="0.2">
      <c r="H5939" s="1"/>
    </row>
    <row r="5940" spans="8:8" x14ac:dyDescent="0.2">
      <c r="H5940" s="1"/>
    </row>
    <row r="5941" spans="8:8" x14ac:dyDescent="0.2">
      <c r="H5941" s="1"/>
    </row>
    <row r="5942" spans="8:8" x14ac:dyDescent="0.2">
      <c r="H5942" s="1"/>
    </row>
    <row r="5943" spans="8:8" x14ac:dyDescent="0.2">
      <c r="H5943" s="1"/>
    </row>
    <row r="5944" spans="8:8" x14ac:dyDescent="0.2">
      <c r="H5944" s="1"/>
    </row>
    <row r="5945" spans="8:8" x14ac:dyDescent="0.2">
      <c r="H5945" s="1"/>
    </row>
    <row r="5946" spans="8:8" x14ac:dyDescent="0.2">
      <c r="H5946" s="1"/>
    </row>
    <row r="5947" spans="8:8" x14ac:dyDescent="0.2">
      <c r="H5947" s="1"/>
    </row>
    <row r="5948" spans="8:8" x14ac:dyDescent="0.2">
      <c r="H5948" s="1"/>
    </row>
    <row r="5949" spans="8:8" x14ac:dyDescent="0.2">
      <c r="H5949" s="1"/>
    </row>
    <row r="5950" spans="8:8" x14ac:dyDescent="0.2">
      <c r="H5950" s="1"/>
    </row>
    <row r="5951" spans="8:8" x14ac:dyDescent="0.2">
      <c r="H5951" s="1"/>
    </row>
    <row r="5952" spans="8:8" x14ac:dyDescent="0.2">
      <c r="H5952" s="1"/>
    </row>
    <row r="5953" spans="8:8" x14ac:dyDescent="0.2">
      <c r="H5953" s="1"/>
    </row>
    <row r="5954" spans="8:8" x14ac:dyDescent="0.2">
      <c r="H5954" s="1"/>
    </row>
    <row r="5955" spans="8:8" x14ac:dyDescent="0.2">
      <c r="H5955" s="1"/>
    </row>
    <row r="5956" spans="8:8" x14ac:dyDescent="0.2">
      <c r="H5956" s="1"/>
    </row>
    <row r="5957" spans="8:8" x14ac:dyDescent="0.2">
      <c r="H5957" s="1"/>
    </row>
    <row r="5958" spans="8:8" x14ac:dyDescent="0.2">
      <c r="H5958" s="1"/>
    </row>
    <row r="5959" spans="8:8" x14ac:dyDescent="0.2">
      <c r="H5959" s="1"/>
    </row>
    <row r="5960" spans="8:8" x14ac:dyDescent="0.2">
      <c r="H5960" s="1"/>
    </row>
    <row r="5961" spans="8:8" x14ac:dyDescent="0.2">
      <c r="H5961" s="1"/>
    </row>
    <row r="5962" spans="8:8" x14ac:dyDescent="0.2">
      <c r="H5962" s="1"/>
    </row>
    <row r="5963" spans="8:8" x14ac:dyDescent="0.2">
      <c r="H5963" s="1"/>
    </row>
    <row r="5964" spans="8:8" x14ac:dyDescent="0.2">
      <c r="H5964" s="1"/>
    </row>
    <row r="5965" spans="8:8" x14ac:dyDescent="0.2">
      <c r="H5965" s="1"/>
    </row>
    <row r="5966" spans="8:8" x14ac:dyDescent="0.2">
      <c r="H5966" s="1"/>
    </row>
    <row r="5967" spans="8:8" x14ac:dyDescent="0.2">
      <c r="H5967" s="1"/>
    </row>
    <row r="5968" spans="8:8" x14ac:dyDescent="0.2">
      <c r="H5968" s="1"/>
    </row>
    <row r="5969" spans="8:8" x14ac:dyDescent="0.2">
      <c r="H5969" s="1"/>
    </row>
    <row r="5970" spans="8:8" x14ac:dyDescent="0.2">
      <c r="H5970" s="1"/>
    </row>
    <row r="5971" spans="8:8" x14ac:dyDescent="0.2">
      <c r="H5971" s="1"/>
    </row>
    <row r="5972" spans="8:8" x14ac:dyDescent="0.2">
      <c r="H5972" s="1"/>
    </row>
    <row r="5973" spans="8:8" x14ac:dyDescent="0.2">
      <c r="H5973" s="1"/>
    </row>
    <row r="5974" spans="8:8" x14ac:dyDescent="0.2">
      <c r="H5974" s="1"/>
    </row>
    <row r="5975" spans="8:8" x14ac:dyDescent="0.2">
      <c r="H5975" s="1"/>
    </row>
    <row r="5976" spans="8:8" x14ac:dyDescent="0.2">
      <c r="H5976" s="1"/>
    </row>
    <row r="5977" spans="8:8" x14ac:dyDescent="0.2">
      <c r="H5977" s="1"/>
    </row>
    <row r="5978" spans="8:8" x14ac:dyDescent="0.2">
      <c r="H5978" s="1"/>
    </row>
    <row r="5979" spans="8:8" x14ac:dyDescent="0.2">
      <c r="H5979" s="1"/>
    </row>
    <row r="5980" spans="8:8" x14ac:dyDescent="0.2">
      <c r="H5980" s="1"/>
    </row>
    <row r="5981" spans="8:8" x14ac:dyDescent="0.2">
      <c r="H5981" s="1"/>
    </row>
    <row r="5982" spans="8:8" x14ac:dyDescent="0.2">
      <c r="H5982" s="1"/>
    </row>
    <row r="5983" spans="8:8" x14ac:dyDescent="0.2">
      <c r="H5983" s="1"/>
    </row>
    <row r="5984" spans="8:8" x14ac:dyDescent="0.2">
      <c r="H5984" s="1"/>
    </row>
    <row r="5985" spans="8:8" x14ac:dyDescent="0.2">
      <c r="H5985" s="1"/>
    </row>
    <row r="5986" spans="8:8" x14ac:dyDescent="0.2">
      <c r="H5986" s="1"/>
    </row>
    <row r="5987" spans="8:8" x14ac:dyDescent="0.2">
      <c r="H5987" s="1"/>
    </row>
    <row r="5988" spans="8:8" x14ac:dyDescent="0.2">
      <c r="H5988" s="1"/>
    </row>
    <row r="5989" spans="8:8" x14ac:dyDescent="0.2">
      <c r="H5989" s="1"/>
    </row>
    <row r="5990" spans="8:8" x14ac:dyDescent="0.2">
      <c r="H5990" s="1"/>
    </row>
    <row r="5991" spans="8:8" x14ac:dyDescent="0.2">
      <c r="H5991" s="1"/>
    </row>
    <row r="5992" spans="8:8" x14ac:dyDescent="0.2">
      <c r="H5992" s="1"/>
    </row>
    <row r="5993" spans="8:8" x14ac:dyDescent="0.2">
      <c r="H5993" s="1"/>
    </row>
    <row r="5994" spans="8:8" x14ac:dyDescent="0.2">
      <c r="H5994" s="1"/>
    </row>
    <row r="5995" spans="8:8" x14ac:dyDescent="0.2">
      <c r="H5995" s="1"/>
    </row>
    <row r="5996" spans="8:8" x14ac:dyDescent="0.2">
      <c r="H5996" s="1"/>
    </row>
    <row r="5997" spans="8:8" x14ac:dyDescent="0.2">
      <c r="H5997" s="1"/>
    </row>
    <row r="5998" spans="8:8" x14ac:dyDescent="0.2">
      <c r="H5998" s="1"/>
    </row>
    <row r="5999" spans="8:8" x14ac:dyDescent="0.2">
      <c r="H5999" s="1"/>
    </row>
    <row r="6000" spans="8:8" x14ac:dyDescent="0.2">
      <c r="H6000" s="1"/>
    </row>
    <row r="6001" spans="8:8" x14ac:dyDescent="0.2">
      <c r="H6001" s="1"/>
    </row>
    <row r="6002" spans="8:8" x14ac:dyDescent="0.2">
      <c r="H6002" s="1"/>
    </row>
    <row r="6003" spans="8:8" x14ac:dyDescent="0.2">
      <c r="H6003" s="1"/>
    </row>
    <row r="6004" spans="8:8" x14ac:dyDescent="0.2">
      <c r="H6004" s="1"/>
    </row>
    <row r="6005" spans="8:8" x14ac:dyDescent="0.2">
      <c r="H6005" s="1"/>
    </row>
    <row r="6006" spans="8:8" x14ac:dyDescent="0.2">
      <c r="H6006" s="1"/>
    </row>
    <row r="6007" spans="8:8" x14ac:dyDescent="0.2">
      <c r="H6007" s="1"/>
    </row>
    <row r="6008" spans="8:8" x14ac:dyDescent="0.2">
      <c r="H6008" s="1"/>
    </row>
    <row r="6009" spans="8:8" x14ac:dyDescent="0.2">
      <c r="H6009" s="1"/>
    </row>
    <row r="6010" spans="8:8" x14ac:dyDescent="0.2">
      <c r="H6010" s="1"/>
    </row>
    <row r="6011" spans="8:8" x14ac:dyDescent="0.2">
      <c r="H6011" s="1"/>
    </row>
    <row r="6012" spans="8:8" x14ac:dyDescent="0.2">
      <c r="H6012" s="1"/>
    </row>
    <row r="6013" spans="8:8" x14ac:dyDescent="0.2">
      <c r="H6013" s="1"/>
    </row>
    <row r="6014" spans="8:8" x14ac:dyDescent="0.2">
      <c r="H6014" s="1"/>
    </row>
    <row r="6015" spans="8:8" x14ac:dyDescent="0.2">
      <c r="H6015" s="1"/>
    </row>
    <row r="6016" spans="8:8" x14ac:dyDescent="0.2">
      <c r="H6016" s="1"/>
    </row>
    <row r="6017" spans="8:8" x14ac:dyDescent="0.2">
      <c r="H6017" s="1"/>
    </row>
    <row r="6018" spans="8:8" x14ac:dyDescent="0.2">
      <c r="H6018" s="1"/>
    </row>
    <row r="6019" spans="8:8" x14ac:dyDescent="0.2">
      <c r="H6019" s="1"/>
    </row>
    <row r="6020" spans="8:8" x14ac:dyDescent="0.2">
      <c r="H6020" s="1"/>
    </row>
    <row r="6021" spans="8:8" x14ac:dyDescent="0.2">
      <c r="H6021" s="1"/>
    </row>
    <row r="6022" spans="8:8" x14ac:dyDescent="0.2">
      <c r="H6022" s="1"/>
    </row>
    <row r="6023" spans="8:8" x14ac:dyDescent="0.2">
      <c r="H6023" s="1"/>
    </row>
    <row r="6024" spans="8:8" x14ac:dyDescent="0.2">
      <c r="H6024" s="1"/>
    </row>
    <row r="6025" spans="8:8" x14ac:dyDescent="0.2">
      <c r="H6025" s="1"/>
    </row>
    <row r="6026" spans="8:8" x14ac:dyDescent="0.2">
      <c r="H6026" s="1"/>
    </row>
    <row r="6027" spans="8:8" x14ac:dyDescent="0.2">
      <c r="H6027" s="1"/>
    </row>
    <row r="6028" spans="8:8" x14ac:dyDescent="0.2">
      <c r="H6028" s="1"/>
    </row>
    <row r="6029" spans="8:8" x14ac:dyDescent="0.2">
      <c r="H6029" s="1"/>
    </row>
    <row r="6030" spans="8:8" x14ac:dyDescent="0.2">
      <c r="H6030" s="1"/>
    </row>
    <row r="6031" spans="8:8" x14ac:dyDescent="0.2">
      <c r="H6031" s="1"/>
    </row>
    <row r="6032" spans="8:8" x14ac:dyDescent="0.2">
      <c r="H6032" s="1"/>
    </row>
    <row r="6033" spans="8:8" x14ac:dyDescent="0.2">
      <c r="H6033" s="1"/>
    </row>
    <row r="6034" spans="8:8" x14ac:dyDescent="0.2">
      <c r="H6034" s="1"/>
    </row>
    <row r="6035" spans="8:8" x14ac:dyDescent="0.2">
      <c r="H6035" s="1"/>
    </row>
    <row r="6036" spans="8:8" x14ac:dyDescent="0.2">
      <c r="H6036" s="1"/>
    </row>
    <row r="6037" spans="8:8" x14ac:dyDescent="0.2">
      <c r="H6037" s="1"/>
    </row>
    <row r="6038" spans="8:8" x14ac:dyDescent="0.2">
      <c r="H6038" s="1"/>
    </row>
    <row r="6039" spans="8:8" x14ac:dyDescent="0.2">
      <c r="H6039" s="1"/>
    </row>
    <row r="6040" spans="8:8" x14ac:dyDescent="0.2">
      <c r="H6040" s="1"/>
    </row>
    <row r="6041" spans="8:8" x14ac:dyDescent="0.2">
      <c r="H6041" s="1"/>
    </row>
    <row r="6042" spans="8:8" x14ac:dyDescent="0.2">
      <c r="H6042" s="1"/>
    </row>
    <row r="6043" spans="8:8" x14ac:dyDescent="0.2">
      <c r="H6043" s="1"/>
    </row>
    <row r="6044" spans="8:8" x14ac:dyDescent="0.2">
      <c r="H6044" s="1"/>
    </row>
    <row r="6045" spans="8:8" x14ac:dyDescent="0.2">
      <c r="H6045" s="1"/>
    </row>
    <row r="6046" spans="8:8" x14ac:dyDescent="0.2">
      <c r="H6046" s="1"/>
    </row>
    <row r="6047" spans="8:8" x14ac:dyDescent="0.2">
      <c r="H6047" s="1"/>
    </row>
    <row r="6048" spans="8:8" x14ac:dyDescent="0.2">
      <c r="H6048" s="1"/>
    </row>
    <row r="6049" spans="8:8" x14ac:dyDescent="0.2">
      <c r="H6049" s="1"/>
    </row>
    <row r="6050" spans="8:8" x14ac:dyDescent="0.2">
      <c r="H6050" s="1"/>
    </row>
    <row r="6051" spans="8:8" x14ac:dyDescent="0.2">
      <c r="H6051" s="1"/>
    </row>
    <row r="6052" spans="8:8" x14ac:dyDescent="0.2">
      <c r="H6052" s="1"/>
    </row>
    <row r="6053" spans="8:8" x14ac:dyDescent="0.2">
      <c r="H6053" s="1"/>
    </row>
    <row r="6054" spans="8:8" x14ac:dyDescent="0.2">
      <c r="H6054" s="1"/>
    </row>
    <row r="6055" spans="8:8" x14ac:dyDescent="0.2">
      <c r="H6055" s="1"/>
    </row>
    <row r="6056" spans="8:8" x14ac:dyDescent="0.2">
      <c r="H6056" s="1"/>
    </row>
    <row r="6057" spans="8:8" x14ac:dyDescent="0.2">
      <c r="H6057" s="1"/>
    </row>
    <row r="6058" spans="8:8" x14ac:dyDescent="0.2">
      <c r="H6058" s="1"/>
    </row>
    <row r="6059" spans="8:8" x14ac:dyDescent="0.2">
      <c r="H6059" s="1"/>
    </row>
    <row r="6060" spans="8:8" x14ac:dyDescent="0.2">
      <c r="H6060" s="1"/>
    </row>
    <row r="6061" spans="8:8" x14ac:dyDescent="0.2">
      <c r="H6061" s="1"/>
    </row>
    <row r="6062" spans="8:8" x14ac:dyDescent="0.2">
      <c r="H6062" s="1"/>
    </row>
    <row r="6063" spans="8:8" x14ac:dyDescent="0.2">
      <c r="H6063" s="1"/>
    </row>
    <row r="6064" spans="8:8" x14ac:dyDescent="0.2">
      <c r="H6064" s="1"/>
    </row>
    <row r="6065" spans="8:8" x14ac:dyDescent="0.2">
      <c r="H6065" s="1"/>
    </row>
    <row r="6066" spans="8:8" x14ac:dyDescent="0.2">
      <c r="H6066" s="1"/>
    </row>
    <row r="6067" spans="8:8" x14ac:dyDescent="0.2">
      <c r="H6067" s="1"/>
    </row>
    <row r="6068" spans="8:8" x14ac:dyDescent="0.2">
      <c r="H6068" s="1"/>
    </row>
    <row r="6069" spans="8:8" x14ac:dyDescent="0.2">
      <c r="H6069" s="1"/>
    </row>
    <row r="6070" spans="8:8" x14ac:dyDescent="0.2">
      <c r="H6070" s="1"/>
    </row>
    <row r="6071" spans="8:8" x14ac:dyDescent="0.2">
      <c r="H6071" s="1"/>
    </row>
    <row r="6072" spans="8:8" x14ac:dyDescent="0.2">
      <c r="H6072" s="1"/>
    </row>
    <row r="6073" spans="8:8" x14ac:dyDescent="0.2">
      <c r="H6073" s="1"/>
    </row>
    <row r="6074" spans="8:8" x14ac:dyDescent="0.2">
      <c r="H6074" s="1"/>
    </row>
    <row r="6075" spans="8:8" x14ac:dyDescent="0.2">
      <c r="H6075" s="1"/>
    </row>
    <row r="6076" spans="8:8" x14ac:dyDescent="0.2">
      <c r="H6076" s="1"/>
    </row>
    <row r="6077" spans="8:8" x14ac:dyDescent="0.2">
      <c r="H6077" s="1"/>
    </row>
    <row r="6078" spans="8:8" x14ac:dyDescent="0.2">
      <c r="H6078" s="1"/>
    </row>
    <row r="6079" spans="8:8" x14ac:dyDescent="0.2">
      <c r="H6079" s="1"/>
    </row>
    <row r="6080" spans="8:8" x14ac:dyDescent="0.2">
      <c r="H6080" s="1"/>
    </row>
    <row r="6081" spans="8:8" x14ac:dyDescent="0.2">
      <c r="H6081" s="1"/>
    </row>
    <row r="6082" spans="8:8" x14ac:dyDescent="0.2">
      <c r="H6082" s="1"/>
    </row>
    <row r="6083" spans="8:8" x14ac:dyDescent="0.2">
      <c r="H6083" s="1"/>
    </row>
    <row r="6084" spans="8:8" x14ac:dyDescent="0.2">
      <c r="H6084" s="1"/>
    </row>
    <row r="6085" spans="8:8" x14ac:dyDescent="0.2">
      <c r="H6085" s="1"/>
    </row>
    <row r="6086" spans="8:8" x14ac:dyDescent="0.2">
      <c r="H6086" s="1"/>
    </row>
    <row r="6087" spans="8:8" x14ac:dyDescent="0.2">
      <c r="H6087" s="1"/>
    </row>
    <row r="6088" spans="8:8" x14ac:dyDescent="0.2">
      <c r="H6088" s="1"/>
    </row>
    <row r="6089" spans="8:8" x14ac:dyDescent="0.2">
      <c r="H6089" s="1"/>
    </row>
    <row r="6090" spans="8:8" x14ac:dyDescent="0.2">
      <c r="H6090" s="1"/>
    </row>
    <row r="6091" spans="8:8" x14ac:dyDescent="0.2">
      <c r="H6091" s="1"/>
    </row>
    <row r="6092" spans="8:8" x14ac:dyDescent="0.2">
      <c r="H6092" s="1"/>
    </row>
    <row r="6093" spans="8:8" x14ac:dyDescent="0.2">
      <c r="H6093" s="1"/>
    </row>
    <row r="6094" spans="8:8" x14ac:dyDescent="0.2">
      <c r="H6094" s="1"/>
    </row>
    <row r="6095" spans="8:8" x14ac:dyDescent="0.2">
      <c r="H6095" s="1"/>
    </row>
    <row r="6096" spans="8:8" x14ac:dyDescent="0.2">
      <c r="H6096" s="1"/>
    </row>
    <row r="6097" spans="8:8" x14ac:dyDescent="0.2">
      <c r="H6097" s="1"/>
    </row>
    <row r="6098" spans="8:8" x14ac:dyDescent="0.2">
      <c r="H6098" s="1"/>
    </row>
    <row r="6099" spans="8:8" x14ac:dyDescent="0.2">
      <c r="H6099" s="1"/>
    </row>
    <row r="6100" spans="8:8" x14ac:dyDescent="0.2">
      <c r="H6100" s="1"/>
    </row>
    <row r="6101" spans="8:8" x14ac:dyDescent="0.2">
      <c r="H6101" s="1"/>
    </row>
    <row r="6102" spans="8:8" x14ac:dyDescent="0.2">
      <c r="H6102" s="1"/>
    </row>
    <row r="6103" spans="8:8" x14ac:dyDescent="0.2">
      <c r="H6103" s="1"/>
    </row>
    <row r="6104" spans="8:8" x14ac:dyDescent="0.2">
      <c r="H6104" s="1"/>
    </row>
    <row r="6105" spans="8:8" x14ac:dyDescent="0.2">
      <c r="H6105" s="1"/>
    </row>
    <row r="6106" spans="8:8" x14ac:dyDescent="0.2">
      <c r="H6106" s="1"/>
    </row>
    <row r="6107" spans="8:8" x14ac:dyDescent="0.2">
      <c r="H6107" s="1"/>
    </row>
    <row r="6108" spans="8:8" x14ac:dyDescent="0.2">
      <c r="H6108" s="1"/>
    </row>
    <row r="6109" spans="8:8" x14ac:dyDescent="0.2">
      <c r="H6109" s="1"/>
    </row>
    <row r="6110" spans="8:8" x14ac:dyDescent="0.2">
      <c r="H6110" s="1"/>
    </row>
    <row r="6111" spans="8:8" x14ac:dyDescent="0.2">
      <c r="H6111" s="1"/>
    </row>
    <row r="6112" spans="8:8" x14ac:dyDescent="0.2">
      <c r="H6112" s="1"/>
    </row>
    <row r="6113" spans="8:8" x14ac:dyDescent="0.2">
      <c r="H6113" s="1"/>
    </row>
    <row r="6114" spans="8:8" x14ac:dyDescent="0.2">
      <c r="H6114" s="1"/>
    </row>
    <row r="6115" spans="8:8" x14ac:dyDescent="0.2">
      <c r="H6115" s="1"/>
    </row>
    <row r="6116" spans="8:8" x14ac:dyDescent="0.2">
      <c r="H6116" s="1"/>
    </row>
    <row r="6117" spans="8:8" x14ac:dyDescent="0.2">
      <c r="H6117" s="1"/>
    </row>
    <row r="6118" spans="8:8" x14ac:dyDescent="0.2">
      <c r="H6118" s="1"/>
    </row>
    <row r="6119" spans="8:8" x14ac:dyDescent="0.2">
      <c r="H6119" s="1"/>
    </row>
    <row r="6120" spans="8:8" x14ac:dyDescent="0.2">
      <c r="H6120" s="1"/>
    </row>
    <row r="6121" spans="8:8" x14ac:dyDescent="0.2">
      <c r="H6121" s="1"/>
    </row>
    <row r="6122" spans="8:8" x14ac:dyDescent="0.2">
      <c r="H6122" s="1"/>
    </row>
    <row r="6123" spans="8:8" x14ac:dyDescent="0.2">
      <c r="H6123" s="1"/>
    </row>
    <row r="6124" spans="8:8" x14ac:dyDescent="0.2">
      <c r="H6124" s="1"/>
    </row>
    <row r="6125" spans="8:8" x14ac:dyDescent="0.2">
      <c r="H6125" s="1"/>
    </row>
    <row r="6126" spans="8:8" x14ac:dyDescent="0.2">
      <c r="H6126" s="1"/>
    </row>
    <row r="6127" spans="8:8" x14ac:dyDescent="0.2">
      <c r="H6127" s="1"/>
    </row>
    <row r="6128" spans="8:8" x14ac:dyDescent="0.2">
      <c r="H6128" s="1"/>
    </row>
    <row r="6129" spans="8:8" x14ac:dyDescent="0.2">
      <c r="H6129" s="1"/>
    </row>
    <row r="6130" spans="8:8" x14ac:dyDescent="0.2">
      <c r="H6130" s="1"/>
    </row>
    <row r="6131" spans="8:8" x14ac:dyDescent="0.2">
      <c r="H6131" s="1"/>
    </row>
    <row r="6132" spans="8:8" x14ac:dyDescent="0.2">
      <c r="H6132" s="1"/>
    </row>
    <row r="6133" spans="8:8" x14ac:dyDescent="0.2">
      <c r="H6133" s="1"/>
    </row>
    <row r="6134" spans="8:8" x14ac:dyDescent="0.2">
      <c r="H6134" s="1"/>
    </row>
    <row r="6135" spans="8:8" x14ac:dyDescent="0.2">
      <c r="H6135" s="1"/>
    </row>
    <row r="6136" spans="8:8" x14ac:dyDescent="0.2">
      <c r="H6136" s="1"/>
    </row>
    <row r="6137" spans="8:8" x14ac:dyDescent="0.2">
      <c r="H6137" s="1"/>
    </row>
    <row r="6138" spans="8:8" x14ac:dyDescent="0.2">
      <c r="H6138" s="1"/>
    </row>
    <row r="6139" spans="8:8" x14ac:dyDescent="0.2">
      <c r="H6139" s="1"/>
    </row>
    <row r="6140" spans="8:8" x14ac:dyDescent="0.2">
      <c r="H6140" s="1"/>
    </row>
    <row r="6141" spans="8:8" x14ac:dyDescent="0.2">
      <c r="H6141" s="1"/>
    </row>
    <row r="6142" spans="8:8" x14ac:dyDescent="0.2">
      <c r="H6142" s="1"/>
    </row>
    <row r="6143" spans="8:8" x14ac:dyDescent="0.2">
      <c r="H6143" s="1"/>
    </row>
    <row r="6144" spans="8:8" x14ac:dyDescent="0.2">
      <c r="H6144" s="1"/>
    </row>
    <row r="6145" spans="8:8" x14ac:dyDescent="0.2">
      <c r="H6145" s="1"/>
    </row>
    <row r="6146" spans="8:8" x14ac:dyDescent="0.2">
      <c r="H6146" s="1"/>
    </row>
    <row r="6147" spans="8:8" x14ac:dyDescent="0.2">
      <c r="H6147" s="1"/>
    </row>
    <row r="6148" spans="8:8" x14ac:dyDescent="0.2">
      <c r="H6148" s="1"/>
    </row>
    <row r="6149" spans="8:8" x14ac:dyDescent="0.2">
      <c r="H6149" s="1"/>
    </row>
    <row r="6150" spans="8:8" x14ac:dyDescent="0.2">
      <c r="H6150" s="1"/>
    </row>
    <row r="6151" spans="8:8" x14ac:dyDescent="0.2">
      <c r="H6151" s="1"/>
    </row>
    <row r="6152" spans="8:8" x14ac:dyDescent="0.2">
      <c r="H6152" s="1"/>
    </row>
    <row r="6153" spans="8:8" x14ac:dyDescent="0.2">
      <c r="H6153" s="1"/>
    </row>
    <row r="6154" spans="8:8" x14ac:dyDescent="0.2">
      <c r="H6154" s="1"/>
    </row>
    <row r="6155" spans="8:8" x14ac:dyDescent="0.2">
      <c r="H6155" s="1"/>
    </row>
    <row r="6156" spans="8:8" x14ac:dyDescent="0.2">
      <c r="H6156" s="1"/>
    </row>
    <row r="6157" spans="8:8" x14ac:dyDescent="0.2">
      <c r="H6157" s="1"/>
    </row>
    <row r="6158" spans="8:8" x14ac:dyDescent="0.2">
      <c r="H6158" s="1"/>
    </row>
    <row r="6159" spans="8:8" x14ac:dyDescent="0.2">
      <c r="H6159" s="1"/>
    </row>
    <row r="6160" spans="8:8" x14ac:dyDescent="0.2">
      <c r="H6160" s="1"/>
    </row>
    <row r="6161" spans="8:8" x14ac:dyDescent="0.2">
      <c r="H6161" s="1"/>
    </row>
    <row r="6162" spans="8:8" x14ac:dyDescent="0.2">
      <c r="H6162" s="1"/>
    </row>
    <row r="6163" spans="8:8" x14ac:dyDescent="0.2">
      <c r="H6163" s="1"/>
    </row>
    <row r="6164" spans="8:8" x14ac:dyDescent="0.2">
      <c r="H6164" s="1"/>
    </row>
    <row r="6165" spans="8:8" x14ac:dyDescent="0.2">
      <c r="H6165" s="1"/>
    </row>
    <row r="6166" spans="8:8" x14ac:dyDescent="0.2">
      <c r="H6166" s="1"/>
    </row>
    <row r="6167" spans="8:8" x14ac:dyDescent="0.2">
      <c r="H6167" s="1"/>
    </row>
    <row r="6168" spans="8:8" x14ac:dyDescent="0.2">
      <c r="H6168" s="1"/>
    </row>
    <row r="6169" spans="8:8" x14ac:dyDescent="0.2">
      <c r="H6169" s="1"/>
    </row>
    <row r="6170" spans="8:8" x14ac:dyDescent="0.2">
      <c r="H6170" s="1"/>
    </row>
    <row r="6171" spans="8:8" x14ac:dyDescent="0.2">
      <c r="H6171" s="1"/>
    </row>
    <row r="6172" spans="8:8" x14ac:dyDescent="0.2">
      <c r="H6172" s="1"/>
    </row>
    <row r="6173" spans="8:8" x14ac:dyDescent="0.2">
      <c r="H6173" s="1"/>
    </row>
    <row r="6174" spans="8:8" x14ac:dyDescent="0.2">
      <c r="H6174" s="1"/>
    </row>
    <row r="6175" spans="8:8" x14ac:dyDescent="0.2">
      <c r="H6175" s="1"/>
    </row>
    <row r="6176" spans="8:8" x14ac:dyDescent="0.2">
      <c r="H6176" s="1"/>
    </row>
    <row r="6177" spans="8:8" x14ac:dyDescent="0.2">
      <c r="H6177" s="1"/>
    </row>
    <row r="6178" spans="8:8" x14ac:dyDescent="0.2">
      <c r="H6178" s="1"/>
    </row>
    <row r="6179" spans="8:8" x14ac:dyDescent="0.2">
      <c r="H6179" s="1"/>
    </row>
    <row r="6180" spans="8:8" x14ac:dyDescent="0.2">
      <c r="H6180" s="1"/>
    </row>
    <row r="6181" spans="8:8" x14ac:dyDescent="0.2">
      <c r="H6181" s="1"/>
    </row>
    <row r="6182" spans="8:8" x14ac:dyDescent="0.2">
      <c r="H6182" s="1"/>
    </row>
    <row r="6183" spans="8:8" x14ac:dyDescent="0.2">
      <c r="H6183" s="1"/>
    </row>
    <row r="6184" spans="8:8" x14ac:dyDescent="0.2">
      <c r="H6184" s="1"/>
    </row>
    <row r="6185" spans="8:8" x14ac:dyDescent="0.2">
      <c r="H6185" s="1"/>
    </row>
    <row r="6186" spans="8:8" x14ac:dyDescent="0.2">
      <c r="H6186" s="1"/>
    </row>
    <row r="6187" spans="8:8" x14ac:dyDescent="0.2">
      <c r="H6187" s="1"/>
    </row>
    <row r="6188" spans="8:8" x14ac:dyDescent="0.2">
      <c r="H6188" s="1"/>
    </row>
    <row r="6189" spans="8:8" x14ac:dyDescent="0.2">
      <c r="H6189" s="1"/>
    </row>
    <row r="6190" spans="8:8" x14ac:dyDescent="0.2">
      <c r="H6190" s="1"/>
    </row>
    <row r="6191" spans="8:8" x14ac:dyDescent="0.2">
      <c r="H6191" s="1"/>
    </row>
    <row r="6192" spans="8:8" x14ac:dyDescent="0.2">
      <c r="H6192" s="1"/>
    </row>
    <row r="6193" spans="8:8" x14ac:dyDescent="0.2">
      <c r="H6193" s="1"/>
    </row>
    <row r="6194" spans="8:8" x14ac:dyDescent="0.2">
      <c r="H6194" s="1"/>
    </row>
    <row r="6195" spans="8:8" x14ac:dyDescent="0.2">
      <c r="H6195" s="1"/>
    </row>
    <row r="6196" spans="8:8" x14ac:dyDescent="0.2">
      <c r="H6196" s="1"/>
    </row>
    <row r="6197" spans="8:8" x14ac:dyDescent="0.2">
      <c r="H6197" s="1"/>
    </row>
    <row r="6198" spans="8:8" x14ac:dyDescent="0.2">
      <c r="H6198" s="1"/>
    </row>
    <row r="6199" spans="8:8" x14ac:dyDescent="0.2">
      <c r="H6199" s="1"/>
    </row>
    <row r="6200" spans="8:8" x14ac:dyDescent="0.2">
      <c r="H6200" s="1"/>
    </row>
    <row r="6201" spans="8:8" x14ac:dyDescent="0.2">
      <c r="H6201" s="1"/>
    </row>
    <row r="6202" spans="8:8" x14ac:dyDescent="0.2">
      <c r="H6202" s="1"/>
    </row>
    <row r="6203" spans="8:8" x14ac:dyDescent="0.2">
      <c r="H6203" s="1"/>
    </row>
    <row r="6204" spans="8:8" x14ac:dyDescent="0.2">
      <c r="H6204" s="1"/>
    </row>
    <row r="6205" spans="8:8" x14ac:dyDescent="0.2">
      <c r="H6205" s="1"/>
    </row>
    <row r="6206" spans="8:8" x14ac:dyDescent="0.2">
      <c r="H6206" s="1"/>
    </row>
    <row r="6207" spans="8:8" x14ac:dyDescent="0.2">
      <c r="H6207" s="1"/>
    </row>
    <row r="6208" spans="8:8" x14ac:dyDescent="0.2">
      <c r="H6208" s="1"/>
    </row>
    <row r="6209" spans="8:8" x14ac:dyDescent="0.2">
      <c r="H6209" s="1"/>
    </row>
    <row r="6210" spans="8:8" x14ac:dyDescent="0.2">
      <c r="H6210" s="1"/>
    </row>
    <row r="6211" spans="8:8" x14ac:dyDescent="0.2">
      <c r="H6211" s="1"/>
    </row>
    <row r="6212" spans="8:8" x14ac:dyDescent="0.2">
      <c r="H6212" s="1"/>
    </row>
    <row r="6213" spans="8:8" x14ac:dyDescent="0.2">
      <c r="H6213" s="1"/>
    </row>
    <row r="6214" spans="8:8" x14ac:dyDescent="0.2">
      <c r="H6214" s="1"/>
    </row>
    <row r="6215" spans="8:8" x14ac:dyDescent="0.2">
      <c r="H6215" s="1"/>
    </row>
    <row r="6216" spans="8:8" x14ac:dyDescent="0.2">
      <c r="H6216" s="1"/>
    </row>
    <row r="6217" spans="8:8" x14ac:dyDescent="0.2">
      <c r="H6217" s="1"/>
    </row>
    <row r="6218" spans="8:8" x14ac:dyDescent="0.2">
      <c r="H6218" s="1"/>
    </row>
    <row r="6219" spans="8:8" x14ac:dyDescent="0.2">
      <c r="H6219" s="1"/>
    </row>
    <row r="6220" spans="8:8" x14ac:dyDescent="0.2">
      <c r="H6220" s="1"/>
    </row>
    <row r="6221" spans="8:8" x14ac:dyDescent="0.2">
      <c r="H6221" s="1"/>
    </row>
    <row r="6222" spans="8:8" x14ac:dyDescent="0.2">
      <c r="H6222" s="1"/>
    </row>
    <row r="6223" spans="8:8" x14ac:dyDescent="0.2">
      <c r="H6223" s="1"/>
    </row>
    <row r="6224" spans="8:8" x14ac:dyDescent="0.2">
      <c r="H6224" s="1"/>
    </row>
    <row r="6225" spans="8:8" x14ac:dyDescent="0.2">
      <c r="H6225" s="1"/>
    </row>
    <row r="6226" spans="8:8" x14ac:dyDescent="0.2">
      <c r="H6226" s="1"/>
    </row>
    <row r="6227" spans="8:8" x14ac:dyDescent="0.2">
      <c r="H6227" s="1"/>
    </row>
    <row r="6228" spans="8:8" x14ac:dyDescent="0.2">
      <c r="H6228" s="1"/>
    </row>
    <row r="6229" spans="8:8" x14ac:dyDescent="0.2">
      <c r="H6229" s="1"/>
    </row>
    <row r="6230" spans="8:8" x14ac:dyDescent="0.2">
      <c r="H6230" s="1"/>
    </row>
    <row r="6231" spans="8:8" x14ac:dyDescent="0.2">
      <c r="H6231" s="1"/>
    </row>
    <row r="6232" spans="8:8" x14ac:dyDescent="0.2">
      <c r="H6232" s="1"/>
    </row>
    <row r="6233" spans="8:8" x14ac:dyDescent="0.2">
      <c r="H6233" s="1"/>
    </row>
    <row r="6234" spans="8:8" x14ac:dyDescent="0.2">
      <c r="H6234" s="1"/>
    </row>
    <row r="6235" spans="8:8" x14ac:dyDescent="0.2">
      <c r="H6235" s="1"/>
    </row>
    <row r="6236" spans="8:8" x14ac:dyDescent="0.2">
      <c r="H6236" s="1"/>
    </row>
    <row r="6237" spans="8:8" x14ac:dyDescent="0.2">
      <c r="H6237" s="1"/>
    </row>
    <row r="6238" spans="8:8" x14ac:dyDescent="0.2">
      <c r="H6238" s="1"/>
    </row>
    <row r="6239" spans="8:8" x14ac:dyDescent="0.2">
      <c r="H6239" s="1"/>
    </row>
    <row r="6240" spans="8:8" x14ac:dyDescent="0.2">
      <c r="H6240" s="1"/>
    </row>
    <row r="6241" spans="8:8" x14ac:dyDescent="0.2">
      <c r="H6241" s="1"/>
    </row>
    <row r="6242" spans="8:8" x14ac:dyDescent="0.2">
      <c r="H6242" s="1"/>
    </row>
    <row r="6243" spans="8:8" x14ac:dyDescent="0.2">
      <c r="H6243" s="1"/>
    </row>
    <row r="6244" spans="8:8" x14ac:dyDescent="0.2">
      <c r="H6244" s="1"/>
    </row>
    <row r="6245" spans="8:8" x14ac:dyDescent="0.2">
      <c r="H6245" s="1"/>
    </row>
    <row r="6246" spans="8:8" x14ac:dyDescent="0.2">
      <c r="H6246" s="1"/>
    </row>
    <row r="6247" spans="8:8" x14ac:dyDescent="0.2">
      <c r="H6247" s="1"/>
    </row>
    <row r="6248" spans="8:8" x14ac:dyDescent="0.2">
      <c r="H6248" s="1"/>
    </row>
    <row r="6249" spans="8:8" x14ac:dyDescent="0.2">
      <c r="H6249" s="1"/>
    </row>
    <row r="6250" spans="8:8" x14ac:dyDescent="0.2">
      <c r="H6250" s="1"/>
    </row>
    <row r="6251" spans="8:8" x14ac:dyDescent="0.2">
      <c r="H6251" s="1"/>
    </row>
    <row r="6252" spans="8:8" x14ac:dyDescent="0.2">
      <c r="H6252" s="1"/>
    </row>
    <row r="6253" spans="8:8" x14ac:dyDescent="0.2">
      <c r="H6253" s="1"/>
    </row>
    <row r="6254" spans="8:8" x14ac:dyDescent="0.2">
      <c r="H6254" s="1"/>
    </row>
    <row r="6255" spans="8:8" x14ac:dyDescent="0.2">
      <c r="H6255" s="1"/>
    </row>
    <row r="6256" spans="8:8" x14ac:dyDescent="0.2">
      <c r="H6256" s="1"/>
    </row>
    <row r="6257" spans="8:8" x14ac:dyDescent="0.2">
      <c r="H6257" s="1"/>
    </row>
    <row r="6258" spans="8:8" x14ac:dyDescent="0.2">
      <c r="H6258" s="1"/>
    </row>
    <row r="6259" spans="8:8" x14ac:dyDescent="0.2">
      <c r="H6259" s="1"/>
    </row>
    <row r="6260" spans="8:8" x14ac:dyDescent="0.2">
      <c r="H6260" s="1"/>
    </row>
    <row r="6261" spans="8:8" x14ac:dyDescent="0.2">
      <c r="H6261" s="1"/>
    </row>
    <row r="6262" spans="8:8" x14ac:dyDescent="0.2">
      <c r="H6262" s="1"/>
    </row>
    <row r="6263" spans="8:8" x14ac:dyDescent="0.2">
      <c r="H6263" s="1"/>
    </row>
    <row r="6264" spans="8:8" x14ac:dyDescent="0.2">
      <c r="H6264" s="1"/>
    </row>
    <row r="6265" spans="8:8" x14ac:dyDescent="0.2">
      <c r="H6265" s="1"/>
    </row>
    <row r="6266" spans="8:8" x14ac:dyDescent="0.2">
      <c r="H6266" s="1"/>
    </row>
    <row r="6267" spans="8:8" x14ac:dyDescent="0.2">
      <c r="H6267" s="1"/>
    </row>
    <row r="6268" spans="8:8" x14ac:dyDescent="0.2">
      <c r="H6268" s="1"/>
    </row>
    <row r="6269" spans="8:8" x14ac:dyDescent="0.2">
      <c r="H6269" s="1"/>
    </row>
    <row r="6270" spans="8:8" x14ac:dyDescent="0.2">
      <c r="H6270" s="1"/>
    </row>
    <row r="6271" spans="8:8" x14ac:dyDescent="0.2">
      <c r="H6271" s="1"/>
    </row>
    <row r="6272" spans="8:8" x14ac:dyDescent="0.2">
      <c r="H6272" s="1"/>
    </row>
    <row r="6273" spans="8:8" x14ac:dyDescent="0.2">
      <c r="H6273" s="1"/>
    </row>
    <row r="6274" spans="8:8" x14ac:dyDescent="0.2">
      <c r="H6274" s="1"/>
    </row>
    <row r="6275" spans="8:8" x14ac:dyDescent="0.2">
      <c r="H6275" s="1"/>
    </row>
    <row r="6276" spans="8:8" x14ac:dyDescent="0.2">
      <c r="H6276" s="1"/>
    </row>
    <row r="6277" spans="8:8" x14ac:dyDescent="0.2">
      <c r="H6277" s="1"/>
    </row>
    <row r="6278" spans="8:8" x14ac:dyDescent="0.2">
      <c r="H6278" s="1"/>
    </row>
    <row r="6279" spans="8:8" x14ac:dyDescent="0.2">
      <c r="H6279" s="1"/>
    </row>
    <row r="6280" spans="8:8" x14ac:dyDescent="0.2">
      <c r="H6280" s="1"/>
    </row>
    <row r="6281" spans="8:8" x14ac:dyDescent="0.2">
      <c r="H6281" s="1"/>
    </row>
    <row r="6282" spans="8:8" x14ac:dyDescent="0.2">
      <c r="H6282" s="1"/>
    </row>
    <row r="6283" spans="8:8" x14ac:dyDescent="0.2">
      <c r="H6283" s="1"/>
    </row>
    <row r="6284" spans="8:8" x14ac:dyDescent="0.2">
      <c r="H6284" s="1"/>
    </row>
    <row r="6285" spans="8:8" x14ac:dyDescent="0.2">
      <c r="H6285" s="1"/>
    </row>
    <row r="6286" spans="8:8" x14ac:dyDescent="0.2">
      <c r="H6286" s="1"/>
    </row>
    <row r="6287" spans="8:8" x14ac:dyDescent="0.2">
      <c r="H6287" s="1"/>
    </row>
    <row r="6288" spans="8:8" x14ac:dyDescent="0.2">
      <c r="H6288" s="1"/>
    </row>
    <row r="6289" spans="8:8" x14ac:dyDescent="0.2">
      <c r="H6289" s="1"/>
    </row>
    <row r="6290" spans="8:8" x14ac:dyDescent="0.2">
      <c r="H6290" s="1"/>
    </row>
    <row r="6291" spans="8:8" x14ac:dyDescent="0.2">
      <c r="H6291" s="1"/>
    </row>
    <row r="6292" spans="8:8" x14ac:dyDescent="0.2">
      <c r="H6292" s="1"/>
    </row>
    <row r="6293" spans="8:8" x14ac:dyDescent="0.2">
      <c r="H6293" s="1"/>
    </row>
    <row r="6294" spans="8:8" x14ac:dyDescent="0.2">
      <c r="H6294" s="1"/>
    </row>
    <row r="6295" spans="8:8" x14ac:dyDescent="0.2">
      <c r="H6295" s="1"/>
    </row>
    <row r="6296" spans="8:8" x14ac:dyDescent="0.2">
      <c r="H6296" s="1"/>
    </row>
    <row r="6297" spans="8:8" x14ac:dyDescent="0.2">
      <c r="H6297" s="1"/>
    </row>
    <row r="6298" spans="8:8" x14ac:dyDescent="0.2">
      <c r="H6298" s="1"/>
    </row>
    <row r="6299" spans="8:8" x14ac:dyDescent="0.2">
      <c r="H6299" s="1"/>
    </row>
    <row r="6300" spans="8:8" x14ac:dyDescent="0.2">
      <c r="H6300" s="1"/>
    </row>
    <row r="6301" spans="8:8" x14ac:dyDescent="0.2">
      <c r="H6301" s="1"/>
    </row>
    <row r="6302" spans="8:8" x14ac:dyDescent="0.2">
      <c r="H6302" s="1"/>
    </row>
    <row r="6303" spans="8:8" x14ac:dyDescent="0.2">
      <c r="H6303" s="1"/>
    </row>
    <row r="6304" spans="8:8" x14ac:dyDescent="0.2">
      <c r="H6304" s="1"/>
    </row>
    <row r="6305" spans="8:8" x14ac:dyDescent="0.2">
      <c r="H6305" s="1"/>
    </row>
    <row r="6306" spans="8:8" x14ac:dyDescent="0.2">
      <c r="H6306" s="1"/>
    </row>
    <row r="6307" spans="8:8" x14ac:dyDescent="0.2">
      <c r="H6307" s="1"/>
    </row>
    <row r="6308" spans="8:8" x14ac:dyDescent="0.2">
      <c r="H6308" s="1"/>
    </row>
    <row r="6309" spans="8:8" x14ac:dyDescent="0.2">
      <c r="H6309" s="1"/>
    </row>
    <row r="6310" spans="8:8" x14ac:dyDescent="0.2">
      <c r="H6310" s="1"/>
    </row>
    <row r="6311" spans="8:8" x14ac:dyDescent="0.2">
      <c r="H6311" s="1"/>
    </row>
    <row r="6312" spans="8:8" x14ac:dyDescent="0.2">
      <c r="H6312" s="1"/>
    </row>
    <row r="6313" spans="8:8" x14ac:dyDescent="0.2">
      <c r="H6313" s="1"/>
    </row>
    <row r="6314" spans="8:8" x14ac:dyDescent="0.2">
      <c r="H6314" s="1"/>
    </row>
    <row r="6315" spans="8:8" x14ac:dyDescent="0.2">
      <c r="H6315" s="1"/>
    </row>
    <row r="6316" spans="8:8" x14ac:dyDescent="0.2">
      <c r="H6316" s="1"/>
    </row>
    <row r="6317" spans="8:8" x14ac:dyDescent="0.2">
      <c r="H6317" s="1"/>
    </row>
    <row r="6318" spans="8:8" x14ac:dyDescent="0.2">
      <c r="H6318" s="1"/>
    </row>
    <row r="6319" spans="8:8" x14ac:dyDescent="0.2">
      <c r="H6319" s="1"/>
    </row>
    <row r="6320" spans="8:8" x14ac:dyDescent="0.2">
      <c r="H6320" s="1"/>
    </row>
    <row r="6321" spans="8:8" x14ac:dyDescent="0.2">
      <c r="H6321" s="1"/>
    </row>
    <row r="6322" spans="8:8" x14ac:dyDescent="0.2">
      <c r="H6322" s="1"/>
    </row>
    <row r="6323" spans="8:8" x14ac:dyDescent="0.2">
      <c r="H6323" s="1"/>
    </row>
    <row r="6324" spans="8:8" x14ac:dyDescent="0.2">
      <c r="H6324" s="1"/>
    </row>
    <row r="6325" spans="8:8" x14ac:dyDescent="0.2">
      <c r="H6325" s="1"/>
    </row>
    <row r="6326" spans="8:8" x14ac:dyDescent="0.2">
      <c r="H6326" s="1"/>
    </row>
    <row r="6327" spans="8:8" x14ac:dyDescent="0.2">
      <c r="H6327" s="1"/>
    </row>
    <row r="6328" spans="8:8" x14ac:dyDescent="0.2">
      <c r="H6328" s="1"/>
    </row>
    <row r="6329" spans="8:8" x14ac:dyDescent="0.2">
      <c r="H6329" s="1"/>
    </row>
    <row r="6330" spans="8:8" x14ac:dyDescent="0.2">
      <c r="H6330" s="1"/>
    </row>
    <row r="6331" spans="8:8" x14ac:dyDescent="0.2">
      <c r="H6331" s="1"/>
    </row>
    <row r="6332" spans="8:8" x14ac:dyDescent="0.2">
      <c r="H6332" s="1"/>
    </row>
    <row r="6333" spans="8:8" x14ac:dyDescent="0.2">
      <c r="H6333" s="1"/>
    </row>
    <row r="6334" spans="8:8" x14ac:dyDescent="0.2">
      <c r="H6334" s="1"/>
    </row>
    <row r="6335" spans="8:8" x14ac:dyDescent="0.2">
      <c r="H6335" s="1"/>
    </row>
    <row r="6336" spans="8:8" x14ac:dyDescent="0.2">
      <c r="H6336" s="1"/>
    </row>
    <row r="6337" spans="8:8" x14ac:dyDescent="0.2">
      <c r="H6337" s="1"/>
    </row>
    <row r="6338" spans="8:8" x14ac:dyDescent="0.2">
      <c r="H6338" s="1"/>
    </row>
    <row r="6339" spans="8:8" x14ac:dyDescent="0.2">
      <c r="H6339" s="1"/>
    </row>
    <row r="6340" spans="8:8" x14ac:dyDescent="0.2">
      <c r="H6340" s="1"/>
    </row>
    <row r="6341" spans="8:8" x14ac:dyDescent="0.2">
      <c r="H6341" s="1"/>
    </row>
    <row r="6342" spans="8:8" x14ac:dyDescent="0.2">
      <c r="H6342" s="1"/>
    </row>
    <row r="6343" spans="8:8" x14ac:dyDescent="0.2">
      <c r="H6343" s="1"/>
    </row>
    <row r="6344" spans="8:8" x14ac:dyDescent="0.2">
      <c r="H6344" s="1"/>
    </row>
    <row r="6345" spans="8:8" x14ac:dyDescent="0.2">
      <c r="H6345" s="1"/>
    </row>
    <row r="6346" spans="8:8" x14ac:dyDescent="0.2">
      <c r="H6346" s="1"/>
    </row>
    <row r="6347" spans="8:8" x14ac:dyDescent="0.2">
      <c r="H6347" s="1"/>
    </row>
    <row r="6348" spans="8:8" x14ac:dyDescent="0.2">
      <c r="H6348" s="1"/>
    </row>
    <row r="6349" spans="8:8" x14ac:dyDescent="0.2">
      <c r="H6349" s="1"/>
    </row>
    <row r="6350" spans="8:8" x14ac:dyDescent="0.2">
      <c r="H6350" s="1"/>
    </row>
    <row r="6351" spans="8:8" x14ac:dyDescent="0.2">
      <c r="H6351" s="1"/>
    </row>
    <row r="6352" spans="8:8" x14ac:dyDescent="0.2">
      <c r="H6352" s="1"/>
    </row>
    <row r="6353" spans="8:8" x14ac:dyDescent="0.2">
      <c r="H6353" s="1"/>
    </row>
    <row r="6354" spans="8:8" x14ac:dyDescent="0.2">
      <c r="H6354" s="1"/>
    </row>
    <row r="6355" spans="8:8" x14ac:dyDescent="0.2">
      <c r="H6355" s="1"/>
    </row>
    <row r="6356" spans="8:8" x14ac:dyDescent="0.2">
      <c r="H6356" s="1"/>
    </row>
    <row r="6357" spans="8:8" x14ac:dyDescent="0.2">
      <c r="H6357" s="1"/>
    </row>
    <row r="6358" spans="8:8" x14ac:dyDescent="0.2">
      <c r="H6358" s="1"/>
    </row>
    <row r="6359" spans="8:8" x14ac:dyDescent="0.2">
      <c r="H6359" s="1"/>
    </row>
    <row r="6360" spans="8:8" x14ac:dyDescent="0.2">
      <c r="H6360" s="1"/>
    </row>
    <row r="6361" spans="8:8" x14ac:dyDescent="0.2">
      <c r="H6361" s="1"/>
    </row>
    <row r="6362" spans="8:8" x14ac:dyDescent="0.2">
      <c r="H6362" s="1"/>
    </row>
    <row r="6363" spans="8:8" x14ac:dyDescent="0.2">
      <c r="H6363" s="1"/>
    </row>
    <row r="6364" spans="8:8" x14ac:dyDescent="0.2">
      <c r="H6364" s="1"/>
    </row>
    <row r="6365" spans="8:8" x14ac:dyDescent="0.2">
      <c r="H6365" s="1"/>
    </row>
    <row r="6366" spans="8:8" x14ac:dyDescent="0.2">
      <c r="H6366" s="1"/>
    </row>
    <row r="6367" spans="8:8" x14ac:dyDescent="0.2">
      <c r="H6367" s="1"/>
    </row>
    <row r="6368" spans="8:8" x14ac:dyDescent="0.2">
      <c r="H6368" s="1"/>
    </row>
    <row r="6369" spans="8:8" x14ac:dyDescent="0.2">
      <c r="H6369" s="1"/>
    </row>
    <row r="6370" spans="8:8" x14ac:dyDescent="0.2">
      <c r="H6370" s="1"/>
    </row>
    <row r="6371" spans="8:8" x14ac:dyDescent="0.2">
      <c r="H6371" s="1"/>
    </row>
    <row r="6372" spans="8:8" x14ac:dyDescent="0.2">
      <c r="H6372" s="1"/>
    </row>
    <row r="6373" spans="8:8" x14ac:dyDescent="0.2">
      <c r="H6373" s="1"/>
    </row>
    <row r="6374" spans="8:8" x14ac:dyDescent="0.2">
      <c r="H6374" s="1"/>
    </row>
    <row r="6375" spans="8:8" x14ac:dyDescent="0.2">
      <c r="H6375" s="1"/>
    </row>
    <row r="6376" spans="8:8" x14ac:dyDescent="0.2">
      <c r="H6376" s="1"/>
    </row>
    <row r="6377" spans="8:8" x14ac:dyDescent="0.2">
      <c r="H6377" s="1"/>
    </row>
    <row r="6378" spans="8:8" x14ac:dyDescent="0.2">
      <c r="H6378" s="1"/>
    </row>
    <row r="6379" spans="8:8" x14ac:dyDescent="0.2">
      <c r="H6379" s="1"/>
    </row>
    <row r="6380" spans="8:8" x14ac:dyDescent="0.2">
      <c r="H6380" s="1"/>
    </row>
    <row r="6381" spans="8:8" x14ac:dyDescent="0.2">
      <c r="H6381" s="1"/>
    </row>
    <row r="6382" spans="8:8" x14ac:dyDescent="0.2">
      <c r="H6382" s="1"/>
    </row>
    <row r="6383" spans="8:8" x14ac:dyDescent="0.2">
      <c r="H6383" s="1"/>
    </row>
    <row r="6384" spans="8:8" x14ac:dyDescent="0.2">
      <c r="H6384" s="1"/>
    </row>
    <row r="6385" spans="8:8" x14ac:dyDescent="0.2">
      <c r="H6385" s="1"/>
    </row>
    <row r="6386" spans="8:8" x14ac:dyDescent="0.2">
      <c r="H6386" s="1"/>
    </row>
    <row r="6387" spans="8:8" x14ac:dyDescent="0.2">
      <c r="H6387" s="1"/>
    </row>
    <row r="6388" spans="8:8" x14ac:dyDescent="0.2">
      <c r="H6388" s="1"/>
    </row>
    <row r="6389" spans="8:8" x14ac:dyDescent="0.2">
      <c r="H6389" s="1"/>
    </row>
    <row r="6390" spans="8:8" x14ac:dyDescent="0.2">
      <c r="H6390" s="1"/>
    </row>
    <row r="6391" spans="8:8" x14ac:dyDescent="0.2">
      <c r="H6391" s="1"/>
    </row>
    <row r="6392" spans="8:8" x14ac:dyDescent="0.2">
      <c r="H6392" s="1"/>
    </row>
    <row r="6393" spans="8:8" x14ac:dyDescent="0.2">
      <c r="H6393" s="1"/>
    </row>
    <row r="6394" spans="8:8" x14ac:dyDescent="0.2">
      <c r="H6394" s="1"/>
    </row>
    <row r="6395" spans="8:8" x14ac:dyDescent="0.2">
      <c r="H6395" s="1"/>
    </row>
    <row r="6396" spans="8:8" x14ac:dyDescent="0.2">
      <c r="H6396" s="1"/>
    </row>
    <row r="6397" spans="8:8" x14ac:dyDescent="0.2">
      <c r="H6397" s="1"/>
    </row>
    <row r="6398" spans="8:8" x14ac:dyDescent="0.2">
      <c r="H6398" s="1"/>
    </row>
    <row r="6399" spans="8:8" x14ac:dyDescent="0.2">
      <c r="H6399" s="1"/>
    </row>
    <row r="6400" spans="8:8" x14ac:dyDescent="0.2">
      <c r="H6400" s="1"/>
    </row>
    <row r="6401" spans="8:8" x14ac:dyDescent="0.2">
      <c r="H6401" s="1"/>
    </row>
    <row r="6402" spans="8:8" x14ac:dyDescent="0.2">
      <c r="H6402" s="1"/>
    </row>
    <row r="6403" spans="8:8" x14ac:dyDescent="0.2">
      <c r="H6403" s="1"/>
    </row>
    <row r="6404" spans="8:8" x14ac:dyDescent="0.2">
      <c r="H6404" s="1"/>
    </row>
    <row r="6405" spans="8:8" x14ac:dyDescent="0.2">
      <c r="H6405" s="1"/>
    </row>
    <row r="6406" spans="8:8" x14ac:dyDescent="0.2">
      <c r="H6406" s="1"/>
    </row>
    <row r="6407" spans="8:8" x14ac:dyDescent="0.2">
      <c r="H6407" s="1"/>
    </row>
    <row r="6408" spans="8:8" x14ac:dyDescent="0.2">
      <c r="H6408" s="1"/>
    </row>
    <row r="6409" spans="8:8" x14ac:dyDescent="0.2">
      <c r="H6409" s="1"/>
    </row>
    <row r="6410" spans="8:8" x14ac:dyDescent="0.2">
      <c r="H6410" s="1"/>
    </row>
    <row r="6411" spans="8:8" x14ac:dyDescent="0.2">
      <c r="H6411" s="1"/>
    </row>
    <row r="6412" spans="8:8" x14ac:dyDescent="0.2">
      <c r="H6412" s="1"/>
    </row>
    <row r="6413" spans="8:8" x14ac:dyDescent="0.2">
      <c r="H6413" s="1"/>
    </row>
    <row r="6414" spans="8:8" x14ac:dyDescent="0.2">
      <c r="H6414" s="1"/>
    </row>
    <row r="6415" spans="8:8" x14ac:dyDescent="0.2">
      <c r="H6415" s="1"/>
    </row>
    <row r="6416" spans="8:8" x14ac:dyDescent="0.2">
      <c r="H6416" s="1"/>
    </row>
    <row r="6417" spans="8:8" x14ac:dyDescent="0.2">
      <c r="H6417" s="1"/>
    </row>
    <row r="6418" spans="8:8" x14ac:dyDescent="0.2">
      <c r="H6418" s="1"/>
    </row>
    <row r="6419" spans="8:8" x14ac:dyDescent="0.2">
      <c r="H6419" s="1"/>
    </row>
    <row r="6420" spans="8:8" x14ac:dyDescent="0.2">
      <c r="H6420" s="1"/>
    </row>
    <row r="6421" spans="8:8" x14ac:dyDescent="0.2">
      <c r="H6421" s="1"/>
    </row>
    <row r="6422" spans="8:8" x14ac:dyDescent="0.2">
      <c r="H6422" s="1"/>
    </row>
    <row r="6423" spans="8:8" x14ac:dyDescent="0.2">
      <c r="H6423" s="1"/>
    </row>
    <row r="6424" spans="8:8" x14ac:dyDescent="0.2">
      <c r="H6424" s="1"/>
    </row>
    <row r="6425" spans="8:8" x14ac:dyDescent="0.2">
      <c r="H6425" s="1"/>
    </row>
    <row r="6426" spans="8:8" x14ac:dyDescent="0.2">
      <c r="H6426" s="1"/>
    </row>
    <row r="6427" spans="8:8" x14ac:dyDescent="0.2">
      <c r="H6427" s="1"/>
    </row>
    <row r="6428" spans="8:8" x14ac:dyDescent="0.2">
      <c r="H6428" s="1"/>
    </row>
    <row r="6429" spans="8:8" x14ac:dyDescent="0.2">
      <c r="H6429" s="1"/>
    </row>
    <row r="6430" spans="8:8" x14ac:dyDescent="0.2">
      <c r="H6430" s="1"/>
    </row>
    <row r="6431" spans="8:8" x14ac:dyDescent="0.2">
      <c r="H6431" s="1"/>
    </row>
    <row r="6432" spans="8:8" x14ac:dyDescent="0.2">
      <c r="H6432" s="1"/>
    </row>
    <row r="6433" spans="8:8" x14ac:dyDescent="0.2">
      <c r="H6433" s="1"/>
    </row>
    <row r="6434" spans="8:8" x14ac:dyDescent="0.2">
      <c r="H6434" s="1"/>
    </row>
    <row r="6435" spans="8:8" x14ac:dyDescent="0.2">
      <c r="H6435" s="1"/>
    </row>
    <row r="6436" spans="8:8" x14ac:dyDescent="0.2">
      <c r="H6436" s="1"/>
    </row>
    <row r="6437" spans="8:8" x14ac:dyDescent="0.2">
      <c r="H6437" s="1"/>
    </row>
    <row r="6438" spans="8:8" x14ac:dyDescent="0.2">
      <c r="H6438" s="1"/>
    </row>
    <row r="6439" spans="8:8" x14ac:dyDescent="0.2">
      <c r="H6439" s="1"/>
    </row>
    <row r="6440" spans="8:8" x14ac:dyDescent="0.2">
      <c r="H6440" s="1"/>
    </row>
    <row r="6441" spans="8:8" x14ac:dyDescent="0.2">
      <c r="H6441" s="1"/>
    </row>
    <row r="6442" spans="8:8" x14ac:dyDescent="0.2">
      <c r="H6442" s="1"/>
    </row>
    <row r="6443" spans="8:8" x14ac:dyDescent="0.2">
      <c r="H6443" s="1"/>
    </row>
    <row r="6444" spans="8:8" x14ac:dyDescent="0.2">
      <c r="H6444" s="1"/>
    </row>
    <row r="6445" spans="8:8" x14ac:dyDescent="0.2">
      <c r="H6445" s="1"/>
    </row>
    <row r="6446" spans="8:8" x14ac:dyDescent="0.2">
      <c r="H6446" s="1"/>
    </row>
    <row r="6447" spans="8:8" x14ac:dyDescent="0.2">
      <c r="H6447" s="1"/>
    </row>
    <row r="6448" spans="8:8" x14ac:dyDescent="0.2">
      <c r="H6448" s="1"/>
    </row>
    <row r="6449" spans="8:8" x14ac:dyDescent="0.2">
      <c r="H6449" s="1"/>
    </row>
    <row r="6450" spans="8:8" x14ac:dyDescent="0.2">
      <c r="H6450" s="1"/>
    </row>
    <row r="6451" spans="8:8" x14ac:dyDescent="0.2">
      <c r="H6451" s="1"/>
    </row>
    <row r="6452" spans="8:8" x14ac:dyDescent="0.2">
      <c r="H6452" s="1"/>
    </row>
    <row r="6453" spans="8:8" x14ac:dyDescent="0.2">
      <c r="H6453" s="1"/>
    </row>
    <row r="6454" spans="8:8" x14ac:dyDescent="0.2">
      <c r="H6454" s="1"/>
    </row>
    <row r="6455" spans="8:8" x14ac:dyDescent="0.2">
      <c r="H6455" s="1"/>
    </row>
    <row r="6456" spans="8:8" x14ac:dyDescent="0.2">
      <c r="H6456" s="1"/>
    </row>
    <row r="6457" spans="8:8" x14ac:dyDescent="0.2">
      <c r="H6457" s="1"/>
    </row>
    <row r="6458" spans="8:8" x14ac:dyDescent="0.2">
      <c r="H6458" s="1"/>
    </row>
    <row r="6459" spans="8:8" x14ac:dyDescent="0.2">
      <c r="H6459" s="1"/>
    </row>
    <row r="6460" spans="8:8" x14ac:dyDescent="0.2">
      <c r="H6460" s="1"/>
    </row>
    <row r="6461" spans="8:8" x14ac:dyDescent="0.2">
      <c r="H6461" s="1"/>
    </row>
    <row r="6462" spans="8:8" x14ac:dyDescent="0.2">
      <c r="H6462" s="1"/>
    </row>
    <row r="6463" spans="8:8" x14ac:dyDescent="0.2">
      <c r="H6463" s="1"/>
    </row>
    <row r="6464" spans="8:8" x14ac:dyDescent="0.2">
      <c r="H6464" s="1"/>
    </row>
    <row r="6465" spans="8:8" x14ac:dyDescent="0.2">
      <c r="H6465" s="1"/>
    </row>
    <row r="6466" spans="8:8" x14ac:dyDescent="0.2">
      <c r="H6466" s="1"/>
    </row>
    <row r="6467" spans="8:8" x14ac:dyDescent="0.2">
      <c r="H6467" s="1"/>
    </row>
    <row r="6468" spans="8:8" x14ac:dyDescent="0.2">
      <c r="H6468" s="1"/>
    </row>
    <row r="6469" spans="8:8" x14ac:dyDescent="0.2">
      <c r="H6469" s="1"/>
    </row>
    <row r="6470" spans="8:8" x14ac:dyDescent="0.2">
      <c r="H6470" s="1"/>
    </row>
    <row r="6471" spans="8:8" x14ac:dyDescent="0.2">
      <c r="H6471" s="1"/>
    </row>
    <row r="6472" spans="8:8" x14ac:dyDescent="0.2">
      <c r="H6472" s="1"/>
    </row>
    <row r="6473" spans="8:8" x14ac:dyDescent="0.2">
      <c r="H6473" s="1"/>
    </row>
    <row r="6474" spans="8:8" x14ac:dyDescent="0.2">
      <c r="H6474" s="1"/>
    </row>
    <row r="6475" spans="8:8" x14ac:dyDescent="0.2">
      <c r="H6475" s="1"/>
    </row>
    <row r="6476" spans="8:8" x14ac:dyDescent="0.2">
      <c r="H6476" s="1"/>
    </row>
    <row r="6477" spans="8:8" x14ac:dyDescent="0.2">
      <c r="H6477" s="1"/>
    </row>
    <row r="6478" spans="8:8" x14ac:dyDescent="0.2">
      <c r="H6478" s="1"/>
    </row>
    <row r="6479" spans="8:8" x14ac:dyDescent="0.2">
      <c r="H6479" s="1"/>
    </row>
    <row r="6480" spans="8:8" x14ac:dyDescent="0.2">
      <c r="H6480" s="1"/>
    </row>
    <row r="6481" spans="8:8" x14ac:dyDescent="0.2">
      <c r="H6481" s="1"/>
    </row>
    <row r="6482" spans="8:8" x14ac:dyDescent="0.2">
      <c r="H6482" s="1"/>
    </row>
    <row r="6483" spans="8:8" x14ac:dyDescent="0.2">
      <c r="H6483" s="1"/>
    </row>
    <row r="6484" spans="8:8" x14ac:dyDescent="0.2">
      <c r="H6484" s="1"/>
    </row>
    <row r="6485" spans="8:8" x14ac:dyDescent="0.2">
      <c r="H6485" s="1"/>
    </row>
    <row r="6486" spans="8:8" x14ac:dyDescent="0.2">
      <c r="H6486" s="1"/>
    </row>
    <row r="6487" spans="8:8" x14ac:dyDescent="0.2">
      <c r="H6487" s="1"/>
    </row>
    <row r="6488" spans="8:8" x14ac:dyDescent="0.2">
      <c r="H6488" s="1"/>
    </row>
    <row r="6489" spans="8:8" x14ac:dyDescent="0.2">
      <c r="H6489" s="1"/>
    </row>
    <row r="6490" spans="8:8" x14ac:dyDescent="0.2">
      <c r="H6490" s="1"/>
    </row>
    <row r="6491" spans="8:8" x14ac:dyDescent="0.2">
      <c r="H6491" s="1"/>
    </row>
    <row r="6492" spans="8:8" x14ac:dyDescent="0.2">
      <c r="H6492" s="1"/>
    </row>
    <row r="6493" spans="8:8" x14ac:dyDescent="0.2">
      <c r="H6493" s="1"/>
    </row>
    <row r="6494" spans="8:8" x14ac:dyDescent="0.2">
      <c r="H6494" s="1"/>
    </row>
    <row r="6495" spans="8:8" x14ac:dyDescent="0.2">
      <c r="H6495" s="1"/>
    </row>
    <row r="6496" spans="8:8" x14ac:dyDescent="0.2">
      <c r="H6496" s="1"/>
    </row>
    <row r="6497" spans="8:8" x14ac:dyDescent="0.2">
      <c r="H6497" s="1"/>
    </row>
    <row r="6498" spans="8:8" x14ac:dyDescent="0.2">
      <c r="H6498" s="1"/>
    </row>
    <row r="6499" spans="8:8" x14ac:dyDescent="0.2">
      <c r="H6499" s="1"/>
    </row>
    <row r="6500" spans="8:8" x14ac:dyDescent="0.2">
      <c r="H6500" s="1"/>
    </row>
    <row r="6501" spans="8:8" x14ac:dyDescent="0.2">
      <c r="H6501" s="1"/>
    </row>
    <row r="6502" spans="8:8" x14ac:dyDescent="0.2">
      <c r="H6502" s="1"/>
    </row>
    <row r="6503" spans="8:8" x14ac:dyDescent="0.2">
      <c r="H6503" s="1"/>
    </row>
    <row r="6504" spans="8:8" x14ac:dyDescent="0.2">
      <c r="H6504" s="1"/>
    </row>
    <row r="6505" spans="8:8" x14ac:dyDescent="0.2">
      <c r="H6505" s="1"/>
    </row>
    <row r="6506" spans="8:8" x14ac:dyDescent="0.2">
      <c r="H6506" s="1"/>
    </row>
    <row r="6507" spans="8:8" x14ac:dyDescent="0.2">
      <c r="H6507" s="1"/>
    </row>
    <row r="6508" spans="8:8" x14ac:dyDescent="0.2">
      <c r="H6508" s="1"/>
    </row>
    <row r="6509" spans="8:8" x14ac:dyDescent="0.2">
      <c r="H6509" s="1"/>
    </row>
    <row r="6510" spans="8:8" x14ac:dyDescent="0.2">
      <c r="H6510" s="1"/>
    </row>
    <row r="6511" spans="8:8" x14ac:dyDescent="0.2">
      <c r="H6511" s="1"/>
    </row>
    <row r="6512" spans="8:8" x14ac:dyDescent="0.2">
      <c r="H6512" s="1"/>
    </row>
    <row r="6513" spans="8:8" x14ac:dyDescent="0.2">
      <c r="H6513" s="1"/>
    </row>
    <row r="6514" spans="8:8" x14ac:dyDescent="0.2">
      <c r="H6514" s="1"/>
    </row>
    <row r="6515" spans="8:8" x14ac:dyDescent="0.2">
      <c r="H6515" s="1"/>
    </row>
    <row r="6516" spans="8:8" x14ac:dyDescent="0.2">
      <c r="H6516" s="1"/>
    </row>
    <row r="6517" spans="8:8" x14ac:dyDescent="0.2">
      <c r="H6517" s="1"/>
    </row>
    <row r="6518" spans="8:8" x14ac:dyDescent="0.2">
      <c r="H6518" s="1"/>
    </row>
    <row r="6519" spans="8:8" x14ac:dyDescent="0.2">
      <c r="H6519" s="1"/>
    </row>
    <row r="6520" spans="8:8" x14ac:dyDescent="0.2">
      <c r="H6520" s="1"/>
    </row>
    <row r="6521" spans="8:8" x14ac:dyDescent="0.2">
      <c r="H6521" s="1"/>
    </row>
    <row r="6522" spans="8:8" x14ac:dyDescent="0.2">
      <c r="H6522" s="1"/>
    </row>
    <row r="6523" spans="8:8" x14ac:dyDescent="0.2">
      <c r="H6523" s="1"/>
    </row>
    <row r="6524" spans="8:8" x14ac:dyDescent="0.2">
      <c r="H6524" s="1"/>
    </row>
    <row r="6525" spans="8:8" x14ac:dyDescent="0.2">
      <c r="H6525" s="1"/>
    </row>
    <row r="6526" spans="8:8" x14ac:dyDescent="0.2">
      <c r="H6526" s="1"/>
    </row>
    <row r="6527" spans="8:8" x14ac:dyDescent="0.2">
      <c r="H6527" s="1"/>
    </row>
    <row r="6528" spans="8:8" x14ac:dyDescent="0.2">
      <c r="H6528" s="1"/>
    </row>
    <row r="6529" spans="8:8" x14ac:dyDescent="0.2">
      <c r="H6529" s="1"/>
    </row>
    <row r="6530" spans="8:8" x14ac:dyDescent="0.2">
      <c r="H6530" s="1"/>
    </row>
    <row r="6531" spans="8:8" x14ac:dyDescent="0.2">
      <c r="H6531" s="1"/>
    </row>
    <row r="6532" spans="8:8" x14ac:dyDescent="0.2">
      <c r="H6532" s="1"/>
    </row>
    <row r="6533" spans="8:8" x14ac:dyDescent="0.2">
      <c r="H6533" s="1"/>
    </row>
    <row r="6534" spans="8:8" x14ac:dyDescent="0.2">
      <c r="H6534" s="1"/>
    </row>
    <row r="6535" spans="8:8" x14ac:dyDescent="0.2">
      <c r="H6535" s="1"/>
    </row>
    <row r="6536" spans="8:8" x14ac:dyDescent="0.2">
      <c r="H6536" s="1"/>
    </row>
    <row r="6537" spans="8:8" x14ac:dyDescent="0.2">
      <c r="H6537" s="1"/>
    </row>
    <row r="6538" spans="8:8" x14ac:dyDescent="0.2">
      <c r="H6538" s="1"/>
    </row>
    <row r="6539" spans="8:8" x14ac:dyDescent="0.2">
      <c r="H6539" s="1"/>
    </row>
    <row r="6540" spans="8:8" x14ac:dyDescent="0.2">
      <c r="H6540" s="1"/>
    </row>
    <row r="6541" spans="8:8" x14ac:dyDescent="0.2">
      <c r="H6541" s="1"/>
    </row>
    <row r="6542" spans="8:8" x14ac:dyDescent="0.2">
      <c r="H6542" s="1"/>
    </row>
    <row r="6543" spans="8:8" x14ac:dyDescent="0.2">
      <c r="H6543" s="1"/>
    </row>
    <row r="6544" spans="8:8" x14ac:dyDescent="0.2">
      <c r="H6544" s="1"/>
    </row>
    <row r="6545" spans="8:8" x14ac:dyDescent="0.2">
      <c r="H6545" s="1"/>
    </row>
    <row r="6546" spans="8:8" x14ac:dyDescent="0.2">
      <c r="H6546" s="1"/>
    </row>
    <row r="6547" spans="8:8" x14ac:dyDescent="0.2">
      <c r="H6547" s="1"/>
    </row>
    <row r="6548" spans="8:8" x14ac:dyDescent="0.2">
      <c r="H6548" s="1"/>
    </row>
    <row r="6549" spans="8:8" x14ac:dyDescent="0.2">
      <c r="H6549" s="1"/>
    </row>
    <row r="6550" spans="8:8" x14ac:dyDescent="0.2">
      <c r="H6550" s="1"/>
    </row>
    <row r="6551" spans="8:8" x14ac:dyDescent="0.2">
      <c r="H6551" s="1"/>
    </row>
    <row r="6552" spans="8:8" x14ac:dyDescent="0.2">
      <c r="H6552" s="1"/>
    </row>
    <row r="6553" spans="8:8" x14ac:dyDescent="0.2">
      <c r="H6553" s="1"/>
    </row>
    <row r="6554" spans="8:8" x14ac:dyDescent="0.2">
      <c r="H6554" s="1"/>
    </row>
    <row r="6555" spans="8:8" x14ac:dyDescent="0.2">
      <c r="H6555" s="1"/>
    </row>
    <row r="6556" spans="8:8" x14ac:dyDescent="0.2">
      <c r="H6556" s="1"/>
    </row>
    <row r="6557" spans="8:8" x14ac:dyDescent="0.2">
      <c r="H6557" s="1"/>
    </row>
    <row r="6558" spans="8:8" x14ac:dyDescent="0.2">
      <c r="H6558" s="1"/>
    </row>
    <row r="6559" spans="8:8" x14ac:dyDescent="0.2">
      <c r="H6559" s="1"/>
    </row>
    <row r="6560" spans="8:8" x14ac:dyDescent="0.2">
      <c r="H6560" s="1"/>
    </row>
    <row r="6561" spans="8:8" x14ac:dyDescent="0.2">
      <c r="H6561" s="1"/>
    </row>
    <row r="6562" spans="8:8" x14ac:dyDescent="0.2">
      <c r="H6562" s="1"/>
    </row>
    <row r="6563" spans="8:8" x14ac:dyDescent="0.2">
      <c r="H6563" s="1"/>
    </row>
    <row r="6564" spans="8:8" x14ac:dyDescent="0.2">
      <c r="H6564" s="1"/>
    </row>
    <row r="6565" spans="8:8" x14ac:dyDescent="0.2">
      <c r="H6565" s="1"/>
    </row>
    <row r="6566" spans="8:8" x14ac:dyDescent="0.2">
      <c r="H6566" s="1"/>
    </row>
    <row r="6567" spans="8:8" x14ac:dyDescent="0.2">
      <c r="H6567" s="1"/>
    </row>
    <row r="6568" spans="8:8" x14ac:dyDescent="0.2">
      <c r="H6568" s="1"/>
    </row>
    <row r="6569" spans="8:8" x14ac:dyDescent="0.2">
      <c r="H6569" s="1"/>
    </row>
    <row r="6570" spans="8:8" x14ac:dyDescent="0.2">
      <c r="H6570" s="1"/>
    </row>
    <row r="6571" spans="8:8" x14ac:dyDescent="0.2">
      <c r="H6571" s="1"/>
    </row>
    <row r="6572" spans="8:8" x14ac:dyDescent="0.2">
      <c r="H6572" s="1"/>
    </row>
    <row r="6573" spans="8:8" x14ac:dyDescent="0.2">
      <c r="H6573" s="1"/>
    </row>
    <row r="6574" spans="8:8" x14ac:dyDescent="0.2">
      <c r="H6574" s="1"/>
    </row>
    <row r="6575" spans="8:8" x14ac:dyDescent="0.2">
      <c r="H6575" s="1"/>
    </row>
    <row r="6576" spans="8:8" x14ac:dyDescent="0.2">
      <c r="H6576" s="1"/>
    </row>
    <row r="6577" spans="8:8" x14ac:dyDescent="0.2">
      <c r="H6577" s="1"/>
    </row>
    <row r="6578" spans="8:8" x14ac:dyDescent="0.2">
      <c r="H6578" s="1"/>
    </row>
    <row r="6579" spans="8:8" x14ac:dyDescent="0.2">
      <c r="H6579" s="1"/>
    </row>
    <row r="6580" spans="8:8" x14ac:dyDescent="0.2">
      <c r="H6580" s="1"/>
    </row>
    <row r="6581" spans="8:8" x14ac:dyDescent="0.2">
      <c r="H6581" s="1"/>
    </row>
    <row r="6582" spans="8:8" x14ac:dyDescent="0.2">
      <c r="H6582" s="1"/>
    </row>
    <row r="6583" spans="8:8" x14ac:dyDescent="0.2">
      <c r="H6583" s="1"/>
    </row>
    <row r="6584" spans="8:8" x14ac:dyDescent="0.2">
      <c r="H6584" s="1"/>
    </row>
    <row r="6585" spans="8:8" x14ac:dyDescent="0.2">
      <c r="H6585" s="1"/>
    </row>
    <row r="6586" spans="8:8" x14ac:dyDescent="0.2">
      <c r="H6586" s="1"/>
    </row>
    <row r="6587" spans="8:8" x14ac:dyDescent="0.2">
      <c r="H6587" s="1"/>
    </row>
    <row r="6588" spans="8:8" x14ac:dyDescent="0.2">
      <c r="H6588" s="1"/>
    </row>
    <row r="6589" spans="8:8" x14ac:dyDescent="0.2">
      <c r="H6589" s="1"/>
    </row>
    <row r="6590" spans="8:8" x14ac:dyDescent="0.2">
      <c r="H6590" s="1"/>
    </row>
    <row r="6591" spans="8:8" x14ac:dyDescent="0.2">
      <c r="H6591" s="1"/>
    </row>
    <row r="6592" spans="8:8" x14ac:dyDescent="0.2">
      <c r="H6592" s="1"/>
    </row>
    <row r="6593" spans="8:8" x14ac:dyDescent="0.2">
      <c r="H6593" s="1"/>
    </row>
    <row r="6594" spans="8:8" x14ac:dyDescent="0.2">
      <c r="H6594" s="1"/>
    </row>
    <row r="6595" spans="8:8" x14ac:dyDescent="0.2">
      <c r="H6595" s="1"/>
    </row>
    <row r="6596" spans="8:8" x14ac:dyDescent="0.2">
      <c r="H6596" s="1"/>
    </row>
    <row r="6597" spans="8:8" x14ac:dyDescent="0.2">
      <c r="H6597" s="1"/>
    </row>
    <row r="6598" spans="8:8" x14ac:dyDescent="0.2">
      <c r="H6598" s="1"/>
    </row>
    <row r="6599" spans="8:8" x14ac:dyDescent="0.2">
      <c r="H6599" s="1"/>
    </row>
    <row r="6600" spans="8:8" x14ac:dyDescent="0.2">
      <c r="H6600" s="1"/>
    </row>
    <row r="6601" spans="8:8" x14ac:dyDescent="0.2">
      <c r="H6601" s="1"/>
    </row>
    <row r="6602" spans="8:8" x14ac:dyDescent="0.2">
      <c r="H6602" s="1"/>
    </row>
    <row r="6603" spans="8:8" x14ac:dyDescent="0.2">
      <c r="H6603" s="1"/>
    </row>
    <row r="6604" spans="8:8" x14ac:dyDescent="0.2">
      <c r="H6604" s="1"/>
    </row>
    <row r="6605" spans="8:8" x14ac:dyDescent="0.2">
      <c r="H6605" s="1"/>
    </row>
    <row r="6606" spans="8:8" x14ac:dyDescent="0.2">
      <c r="H6606" s="1"/>
    </row>
    <row r="6607" spans="8:8" x14ac:dyDescent="0.2">
      <c r="H6607" s="1"/>
    </row>
    <row r="6608" spans="8:8" x14ac:dyDescent="0.2">
      <c r="H6608" s="1"/>
    </row>
    <row r="6609" spans="8:8" x14ac:dyDescent="0.2">
      <c r="H6609" s="1"/>
    </row>
    <row r="6610" spans="8:8" x14ac:dyDescent="0.2">
      <c r="H6610" s="1"/>
    </row>
    <row r="6611" spans="8:8" x14ac:dyDescent="0.2">
      <c r="H6611" s="1"/>
    </row>
    <row r="6612" spans="8:8" x14ac:dyDescent="0.2">
      <c r="H6612" s="1"/>
    </row>
    <row r="6613" spans="8:8" x14ac:dyDescent="0.2">
      <c r="H6613" s="1"/>
    </row>
    <row r="6614" spans="8:8" x14ac:dyDescent="0.2">
      <c r="H6614" s="1"/>
    </row>
    <row r="6615" spans="8:8" x14ac:dyDescent="0.2">
      <c r="H6615" s="1"/>
    </row>
    <row r="6616" spans="8:8" x14ac:dyDescent="0.2">
      <c r="H6616" s="1"/>
    </row>
    <row r="6617" spans="8:8" x14ac:dyDescent="0.2">
      <c r="H6617" s="1"/>
    </row>
    <row r="6618" spans="8:8" x14ac:dyDescent="0.2">
      <c r="H6618" s="1"/>
    </row>
    <row r="6619" spans="8:8" x14ac:dyDescent="0.2">
      <c r="H6619" s="1"/>
    </row>
    <row r="6620" spans="8:8" x14ac:dyDescent="0.2">
      <c r="H6620" s="1"/>
    </row>
    <row r="6621" spans="8:8" x14ac:dyDescent="0.2">
      <c r="H6621" s="1"/>
    </row>
    <row r="6622" spans="8:8" x14ac:dyDescent="0.2">
      <c r="H6622" s="1"/>
    </row>
    <row r="6623" spans="8:8" x14ac:dyDescent="0.2">
      <c r="H6623" s="1"/>
    </row>
    <row r="6624" spans="8:8" x14ac:dyDescent="0.2">
      <c r="H6624" s="1"/>
    </row>
    <row r="6625" spans="8:8" x14ac:dyDescent="0.2">
      <c r="H6625" s="1"/>
    </row>
    <row r="6626" spans="8:8" x14ac:dyDescent="0.2">
      <c r="H6626" s="1"/>
    </row>
    <row r="6627" spans="8:8" x14ac:dyDescent="0.2">
      <c r="H6627" s="1"/>
    </row>
    <row r="6628" spans="8:8" x14ac:dyDescent="0.2">
      <c r="H6628" s="1"/>
    </row>
    <row r="6629" spans="8:8" x14ac:dyDescent="0.2">
      <c r="H6629" s="1"/>
    </row>
    <row r="6630" spans="8:8" x14ac:dyDescent="0.2">
      <c r="H6630" s="1"/>
    </row>
    <row r="6631" spans="8:8" x14ac:dyDescent="0.2">
      <c r="H6631" s="1"/>
    </row>
    <row r="6632" spans="8:8" x14ac:dyDescent="0.2">
      <c r="H6632" s="1"/>
    </row>
    <row r="6633" spans="8:8" x14ac:dyDescent="0.2">
      <c r="H6633" s="1"/>
    </row>
    <row r="6634" spans="8:8" x14ac:dyDescent="0.2">
      <c r="H6634" s="1"/>
    </row>
    <row r="6635" spans="8:8" x14ac:dyDescent="0.2">
      <c r="H6635" s="1"/>
    </row>
    <row r="6636" spans="8:8" x14ac:dyDescent="0.2">
      <c r="H6636" s="1"/>
    </row>
    <row r="6637" spans="8:8" x14ac:dyDescent="0.2">
      <c r="H6637" s="1"/>
    </row>
    <row r="6638" spans="8:8" x14ac:dyDescent="0.2">
      <c r="H6638" s="1"/>
    </row>
    <row r="6639" spans="8:8" x14ac:dyDescent="0.2">
      <c r="H6639" s="1"/>
    </row>
    <row r="6640" spans="8:8" x14ac:dyDescent="0.2">
      <c r="H6640" s="1"/>
    </row>
    <row r="6641" spans="8:8" x14ac:dyDescent="0.2">
      <c r="H6641" s="1"/>
    </row>
    <row r="6642" spans="8:8" x14ac:dyDescent="0.2">
      <c r="H6642" s="1"/>
    </row>
    <row r="6643" spans="8:8" x14ac:dyDescent="0.2">
      <c r="H6643" s="1"/>
    </row>
    <row r="6644" spans="8:8" x14ac:dyDescent="0.2">
      <c r="H6644" s="1"/>
    </row>
    <row r="6645" spans="8:8" x14ac:dyDescent="0.2">
      <c r="H6645" s="1"/>
    </row>
    <row r="6646" spans="8:8" x14ac:dyDescent="0.2">
      <c r="H6646" s="1"/>
    </row>
    <row r="6647" spans="8:8" x14ac:dyDescent="0.2">
      <c r="H6647" s="1"/>
    </row>
    <row r="6648" spans="8:8" x14ac:dyDescent="0.2">
      <c r="H6648" s="1"/>
    </row>
    <row r="6649" spans="8:8" x14ac:dyDescent="0.2">
      <c r="H6649" s="1"/>
    </row>
    <row r="6650" spans="8:8" x14ac:dyDescent="0.2">
      <c r="H6650" s="1"/>
    </row>
    <row r="6651" spans="8:8" x14ac:dyDescent="0.2">
      <c r="H6651" s="1"/>
    </row>
    <row r="6652" spans="8:8" x14ac:dyDescent="0.2">
      <c r="H6652" s="1"/>
    </row>
    <row r="6653" spans="8:8" x14ac:dyDescent="0.2">
      <c r="H6653" s="1"/>
    </row>
    <row r="6654" spans="8:8" x14ac:dyDescent="0.2">
      <c r="H6654" s="1"/>
    </row>
    <row r="6655" spans="8:8" x14ac:dyDescent="0.2">
      <c r="H6655" s="1"/>
    </row>
    <row r="6656" spans="8:8" x14ac:dyDescent="0.2">
      <c r="H6656" s="1"/>
    </row>
    <row r="6657" spans="8:8" x14ac:dyDescent="0.2">
      <c r="H6657" s="1"/>
    </row>
    <row r="6658" spans="8:8" x14ac:dyDescent="0.2">
      <c r="H6658" s="1"/>
    </row>
    <row r="6659" spans="8:8" x14ac:dyDescent="0.2">
      <c r="H6659" s="1"/>
    </row>
    <row r="6660" spans="8:8" x14ac:dyDescent="0.2">
      <c r="H6660" s="1"/>
    </row>
    <row r="6661" spans="8:8" x14ac:dyDescent="0.2">
      <c r="H6661" s="1"/>
    </row>
    <row r="6662" spans="8:8" x14ac:dyDescent="0.2">
      <c r="H6662" s="1"/>
    </row>
    <row r="6663" spans="8:8" x14ac:dyDescent="0.2">
      <c r="H6663" s="1"/>
    </row>
    <row r="6664" spans="8:8" x14ac:dyDescent="0.2">
      <c r="H6664" s="1"/>
    </row>
    <row r="6665" spans="8:8" x14ac:dyDescent="0.2">
      <c r="H6665" s="1"/>
    </row>
    <row r="6666" spans="8:8" x14ac:dyDescent="0.2">
      <c r="H6666" s="1"/>
    </row>
    <row r="6667" spans="8:8" x14ac:dyDescent="0.2">
      <c r="H6667" s="1"/>
    </row>
    <row r="6668" spans="8:8" x14ac:dyDescent="0.2">
      <c r="H6668" s="1"/>
    </row>
    <row r="6669" spans="8:8" x14ac:dyDescent="0.2">
      <c r="H6669" s="1"/>
    </row>
    <row r="6670" spans="8:8" x14ac:dyDescent="0.2">
      <c r="H6670" s="1"/>
    </row>
    <row r="6671" spans="8:8" x14ac:dyDescent="0.2">
      <c r="H6671" s="1"/>
    </row>
    <row r="6672" spans="8:8" x14ac:dyDescent="0.2">
      <c r="H6672" s="1"/>
    </row>
    <row r="6673" spans="8:8" x14ac:dyDescent="0.2">
      <c r="H6673" s="1"/>
    </row>
    <row r="6674" spans="8:8" x14ac:dyDescent="0.2">
      <c r="H6674" s="1"/>
    </row>
    <row r="6675" spans="8:8" x14ac:dyDescent="0.2">
      <c r="H6675" s="1"/>
    </row>
    <row r="6676" spans="8:8" x14ac:dyDescent="0.2">
      <c r="H6676" s="1"/>
    </row>
    <row r="6677" spans="8:8" x14ac:dyDescent="0.2">
      <c r="H6677" s="1"/>
    </row>
    <row r="6678" spans="8:8" x14ac:dyDescent="0.2">
      <c r="H6678" s="1"/>
    </row>
    <row r="6679" spans="8:8" x14ac:dyDescent="0.2">
      <c r="H6679" s="1"/>
    </row>
    <row r="6680" spans="8:8" x14ac:dyDescent="0.2">
      <c r="H6680" s="1"/>
    </row>
    <row r="6681" spans="8:8" x14ac:dyDescent="0.2">
      <c r="H6681" s="1"/>
    </row>
    <row r="6682" spans="8:8" x14ac:dyDescent="0.2">
      <c r="H6682" s="1"/>
    </row>
    <row r="6683" spans="8:8" x14ac:dyDescent="0.2">
      <c r="H6683" s="1"/>
    </row>
    <row r="6684" spans="8:8" x14ac:dyDescent="0.2">
      <c r="H6684" s="1"/>
    </row>
    <row r="6685" spans="8:8" x14ac:dyDescent="0.2">
      <c r="H6685" s="1"/>
    </row>
    <row r="6686" spans="8:8" x14ac:dyDescent="0.2">
      <c r="H6686" s="1"/>
    </row>
    <row r="6687" spans="8:8" x14ac:dyDescent="0.2">
      <c r="H6687" s="1"/>
    </row>
    <row r="6688" spans="8:8" x14ac:dyDescent="0.2">
      <c r="H6688" s="1"/>
    </row>
    <row r="6689" spans="8:8" x14ac:dyDescent="0.2">
      <c r="H6689" s="1"/>
    </row>
    <row r="6690" spans="8:8" x14ac:dyDescent="0.2">
      <c r="H6690" s="1"/>
    </row>
    <row r="6691" spans="8:8" x14ac:dyDescent="0.2">
      <c r="H6691" s="1"/>
    </row>
    <row r="6692" spans="8:8" x14ac:dyDescent="0.2">
      <c r="H6692" s="1"/>
    </row>
    <row r="6693" spans="8:8" x14ac:dyDescent="0.2">
      <c r="H6693" s="1"/>
    </row>
    <row r="6694" spans="8:8" x14ac:dyDescent="0.2">
      <c r="H6694" s="1"/>
    </row>
    <row r="6695" spans="8:8" x14ac:dyDescent="0.2">
      <c r="H6695" s="1"/>
    </row>
    <row r="6696" spans="8:8" x14ac:dyDescent="0.2">
      <c r="H6696" s="1"/>
    </row>
    <row r="6697" spans="8:8" x14ac:dyDescent="0.2">
      <c r="H6697" s="1"/>
    </row>
    <row r="6698" spans="8:8" x14ac:dyDescent="0.2">
      <c r="H6698" s="1"/>
    </row>
    <row r="6699" spans="8:8" x14ac:dyDescent="0.2">
      <c r="H6699" s="1"/>
    </row>
    <row r="6700" spans="8:8" x14ac:dyDescent="0.2">
      <c r="H6700" s="1"/>
    </row>
    <row r="6701" spans="8:8" x14ac:dyDescent="0.2">
      <c r="H6701" s="1"/>
    </row>
    <row r="6702" spans="8:8" x14ac:dyDescent="0.2">
      <c r="H6702" s="1"/>
    </row>
    <row r="6703" spans="8:8" x14ac:dyDescent="0.2">
      <c r="H6703" s="1"/>
    </row>
    <row r="6704" spans="8:8" x14ac:dyDescent="0.2">
      <c r="H6704" s="1"/>
    </row>
    <row r="6705" spans="8:8" x14ac:dyDescent="0.2">
      <c r="H6705" s="1"/>
    </row>
    <row r="6706" spans="8:8" x14ac:dyDescent="0.2">
      <c r="H6706" s="1"/>
    </row>
    <row r="6707" spans="8:8" x14ac:dyDescent="0.2">
      <c r="H6707" s="1"/>
    </row>
    <row r="6708" spans="8:8" x14ac:dyDescent="0.2">
      <c r="H6708" s="1"/>
    </row>
    <row r="6709" spans="8:8" x14ac:dyDescent="0.2">
      <c r="H6709" s="1"/>
    </row>
    <row r="6710" spans="8:8" x14ac:dyDescent="0.2">
      <c r="H6710" s="1"/>
    </row>
    <row r="6711" spans="8:8" x14ac:dyDescent="0.2">
      <c r="H6711" s="1"/>
    </row>
    <row r="6712" spans="8:8" x14ac:dyDescent="0.2">
      <c r="H6712" s="1"/>
    </row>
    <row r="6713" spans="8:8" x14ac:dyDescent="0.2">
      <c r="H6713" s="1"/>
    </row>
    <row r="6714" spans="8:8" x14ac:dyDescent="0.2">
      <c r="H6714" s="1"/>
    </row>
    <row r="6715" spans="8:8" x14ac:dyDescent="0.2">
      <c r="H6715" s="1"/>
    </row>
    <row r="6716" spans="8:8" x14ac:dyDescent="0.2">
      <c r="H6716" s="1"/>
    </row>
    <row r="6717" spans="8:8" x14ac:dyDescent="0.2">
      <c r="H6717" s="1"/>
    </row>
    <row r="6718" spans="8:8" x14ac:dyDescent="0.2">
      <c r="H6718" s="1"/>
    </row>
    <row r="6719" spans="8:8" x14ac:dyDescent="0.2">
      <c r="H6719" s="1"/>
    </row>
    <row r="6720" spans="8:8" x14ac:dyDescent="0.2">
      <c r="H6720" s="1"/>
    </row>
    <row r="6721" spans="8:8" x14ac:dyDescent="0.2">
      <c r="H6721" s="1"/>
    </row>
    <row r="6722" spans="8:8" x14ac:dyDescent="0.2">
      <c r="H6722" s="1"/>
    </row>
    <row r="6723" spans="8:8" x14ac:dyDescent="0.2">
      <c r="H6723" s="1"/>
    </row>
    <row r="6724" spans="8:8" x14ac:dyDescent="0.2">
      <c r="H6724" s="1"/>
    </row>
    <row r="6725" spans="8:8" x14ac:dyDescent="0.2">
      <c r="H6725" s="1"/>
    </row>
    <row r="6726" spans="8:8" x14ac:dyDescent="0.2">
      <c r="H6726" s="1"/>
    </row>
    <row r="6727" spans="8:8" x14ac:dyDescent="0.2">
      <c r="H6727" s="1"/>
    </row>
    <row r="6728" spans="8:8" x14ac:dyDescent="0.2">
      <c r="H6728" s="1"/>
    </row>
    <row r="6729" spans="8:8" x14ac:dyDescent="0.2">
      <c r="H6729" s="1"/>
    </row>
    <row r="6730" spans="8:8" x14ac:dyDescent="0.2">
      <c r="H6730" s="1"/>
    </row>
    <row r="6731" spans="8:8" x14ac:dyDescent="0.2">
      <c r="H6731" s="1"/>
    </row>
    <row r="6732" spans="8:8" x14ac:dyDescent="0.2">
      <c r="H6732" s="1"/>
    </row>
    <row r="6733" spans="8:8" x14ac:dyDescent="0.2">
      <c r="H6733" s="1"/>
    </row>
    <row r="6734" spans="8:8" x14ac:dyDescent="0.2">
      <c r="H6734" s="1"/>
    </row>
    <row r="6735" spans="8:8" x14ac:dyDescent="0.2">
      <c r="H6735" s="1"/>
    </row>
    <row r="6736" spans="8:8" x14ac:dyDescent="0.2">
      <c r="H6736" s="1"/>
    </row>
    <row r="6737" spans="8:8" x14ac:dyDescent="0.2">
      <c r="H6737" s="1"/>
    </row>
    <row r="6738" spans="8:8" x14ac:dyDescent="0.2">
      <c r="H6738" s="1"/>
    </row>
    <row r="6739" spans="8:8" x14ac:dyDescent="0.2">
      <c r="H6739" s="1"/>
    </row>
    <row r="6740" spans="8:8" x14ac:dyDescent="0.2">
      <c r="H6740" s="1"/>
    </row>
    <row r="6741" spans="8:8" x14ac:dyDescent="0.2">
      <c r="H6741" s="1"/>
    </row>
    <row r="6742" spans="8:8" x14ac:dyDescent="0.2">
      <c r="H6742" s="1"/>
    </row>
    <row r="6743" spans="8:8" x14ac:dyDescent="0.2">
      <c r="H6743" s="1"/>
    </row>
    <row r="6744" spans="8:8" x14ac:dyDescent="0.2">
      <c r="H6744" s="1"/>
    </row>
    <row r="6745" spans="8:8" x14ac:dyDescent="0.2">
      <c r="H6745" s="1"/>
    </row>
    <row r="6746" spans="8:8" x14ac:dyDescent="0.2">
      <c r="H6746" s="1"/>
    </row>
    <row r="6747" spans="8:8" x14ac:dyDescent="0.2">
      <c r="H6747" s="1"/>
    </row>
    <row r="6748" spans="8:8" x14ac:dyDescent="0.2">
      <c r="H6748" s="1"/>
    </row>
    <row r="6749" spans="8:8" x14ac:dyDescent="0.2">
      <c r="H6749" s="1"/>
    </row>
    <row r="6750" spans="8:8" x14ac:dyDescent="0.2">
      <c r="H6750" s="1"/>
    </row>
    <row r="6751" spans="8:8" x14ac:dyDescent="0.2">
      <c r="H6751" s="1"/>
    </row>
    <row r="6752" spans="8:8" x14ac:dyDescent="0.2">
      <c r="H6752" s="1"/>
    </row>
    <row r="6753" spans="8:8" x14ac:dyDescent="0.2">
      <c r="H6753" s="1"/>
    </row>
    <row r="6754" spans="8:8" x14ac:dyDescent="0.2">
      <c r="H6754" s="1"/>
    </row>
    <row r="6755" spans="8:8" x14ac:dyDescent="0.2">
      <c r="H6755" s="1"/>
    </row>
    <row r="6756" spans="8:8" x14ac:dyDescent="0.2">
      <c r="H6756" s="1"/>
    </row>
    <row r="6757" spans="8:8" x14ac:dyDescent="0.2">
      <c r="H6757" s="1"/>
    </row>
    <row r="6758" spans="8:8" x14ac:dyDescent="0.2">
      <c r="H6758" s="1"/>
    </row>
    <row r="6759" spans="8:8" x14ac:dyDescent="0.2">
      <c r="H6759" s="1"/>
    </row>
    <row r="6760" spans="8:8" x14ac:dyDescent="0.2">
      <c r="H6760" s="1"/>
    </row>
    <row r="6761" spans="8:8" x14ac:dyDescent="0.2">
      <c r="H6761" s="1"/>
    </row>
    <row r="6762" spans="8:8" x14ac:dyDescent="0.2">
      <c r="H6762" s="1"/>
    </row>
    <row r="6763" spans="8:8" x14ac:dyDescent="0.2">
      <c r="H6763" s="1"/>
    </row>
    <row r="6764" spans="8:8" x14ac:dyDescent="0.2">
      <c r="H6764" s="1"/>
    </row>
    <row r="6765" spans="8:8" x14ac:dyDescent="0.2">
      <c r="H6765" s="1"/>
    </row>
    <row r="6766" spans="8:8" x14ac:dyDescent="0.2">
      <c r="H6766" s="1"/>
    </row>
    <row r="6767" spans="8:8" x14ac:dyDescent="0.2">
      <c r="H6767" s="1"/>
    </row>
    <row r="6768" spans="8:8" x14ac:dyDescent="0.2">
      <c r="H6768" s="1"/>
    </row>
    <row r="6769" spans="8:8" x14ac:dyDescent="0.2">
      <c r="H6769" s="1"/>
    </row>
    <row r="6770" spans="8:8" x14ac:dyDescent="0.2">
      <c r="H6770" s="1"/>
    </row>
    <row r="6771" spans="8:8" x14ac:dyDescent="0.2">
      <c r="H6771" s="1"/>
    </row>
    <row r="6772" spans="8:8" x14ac:dyDescent="0.2">
      <c r="H6772" s="1"/>
    </row>
    <row r="6773" spans="8:8" x14ac:dyDescent="0.2">
      <c r="H6773" s="1"/>
    </row>
    <row r="6774" spans="8:8" x14ac:dyDescent="0.2">
      <c r="H6774" s="1"/>
    </row>
    <row r="6775" spans="8:8" x14ac:dyDescent="0.2">
      <c r="H6775" s="1"/>
    </row>
    <row r="6776" spans="8:8" x14ac:dyDescent="0.2">
      <c r="H6776" s="1"/>
    </row>
    <row r="6777" spans="8:8" x14ac:dyDescent="0.2">
      <c r="H6777" s="1"/>
    </row>
    <row r="6778" spans="8:8" x14ac:dyDescent="0.2">
      <c r="H6778" s="1"/>
    </row>
    <row r="6779" spans="8:8" x14ac:dyDescent="0.2">
      <c r="H6779" s="1"/>
    </row>
    <row r="6780" spans="8:8" x14ac:dyDescent="0.2">
      <c r="H6780" s="1"/>
    </row>
    <row r="6781" spans="8:8" x14ac:dyDescent="0.2">
      <c r="H6781" s="1"/>
    </row>
    <row r="6782" spans="8:8" x14ac:dyDescent="0.2">
      <c r="H6782" s="1"/>
    </row>
    <row r="6783" spans="8:8" x14ac:dyDescent="0.2">
      <c r="H6783" s="1"/>
    </row>
    <row r="6784" spans="8:8" x14ac:dyDescent="0.2">
      <c r="H6784" s="1"/>
    </row>
    <row r="6785" spans="8:8" x14ac:dyDescent="0.2">
      <c r="H6785" s="1"/>
    </row>
    <row r="6786" spans="8:8" x14ac:dyDescent="0.2">
      <c r="H6786" s="1"/>
    </row>
    <row r="6787" spans="8:8" x14ac:dyDescent="0.2">
      <c r="H6787" s="1"/>
    </row>
    <row r="6788" spans="8:8" x14ac:dyDescent="0.2">
      <c r="H6788" s="1"/>
    </row>
    <row r="6789" spans="8:8" x14ac:dyDescent="0.2">
      <c r="H6789" s="1"/>
    </row>
    <row r="6790" spans="8:8" x14ac:dyDescent="0.2">
      <c r="H6790" s="1"/>
    </row>
    <row r="6791" spans="8:8" x14ac:dyDescent="0.2">
      <c r="H6791" s="1"/>
    </row>
    <row r="6792" spans="8:8" x14ac:dyDescent="0.2">
      <c r="H6792" s="1"/>
    </row>
    <row r="6793" spans="8:8" x14ac:dyDescent="0.2">
      <c r="H6793" s="1"/>
    </row>
    <row r="6794" spans="8:8" x14ac:dyDescent="0.2">
      <c r="H6794" s="1"/>
    </row>
    <row r="6795" spans="8:8" x14ac:dyDescent="0.2">
      <c r="H6795" s="1"/>
    </row>
    <row r="6796" spans="8:8" x14ac:dyDescent="0.2">
      <c r="H6796" s="1"/>
    </row>
    <row r="6797" spans="8:8" x14ac:dyDescent="0.2">
      <c r="H6797" s="1"/>
    </row>
    <row r="6798" spans="8:8" x14ac:dyDescent="0.2">
      <c r="H6798" s="1"/>
    </row>
    <row r="6799" spans="8:8" x14ac:dyDescent="0.2">
      <c r="H6799" s="1"/>
    </row>
    <row r="6800" spans="8:8" x14ac:dyDescent="0.2">
      <c r="H6800" s="1"/>
    </row>
    <row r="6801" spans="8:8" x14ac:dyDescent="0.2">
      <c r="H6801" s="1"/>
    </row>
    <row r="6802" spans="8:8" x14ac:dyDescent="0.2">
      <c r="H6802" s="1"/>
    </row>
    <row r="6803" spans="8:8" x14ac:dyDescent="0.2">
      <c r="H6803" s="1"/>
    </row>
    <row r="6804" spans="8:8" x14ac:dyDescent="0.2">
      <c r="H6804" s="1"/>
    </row>
    <row r="6805" spans="8:8" x14ac:dyDescent="0.2">
      <c r="H6805" s="1"/>
    </row>
    <row r="6806" spans="8:8" x14ac:dyDescent="0.2">
      <c r="H6806" s="1"/>
    </row>
    <row r="6807" spans="8:8" x14ac:dyDescent="0.2">
      <c r="H6807" s="1"/>
    </row>
    <row r="6808" spans="8:8" x14ac:dyDescent="0.2">
      <c r="H6808" s="1"/>
    </row>
    <row r="6809" spans="8:8" x14ac:dyDescent="0.2">
      <c r="H6809" s="1"/>
    </row>
    <row r="6810" spans="8:8" x14ac:dyDescent="0.2">
      <c r="H6810" s="1"/>
    </row>
    <row r="6811" spans="8:8" x14ac:dyDescent="0.2">
      <c r="H6811" s="1"/>
    </row>
    <row r="6812" spans="8:8" x14ac:dyDescent="0.2">
      <c r="H6812" s="1"/>
    </row>
    <row r="6813" spans="8:8" x14ac:dyDescent="0.2">
      <c r="H6813" s="1"/>
    </row>
    <row r="6814" spans="8:8" x14ac:dyDescent="0.2">
      <c r="H6814" s="1"/>
    </row>
    <row r="6815" spans="8:8" x14ac:dyDescent="0.2">
      <c r="H6815" s="1"/>
    </row>
    <row r="6816" spans="8:8" x14ac:dyDescent="0.2">
      <c r="H6816" s="1"/>
    </row>
    <row r="6817" spans="8:8" x14ac:dyDescent="0.2">
      <c r="H6817" s="1"/>
    </row>
    <row r="6818" spans="8:8" x14ac:dyDescent="0.2">
      <c r="H6818" s="1"/>
    </row>
    <row r="6819" spans="8:8" x14ac:dyDescent="0.2">
      <c r="H6819" s="1"/>
    </row>
    <row r="6820" spans="8:8" x14ac:dyDescent="0.2">
      <c r="H6820" s="1"/>
    </row>
    <row r="6821" spans="8:8" x14ac:dyDescent="0.2">
      <c r="H6821" s="1"/>
    </row>
    <row r="6822" spans="8:8" x14ac:dyDescent="0.2">
      <c r="H6822" s="1"/>
    </row>
    <row r="6823" spans="8:8" x14ac:dyDescent="0.2">
      <c r="H6823" s="1"/>
    </row>
    <row r="6824" spans="8:8" x14ac:dyDescent="0.2">
      <c r="H6824" s="1"/>
    </row>
    <row r="6825" spans="8:8" x14ac:dyDescent="0.2">
      <c r="H6825" s="1"/>
    </row>
    <row r="6826" spans="8:8" x14ac:dyDescent="0.2">
      <c r="H6826" s="1"/>
    </row>
    <row r="6827" spans="8:8" x14ac:dyDescent="0.2">
      <c r="H6827" s="1"/>
    </row>
    <row r="6828" spans="8:8" x14ac:dyDescent="0.2">
      <c r="H6828" s="1"/>
    </row>
    <row r="6829" spans="8:8" x14ac:dyDescent="0.2">
      <c r="H6829" s="1"/>
    </row>
    <row r="6830" spans="8:8" x14ac:dyDescent="0.2">
      <c r="H6830" s="1"/>
    </row>
    <row r="6831" spans="8:8" x14ac:dyDescent="0.2">
      <c r="H6831" s="1"/>
    </row>
    <row r="6832" spans="8:8" x14ac:dyDescent="0.2">
      <c r="H6832" s="1"/>
    </row>
    <row r="6833" spans="8:8" x14ac:dyDescent="0.2">
      <c r="H6833" s="1"/>
    </row>
    <row r="6834" spans="8:8" x14ac:dyDescent="0.2">
      <c r="H6834" s="1"/>
    </row>
    <row r="6835" spans="8:8" x14ac:dyDescent="0.2">
      <c r="H6835" s="1"/>
    </row>
    <row r="6836" spans="8:8" x14ac:dyDescent="0.2">
      <c r="H6836" s="1"/>
    </row>
    <row r="6837" spans="8:8" x14ac:dyDescent="0.2">
      <c r="H6837" s="1"/>
    </row>
    <row r="6838" spans="8:8" x14ac:dyDescent="0.2">
      <c r="H6838" s="1"/>
    </row>
    <row r="6839" spans="8:8" x14ac:dyDescent="0.2">
      <c r="H6839" s="1"/>
    </row>
    <row r="6840" spans="8:8" x14ac:dyDescent="0.2">
      <c r="H6840" s="1"/>
    </row>
    <row r="6841" spans="8:8" x14ac:dyDescent="0.2">
      <c r="H6841" s="1"/>
    </row>
    <row r="6842" spans="8:8" x14ac:dyDescent="0.2">
      <c r="H6842" s="1"/>
    </row>
    <row r="6843" spans="8:8" x14ac:dyDescent="0.2">
      <c r="H6843" s="1"/>
    </row>
    <row r="6844" spans="8:8" x14ac:dyDescent="0.2">
      <c r="H6844" s="1"/>
    </row>
    <row r="6845" spans="8:8" x14ac:dyDescent="0.2">
      <c r="H6845" s="1"/>
    </row>
    <row r="6846" spans="8:8" x14ac:dyDescent="0.2">
      <c r="H6846" s="1"/>
    </row>
    <row r="6847" spans="8:8" x14ac:dyDescent="0.2">
      <c r="H6847" s="1"/>
    </row>
    <row r="6848" spans="8:8" x14ac:dyDescent="0.2">
      <c r="H6848" s="1"/>
    </row>
    <row r="6849" spans="8:8" x14ac:dyDescent="0.2">
      <c r="H6849" s="1"/>
    </row>
    <row r="6850" spans="8:8" x14ac:dyDescent="0.2">
      <c r="H6850" s="1"/>
    </row>
    <row r="6851" spans="8:8" x14ac:dyDescent="0.2">
      <c r="H6851" s="1"/>
    </row>
    <row r="6852" spans="8:8" x14ac:dyDescent="0.2">
      <c r="H6852" s="1"/>
    </row>
    <row r="6853" spans="8:8" x14ac:dyDescent="0.2">
      <c r="H6853" s="1"/>
    </row>
    <row r="6854" spans="8:8" x14ac:dyDescent="0.2">
      <c r="H6854" s="1"/>
    </row>
    <row r="6855" spans="8:8" x14ac:dyDescent="0.2">
      <c r="H6855" s="1"/>
    </row>
    <row r="6856" spans="8:8" x14ac:dyDescent="0.2">
      <c r="H6856" s="1"/>
    </row>
    <row r="6857" spans="8:8" x14ac:dyDescent="0.2">
      <c r="H6857" s="1"/>
    </row>
    <row r="6858" spans="8:8" x14ac:dyDescent="0.2">
      <c r="H6858" s="1"/>
    </row>
    <row r="6859" spans="8:8" x14ac:dyDescent="0.2">
      <c r="H6859" s="1"/>
    </row>
    <row r="6860" spans="8:8" x14ac:dyDescent="0.2">
      <c r="H6860" s="1"/>
    </row>
    <row r="6861" spans="8:8" x14ac:dyDescent="0.2">
      <c r="H6861" s="1"/>
    </row>
    <row r="6862" spans="8:8" x14ac:dyDescent="0.2">
      <c r="H6862" s="1"/>
    </row>
    <row r="6863" spans="8:8" x14ac:dyDescent="0.2">
      <c r="H6863" s="1"/>
    </row>
    <row r="6864" spans="8:8" x14ac:dyDescent="0.2">
      <c r="H6864" s="1"/>
    </row>
    <row r="6865" spans="8:8" x14ac:dyDescent="0.2">
      <c r="H6865" s="1"/>
    </row>
    <row r="6866" spans="8:8" x14ac:dyDescent="0.2">
      <c r="H6866" s="1"/>
    </row>
    <row r="6867" spans="8:8" x14ac:dyDescent="0.2">
      <c r="H6867" s="1"/>
    </row>
    <row r="6868" spans="8:8" x14ac:dyDescent="0.2">
      <c r="H6868" s="1"/>
    </row>
    <row r="6869" spans="8:8" x14ac:dyDescent="0.2">
      <c r="H6869" s="1"/>
    </row>
    <row r="6870" spans="8:8" x14ac:dyDescent="0.2">
      <c r="H6870" s="1"/>
    </row>
    <row r="6871" spans="8:8" x14ac:dyDescent="0.2">
      <c r="H6871" s="1"/>
    </row>
    <row r="6872" spans="8:8" x14ac:dyDescent="0.2">
      <c r="H6872" s="1"/>
    </row>
    <row r="6873" spans="8:8" x14ac:dyDescent="0.2">
      <c r="H6873" s="1"/>
    </row>
    <row r="6874" spans="8:8" x14ac:dyDescent="0.2">
      <c r="H6874" s="1"/>
    </row>
    <row r="6875" spans="8:8" x14ac:dyDescent="0.2">
      <c r="H6875" s="1"/>
    </row>
    <row r="6876" spans="8:8" x14ac:dyDescent="0.2">
      <c r="H6876" s="1"/>
    </row>
    <row r="6877" spans="8:8" x14ac:dyDescent="0.2">
      <c r="H6877" s="1"/>
    </row>
    <row r="6878" spans="8:8" x14ac:dyDescent="0.2">
      <c r="H6878" s="1"/>
    </row>
    <row r="6879" spans="8:8" x14ac:dyDescent="0.2">
      <c r="H6879" s="1"/>
    </row>
    <row r="6880" spans="8:8" x14ac:dyDescent="0.2">
      <c r="H6880" s="1"/>
    </row>
    <row r="6881" spans="8:8" x14ac:dyDescent="0.2">
      <c r="H6881" s="1"/>
    </row>
    <row r="6882" spans="8:8" x14ac:dyDescent="0.2">
      <c r="H6882" s="1"/>
    </row>
    <row r="6883" spans="8:8" x14ac:dyDescent="0.2">
      <c r="H6883" s="1"/>
    </row>
    <row r="6884" spans="8:8" x14ac:dyDescent="0.2">
      <c r="H6884" s="1"/>
    </row>
    <row r="6885" spans="8:8" x14ac:dyDescent="0.2">
      <c r="H6885" s="1"/>
    </row>
    <row r="6886" spans="8:8" x14ac:dyDescent="0.2">
      <c r="H6886" s="1"/>
    </row>
    <row r="6887" spans="8:8" x14ac:dyDescent="0.2">
      <c r="H6887" s="1"/>
    </row>
    <row r="6888" spans="8:8" x14ac:dyDescent="0.2">
      <c r="H6888" s="1"/>
    </row>
    <row r="6889" spans="8:8" x14ac:dyDescent="0.2">
      <c r="H6889" s="1"/>
    </row>
    <row r="6890" spans="8:8" x14ac:dyDescent="0.2">
      <c r="H6890" s="1"/>
    </row>
    <row r="6891" spans="8:8" x14ac:dyDescent="0.2">
      <c r="H6891" s="1"/>
    </row>
    <row r="6892" spans="8:8" x14ac:dyDescent="0.2">
      <c r="H6892" s="1"/>
    </row>
    <row r="6893" spans="8:8" x14ac:dyDescent="0.2">
      <c r="H6893" s="1"/>
    </row>
    <row r="6894" spans="8:8" x14ac:dyDescent="0.2">
      <c r="H6894" s="1"/>
    </row>
    <row r="6895" spans="8:8" x14ac:dyDescent="0.2">
      <c r="H6895" s="1"/>
    </row>
    <row r="6896" spans="8:8" x14ac:dyDescent="0.2">
      <c r="H6896" s="1"/>
    </row>
    <row r="6897" spans="8:8" x14ac:dyDescent="0.2">
      <c r="H6897" s="1"/>
    </row>
    <row r="6898" spans="8:8" x14ac:dyDescent="0.2">
      <c r="H6898" s="1"/>
    </row>
    <row r="6899" spans="8:8" x14ac:dyDescent="0.2">
      <c r="H6899" s="1"/>
    </row>
    <row r="6900" spans="8:8" x14ac:dyDescent="0.2">
      <c r="H6900" s="1"/>
    </row>
    <row r="6901" spans="8:8" x14ac:dyDescent="0.2">
      <c r="H6901" s="1"/>
    </row>
    <row r="6902" spans="8:8" x14ac:dyDescent="0.2">
      <c r="H6902" s="1"/>
    </row>
    <row r="6903" spans="8:8" x14ac:dyDescent="0.2">
      <c r="H6903" s="1"/>
    </row>
    <row r="6904" spans="8:8" x14ac:dyDescent="0.2">
      <c r="H6904" s="1"/>
    </row>
    <row r="6905" spans="8:8" x14ac:dyDescent="0.2">
      <c r="H6905" s="1"/>
    </row>
    <row r="6906" spans="8:8" x14ac:dyDescent="0.2">
      <c r="H6906" s="1"/>
    </row>
    <row r="6907" spans="8:8" x14ac:dyDescent="0.2">
      <c r="H6907" s="1"/>
    </row>
    <row r="6908" spans="8:8" x14ac:dyDescent="0.2">
      <c r="H6908" s="1"/>
    </row>
    <row r="6909" spans="8:8" x14ac:dyDescent="0.2">
      <c r="H6909" s="1"/>
    </row>
    <row r="6910" spans="8:8" x14ac:dyDescent="0.2">
      <c r="H6910" s="1"/>
    </row>
    <row r="6911" spans="8:8" x14ac:dyDescent="0.2">
      <c r="H6911" s="1"/>
    </row>
    <row r="6912" spans="8:8" x14ac:dyDescent="0.2">
      <c r="H6912" s="1"/>
    </row>
    <row r="6913" spans="8:8" x14ac:dyDescent="0.2">
      <c r="H6913" s="1"/>
    </row>
    <row r="6914" spans="8:8" x14ac:dyDescent="0.2">
      <c r="H6914" s="1"/>
    </row>
    <row r="6915" spans="8:8" x14ac:dyDescent="0.2">
      <c r="H6915" s="1"/>
    </row>
    <row r="6916" spans="8:8" x14ac:dyDescent="0.2">
      <c r="H6916" s="1"/>
    </row>
    <row r="6917" spans="8:8" x14ac:dyDescent="0.2">
      <c r="H6917" s="1"/>
    </row>
    <row r="6918" spans="8:8" x14ac:dyDescent="0.2">
      <c r="H6918" s="1"/>
    </row>
    <row r="6919" spans="8:8" x14ac:dyDescent="0.2">
      <c r="H6919" s="1"/>
    </row>
    <row r="6920" spans="8:8" x14ac:dyDescent="0.2">
      <c r="H6920" s="1"/>
    </row>
    <row r="6921" spans="8:8" x14ac:dyDescent="0.2">
      <c r="H6921" s="1"/>
    </row>
    <row r="6922" spans="8:8" x14ac:dyDescent="0.2">
      <c r="H6922" s="1"/>
    </row>
    <row r="6923" spans="8:8" x14ac:dyDescent="0.2">
      <c r="H6923" s="1"/>
    </row>
    <row r="6924" spans="8:8" x14ac:dyDescent="0.2">
      <c r="H6924" s="1"/>
    </row>
    <row r="6925" spans="8:8" x14ac:dyDescent="0.2">
      <c r="H6925" s="1"/>
    </row>
    <row r="6926" spans="8:8" x14ac:dyDescent="0.2">
      <c r="H6926" s="1"/>
    </row>
    <row r="6927" spans="8:8" x14ac:dyDescent="0.2">
      <c r="H6927" s="1"/>
    </row>
    <row r="6928" spans="8:8" x14ac:dyDescent="0.2">
      <c r="H6928" s="1"/>
    </row>
    <row r="6929" spans="8:8" x14ac:dyDescent="0.2">
      <c r="H6929" s="1"/>
    </row>
    <row r="6930" spans="8:8" x14ac:dyDescent="0.2">
      <c r="H6930" s="1"/>
    </row>
    <row r="6931" spans="8:8" x14ac:dyDescent="0.2">
      <c r="H6931" s="1"/>
    </row>
    <row r="6932" spans="8:8" x14ac:dyDescent="0.2">
      <c r="H6932" s="1"/>
    </row>
    <row r="6933" spans="8:8" x14ac:dyDescent="0.2">
      <c r="H6933" s="1"/>
    </row>
    <row r="6934" spans="8:8" x14ac:dyDescent="0.2">
      <c r="H6934" s="1"/>
    </row>
    <row r="6935" spans="8:8" x14ac:dyDescent="0.2">
      <c r="H6935" s="1"/>
    </row>
    <row r="6936" spans="8:8" x14ac:dyDescent="0.2">
      <c r="H6936" s="1"/>
    </row>
    <row r="6937" spans="8:8" x14ac:dyDescent="0.2">
      <c r="H6937" s="1"/>
    </row>
    <row r="6938" spans="8:8" x14ac:dyDescent="0.2">
      <c r="H6938" s="1"/>
    </row>
    <row r="6939" spans="8:8" x14ac:dyDescent="0.2">
      <c r="H6939" s="1"/>
    </row>
    <row r="6940" spans="8:8" x14ac:dyDescent="0.2">
      <c r="H6940" s="1"/>
    </row>
    <row r="6941" spans="8:8" x14ac:dyDescent="0.2">
      <c r="H6941" s="1"/>
    </row>
    <row r="6942" spans="8:8" x14ac:dyDescent="0.2">
      <c r="H6942" s="1"/>
    </row>
    <row r="6943" spans="8:8" x14ac:dyDescent="0.2">
      <c r="H6943" s="1"/>
    </row>
    <row r="6944" spans="8:8" x14ac:dyDescent="0.2">
      <c r="H6944" s="1"/>
    </row>
    <row r="6945" spans="8:8" x14ac:dyDescent="0.2">
      <c r="H6945" s="1"/>
    </row>
    <row r="6946" spans="8:8" x14ac:dyDescent="0.2">
      <c r="H6946" s="1"/>
    </row>
    <row r="6947" spans="8:8" x14ac:dyDescent="0.2">
      <c r="H6947" s="1"/>
    </row>
    <row r="6948" spans="8:8" x14ac:dyDescent="0.2">
      <c r="H6948" s="1"/>
    </row>
    <row r="6949" spans="8:8" x14ac:dyDescent="0.2">
      <c r="H6949" s="1"/>
    </row>
    <row r="6950" spans="8:8" x14ac:dyDescent="0.2">
      <c r="H6950" s="1"/>
    </row>
    <row r="6951" spans="8:8" x14ac:dyDescent="0.2">
      <c r="H6951" s="1"/>
    </row>
    <row r="6952" spans="8:8" x14ac:dyDescent="0.2">
      <c r="H6952" s="1"/>
    </row>
    <row r="6953" spans="8:8" x14ac:dyDescent="0.2">
      <c r="H6953" s="1"/>
    </row>
    <row r="6954" spans="8:8" x14ac:dyDescent="0.2">
      <c r="H6954" s="1"/>
    </row>
    <row r="6955" spans="8:8" x14ac:dyDescent="0.2">
      <c r="H6955" s="1"/>
    </row>
    <row r="6956" spans="8:8" x14ac:dyDescent="0.2">
      <c r="H6956" s="1"/>
    </row>
    <row r="6957" spans="8:8" x14ac:dyDescent="0.2">
      <c r="H6957" s="1"/>
    </row>
    <row r="6958" spans="8:8" x14ac:dyDescent="0.2">
      <c r="H6958" s="1"/>
    </row>
    <row r="6959" spans="8:8" x14ac:dyDescent="0.2">
      <c r="H6959" s="1"/>
    </row>
    <row r="6960" spans="8:8" x14ac:dyDescent="0.2">
      <c r="H6960" s="1"/>
    </row>
    <row r="6961" spans="8:8" x14ac:dyDescent="0.2">
      <c r="H6961" s="1"/>
    </row>
    <row r="6962" spans="8:8" x14ac:dyDescent="0.2">
      <c r="H6962" s="1"/>
    </row>
    <row r="6963" spans="8:8" x14ac:dyDescent="0.2">
      <c r="H6963" s="1"/>
    </row>
    <row r="6964" spans="8:8" x14ac:dyDescent="0.2">
      <c r="H6964" s="1"/>
    </row>
    <row r="6965" spans="8:8" x14ac:dyDescent="0.2">
      <c r="H6965" s="1"/>
    </row>
    <row r="6966" spans="8:8" x14ac:dyDescent="0.2">
      <c r="H6966" s="1"/>
    </row>
    <row r="6967" spans="8:8" x14ac:dyDescent="0.2">
      <c r="H6967" s="1"/>
    </row>
    <row r="6968" spans="8:8" x14ac:dyDescent="0.2">
      <c r="H6968" s="1"/>
    </row>
    <row r="6969" spans="8:8" x14ac:dyDescent="0.2">
      <c r="H6969" s="1"/>
    </row>
    <row r="6970" spans="8:8" x14ac:dyDescent="0.2">
      <c r="H6970" s="1"/>
    </row>
    <row r="6971" spans="8:8" x14ac:dyDescent="0.2">
      <c r="H6971" s="1"/>
    </row>
    <row r="6972" spans="8:8" x14ac:dyDescent="0.2">
      <c r="H6972" s="1"/>
    </row>
    <row r="6973" spans="8:8" x14ac:dyDescent="0.2">
      <c r="H6973" s="1"/>
    </row>
    <row r="6974" spans="8:8" x14ac:dyDescent="0.2">
      <c r="H6974" s="1"/>
    </row>
    <row r="6975" spans="8:8" x14ac:dyDescent="0.2">
      <c r="H6975" s="1"/>
    </row>
    <row r="6976" spans="8:8" x14ac:dyDescent="0.2">
      <c r="H6976" s="1"/>
    </row>
    <row r="6977" spans="8:8" x14ac:dyDescent="0.2">
      <c r="H6977" s="1"/>
    </row>
    <row r="6978" spans="8:8" x14ac:dyDescent="0.2">
      <c r="H6978" s="1"/>
    </row>
    <row r="6979" spans="8:8" x14ac:dyDescent="0.2">
      <c r="H6979" s="1"/>
    </row>
    <row r="6980" spans="8:8" x14ac:dyDescent="0.2">
      <c r="H6980" s="1"/>
    </row>
    <row r="6981" spans="8:8" x14ac:dyDescent="0.2">
      <c r="H6981" s="1"/>
    </row>
    <row r="6982" spans="8:8" x14ac:dyDescent="0.2">
      <c r="H6982" s="1"/>
    </row>
    <row r="6983" spans="8:8" x14ac:dyDescent="0.2">
      <c r="H6983" s="1"/>
    </row>
    <row r="6984" spans="8:8" x14ac:dyDescent="0.2">
      <c r="H6984" s="1"/>
    </row>
    <row r="6985" spans="8:8" x14ac:dyDescent="0.2">
      <c r="H6985" s="1"/>
    </row>
    <row r="6986" spans="8:8" x14ac:dyDescent="0.2">
      <c r="H6986" s="1"/>
    </row>
    <row r="6987" spans="8:8" x14ac:dyDescent="0.2">
      <c r="H6987" s="1"/>
    </row>
    <row r="6988" spans="8:8" x14ac:dyDescent="0.2">
      <c r="H6988" s="1"/>
    </row>
    <row r="6989" spans="8:8" x14ac:dyDescent="0.2">
      <c r="H6989" s="1"/>
    </row>
    <row r="6990" spans="8:8" x14ac:dyDescent="0.2">
      <c r="H6990" s="1"/>
    </row>
    <row r="6991" spans="8:8" x14ac:dyDescent="0.2">
      <c r="H6991" s="1"/>
    </row>
    <row r="6992" spans="8:8" x14ac:dyDescent="0.2">
      <c r="H6992" s="1"/>
    </row>
    <row r="6993" spans="8:8" x14ac:dyDescent="0.2">
      <c r="H6993" s="1"/>
    </row>
    <row r="6994" spans="8:8" x14ac:dyDescent="0.2">
      <c r="H6994" s="1"/>
    </row>
    <row r="6995" spans="8:8" x14ac:dyDescent="0.2">
      <c r="H6995" s="1"/>
    </row>
    <row r="6996" spans="8:8" x14ac:dyDescent="0.2">
      <c r="H6996" s="1"/>
    </row>
    <row r="6997" spans="8:8" x14ac:dyDescent="0.2">
      <c r="H6997" s="1"/>
    </row>
    <row r="6998" spans="8:8" x14ac:dyDescent="0.2">
      <c r="H6998" s="1"/>
    </row>
    <row r="6999" spans="8:8" x14ac:dyDescent="0.2">
      <c r="H6999" s="1"/>
    </row>
    <row r="7000" spans="8:8" x14ac:dyDescent="0.2">
      <c r="H7000" s="1"/>
    </row>
    <row r="7001" spans="8:8" x14ac:dyDescent="0.2">
      <c r="H7001" s="1"/>
    </row>
    <row r="7002" spans="8:8" x14ac:dyDescent="0.2">
      <c r="H7002" s="1"/>
    </row>
    <row r="7003" spans="8:8" x14ac:dyDescent="0.2">
      <c r="H7003" s="1"/>
    </row>
    <row r="7004" spans="8:8" x14ac:dyDescent="0.2">
      <c r="H7004" s="1"/>
    </row>
    <row r="7005" spans="8:8" x14ac:dyDescent="0.2">
      <c r="H7005" s="1"/>
    </row>
    <row r="7006" spans="8:8" x14ac:dyDescent="0.2">
      <c r="H7006" s="1"/>
    </row>
    <row r="7007" spans="8:8" x14ac:dyDescent="0.2">
      <c r="H7007" s="1"/>
    </row>
    <row r="7008" spans="8:8" x14ac:dyDescent="0.2">
      <c r="H7008" s="1"/>
    </row>
    <row r="7009" spans="8:8" x14ac:dyDescent="0.2">
      <c r="H7009" s="1"/>
    </row>
    <row r="7010" spans="8:8" x14ac:dyDescent="0.2">
      <c r="H7010" s="1"/>
    </row>
    <row r="7011" spans="8:8" x14ac:dyDescent="0.2">
      <c r="H7011" s="1"/>
    </row>
    <row r="7012" spans="8:8" x14ac:dyDescent="0.2">
      <c r="H7012" s="1"/>
    </row>
    <row r="7013" spans="8:8" x14ac:dyDescent="0.2">
      <c r="H7013" s="1"/>
    </row>
    <row r="7014" spans="8:8" x14ac:dyDescent="0.2">
      <c r="H7014" s="1"/>
    </row>
    <row r="7015" spans="8:8" x14ac:dyDescent="0.2">
      <c r="H7015" s="1"/>
    </row>
    <row r="7016" spans="8:8" x14ac:dyDescent="0.2">
      <c r="H7016" s="1"/>
    </row>
    <row r="7017" spans="8:8" x14ac:dyDescent="0.2">
      <c r="H7017" s="1"/>
    </row>
    <row r="7018" spans="8:8" x14ac:dyDescent="0.2">
      <c r="H7018" s="1"/>
    </row>
    <row r="7019" spans="8:8" x14ac:dyDescent="0.2">
      <c r="H7019" s="1"/>
    </row>
    <row r="7020" spans="8:8" x14ac:dyDescent="0.2">
      <c r="H7020" s="1"/>
    </row>
    <row r="7021" spans="8:8" x14ac:dyDescent="0.2">
      <c r="H7021" s="1"/>
    </row>
    <row r="7022" spans="8:8" x14ac:dyDescent="0.2">
      <c r="H7022" s="1"/>
    </row>
    <row r="7023" spans="8:8" x14ac:dyDescent="0.2">
      <c r="H7023" s="1"/>
    </row>
    <row r="7024" spans="8:8" x14ac:dyDescent="0.2">
      <c r="H7024" s="1"/>
    </row>
    <row r="7025" spans="8:8" x14ac:dyDescent="0.2">
      <c r="H7025" s="1"/>
    </row>
    <row r="7026" spans="8:8" x14ac:dyDescent="0.2">
      <c r="H7026" s="1"/>
    </row>
    <row r="7027" spans="8:8" x14ac:dyDescent="0.2">
      <c r="H7027" s="1"/>
    </row>
    <row r="7028" spans="8:8" x14ac:dyDescent="0.2">
      <c r="H7028" s="1"/>
    </row>
    <row r="7029" spans="8:8" x14ac:dyDescent="0.2">
      <c r="H7029" s="1"/>
    </row>
    <row r="7030" spans="8:8" x14ac:dyDescent="0.2">
      <c r="H7030" s="1"/>
    </row>
    <row r="7031" spans="8:8" x14ac:dyDescent="0.2">
      <c r="H7031" s="1"/>
    </row>
    <row r="7032" spans="8:8" x14ac:dyDescent="0.2">
      <c r="H7032" s="1"/>
    </row>
    <row r="7033" spans="8:8" x14ac:dyDescent="0.2">
      <c r="H7033" s="1"/>
    </row>
    <row r="7034" spans="8:8" x14ac:dyDescent="0.2">
      <c r="H7034" s="1"/>
    </row>
    <row r="7035" spans="8:8" x14ac:dyDescent="0.2">
      <c r="H7035" s="1"/>
    </row>
    <row r="7036" spans="8:8" x14ac:dyDescent="0.2">
      <c r="H7036" s="1"/>
    </row>
    <row r="7037" spans="8:8" x14ac:dyDescent="0.2">
      <c r="H7037" s="1"/>
    </row>
    <row r="7038" spans="8:8" x14ac:dyDescent="0.2">
      <c r="H7038" s="1"/>
    </row>
    <row r="7039" spans="8:8" x14ac:dyDescent="0.2">
      <c r="H7039" s="1"/>
    </row>
    <row r="7040" spans="8:8" x14ac:dyDescent="0.2">
      <c r="H7040" s="1"/>
    </row>
    <row r="7041" spans="8:8" x14ac:dyDescent="0.2">
      <c r="H7041" s="1"/>
    </row>
    <row r="7042" spans="8:8" x14ac:dyDescent="0.2">
      <c r="H7042" s="1"/>
    </row>
    <row r="7043" spans="8:8" x14ac:dyDescent="0.2">
      <c r="H7043" s="1"/>
    </row>
    <row r="7044" spans="8:8" x14ac:dyDescent="0.2">
      <c r="H7044" s="1"/>
    </row>
    <row r="7045" spans="8:8" x14ac:dyDescent="0.2">
      <c r="H7045" s="1"/>
    </row>
    <row r="7046" spans="8:8" x14ac:dyDescent="0.2">
      <c r="H7046" s="1"/>
    </row>
    <row r="7047" spans="8:8" x14ac:dyDescent="0.2">
      <c r="H7047" s="1"/>
    </row>
    <row r="7048" spans="8:8" x14ac:dyDescent="0.2">
      <c r="H7048" s="1"/>
    </row>
    <row r="7049" spans="8:8" x14ac:dyDescent="0.2">
      <c r="H7049" s="1"/>
    </row>
    <row r="7050" spans="8:8" x14ac:dyDescent="0.2">
      <c r="H7050" s="1"/>
    </row>
    <row r="7051" spans="8:8" x14ac:dyDescent="0.2">
      <c r="H7051" s="1"/>
    </row>
    <row r="7052" spans="8:8" x14ac:dyDescent="0.2">
      <c r="H7052" s="1"/>
    </row>
    <row r="7053" spans="8:8" x14ac:dyDescent="0.2">
      <c r="H7053" s="1"/>
    </row>
    <row r="7054" spans="8:8" x14ac:dyDescent="0.2">
      <c r="H7054" s="1"/>
    </row>
    <row r="7055" spans="8:8" x14ac:dyDescent="0.2">
      <c r="H7055" s="1"/>
    </row>
    <row r="7056" spans="8:8" x14ac:dyDescent="0.2">
      <c r="H7056" s="1"/>
    </row>
    <row r="7057" spans="8:8" x14ac:dyDescent="0.2">
      <c r="H7057" s="1"/>
    </row>
    <row r="7058" spans="8:8" x14ac:dyDescent="0.2">
      <c r="H7058" s="1"/>
    </row>
    <row r="7059" spans="8:8" x14ac:dyDescent="0.2">
      <c r="H7059" s="1"/>
    </row>
    <row r="7060" spans="8:8" x14ac:dyDescent="0.2">
      <c r="H7060" s="1"/>
    </row>
    <row r="7061" spans="8:8" x14ac:dyDescent="0.2">
      <c r="H7061" s="1"/>
    </row>
    <row r="7062" spans="8:8" x14ac:dyDescent="0.2">
      <c r="H7062" s="1"/>
    </row>
    <row r="7063" spans="8:8" x14ac:dyDescent="0.2">
      <c r="H7063" s="1"/>
    </row>
    <row r="7064" spans="8:8" x14ac:dyDescent="0.2">
      <c r="H7064" s="1"/>
    </row>
    <row r="7065" spans="8:8" x14ac:dyDescent="0.2">
      <c r="H7065" s="1"/>
    </row>
    <row r="7066" spans="8:8" x14ac:dyDescent="0.2">
      <c r="H7066" s="1"/>
    </row>
    <row r="7067" spans="8:8" x14ac:dyDescent="0.2">
      <c r="H7067" s="1"/>
    </row>
    <row r="7068" spans="8:8" x14ac:dyDescent="0.2">
      <c r="H7068" s="1"/>
    </row>
    <row r="7069" spans="8:8" x14ac:dyDescent="0.2">
      <c r="H7069" s="1"/>
    </row>
    <row r="7070" spans="8:8" x14ac:dyDescent="0.2">
      <c r="H7070" s="1"/>
    </row>
    <row r="7071" spans="8:8" x14ac:dyDescent="0.2">
      <c r="H7071" s="1"/>
    </row>
    <row r="7072" spans="8:8" x14ac:dyDescent="0.2">
      <c r="H7072" s="1"/>
    </row>
    <row r="7073" spans="8:8" x14ac:dyDescent="0.2">
      <c r="H7073" s="1"/>
    </row>
    <row r="7074" spans="8:8" x14ac:dyDescent="0.2">
      <c r="H7074" s="1"/>
    </row>
    <row r="7075" spans="8:8" x14ac:dyDescent="0.2">
      <c r="H7075" s="1"/>
    </row>
    <row r="7076" spans="8:8" x14ac:dyDescent="0.2">
      <c r="H7076" s="1"/>
    </row>
    <row r="7077" spans="8:8" x14ac:dyDescent="0.2">
      <c r="H7077" s="1"/>
    </row>
    <row r="7078" spans="8:8" x14ac:dyDescent="0.2">
      <c r="H7078" s="1"/>
    </row>
    <row r="7079" spans="8:8" x14ac:dyDescent="0.2">
      <c r="H7079" s="1"/>
    </row>
    <row r="7080" spans="8:8" x14ac:dyDescent="0.2">
      <c r="H7080" s="1"/>
    </row>
    <row r="7081" spans="8:8" x14ac:dyDescent="0.2">
      <c r="H7081" s="1"/>
    </row>
    <row r="7082" spans="8:8" x14ac:dyDescent="0.2">
      <c r="H7082" s="1"/>
    </row>
    <row r="7083" spans="8:8" x14ac:dyDescent="0.2">
      <c r="H7083" s="1"/>
    </row>
    <row r="7084" spans="8:8" x14ac:dyDescent="0.2">
      <c r="H7084" s="1"/>
    </row>
    <row r="7085" spans="8:8" x14ac:dyDescent="0.2">
      <c r="H7085" s="1"/>
    </row>
    <row r="7086" spans="8:8" x14ac:dyDescent="0.2">
      <c r="H7086" s="1"/>
    </row>
    <row r="7087" spans="8:8" x14ac:dyDescent="0.2">
      <c r="H7087" s="1"/>
    </row>
    <row r="7088" spans="8:8" x14ac:dyDescent="0.2">
      <c r="H7088" s="1"/>
    </row>
    <row r="7089" spans="8:8" x14ac:dyDescent="0.2">
      <c r="H7089" s="1"/>
    </row>
    <row r="7090" spans="8:8" x14ac:dyDescent="0.2">
      <c r="H7090" s="1"/>
    </row>
    <row r="7091" spans="8:8" x14ac:dyDescent="0.2">
      <c r="H7091" s="1"/>
    </row>
    <row r="7092" spans="8:8" x14ac:dyDescent="0.2">
      <c r="H7092" s="1"/>
    </row>
    <row r="7093" spans="8:8" x14ac:dyDescent="0.2">
      <c r="H7093" s="1"/>
    </row>
    <row r="7094" spans="8:8" x14ac:dyDescent="0.2">
      <c r="H7094" s="1"/>
    </row>
    <row r="7095" spans="8:8" x14ac:dyDescent="0.2">
      <c r="H7095" s="1"/>
    </row>
    <row r="7096" spans="8:8" x14ac:dyDescent="0.2">
      <c r="H7096" s="1"/>
    </row>
    <row r="7097" spans="8:8" x14ac:dyDescent="0.2">
      <c r="H7097" s="1"/>
    </row>
    <row r="7098" spans="8:8" x14ac:dyDescent="0.2">
      <c r="H7098" s="1"/>
    </row>
    <row r="7099" spans="8:8" x14ac:dyDescent="0.2">
      <c r="H7099" s="1"/>
    </row>
    <row r="7100" spans="8:8" x14ac:dyDescent="0.2">
      <c r="H7100" s="1"/>
    </row>
    <row r="7101" spans="8:8" x14ac:dyDescent="0.2">
      <c r="H7101" s="1"/>
    </row>
    <row r="7102" spans="8:8" x14ac:dyDescent="0.2">
      <c r="H7102" s="1"/>
    </row>
    <row r="7103" spans="8:8" x14ac:dyDescent="0.2">
      <c r="H7103" s="1"/>
    </row>
    <row r="7104" spans="8:8" x14ac:dyDescent="0.2">
      <c r="H7104" s="1"/>
    </row>
    <row r="7105" spans="8:8" x14ac:dyDescent="0.2">
      <c r="H7105" s="1"/>
    </row>
    <row r="7106" spans="8:8" x14ac:dyDescent="0.2">
      <c r="H7106" s="1"/>
    </row>
    <row r="7107" spans="8:8" x14ac:dyDescent="0.2">
      <c r="H7107" s="1"/>
    </row>
    <row r="7108" spans="8:8" x14ac:dyDescent="0.2">
      <c r="H7108" s="1"/>
    </row>
    <row r="7109" spans="8:8" x14ac:dyDescent="0.2">
      <c r="H7109" s="1"/>
    </row>
    <row r="7110" spans="8:8" x14ac:dyDescent="0.2">
      <c r="H7110" s="1"/>
    </row>
    <row r="7111" spans="8:8" x14ac:dyDescent="0.2">
      <c r="H7111" s="1"/>
    </row>
    <row r="7112" spans="8:8" x14ac:dyDescent="0.2">
      <c r="H7112" s="1"/>
    </row>
    <row r="7113" spans="8:8" x14ac:dyDescent="0.2">
      <c r="H7113" s="1"/>
    </row>
    <row r="7114" spans="8:8" x14ac:dyDescent="0.2">
      <c r="H7114" s="1"/>
    </row>
    <row r="7115" spans="8:8" x14ac:dyDescent="0.2">
      <c r="H7115" s="1"/>
    </row>
    <row r="7116" spans="8:8" x14ac:dyDescent="0.2">
      <c r="H7116" s="1"/>
    </row>
    <row r="7117" spans="8:8" x14ac:dyDescent="0.2">
      <c r="H7117" s="1"/>
    </row>
    <row r="7118" spans="8:8" x14ac:dyDescent="0.2">
      <c r="H7118" s="1"/>
    </row>
    <row r="7119" spans="8:8" x14ac:dyDescent="0.2">
      <c r="H7119" s="1"/>
    </row>
    <row r="7120" spans="8:8" x14ac:dyDescent="0.2">
      <c r="H7120" s="1"/>
    </row>
    <row r="7121" spans="8:8" x14ac:dyDescent="0.2">
      <c r="H7121" s="1"/>
    </row>
    <row r="7122" spans="8:8" x14ac:dyDescent="0.2">
      <c r="H7122" s="1"/>
    </row>
    <row r="7123" spans="8:8" x14ac:dyDescent="0.2">
      <c r="H7123" s="1"/>
    </row>
    <row r="7124" spans="8:8" x14ac:dyDescent="0.2">
      <c r="H7124" s="1"/>
    </row>
    <row r="7125" spans="8:8" x14ac:dyDescent="0.2">
      <c r="H7125" s="1"/>
    </row>
    <row r="7126" spans="8:8" x14ac:dyDescent="0.2">
      <c r="H7126" s="1"/>
    </row>
    <row r="7127" spans="8:8" x14ac:dyDescent="0.2">
      <c r="H7127" s="1"/>
    </row>
    <row r="7128" spans="8:8" x14ac:dyDescent="0.2">
      <c r="H7128" s="1"/>
    </row>
    <row r="7129" spans="8:8" x14ac:dyDescent="0.2">
      <c r="H7129" s="1"/>
    </row>
    <row r="7130" spans="8:8" x14ac:dyDescent="0.2">
      <c r="H7130" s="1"/>
    </row>
    <row r="7131" spans="8:8" x14ac:dyDescent="0.2">
      <c r="H7131" s="1"/>
    </row>
    <row r="7132" spans="8:8" x14ac:dyDescent="0.2">
      <c r="H7132" s="1"/>
    </row>
    <row r="7133" spans="8:8" x14ac:dyDescent="0.2">
      <c r="H7133" s="1"/>
    </row>
    <row r="7134" spans="8:8" x14ac:dyDescent="0.2">
      <c r="H7134" s="1"/>
    </row>
    <row r="7135" spans="8:8" x14ac:dyDescent="0.2">
      <c r="H7135" s="1"/>
    </row>
    <row r="7136" spans="8:8" x14ac:dyDescent="0.2">
      <c r="H7136" s="1"/>
    </row>
    <row r="7137" spans="8:8" x14ac:dyDescent="0.2">
      <c r="H7137" s="1"/>
    </row>
    <row r="7138" spans="8:8" x14ac:dyDescent="0.2">
      <c r="H7138" s="1"/>
    </row>
    <row r="7139" spans="8:8" x14ac:dyDescent="0.2">
      <c r="H7139" s="1"/>
    </row>
    <row r="7140" spans="8:8" x14ac:dyDescent="0.2">
      <c r="H7140" s="1"/>
    </row>
    <row r="7141" spans="8:8" x14ac:dyDescent="0.2">
      <c r="H7141" s="1"/>
    </row>
    <row r="7142" spans="8:8" x14ac:dyDescent="0.2">
      <c r="H7142" s="1"/>
    </row>
    <row r="7143" spans="8:8" x14ac:dyDescent="0.2">
      <c r="H7143" s="1"/>
    </row>
    <row r="7144" spans="8:8" x14ac:dyDescent="0.2">
      <c r="H7144" s="1"/>
    </row>
    <row r="7145" spans="8:8" x14ac:dyDescent="0.2">
      <c r="H7145" s="1"/>
    </row>
    <row r="7146" spans="8:8" x14ac:dyDescent="0.2">
      <c r="H7146" s="1"/>
    </row>
    <row r="7147" spans="8:8" x14ac:dyDescent="0.2">
      <c r="H7147" s="1"/>
    </row>
    <row r="7148" spans="8:8" x14ac:dyDescent="0.2">
      <c r="H7148" s="1"/>
    </row>
    <row r="7149" spans="8:8" x14ac:dyDescent="0.2">
      <c r="H7149" s="1"/>
    </row>
    <row r="7150" spans="8:8" x14ac:dyDescent="0.2">
      <c r="H7150" s="1"/>
    </row>
    <row r="7151" spans="8:8" x14ac:dyDescent="0.2">
      <c r="H7151" s="1"/>
    </row>
    <row r="7152" spans="8:8" x14ac:dyDescent="0.2">
      <c r="H7152" s="1"/>
    </row>
    <row r="7153" spans="8:8" x14ac:dyDescent="0.2">
      <c r="H7153" s="1"/>
    </row>
    <row r="7154" spans="8:8" x14ac:dyDescent="0.2">
      <c r="H7154" s="1"/>
    </row>
    <row r="7155" spans="8:8" x14ac:dyDescent="0.2">
      <c r="H7155" s="1"/>
    </row>
    <row r="7156" spans="8:8" x14ac:dyDescent="0.2">
      <c r="H7156" s="1"/>
    </row>
    <row r="7157" spans="8:8" x14ac:dyDescent="0.2">
      <c r="H7157" s="1"/>
    </row>
    <row r="7158" spans="8:8" x14ac:dyDescent="0.2">
      <c r="H7158" s="1"/>
    </row>
    <row r="7159" spans="8:8" x14ac:dyDescent="0.2">
      <c r="H7159" s="1"/>
    </row>
    <row r="7160" spans="8:8" x14ac:dyDescent="0.2">
      <c r="H7160" s="1"/>
    </row>
    <row r="7161" spans="8:8" x14ac:dyDescent="0.2">
      <c r="H7161" s="1"/>
    </row>
    <row r="7162" spans="8:8" x14ac:dyDescent="0.2">
      <c r="H7162" s="1"/>
    </row>
    <row r="7163" spans="8:8" x14ac:dyDescent="0.2">
      <c r="H7163" s="1"/>
    </row>
    <row r="7164" spans="8:8" x14ac:dyDescent="0.2">
      <c r="H7164" s="1"/>
    </row>
    <row r="7165" spans="8:8" x14ac:dyDescent="0.2">
      <c r="H7165" s="1"/>
    </row>
    <row r="7166" spans="8:8" x14ac:dyDescent="0.2">
      <c r="H7166" s="1"/>
    </row>
    <row r="7167" spans="8:8" x14ac:dyDescent="0.2">
      <c r="H7167" s="1"/>
    </row>
    <row r="7168" spans="8:8" x14ac:dyDescent="0.2">
      <c r="H7168" s="1"/>
    </row>
    <row r="7169" spans="8:8" x14ac:dyDescent="0.2">
      <c r="H7169" s="1"/>
    </row>
    <row r="7170" spans="8:8" x14ac:dyDescent="0.2">
      <c r="H7170" s="1"/>
    </row>
    <row r="7171" spans="8:8" x14ac:dyDescent="0.2">
      <c r="H7171" s="1"/>
    </row>
    <row r="7172" spans="8:8" x14ac:dyDescent="0.2">
      <c r="H7172" s="1"/>
    </row>
    <row r="7173" spans="8:8" x14ac:dyDescent="0.2">
      <c r="H7173" s="1"/>
    </row>
    <row r="7174" spans="8:8" x14ac:dyDescent="0.2">
      <c r="H7174" s="1"/>
    </row>
    <row r="7175" spans="8:8" x14ac:dyDescent="0.2">
      <c r="H7175" s="1"/>
    </row>
    <row r="7176" spans="8:8" x14ac:dyDescent="0.2">
      <c r="H7176" s="1"/>
    </row>
    <row r="7177" spans="8:8" x14ac:dyDescent="0.2">
      <c r="H7177" s="1"/>
    </row>
    <row r="7178" spans="8:8" x14ac:dyDescent="0.2">
      <c r="H7178" s="1"/>
    </row>
    <row r="7179" spans="8:8" x14ac:dyDescent="0.2">
      <c r="H7179" s="1"/>
    </row>
    <row r="7180" spans="8:8" x14ac:dyDescent="0.2">
      <c r="H7180" s="1"/>
    </row>
    <row r="7181" spans="8:8" x14ac:dyDescent="0.2">
      <c r="H7181" s="1"/>
    </row>
    <row r="7182" spans="8:8" x14ac:dyDescent="0.2">
      <c r="H7182" s="1"/>
    </row>
    <row r="7183" spans="8:8" x14ac:dyDescent="0.2">
      <c r="H7183" s="1"/>
    </row>
    <row r="7184" spans="8:8" x14ac:dyDescent="0.2">
      <c r="H7184" s="1"/>
    </row>
    <row r="7185" spans="8:8" x14ac:dyDescent="0.2">
      <c r="H7185" s="1"/>
    </row>
    <row r="7186" spans="8:8" x14ac:dyDescent="0.2">
      <c r="H7186" s="1"/>
    </row>
    <row r="7187" spans="8:8" x14ac:dyDescent="0.2">
      <c r="H7187" s="1"/>
    </row>
    <row r="7188" spans="8:8" x14ac:dyDescent="0.2">
      <c r="H7188" s="1"/>
    </row>
    <row r="7189" spans="8:8" x14ac:dyDescent="0.2">
      <c r="H7189" s="1"/>
    </row>
    <row r="7190" spans="8:8" x14ac:dyDescent="0.2">
      <c r="H7190" s="1"/>
    </row>
    <row r="7191" spans="8:8" x14ac:dyDescent="0.2">
      <c r="H7191" s="1"/>
    </row>
    <row r="7192" spans="8:8" x14ac:dyDescent="0.2">
      <c r="H7192" s="1"/>
    </row>
    <row r="7193" spans="8:8" x14ac:dyDescent="0.2">
      <c r="H7193" s="1"/>
    </row>
    <row r="7194" spans="8:8" x14ac:dyDescent="0.2">
      <c r="H7194" s="1"/>
    </row>
    <row r="7195" spans="8:8" x14ac:dyDescent="0.2">
      <c r="H7195" s="1"/>
    </row>
    <row r="7196" spans="8:8" x14ac:dyDescent="0.2">
      <c r="H7196" s="1"/>
    </row>
    <row r="7197" spans="8:8" x14ac:dyDescent="0.2">
      <c r="H7197" s="1"/>
    </row>
    <row r="7198" spans="8:8" x14ac:dyDescent="0.2">
      <c r="H7198" s="1"/>
    </row>
    <row r="7199" spans="8:8" x14ac:dyDescent="0.2">
      <c r="H7199" s="1"/>
    </row>
    <row r="7200" spans="8:8" x14ac:dyDescent="0.2">
      <c r="H7200" s="1"/>
    </row>
    <row r="7201" spans="8:8" x14ac:dyDescent="0.2">
      <c r="H7201" s="1"/>
    </row>
    <row r="7202" spans="8:8" x14ac:dyDescent="0.2">
      <c r="H7202" s="1"/>
    </row>
    <row r="7203" spans="8:8" x14ac:dyDescent="0.2">
      <c r="H7203" s="1"/>
    </row>
    <row r="7204" spans="8:8" x14ac:dyDescent="0.2">
      <c r="H7204" s="1"/>
    </row>
    <row r="7205" spans="8:8" x14ac:dyDescent="0.2">
      <c r="H7205" s="1"/>
    </row>
    <row r="7206" spans="8:8" x14ac:dyDescent="0.2">
      <c r="H7206" s="1"/>
    </row>
    <row r="7207" spans="8:8" x14ac:dyDescent="0.2">
      <c r="H7207" s="1"/>
    </row>
    <row r="7208" spans="8:8" x14ac:dyDescent="0.2">
      <c r="H7208" s="1"/>
    </row>
    <row r="7209" spans="8:8" x14ac:dyDescent="0.2">
      <c r="H7209" s="1"/>
    </row>
    <row r="7210" spans="8:8" x14ac:dyDescent="0.2">
      <c r="H7210" s="1"/>
    </row>
    <row r="7211" spans="8:8" x14ac:dyDescent="0.2">
      <c r="H7211" s="1"/>
    </row>
    <row r="7212" spans="8:8" x14ac:dyDescent="0.2">
      <c r="H7212" s="1"/>
    </row>
    <row r="7213" spans="8:8" x14ac:dyDescent="0.2">
      <c r="H7213" s="1"/>
    </row>
    <row r="7214" spans="8:8" x14ac:dyDescent="0.2">
      <c r="H7214" s="1"/>
    </row>
    <row r="7215" spans="8:8" x14ac:dyDescent="0.2">
      <c r="H7215" s="1"/>
    </row>
    <row r="7216" spans="8:8" x14ac:dyDescent="0.2">
      <c r="H7216" s="1"/>
    </row>
    <row r="7217" spans="8:8" x14ac:dyDescent="0.2">
      <c r="H7217" s="1"/>
    </row>
    <row r="7218" spans="8:8" x14ac:dyDescent="0.2">
      <c r="H7218" s="1"/>
    </row>
    <row r="7219" spans="8:8" x14ac:dyDescent="0.2">
      <c r="H7219" s="1"/>
    </row>
    <row r="7220" spans="8:8" x14ac:dyDescent="0.2">
      <c r="H7220" s="1"/>
    </row>
    <row r="7221" spans="8:8" x14ac:dyDescent="0.2">
      <c r="H7221" s="1"/>
    </row>
    <row r="7222" spans="8:8" x14ac:dyDescent="0.2">
      <c r="H7222" s="1"/>
    </row>
    <row r="7223" spans="8:8" x14ac:dyDescent="0.2">
      <c r="H7223" s="1"/>
    </row>
    <row r="7224" spans="8:8" x14ac:dyDescent="0.2">
      <c r="H7224" s="1"/>
    </row>
    <row r="7225" spans="8:8" x14ac:dyDescent="0.2">
      <c r="H7225" s="1"/>
    </row>
    <row r="7226" spans="8:8" x14ac:dyDescent="0.2">
      <c r="H7226" s="1"/>
    </row>
    <row r="7227" spans="8:8" x14ac:dyDescent="0.2">
      <c r="H7227" s="1"/>
    </row>
    <row r="7228" spans="8:8" x14ac:dyDescent="0.2">
      <c r="H7228" s="1"/>
    </row>
    <row r="7229" spans="8:8" x14ac:dyDescent="0.2">
      <c r="H7229" s="1"/>
    </row>
    <row r="7230" spans="8:8" x14ac:dyDescent="0.2">
      <c r="H7230" s="1"/>
    </row>
    <row r="7231" spans="8:8" x14ac:dyDescent="0.2">
      <c r="H7231" s="1"/>
    </row>
    <row r="7232" spans="8:8" x14ac:dyDescent="0.2">
      <c r="H7232" s="1"/>
    </row>
    <row r="7233" spans="8:8" x14ac:dyDescent="0.2">
      <c r="H7233" s="1"/>
    </row>
    <row r="7234" spans="8:8" x14ac:dyDescent="0.2">
      <c r="H7234" s="1"/>
    </row>
    <row r="7235" spans="8:8" x14ac:dyDescent="0.2">
      <c r="H7235" s="1"/>
    </row>
    <row r="7236" spans="8:8" x14ac:dyDescent="0.2">
      <c r="H7236" s="1"/>
    </row>
    <row r="7237" spans="8:8" x14ac:dyDescent="0.2">
      <c r="H7237" s="1"/>
    </row>
    <row r="7238" spans="8:8" x14ac:dyDescent="0.2">
      <c r="H7238" s="1"/>
    </row>
    <row r="7239" spans="8:8" x14ac:dyDescent="0.2">
      <c r="H7239" s="1"/>
    </row>
    <row r="7240" spans="8:8" x14ac:dyDescent="0.2">
      <c r="H7240" s="1"/>
    </row>
    <row r="7241" spans="8:8" x14ac:dyDescent="0.2">
      <c r="H7241" s="1"/>
    </row>
    <row r="7242" spans="8:8" x14ac:dyDescent="0.2">
      <c r="H7242" s="1"/>
    </row>
    <row r="7243" spans="8:8" x14ac:dyDescent="0.2">
      <c r="H7243" s="1"/>
    </row>
    <row r="7244" spans="8:8" x14ac:dyDescent="0.2">
      <c r="H7244" s="1"/>
    </row>
    <row r="7245" spans="8:8" x14ac:dyDescent="0.2">
      <c r="H7245" s="1"/>
    </row>
    <row r="7246" spans="8:8" x14ac:dyDescent="0.2">
      <c r="H7246" s="1"/>
    </row>
    <row r="7247" spans="8:8" x14ac:dyDescent="0.2">
      <c r="H7247" s="1"/>
    </row>
    <row r="7248" spans="8:8" x14ac:dyDescent="0.2">
      <c r="H7248" s="1"/>
    </row>
    <row r="7249" spans="8:8" x14ac:dyDescent="0.2">
      <c r="H7249" s="1"/>
    </row>
    <row r="7250" spans="8:8" x14ac:dyDescent="0.2">
      <c r="H7250" s="1"/>
    </row>
    <row r="7251" spans="8:8" x14ac:dyDescent="0.2">
      <c r="H7251" s="1"/>
    </row>
    <row r="7252" spans="8:8" x14ac:dyDescent="0.2">
      <c r="H7252" s="1"/>
    </row>
    <row r="7253" spans="8:8" x14ac:dyDescent="0.2">
      <c r="H7253" s="1"/>
    </row>
    <row r="7254" spans="8:8" x14ac:dyDescent="0.2">
      <c r="H7254" s="1"/>
    </row>
    <row r="7255" spans="8:8" x14ac:dyDescent="0.2">
      <c r="H7255" s="1"/>
    </row>
    <row r="7256" spans="8:8" x14ac:dyDescent="0.2">
      <c r="H7256" s="1"/>
    </row>
    <row r="7257" spans="8:8" x14ac:dyDescent="0.2">
      <c r="H7257" s="1"/>
    </row>
    <row r="7258" spans="8:8" x14ac:dyDescent="0.2">
      <c r="H7258" s="1"/>
    </row>
    <row r="7259" spans="8:8" x14ac:dyDescent="0.2">
      <c r="H7259" s="1"/>
    </row>
    <row r="7260" spans="8:8" x14ac:dyDescent="0.2">
      <c r="H7260" s="1"/>
    </row>
    <row r="7261" spans="8:8" x14ac:dyDescent="0.2">
      <c r="H7261" s="1"/>
    </row>
    <row r="7262" spans="8:8" x14ac:dyDescent="0.2">
      <c r="H7262" s="1"/>
    </row>
    <row r="7263" spans="8:8" x14ac:dyDescent="0.2">
      <c r="H7263" s="1"/>
    </row>
    <row r="7264" spans="8:8" x14ac:dyDescent="0.2">
      <c r="H7264" s="1"/>
    </row>
    <row r="7265" spans="8:8" x14ac:dyDescent="0.2">
      <c r="H7265" s="1"/>
    </row>
    <row r="7266" spans="8:8" x14ac:dyDescent="0.2">
      <c r="H7266" s="1"/>
    </row>
    <row r="7267" spans="8:8" x14ac:dyDescent="0.2">
      <c r="H7267" s="1"/>
    </row>
    <row r="7268" spans="8:8" x14ac:dyDescent="0.2">
      <c r="H7268" s="1"/>
    </row>
    <row r="7269" spans="8:8" x14ac:dyDescent="0.2">
      <c r="H7269" s="1"/>
    </row>
    <row r="7270" spans="8:8" x14ac:dyDescent="0.2">
      <c r="H7270" s="1"/>
    </row>
    <row r="7271" spans="8:8" x14ac:dyDescent="0.2">
      <c r="H7271" s="1"/>
    </row>
    <row r="7272" spans="8:8" x14ac:dyDescent="0.2">
      <c r="H7272" s="1"/>
    </row>
    <row r="7273" spans="8:8" x14ac:dyDescent="0.2">
      <c r="H7273" s="1"/>
    </row>
    <row r="7274" spans="8:8" x14ac:dyDescent="0.2">
      <c r="H7274" s="1"/>
    </row>
    <row r="7275" spans="8:8" x14ac:dyDescent="0.2">
      <c r="H7275" s="1"/>
    </row>
    <row r="7276" spans="8:8" x14ac:dyDescent="0.2">
      <c r="H7276" s="1"/>
    </row>
    <row r="7277" spans="8:8" x14ac:dyDescent="0.2">
      <c r="H7277" s="1"/>
    </row>
    <row r="7278" spans="8:8" x14ac:dyDescent="0.2">
      <c r="H7278" s="1"/>
    </row>
    <row r="7279" spans="8:8" x14ac:dyDescent="0.2">
      <c r="H7279" s="1"/>
    </row>
    <row r="7280" spans="8:8" x14ac:dyDescent="0.2">
      <c r="H7280" s="1"/>
    </row>
    <row r="7281" spans="8:8" x14ac:dyDescent="0.2">
      <c r="H7281" s="1"/>
    </row>
    <row r="7282" spans="8:8" x14ac:dyDescent="0.2">
      <c r="H7282" s="1"/>
    </row>
    <row r="7283" spans="8:8" x14ac:dyDescent="0.2">
      <c r="H7283" s="1"/>
    </row>
    <row r="7284" spans="8:8" x14ac:dyDescent="0.2">
      <c r="H7284" s="1"/>
    </row>
    <row r="7285" spans="8:8" x14ac:dyDescent="0.2">
      <c r="H7285" s="1"/>
    </row>
    <row r="7286" spans="8:8" x14ac:dyDescent="0.2">
      <c r="H7286" s="1"/>
    </row>
    <row r="7287" spans="8:8" x14ac:dyDescent="0.2">
      <c r="H7287" s="1"/>
    </row>
    <row r="7288" spans="8:8" x14ac:dyDescent="0.2">
      <c r="H7288" s="1"/>
    </row>
    <row r="7289" spans="8:8" x14ac:dyDescent="0.2">
      <c r="H7289" s="1"/>
    </row>
    <row r="7290" spans="8:8" x14ac:dyDescent="0.2">
      <c r="H7290" s="1"/>
    </row>
    <row r="7291" spans="8:8" x14ac:dyDescent="0.2">
      <c r="H7291" s="1"/>
    </row>
    <row r="7292" spans="8:8" x14ac:dyDescent="0.2">
      <c r="H7292" s="1"/>
    </row>
    <row r="7293" spans="8:8" x14ac:dyDescent="0.2">
      <c r="H7293" s="1"/>
    </row>
    <row r="7294" spans="8:8" x14ac:dyDescent="0.2">
      <c r="H7294" s="1"/>
    </row>
    <row r="7295" spans="8:8" x14ac:dyDescent="0.2">
      <c r="H7295" s="1"/>
    </row>
    <row r="7296" spans="8:8" x14ac:dyDescent="0.2">
      <c r="H7296" s="1"/>
    </row>
    <row r="7297" spans="8:8" x14ac:dyDescent="0.2">
      <c r="H7297" s="1"/>
    </row>
    <row r="7298" spans="8:8" x14ac:dyDescent="0.2">
      <c r="H7298" s="1"/>
    </row>
    <row r="7299" spans="8:8" x14ac:dyDescent="0.2">
      <c r="H7299" s="1"/>
    </row>
    <row r="7300" spans="8:8" x14ac:dyDescent="0.2">
      <c r="H7300" s="1"/>
    </row>
    <row r="7301" spans="8:8" x14ac:dyDescent="0.2">
      <c r="H7301" s="1"/>
    </row>
    <row r="7302" spans="8:8" x14ac:dyDescent="0.2">
      <c r="H7302" s="1"/>
    </row>
    <row r="7303" spans="8:8" x14ac:dyDescent="0.2">
      <c r="H7303" s="1"/>
    </row>
    <row r="7304" spans="8:8" x14ac:dyDescent="0.2">
      <c r="H7304" s="1"/>
    </row>
    <row r="7305" spans="8:8" x14ac:dyDescent="0.2">
      <c r="H7305" s="1"/>
    </row>
    <row r="7306" spans="8:8" x14ac:dyDescent="0.2">
      <c r="H7306" s="1"/>
    </row>
    <row r="7307" spans="8:8" x14ac:dyDescent="0.2">
      <c r="H7307" s="1"/>
    </row>
    <row r="7308" spans="8:8" x14ac:dyDescent="0.2">
      <c r="H7308" s="1"/>
    </row>
    <row r="7309" spans="8:8" x14ac:dyDescent="0.2">
      <c r="H7309" s="1"/>
    </row>
    <row r="7310" spans="8:8" x14ac:dyDescent="0.2">
      <c r="H7310" s="1"/>
    </row>
    <row r="7311" spans="8:8" x14ac:dyDescent="0.2">
      <c r="H7311" s="1"/>
    </row>
    <row r="7312" spans="8:8" x14ac:dyDescent="0.2">
      <c r="H7312" s="1"/>
    </row>
    <row r="7313" spans="8:8" x14ac:dyDescent="0.2">
      <c r="H7313" s="1"/>
    </row>
    <row r="7314" spans="8:8" x14ac:dyDescent="0.2">
      <c r="H7314" s="1"/>
    </row>
    <row r="7315" spans="8:8" x14ac:dyDescent="0.2">
      <c r="H7315" s="1"/>
    </row>
    <row r="7316" spans="8:8" x14ac:dyDescent="0.2">
      <c r="H7316" s="1"/>
    </row>
    <row r="7317" spans="8:8" x14ac:dyDescent="0.2">
      <c r="H7317" s="1"/>
    </row>
    <row r="7318" spans="8:8" x14ac:dyDescent="0.2">
      <c r="H7318" s="1"/>
    </row>
    <row r="7319" spans="8:8" x14ac:dyDescent="0.2">
      <c r="H7319" s="1"/>
    </row>
    <row r="7320" spans="8:8" x14ac:dyDescent="0.2">
      <c r="H732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BDFE-E227-FB44-89A2-872A7C67857B}">
  <sheetPr codeName="Sheet2"/>
  <dimension ref="A1:O11"/>
  <sheetViews>
    <sheetView workbookViewId="0">
      <selection activeCell="D27" sqref="D27"/>
    </sheetView>
  </sheetViews>
  <sheetFormatPr baseColWidth="10" defaultRowHeight="16" x14ac:dyDescent="0.2"/>
  <cols>
    <col min="1" max="1" width="26" customWidth="1"/>
    <col min="2" max="2" width="18.6640625" customWidth="1"/>
    <col min="3" max="3" width="73.83203125" customWidth="1"/>
    <col min="4" max="4" width="16.5" customWidth="1"/>
    <col min="5" max="5" width="16.33203125" customWidth="1"/>
    <col min="6" max="6" width="10.83203125" style="32"/>
    <col min="8" max="8" width="10.83203125" style="65"/>
  </cols>
  <sheetData>
    <row r="1" spans="1:15" ht="19" thickTop="1" thickBot="1" x14ac:dyDescent="0.25">
      <c r="A1" s="23" t="str" cm="1">
        <f t="array" ref="A1:D11">_xlfn.LET(
    _xlpm.amfi_col, CAS!G2:G10000,
    _xlpm.amc_col, CAS!A2:A10000,
    _xlpm.scheme_col, CAS!D2:D10000,
    _xlpm.isin_col, CAS!F2:F10000,
    _xlpm.units_col, CAS!K2:K10000,
    _xlpm.valid_rows, (_xlpm.amfi_col&lt;&gt;"") * (_xlpm.amfi_col&lt;&gt;"amfi"),
    _xlpm.all_codes, _xlfn.UNIQUE(_xlfn._xlws.FILTER(_xlpm.amfi_col, _xlpm.valid_rows)),
    _xlpm.unit_sums, _xlfn.MAP(_xlpm.all_codes, _xlfn.LAMBDA(_xlpm.c, ROUND(SUM(_xlfn._xlws.FILTER(_xlpm.units_col, _xlpm.amfi_col=_xlpm.c, 0)), 3))),
    _xlpm.active_codes, _xlfn._xlws.FILTER(_xlpm.all_codes, _xlpm.unit_sums &gt; 0, {""}),
    _xlpm.zero_codes, _xlfn._xlws.FILTER(_xlpm.all_codes, _xlpm.unit_sums &lt;= 0, {""}),
    _xlpm.build_rows, _xlfn.LAMBDA(_xlpm.codes,
        _xlfn._xlws.SORT(
            _xlfn.HSTACK(
                _xlfn.MAP(_xlpm.codes, _xlfn.LAMBDA(_xlpm.c, _xlfn.XLOOKUP(_xlpm.c, _xlpm.amfi_col, _xlpm.amc_col, ""))),
                _xlpm.codes,
                _xlfn.MAP(_xlpm.codes, _xlfn.LAMBDA(_xlpm.c, _xlfn.XLOOKUP(_xlpm.c, _xlpm.amfi_col, _xlpm.scheme_col, ""))),
                _xlfn.MAP(_xlpm.codes, _xlfn.LAMBDA(_xlpm.c, _xlfn.TEXTJOIN(", ", TRUE, _xlfn.UNIQUE(_xlfn._xlws.FILTER(_xlpm.isin_col, _xlpm.amfi_col=_xlpm.c, "")))))
            ),
            {1,3}, {1,1}
        )
    ),
    _xlpm.headers, {"AMC","MFAPI Scheme Code","Scheme Name","ISIN(s)"},
    _xlpm.blanks, _xlfn.MAKEARRAY(5, 4, _xlfn.LAMBDA(_xlpm.r,_xlpm.c, "")),
    _xlpm.has_active, INDEX(_xlpm.active_codes, 1) &lt;&gt; "",
    _xlpm.has_zero, INDEX(_xlpm.zero_codes, 1) &lt;&gt; "",
    _xlfn.IFS(
        AND(_xlpm.has_active, _xlpm.has_zero), _xlfn.VSTACK(_xlpm.headers, _xlpm.build_rows(_xlpm.active_codes), _xlpm.blanks, _xlpm.build_rows(_xlpm.zero_codes)),
        _xlpm.has_active, _xlfn.VSTACK(_xlpm.headers, _xlpm.build_rows(_xlpm.active_codes)),
        _xlpm.has_zero, _xlfn.VSTACK(_xlpm.headers, _xlpm.build_rows(_xlpm.zero_codes)),
        TRUE, _xlpm.headers
    )
)</f>
        <v>AMC</v>
      </c>
      <c r="B1" s="23" t="str">
        <v>MFAPI Scheme Code</v>
      </c>
      <c r="C1" s="23" t="str">
        <v>Scheme Name</v>
      </c>
      <c r="D1" s="23" t="str">
        <v>ISIN(s)</v>
      </c>
      <c r="E1" s="28" t="s">
        <v>29</v>
      </c>
      <c r="F1" s="30" t="s">
        <v>27</v>
      </c>
      <c r="G1" s="29" t="s">
        <v>28</v>
      </c>
      <c r="H1" s="64" t="s">
        <v>61</v>
      </c>
      <c r="J1" s="76" t="s">
        <v>107</v>
      </c>
      <c r="K1" s="76"/>
      <c r="L1" s="76"/>
      <c r="M1" s="76"/>
      <c r="N1" s="76"/>
      <c r="O1" s="76"/>
    </row>
    <row r="2" spans="1:15" ht="17" thickTop="1" x14ac:dyDescent="0.2">
      <c r="A2" t="str">
        <v>HDFC Mutual Fund</v>
      </c>
      <c r="B2">
        <v>119062</v>
      </c>
      <c r="C2" t="str">
        <v>HDFC Flexi Cap Fund - Direct Plan - Growth</v>
      </c>
      <c r="D2" t="str">
        <v>CAMS</v>
      </c>
      <c r="E2" s="17" t="s">
        <v>147</v>
      </c>
      <c r="F2" s="31" cm="1">
        <f t="array" ref="F2:F11">IFERROR(
    _xlfn.LET(
        _xlpm.raw_range, E2:E10000,
        _xlpm.last_row, _xlfn.XMATCH("?*", _xlpm.raw_range, 2, -1),
        _xlpm.json_col, _xlfn.TAKE(_xlpm.raw_range, _xlpm.last_row),
        _xlfn.MAP(_xlpm.json_col, _xlfn.LAMBDA(_xlpm.json,
            IF(_xlpm.json="", "",
                IFERROR(VALUE(_xlfn.LET(
                    _xlpm.start_pos, FIND("""nav"":""", _xlpm.json) + 7,
                    _xlpm.end_pos, FIND("""", _xlpm.json, _xlpm.start_pos),
                    MID(_xlpm.json, _xlpm.start_pos, _xlpm.end_pos - _xlpm.start_pos)
                )), "")
            )
        ))
    ),
    ""
)</f>
        <v>124.492</v>
      </c>
      <c r="G2" s="26" t="str" cm="1">
        <f t="array" ref="G2:G11">IFERROR(
    _xlfn.LET(
        _xlpm.raw_range, E2:E10000,
        _xlpm.last_row, _xlfn.XMATCH("?*", _xlpm.raw_range, 2, -1),
        _xlpm.json_col, _xlfn.TAKE(_xlpm.raw_range, _xlpm.last_row),
        _xlfn.MAP(_xlpm.json_col, _xlfn.LAMBDA(_xlpm.json,
            IF(_xlpm.json="", "",
                IFERROR(_xlfn.LET(
                    _xlpm.start_pos, FIND("""date"":""", _xlpm.json) + 8,
                    _xlpm.end_pos, FIND("""", _xlpm.json, _xlpm.start_pos),
                    MID(_xlpm.json, _xlpm.start_pos, _xlpm.end_pos - _xlpm.start_pos)
                ), "")
            )
        ))
    ),
    ""
)</f>
        <v>15-07-2026</v>
      </c>
      <c r="H2" s="65" t="str" cm="1">
        <f t="array" ref="H2:H11">IFERROR(
    _xlfn.LET(
        _xlpm.raw_range, E2:E10000,
        _xlpm.last_row, _xlfn.XMATCH("?*", _xlpm.raw_range, 2, -1),
        _xlpm.json_col, _xlfn.TAKE(_xlpm.raw_range, _xlpm.last_row),
        _xlfn.MAP(_xlpm.json_col, _xlfn.LAMBDA(_xlpm.json,
            IF(_xlpm.json="", "",
                IFERROR(_xlfn.LET(
                    _xlpm.cat_start, FIND("""scheme_category"":""", _xlpm.json) + 19,
                    _xlpm.cat_end, FIND("""", _xlpm.json, _xlpm.cat_start),
                    _xlpm.cat_string, MID(_xlpm.json, _xlpm.cat_start, _xlpm.cat_end - _xlpm.cat_start),
                    _xlpm.name_start, FIND("""scheme_name"":""", _xlpm.json) + 15,
                    _xlpm.name_end, FIND("""", _xlpm.json, _xlpm.name_start),
                    _xlpm.name_string, MID(_xlpm.json, _xlpm.name_start, _xlpm.name_end - _xlpm.name_start),
                    _xlfn.IFS(
                        ISNUMBER(SEARCH("HDFC Prudence Fund", _xlpm.name_string)), "Equity",
                        ISNUMBER(SEARCH("GOLD", _xlpm.name_string)), "Debt",
                        OR(ISNUMBER(SEARCH("Equity", _xlpm.cat_string)), ISNUMBER(SEARCH("Arbitrage", _xlpm.cat_string)), ISNUMBER(SEARCH("Aggressive Hybrid", _xlpm.cat_string)), ISNUMBER(SEARCH("Dynamic Asset Allocation", _xlpm.cat_string)), ISNUMBER(SEARCH("Balanced Advantage", _xlpm.cat_string))), "Equity",
                        OR(ISNUMBER(SEARCH("Debt", _xlpm.cat_string)), ISNUMBER(SEARCH("Liquid", _xlpm.cat_string)), ISNUMBER(SEARCH("Conservative Hybrid", _xlpm.cat_string)), ISNUMBER(SEARCH("Overseas", _xlpm.cat_string))), "Debt",
                        TRUE, "Other (Check)"
                    )
                ), "")
            )
        ))
    ),
    ""
)</f>
        <v>Equity</v>
      </c>
    </row>
    <row r="3" spans="1:15" x14ac:dyDescent="0.2">
      <c r="A3" t="str">
        <v>ICICI Prudential Mutual Fund</v>
      </c>
      <c r="B3">
        <v>120664</v>
      </c>
      <c r="C3" t="str">
        <v>ICICI Pru Equity &amp; Debt Fund - Direct Growth</v>
      </c>
      <c r="D3" t="str">
        <v>CAMS</v>
      </c>
      <c r="E3" s="17" t="s">
        <v>148</v>
      </c>
      <c r="F3" s="32">
        <v>98.370900000000006</v>
      </c>
      <c r="G3" t="str">
        <v>15-07-2026</v>
      </c>
      <c r="H3" s="65" t="str">
        <v>Equity</v>
      </c>
      <c r="J3" t="s">
        <v>58</v>
      </c>
    </row>
    <row r="4" spans="1:15" ht="17" thickBot="1" x14ac:dyDescent="0.25">
      <c r="A4" t="str">
        <v>Parag Parikh Mutual Fund</v>
      </c>
      <c r="B4">
        <v>122639</v>
      </c>
      <c r="C4" t="str">
        <v>Parag Parikh Flexi Cap Fund - Direct Growth</v>
      </c>
      <c r="D4" t="str">
        <v>CAMS</v>
      </c>
      <c r="E4" s="17" t="s">
        <v>104</v>
      </c>
      <c r="F4" s="32">
        <v>91.126199999999997</v>
      </c>
      <c r="G4" t="str">
        <v>15-07-2026</v>
      </c>
      <c r="H4" s="65" t="str">
        <v>Equity</v>
      </c>
    </row>
    <row r="5" spans="1:15" ht="18" thickTop="1" thickBot="1" x14ac:dyDescent="0.25">
      <c r="A5" t="str">
        <v>SBI Mutual Fund</v>
      </c>
      <c r="B5">
        <v>119598</v>
      </c>
      <c r="C5" t="str">
        <v>SBI Liquid Fund Direct Growth</v>
      </c>
      <c r="D5" t="str">
        <v>CAMS</v>
      </c>
      <c r="E5" s="17" t="s">
        <v>149</v>
      </c>
      <c r="F5" s="32">
        <v>104.6294</v>
      </c>
      <c r="G5" t="str">
        <v>15-07-2026</v>
      </c>
      <c r="H5" s="65" t="str">
        <v>Equity</v>
      </c>
      <c r="J5" s="76" t="s">
        <v>106</v>
      </c>
      <c r="K5" s="76"/>
      <c r="L5" s="76"/>
      <c r="M5" s="76"/>
      <c r="N5" s="76"/>
      <c r="O5" s="76"/>
    </row>
    <row r="6" spans="1:15" ht="17" thickTop="1" x14ac:dyDescent="0.2">
      <c r="A6" t="str">
        <v/>
      </c>
      <c r="B6" t="str">
        <v/>
      </c>
      <c r="C6" t="str">
        <v/>
      </c>
      <c r="D6" t="str">
        <v/>
      </c>
      <c r="E6" s="17"/>
      <c r="F6" s="32" t="str">
        <v/>
      </c>
      <c r="G6" t="str">
        <v/>
      </c>
      <c r="H6" s="65" t="str">
        <v/>
      </c>
    </row>
    <row r="7" spans="1:15" x14ac:dyDescent="0.2">
      <c r="A7" t="str">
        <v/>
      </c>
      <c r="B7" t="str">
        <v/>
      </c>
      <c r="C7" t="str">
        <v/>
      </c>
      <c r="D7" t="str">
        <v/>
      </c>
      <c r="E7" s="17"/>
      <c r="F7" s="32" t="str">
        <v/>
      </c>
      <c r="G7" t="str">
        <v/>
      </c>
      <c r="H7" s="65" t="str">
        <v/>
      </c>
      <c r="J7" t="s">
        <v>108</v>
      </c>
    </row>
    <row r="8" spans="1:15" x14ac:dyDescent="0.2">
      <c r="A8" t="str">
        <v/>
      </c>
      <c r="B8" t="str">
        <v/>
      </c>
      <c r="C8" t="str">
        <v/>
      </c>
      <c r="D8" t="str">
        <v/>
      </c>
      <c r="E8" s="17"/>
      <c r="F8" s="32" t="str">
        <v/>
      </c>
      <c r="G8" t="str">
        <v/>
      </c>
      <c r="H8" s="65" t="str">
        <v/>
      </c>
      <c r="J8" t="s">
        <v>105</v>
      </c>
    </row>
    <row r="9" spans="1:15" x14ac:dyDescent="0.2">
      <c r="A9" t="str">
        <v/>
      </c>
      <c r="B9" t="str">
        <v/>
      </c>
      <c r="C9" t="str">
        <v/>
      </c>
      <c r="D9" t="str">
        <v/>
      </c>
      <c r="E9" s="17"/>
      <c r="F9" s="32" t="str">
        <v/>
      </c>
      <c r="G9" t="str">
        <v/>
      </c>
      <c r="H9" s="65" t="str">
        <v/>
      </c>
      <c r="J9" t="s">
        <v>109</v>
      </c>
    </row>
    <row r="10" spans="1:15" x14ac:dyDescent="0.2">
      <c r="A10" t="str">
        <v/>
      </c>
      <c r="B10" t="str">
        <v/>
      </c>
      <c r="C10" t="str">
        <v/>
      </c>
      <c r="D10" t="str">
        <v/>
      </c>
      <c r="E10" s="17"/>
      <c r="F10" s="32" t="str">
        <v/>
      </c>
      <c r="G10" t="str">
        <v/>
      </c>
      <c r="H10" s="65" t="str">
        <v/>
      </c>
    </row>
    <row r="11" spans="1:15" x14ac:dyDescent="0.2">
      <c r="A11" t="str">
        <v>Axis Mutual Fund</v>
      </c>
      <c r="B11">
        <v>112323</v>
      </c>
      <c r="C11" t="str">
        <v>Axis ELSS Tax Saver Fund - Direct Growth</v>
      </c>
      <c r="D11" t="str">
        <v>CAMS</v>
      </c>
      <c r="E11" s="17" t="s">
        <v>150</v>
      </c>
      <c r="F11" s="32">
        <v>96.421300000000002</v>
      </c>
      <c r="G11" t="str">
        <v>15-07-2026</v>
      </c>
      <c r="H11" s="65" t="str">
        <v>Equity</v>
      </c>
    </row>
  </sheetData>
  <mergeCells count="2">
    <mergeCell ref="J5:O5"/>
    <mergeCell ref="J1:O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2CB43-3648-574C-915C-23BB3DF38946}">
  <sheetPr codeName="Sheet5"/>
  <dimension ref="A1:B5"/>
  <sheetViews>
    <sheetView workbookViewId="0">
      <selection activeCell="A2" sqref="A2"/>
    </sheetView>
  </sheetViews>
  <sheetFormatPr baseColWidth="10" defaultRowHeight="16" x14ac:dyDescent="0.2"/>
  <cols>
    <col min="1" max="1" width="14.1640625" customWidth="1"/>
    <col min="2" max="2" width="26" customWidth="1"/>
  </cols>
  <sheetData>
    <row r="1" spans="1:2" x14ac:dyDescent="0.2">
      <c r="A1" s="33" t="str" cm="1">
        <f t="array" ref="A1:A5">_xlfn.LET(
    _xlpm.pan_col, CAS!C2:C10000,
    _xlpm.valid_pans, _xlfn._xlws.FILTER(_xlpm.pan_col, (_xlpm.pan_col&lt;&gt;"") * (_xlpm.pan_col&lt;&gt;"pan")),
    _xlfn.VSTACK("PAN", _xlfn._xlws.SORT(_xlfn.UNIQUE(_xlpm.valid_pans)))
)</f>
        <v>PAN</v>
      </c>
      <c r="B1" s="33" t="s">
        <v>33</v>
      </c>
    </row>
    <row r="2" spans="1:2" x14ac:dyDescent="0.2">
      <c r="A2" t="str">
        <v>AAAAA1111A</v>
      </c>
      <c r="B2" t="s">
        <v>151</v>
      </c>
    </row>
    <row r="3" spans="1:2" x14ac:dyDescent="0.2">
      <c r="A3" t="str">
        <v>BBBBB2222B</v>
      </c>
      <c r="B3" t="s">
        <v>152</v>
      </c>
    </row>
    <row r="4" spans="1:2" x14ac:dyDescent="0.2">
      <c r="A4" t="str">
        <v>CCCCC3333C</v>
      </c>
      <c r="B4" t="s">
        <v>153</v>
      </c>
    </row>
    <row r="5" spans="1:2" x14ac:dyDescent="0.2">
      <c r="A5" t="str">
        <v>DDDDD4444D</v>
      </c>
      <c r="B5" t="s">
        <v>154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935F5-A223-914D-9833-D5CF04333E29}">
  <sheetPr codeName="Sheet3"/>
  <dimension ref="A1:AF254"/>
  <sheetViews>
    <sheetView workbookViewId="0">
      <selection activeCell="C16" sqref="C16"/>
    </sheetView>
  </sheetViews>
  <sheetFormatPr baseColWidth="10" defaultRowHeight="16" x14ac:dyDescent="0.2"/>
  <cols>
    <col min="1" max="1" width="18.33203125" style="5" customWidth="1"/>
    <col min="2" max="2" width="72.83203125" style="5" customWidth="1"/>
    <col min="3" max="3" width="16" style="41" customWidth="1"/>
    <col min="4" max="4" width="16.5" style="7" customWidth="1"/>
    <col min="5" max="5" width="19.1640625" style="6" customWidth="1"/>
    <col min="6" max="6" width="17.5" style="6" customWidth="1"/>
    <col min="7" max="7" width="16" style="44" bestFit="1" customWidth="1"/>
    <col min="8" max="8" width="11.5" style="38" customWidth="1"/>
    <col min="9" max="9" width="18.5" style="51" customWidth="1"/>
    <col min="10" max="10" width="15" style="53" bestFit="1" customWidth="1"/>
    <col min="11" max="11" width="18" style="51" customWidth="1"/>
    <col min="12" max="12" width="10.5" style="5" bestFit="1" customWidth="1"/>
    <col min="13" max="13" width="12" style="53" bestFit="1" customWidth="1"/>
    <col min="14" max="14" width="14" style="60" bestFit="1" customWidth="1"/>
    <col min="15" max="15" width="14.6640625" style="47" customWidth="1"/>
    <col min="16" max="16" width="15.1640625" style="50" customWidth="1"/>
    <col min="17" max="17" width="15.5" style="47" customWidth="1"/>
    <col min="18" max="18" width="18.5" style="50" customWidth="1"/>
    <col min="19" max="19" width="11.83203125" style="50" customWidth="1"/>
    <col min="20" max="20" width="18.5" style="50" customWidth="1"/>
    <col min="21" max="21" width="14.83203125" customWidth="1"/>
    <col min="22" max="22" width="15.6640625" style="50" customWidth="1"/>
    <col min="23" max="23" width="10.83203125" style="50"/>
    <col min="25" max="25" width="15.6640625" customWidth="1"/>
    <col min="26" max="26" width="15.33203125" style="50" customWidth="1"/>
    <col min="27" max="27" width="10.83203125" style="50"/>
    <col min="28" max="28" width="11.33203125" style="50" bestFit="1" customWidth="1"/>
    <col min="29" max="30" width="10.83203125" style="19"/>
    <col min="31" max="31" width="13.6640625" style="50" customWidth="1"/>
    <col min="32" max="32" width="10.83203125" style="19"/>
  </cols>
  <sheetData>
    <row r="1" spans="1:32" ht="22" customHeight="1" thickTop="1" thickBot="1" x14ac:dyDescent="0.35">
      <c r="A1" s="11" t="s">
        <v>30</v>
      </c>
      <c r="B1"/>
      <c r="C1" s="12"/>
      <c r="D1" s="34"/>
      <c r="E1" s="77" t="s">
        <v>68</v>
      </c>
      <c r="F1" s="77"/>
      <c r="G1" s="77"/>
      <c r="H1" s="70" cm="1">
        <f t="array" ref="H1">_xlfn.LET(
    _xlpm.cas_amt, CAS!J2:J10000,
    _xlpm.cas_type, CAS!N2:N10000,
    _xlpm.cas_date, CAS!H2:H10000,
    _xlpm.valid_rows, (_xlpm.cas_date&lt;&gt;"") * (CAS!G2:G10000&lt;&gt;"amfi"),
    _xlpm.a, _xlfn._xlws.FILTER(_xlpm.cas_amt, _xlpm.valid_rows, 0),
    _xlpm.t, _xlfn._xlws.FILTER(_xlpm.cas_type, _xlpm.valid_rows, ""),
    _xlpm.d, _xlfn._xlws.FILTER(_xlpm.cas_date, _xlpm.valid_rows, 0),
    _xlpm.rule, _xlfn.MAP(_xlpm.t, _xlfn.LAMBDA(_xlpm.x, IFERROR(_xlfn.XLOOKUP(_xlpm.x, Info!A:A, Info!E:E), _xlfn.XLOOKUP(SUBSTITUTE(_xlpm.x, "_TAX", ""), Info!A:A, Info!E:E, "Consider 0")))),
    _xlpm.cf, _xlfn.MAP(_xlpm.a, _xlpm.rule, _xlfn.LAMBDA(_xlpm.x,_xlpm.r, _xlfn.SWITCH(_xlpm.r, "Invert Sign", -_xlpm.x, "Keep As It Is", _xlpm.x, "Consider 0", 0, 0))),
    _xlpm.val, K3,
    _xlpm.nav_dates, _xlfn.CHOOSECOLS(_xlfn.DROP(_xlfn.ANCHORARRAY(A4), 1), 7),
    _xlpm.val_date, MAX(_xlfn.MAP(_xlpm.nav_dates, _xlfn.LAMBDA(_xlpm.nd, IF(ISNUMBER(_xlpm.nd), _xlpm.nd, IFERROR(DATE(VALUE(RIGHT(_xlpm.nd,4)), VALUE(MID(_xlpm.nd,4,2)), VALUE(LEFT(_xlpm.nd,2))), 0))))),
    _xlpm.valid_cf, _xlpm.cf &lt;&gt; 0,
    _xlpm.final_cf, _xlfn._xlws.FILTER(_xlpm.cf, _xlpm.valid_cf, 0),
    _xlpm.final_d, _xlfn._xlws.FILTER(_xlpm.d, _xlpm.valid_cf, 0),
    IFERROR(XIRR(_xlfn.VSTACK(_xlpm.final_cf, _xlpm.val), _xlfn.VSTACK(_xlpm.final_d, _xlpm.val_date), 0.1), 0)
)</f>
        <v>0.12757881283760072</v>
      </c>
      <c r="I1" s="78" cm="1">
        <f t="array" ref="I1">_xlfn.LET(
    _xlpm.cas_amt, CAS!J2:J10000,
    _xlpm.cas_type, CAS!N2:N10000,
    _xlpm.cas_date, CAS!H2:H10000,
    _xlpm.cas_amfi, CAS!G2:G10000,
    _xlpm.valid_rows, (_xlpm.cas_date&lt;&gt;"") * (_xlpm.cas_amfi&lt;&gt;"amfi"),
    _xlpm.a, _xlfn._xlws.FILTER(_xlpm.cas_amt, _xlpm.valid_rows, 0),
    _xlpm.t, _xlfn._xlws.FILTER(_xlpm.cas_type, _xlpm.valid_rows, ""),
    _xlpm.rule, _xlfn.MAP(_xlpm.t, _xlfn.LAMBDA(_xlpm.x, IFERROR(_xlfn.XLOOKUP(_xlpm.x, Info!A:A, Info!E:E), _xlfn.XLOOKUP(SUBSTITUTE(_xlpm.x, "_TAX", ""), Info!A:A, Info!E:E, "Consider 0")))),
    _xlpm.cf, _xlfn.MAP(_xlpm.a, _xlpm.rule, _xlfn.LAMBDA(_xlpm.x,_xlpm.r, _xlfn.SWITCH(_xlpm.r, "Invert Sign", -_xlpm.x, "Keep As It Is", _xlpm.x, "Consider 0", 0, 0))),
    _xlpm.current_value, K3,
    _xlpm.current_value + SUM(_xlpm.cf)
)</f>
        <v>23918483.387433108</v>
      </c>
      <c r="J1" s="78"/>
      <c r="K1" s="78"/>
      <c r="L1" s="2"/>
      <c r="M1" s="47"/>
      <c r="N1" s="59"/>
      <c r="P1" s="47"/>
    </row>
    <row r="2" spans="1:32" ht="18" thickTop="1" thickBot="1" x14ac:dyDescent="0.25">
      <c r="A2" s="81" t="s">
        <v>31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P2" s="47"/>
    </row>
    <row r="3" spans="1:32" ht="18" thickTop="1" thickBot="1" x14ac:dyDescent="0.25">
      <c r="A3" s="15" t="s">
        <v>35</v>
      </c>
      <c r="B3" s="15"/>
      <c r="C3" s="15"/>
      <c r="D3" s="35"/>
      <c r="E3" s="76" t="s">
        <v>67</v>
      </c>
      <c r="F3" s="76"/>
      <c r="G3" s="76"/>
      <c r="H3" s="66" cm="1">
        <f t="array" ref="H3">_xlfn.LET(
    _xlpm.master, _xlfn.DROP(_xlfn.ANCHORARRAY(A4), 1),
    _xlpm.active_schemes, _xlfn.CHOOSECOLS(_xlpm.master, 2),
    _xlpm.active_folios, _xlfn.CHOOSECOLS(_xlpm.master, 3),
    _xlpm.active_keys, _xlpm.active_schemes &amp; "|" &amp; _xlpm.active_folios,
    _xlpm.cas_scheme, CAS!D2:D10000,
    _xlpm.cas_folio, CAS!B2:B10000,
    _xlpm.cas_amt, CAS!J2:J10000,
    _xlpm.cas_type, CAS!N2:N10000,
    _xlpm.cas_date, CAS!H2:H10000,
    _xlpm.cas_keys, _xlpm.cas_scheme &amp; "|" &amp; _xlpm.cas_folio,
    _xlpm.valid_rows, (_xlpm.cas_date&lt;&gt;"") * ISNUMBER(_xlfn.XMATCH(_xlpm.cas_keys, _xlpm.active_keys)),
    _xlpm.a, _xlfn._xlws.FILTER(_xlpm.cas_amt, _xlpm.valid_rows, 0),
    _xlpm.t, _xlfn._xlws.FILTER(_xlpm.cas_type, _xlpm.valid_rows, ""),
    _xlpm.d, _xlfn._xlws.FILTER(_xlpm.cas_date, _xlpm.valid_rows, 0),
    _xlpm.rule, _xlfn.MAP(_xlpm.t, _xlfn.LAMBDA(_xlpm.x, IFERROR(_xlfn.XLOOKUP(_xlpm.x, Info!A:A, Info!E:E), _xlfn.XLOOKUP(SUBSTITUTE(_xlpm.x, "_TAX", ""), Info!A:A, Info!E:E, "Consider 0")))),
    _xlpm.cf, _xlfn.MAP(_xlpm.a, _xlpm.rule, _xlfn.LAMBDA(_xlpm.x,_xlpm.r, _xlfn.SWITCH(_xlpm.r, "Invert Sign", -_xlpm.x, "Keep As It Is", _xlpm.x, "Consider 0", 0, 0))),
    _xlpm.val, K3,
    _xlpm.nav_dates, _xlfn.CHOOSECOLS(_xlpm.master, 7),
    _xlpm.val_date, MAX(_xlfn.MAP(_xlpm.nav_dates, _xlfn.LAMBDA(_xlpm.nd, IF(ISNUMBER(_xlpm.nd), _xlpm.nd, IFERROR(DATE(VALUE(RIGHT(_xlpm.nd,4)), VALUE(MID(_xlpm.nd,4,2)), VALUE(LEFT(_xlpm.nd,2))), 0))))),
    _xlpm.valid_cf, _xlpm.cf &lt;&gt; 0,
    _xlpm.final_cf, _xlfn._xlws.FILTER(_xlpm.cf, _xlpm.valid_cf, 0),
    _xlpm.final_d, _xlfn._xlws.FILTER(_xlpm.d, _xlpm.valid_cf, 0),
    IFERROR(XIRR(_xlfn.VSTACK(_xlpm.final_cf, _xlpm.val), _xlfn.VSTACK(_xlpm.final_d, _xlpm.val_date), 0.1), 0)
)</f>
        <v>0.13347631096839904</v>
      </c>
      <c r="I3" s="67">
        <f>SUM(_xlfn.CHOOSECOLS(_xlfn.DROP(_xlfn.ANCHORARRAY(A4), 1), 9))</f>
        <v>10459101.544098021</v>
      </c>
      <c r="J3" s="68">
        <f>SUM(_xlfn.CHOOSECOLS(_xlfn.DROP(_xlfn.ANCHORARRAY(A4), 1), 10))</f>
        <v>19867921.023335084</v>
      </c>
      <c r="K3" s="69">
        <f>SUM(_xlfn.CHOOSECOLS(_xlfn.DROP(_xlfn.ANCHORARRAY(A4), 1), 11))</f>
        <v>30327022.567433111</v>
      </c>
      <c r="L3" s="17"/>
      <c r="M3" s="82" t="s">
        <v>66</v>
      </c>
      <c r="N3" s="83"/>
      <c r="O3" s="83"/>
      <c r="P3" s="83"/>
      <c r="Q3" s="83"/>
      <c r="R3" s="83"/>
      <c r="T3" s="80" t="s">
        <v>99</v>
      </c>
      <c r="U3" s="80"/>
      <c r="V3" s="80"/>
      <c r="W3" s="80"/>
      <c r="Y3" s="79" t="s">
        <v>100</v>
      </c>
      <c r="Z3" s="79"/>
      <c r="AA3" s="79"/>
      <c r="AB3" s="79"/>
      <c r="AC3" s="79"/>
      <c r="AD3" s="79"/>
      <c r="AE3" s="79"/>
      <c r="AF3" s="79"/>
    </row>
    <row r="4" spans="1:32" ht="16" customHeight="1" thickTop="1" x14ac:dyDescent="0.2">
      <c r="A4" s="27" t="str" cm="1">
        <f t="array" ref="A4:K21">_xlfn.LET(
    _xlpm.cas_pan, CAS!C2:C10000,
    _xlpm.cas_amfi, CAS!G2:G10000,
    _xlpm.cas_folio, CAS!B2:B10000,
    _xlpm.cas_scheme, CAS!D2:D10000,
    _xlpm.cas_amt, CAS!J2:J10000,
    _xlpm.cas_type, CAS!N2:N10000,
    _xlpm.cas_date, CAS!H2:H10000,
    _xlpm.cas_units, CAS!K2:K10000,
    _xlpm.nav_amfi, 'Current NAVs'!B2:B1000,
    _xlpm.nav_val, 'Current NAVs'!F2:F1000,
    _xlpm.nav_date_col, 'Current NAVs'!G2:G1000,
    _xlpm.map_pan, 'PAN Mapper'!A2:A20,
    _xlpm.map_name, 'PAN Mapper'!B2:B20,
    _xlpm.valid_rows, (_xlpm.cas_amfi&lt;&gt;"") * (_xlpm.cas_amfi&lt;&gt;"amfi"),
    _xlpm.base_keys, _xlfn.UNIQUE(_xlfn._xlws.FILTER(_xlfn.HSTACK(_xlpm.cas_pan, _xlpm.cas_amfi, _xlpm.cas_folio, _xlpm.cas_scheme), _xlpm.valid_rows)),
    _xlpm.active_keys, _xlfn._xlws.FILTER(_xlpm.base_keys, _xlfn.MAP(INDEX(_xlpm.base_keys,,1), INDEX(_xlpm.base_keys,,2), INDEX(_xlpm.base_keys,,3), _xlfn.LAMBDA(_xlpm.p,_xlpm.a,_xlpm.f,
        ROUND(SUM(_xlfn._xlws.FILTER(_xlpm.cas_units, (_xlpm.cas_pan=_xlpm.p)*(_xlpm.cas_amfi=_xlpm.a)*(_xlpm.cas_folio=_xlpm.f), 0)), 3) &gt; 0
    ))),
    _xlpm.raw_names, _xlfn.MAP(INDEX(_xlpm.active_keys,,1), _xlfn.LAMBDA(_xlpm.p, _xlfn.XLOOKUP(_xlpm.p, _xlpm.map_pan, _xlpm.map_name, _xlpm.p))),
    _xlpm.raw_values, _xlfn.MAP(INDEX(_xlpm.active_keys,,1), INDEX(_xlpm.active_keys,,2), INDEX(_xlpm.active_keys,,3), _xlfn.LAMBDA(_xlpm.p,_xlpm.a,_xlpm.f,
        SUM(_xlfn._xlws.FILTER(_xlpm.cas_units, (_xlpm.cas_pan=_xlpm.p)*(_xlpm.cas_amfi=_xlpm.a)*(_xlpm.cas_folio=_xlpm.f), 0)) * _xlfn.XLOOKUP(_xlpm.a, _xlpm.nav_amfi, _xlpm.nav_val, 0)
    )),
    _xlpm.sorted_keys, _xlfn.SORTBY(_xlpm.active_keys, _xlpm.raw_names, 1, INDEX(_xlpm.active_keys,,4), 1, _xlpm.raw_values, -1),
    _xlpm.s_pan, INDEX(_xlpm.sorted_keys,,1),
    _xlpm.s_amfi, INDEX(_xlpm.sorted_keys,,2),
    _xlpm.s_folio, INDEX(_xlpm.sorted_keys,,3),
    _xlpm.s_scheme, INDEX(_xlpm.sorted_keys,,4),
    _xlpm.s_name, _xlfn.MAP(_xlpm.s_pan, _xlfn.LAMBDA(_xlpm.p, _xlfn.XLOOKUP(_xlpm.p, _xlpm.map_pan, _xlpm.map_name, _xlpm.p))),
    _xlpm.results, _xlfn.DROP(_xlfn.REDUCE("", _xlfn.SEQUENCE(ROWS(_xlpm.s_pan)), _xlfn.LAMBDA(_xlpm.acc,_xlpm.i,
        _xlfn.LET(
            _xlpm.p, INDEX(_xlpm.s_pan, _xlpm.i),
            _xlpm.a, INDEX(_xlpm.s_amfi, _xlpm.i),
            _xlpm.f, INDEX(_xlpm.s_folio, _xlpm.i),
            _xlpm.s, INDEX(_xlpm.s_scheme, _xlpm.i),
            _xlpm.cond, (_xlpm.cas_pan=_xlpm.p)*(_xlpm.cas_amfi=_xlpm.a)*(_xlpm.cas_folio=_xlpm.f),
            _xlpm.u, SUM(_xlfn._xlws.FILTER(_xlpm.cas_units, _xlpm.cond, 0)),
            _xlpm.last_dt, MAX(_xlfn._xlws.FILTER(_xlpm.cas_date, _xlpm.cond, 0)),
            _xlpm.l_nav, _xlfn.XLOOKUP(_xlpm.a, _xlpm.nav_amfi, _xlpm.nav_val, 0),
            _xlpm.l_nav_dt_str, _xlfn.XLOOKUP(_xlpm.a, _xlpm.nav_amfi, _xlpm.nav_date_col, ""),
            _xlpm.val, _xlpm.u * _xlpm.l_nav,
            _xlpm.raw_u, _xlfn._xlws.FILTER(_xlpm.cas_units, _xlpm.cond, 0),
            _xlpm.raw_a, _xlfn._xlws.FILTER(_xlpm.cas_amt, _xlpm.cond, 0),
            _xlpm.p_u, _xlfn._xlws.FILTER(_xlpm.raw_u, _xlpm.raw_u&gt;0, 0),
            _xlpm.p_a, _xlfn._xlws.FILTER(_xlpm.raw_a, _xlpm.raw_u&gt;0, 0),
            _xlpm.sold_total, -SUM(_xlfn._xlws.FILTER(_xlpm.raw_u, _xlpm.raw_u&lt;0, 0)),
            _xlpm.cum_p, _xlfn.SCAN(0, _xlpm.p_u, _xlfn.LAMBDA(_xlpm.a_v,_xlpm.c_v, _xlpm.a_v + _xlpm.c_v)),
            _xlpm.avail_u, _xlfn.MAP(_xlpm.p_u, _xlpm.cum_p, _xlfn.LAMBDA(_xlpm.pu,_xlpm.cum, MAX(0, MIN(_xlpm.pu, _xlpm.cum - _xlpm.sold_total)))),
            _xlpm.inv_amt, SUM(IFERROR(_xlpm.avail_u * (_xlpm.p_a / _xlpm.p_u), 0)),
            _xlpm.unrealized_gain, _xlpm.val - _xlpm.inv_amt,
            _xlpm.l_nav_dt, IF(ISNUMBER(_xlpm.l_nav_dt_str), _xlpm.l_nav_dt_str, IFERROR(DATE(VALUE(RIGHT(_xlpm.l_nav_dt_str,4)), VALUE(MID(_xlpm.l_nav_dt_str,4,2)), VALUE(LEFT(_xlpm.l_nav_dt_str,2))), 0)),
            _xlpm.amt_arr, _xlfn._xlws.FILTER(_xlpm.cas_amt, _xlpm.cond, 0),
            _xlpm.type_arr, _xlfn._xlws.FILTER(_xlpm.cas_type, _xlpm.cond, ""),
            _xlpm.date_arr, _xlfn._xlws.FILTER(_xlpm.cas_date, _xlpm.cond, 0),
            _xlpm.rule, _xlfn.MAP(_xlpm.type_arr, _xlfn.LAMBDA(_xlpm.x, IFERROR(_xlfn.XLOOKUP(_xlpm.x, Info!A:A, Info!E:E), _xlfn.XLOOKUP(SUBSTITUTE(_xlpm.x, "_TAX", ""), Info!A:A, Info!E:E, "Consider 0")))),
            _xlpm.cf, _xlfn.MAP(_xlpm.amt_arr, _xlpm.rule, _xlfn.LAMBDA(_xlpm.x,_xlpm.r, _xlfn.SWITCH(_xlpm.r, "Invert Sign", -_xlpm.x, "Keep As It Is", _xlpm.x, "Consider 0", 0, 0))),
            _xlpm.valid_cf, _xlpm.cf &lt;&gt; 0,
            _xlpm.final_cf, _xlfn._xlws.FILTER(_xlpm.cf, _xlpm.valid_cf, 0),
            _xlpm.final_dates, _xlfn._xlws.FILTER(_xlpm.date_arr, _xlpm.valid_cf, 0),
            _xlpm.xirr_val, IFERROR(XIRR(_xlfn.VSTACK(_xlpm.final_cf, _xlpm.val), _xlfn.VSTACK(_xlpm.final_dates, _xlpm.l_nav_dt), 0.1), 0),
            _xlfn.VSTACK(_xlpm.acc, _xlfn.HSTACK(_xlpm.s, _xlpm.f, _xlpm.last_dt, _xlpm.u, _xlpm.l_nav, _xlpm.l_nav_dt_str, _xlpm.xirr_val, _xlpm.inv_amt, _xlpm.unrealized_gain, _xlpm.val))
        )
    )), 1),
    _xlpm.final_names, IF(_xlpm.s_name = _xlfn.VSTACK("", _xlfn.DROP(_xlpm.s_name, -1)), "", _xlpm.s_name),
    _xlpm.final_table, _xlfn.HSTACK(_xlpm.final_names, _xlpm.results),
    _xlpm.headers, {"PAN Holder Name","Scheme","Folio","CAS Last Txn Date","Current Units","Latest NAV","NAV Date","XIRR","Invested Amount","Unrealized Gains","Value @ Latest NAV"},
    IFERROR(_xlfn.VSTACK(_xlpm.headers, _xlpm.final_table), "No Active Investments Found")
)</f>
        <v>PAN Holder Name</v>
      </c>
      <c r="B4" s="27" t="str">
        <v>Scheme</v>
      </c>
      <c r="C4" s="27" t="str">
        <v>Folio</v>
      </c>
      <c r="D4" s="45" t="str">
        <v>CAS Last Txn Date</v>
      </c>
      <c r="E4" s="27" t="str">
        <v>Current Units</v>
      </c>
      <c r="F4" s="27" t="str">
        <v>Latest NAV</v>
      </c>
      <c r="G4" s="45" t="str">
        <v>NAV Date</v>
      </c>
      <c r="H4" s="46" t="str">
        <v>XIRR</v>
      </c>
      <c r="I4" s="48" t="str">
        <v>Invested Amount</v>
      </c>
      <c r="J4" s="52" t="str">
        <v>Unrealized Gains</v>
      </c>
      <c r="K4" s="55" t="str">
        <v>Value @ Latest NAV</v>
      </c>
      <c r="L4" s="17"/>
      <c r="M4" s="55" t="s">
        <v>59</v>
      </c>
      <c r="N4" s="61" t="s">
        <v>60</v>
      </c>
      <c r="O4" s="57" t="s">
        <v>62</v>
      </c>
      <c r="P4" s="58" t="s">
        <v>63</v>
      </c>
      <c r="Q4" s="57" t="s">
        <v>64</v>
      </c>
      <c r="R4" s="58" t="s">
        <v>65</v>
      </c>
      <c r="T4" s="58" t="s">
        <v>101</v>
      </c>
      <c r="U4" s="58" t="s">
        <v>102</v>
      </c>
      <c r="V4" s="58" t="s">
        <v>103</v>
      </c>
      <c r="W4" s="58" t="s">
        <v>98</v>
      </c>
      <c r="Y4" s="73" t="str" cm="1">
        <f t="array" aca="1" ref="Y4:AF8" ca="1">_xlfn.LET(
    _xlpm.master, _xlfn.DROP(_xlfn.ANCHORARRAY(A4), 1),
    _xlpm.raw_names, _xlfn.CHOOSECOLS(_xlpm.master, 1),
    _xlpm.filled_names, _xlfn.SCAN("", _xlpm.raw_names, _xlfn.LAMBDA(_xlpm.a,_xlpm.c, IF(_xlpm.c="", _xlpm.a, _xlpm.c))),
    _xlpm.unique_names, _xlfn.UNIQUE(_xlfn._xlws.FILTER(_xlpm.filled_names, _xlpm.filled_names&lt;&gt;"")),
    _xlpm.scheme_col, _xlfn.CHOOSECOLS(_xlpm.master, 2),
    _xlpm.folio_col, _xlfn.CHOOSECOLS(_xlpm.master, 3),
    _xlpm.nav_dt_col, _xlfn.CHOOSECOLS(_xlpm.master, 7),
    _xlpm.inv_col, _xlfn.CHOOSECOLS(_xlpm.master, 9),
    _xlpm.unr_col, _xlfn.CHOOSECOLS(_xlpm.master, 10),
    _xlpm.val_col, _xlfn.CHOOSECOLS(_xlpm.master, 11),
    _xlpm.headers, _xlfn.HSTACK("PAN Holder Name", "Invested Amount", "Unrealized Gains", "Value @ Latest NAV", "Current XIRR", "", "All Time Returns", "All Time XIRR"),
    _xlpm.data, _xlfn.REDUCE(_xlpm.headers, _xlpm.unique_names, _xlfn.LAMBDA(_xlpm.acc,_xlpm.name,
        _xlfn.LET(
            _xlpm.p_inv, SUM(_xlfn._xlws.FILTER(_xlpm.inv_col, _xlpm.filled_names=_xlpm.name, 0)),
            _xlpm.p_unr, SUM(_xlfn._xlws.FILTER(_xlpm.unr_col, _xlpm.filled_names=_xlpm.name, 0)),
            _xlpm.p_val, SUM(_xlfn._xlws.FILTER(_xlpm.val_col, _xlpm.filled_names=_xlpm.name, 0)),
            _xlpm.p_pan, _xlfn.XLOOKUP(_xlpm.name, 'PAN Mapper'!$B$2:$B$20, 'PAN Mapper'!$A$2:$A$20, ""),
            _xlpm.p_schemes, _xlfn._xlws.FILTER(_xlpm.scheme_col, _xlpm.filled_names=_xlpm.name, ""),
            _xlpm.p_folios, _xlfn._xlws.FILTER(_xlpm.folio_col, _xlpm.filled_names=_xlpm.name, ""),
            _xlpm.p_keys, TRIM(_xlpm.p_schemes) &amp; "|" &amp; TRIM(_xlpm.p_folios),
            _xlpm.nav_dates, _xlfn._xlws.FILTER(_xlpm.nav_dt_col, _xlpm.filled_names=_xlpm.name, TODAY()),
            _xlpm.valid_nav_dates, _xlfn.MAP(_xlpm.nav_dates, _xlfn.LAMBDA(_xlpm.d, IF(ISNUMBER(_xlpm.d), _xlpm.d, IFERROR(DATE(VALUE(RIGHT(_xlpm.d,4)), VALUE(MID(_xlpm.d,4,2)), VALUE(LEFT(_xlpm.d,2))), TODAY())))),
            _xlpm.term_date, MAX(_xlpm.valid_nav_dates),
            _xlpm.cas_keys, TRIM(CAS!$D$2:$D$10000) &amp; "|" &amp; TRIM(CAS!$B$2:$B$10000),
            _xlpm.cond_curr, (CAS!$C$2:$C$10000 = _xlpm.p_pan) * ISNUMBER(MATCH(_xlpm.cas_keys, _xlpm.p_keys, 0)),
            _xlpm.amt_curr, _xlfn._xlws.FILTER(CAS!$J$2:$J$10000, _xlpm.cond_curr, 0),
            _xlpm.type_curr, _xlfn._xlws.FILTER(CAS!$N$2:$N$10000, _xlpm.cond_curr, ""),
            _xlpm.date_curr, _xlfn._xlws.FILTER(CAS!$H$2:$H$10000, _xlpm.cond_curr, _xlpm.term_date),
            _xlpm.cond_all, (CAS!$C$2:$C$10000 = _xlpm.p_pan),
            _xlpm.amt_all, _xlfn._xlws.FILTER(CAS!$J$2:$J$10000, _xlpm.cond_all, 0),
            _xlpm.type_all, _xlfn._xlws.FILTER(CAS!$N$2:$N$10000, _xlpm.cond_all, ""),
            _xlpm.date_all, _xlfn._xlws.FILTER(CAS!$H$2:$H$10000, _xlpm.cond_all, _xlpm.term_date),
            _xlpm.rule_curr, _xlfn.MAP(_xlpm.type_curr, _xlfn.LAMBDA(_xlpm.x, IFERROR(_xlfn.XLOOKUP(_xlpm.x, Info!$A:$A, Info!$E:$E), _xlfn.XLOOKUP(SUBSTITUTE(_xlpm.x, "_TAX", ""), Info!$A:$A, Info!$E:$E, "Consider 0")))),
            _xlpm.cf_curr, _xlfn.MAP(_xlpm.amt_curr, _xlpm.rule_curr, _xlfn.LAMBDA(_xlpm.x,_xlpm.r, _xlfn.SWITCH(_xlpm.r, "Invert Sign", -_xlpm.x, "Keep As It Is", _xlpm.x, "Consider 0", 0, 0))),
            _xlpm.rule_all, _xlfn.MAP(_xlpm.type_all, _xlfn.LAMBDA(_xlpm.x, IFERROR(_xlfn.XLOOKUP(_xlpm.x, Info!$A:$A, Info!$E:$E), _xlfn.XLOOKUP(SUBSTITUTE(_xlpm.x, "_TAX", ""), Info!$A:$A, Info!$E:$E, "Consider 0")))),
            _xlpm.cf_all, _xlfn.MAP(_xlpm.amt_all, _xlpm.rule_all, _xlfn.LAMBDA(_xlpm.x,_xlpm.r, _xlfn.SWITCH(_xlpm.r, "Invert Sign", -_xlpm.x, "Keep As It Is", _xlpm.x, "Consider 0", 0, 0))),
            _xlpm.valid_curr, (_xlpm.cf_curr &lt;&gt; 0),
            _xlpm.final_cf_curr, _xlfn._xlws.FILTER(_xlpm.cf_curr, _xlpm.valid_curr, 0),
            _xlpm.final_dates_curr, INT(_xlfn._xlws.FILTER(_xlpm.date_curr, _xlpm.valid_curr, 0)),
            _xlpm.valid_all, (_xlpm.cf_all &lt;&gt; 0),
            _xlpm.final_cf_all, _xlfn._xlws.FILTER(_xlpm.cf_all, _xlpm.valid_all, 0),
            _xlpm.final_dates_all, INT(_xlfn._xlws.FILTER(_xlpm.date_all, _xlpm.valid_all, 0)),
            _xlpm.curr_xirr, IFERROR(XIRR(_xlfn.VSTACK(_xlpm.final_cf_curr, _xlpm.p_val), _xlfn.VSTACK(_xlpm.final_dates_curr, _xlpm.term_date), 0.1), 0),
            _xlpm.all_xirr, IFERROR(XIRR(_xlfn.VSTACK(_xlpm.final_cf_all, _xlpm.p_val), _xlfn.VSTACK(_xlpm.final_dates_all, _xlpm.term_date), 0.1), 0),
            _xlpm.all_time_ret, SUM(_xlpm.final_cf_all) + _xlpm.p_val,
            _xlfn.VSTACK(_xlpm.acc, _xlfn.HSTACK(_xlpm.name, _xlpm.p_inv, _xlpm.p_unr, _xlpm.p_val, _xlpm.curr_xirr, "", _xlpm.all_time_ret, _xlpm.all_xirr))
        )
    )),
    _xlpm.data
)</f>
        <v>PAN Holder Name</v>
      </c>
      <c r="Z4" s="57" t="str">
        <f ca="1"/>
        <v>Invested Amount</v>
      </c>
      <c r="AA4" s="57" t="str">
        <f ca="1"/>
        <v>Unrealized Gains</v>
      </c>
      <c r="AB4" s="57" t="str">
        <f ca="1"/>
        <v>Value @ Latest NAV</v>
      </c>
      <c r="AC4" s="74" t="str">
        <f ca="1"/>
        <v>Current XIRR</v>
      </c>
      <c r="AD4" s="74" t="str">
        <f ca="1"/>
        <v/>
      </c>
      <c r="AE4" s="57" t="str">
        <f ca="1"/>
        <v>All Time Returns</v>
      </c>
      <c r="AF4" s="74" t="str">
        <f ca="1"/>
        <v>All Time XIRR</v>
      </c>
    </row>
    <row r="5" spans="1:32" ht="17" customHeight="1" x14ac:dyDescent="0.2">
      <c r="A5" s="17" t="str">
        <v>Name 1</v>
      </c>
      <c r="B5" s="17" t="str">
        <v>Axis ELSS Tax Saver Fund - Direct Growth</v>
      </c>
      <c r="C5" s="39" t="str">
        <v>AAAA9994</v>
      </c>
      <c r="D5" s="36">
        <v>44586</v>
      </c>
      <c r="E5" s="18">
        <v>1.0000000074796844E-3</v>
      </c>
      <c r="F5" s="18">
        <v>96.421300000000002</v>
      </c>
      <c r="G5" s="42" t="str">
        <v>15-07-2026</v>
      </c>
      <c r="H5" s="21">
        <v>9.3446514010429346E-2</v>
      </c>
      <c r="I5" s="49">
        <v>4.5786707379063832E-2</v>
      </c>
      <c r="J5" s="49">
        <v>5.063459334213706E-2</v>
      </c>
      <c r="K5" s="54">
        <v>9.6421300721200892E-2</v>
      </c>
      <c r="L5" s="17"/>
      <c r="M5" s="54"/>
      <c r="N5" s="62" t="str" cm="1">
        <f t="array" aca="1" ref="N5:R21" ca="1">_xlfn.LET(
    _xlpm.master, _xlfn.DROP(_xlfn.ANCHORARRAY(A4), 1),
    _xlpm.s_scheme, _xlfn.CHOOSECOLS(_xlpm.master, 2),
    _xlpm.s_folio, _xlfn.CHOOSECOLS(_xlpm.master, 3),
    _xlpm.s_nav, _xlfn.CHOOSECOLS(_xlpm.master, 6),
    _xlpm.s_amount, M5:INDEX(M:M, ROW(M5) + ROWS(_xlpm.master) - 1),
    _xlpm.cas_scheme, CAS!D2:D10000,
    _xlpm.cas_folio, CAS!B2:B10000,
    _xlpm.cas_units, CAS!K2:K10000,
    _xlpm.cas_amt, CAS!J2:J10000,
    _xlpm.cas_date, CAS!H2:H10000,
    _xlpm.cas_amfi, CAS!G2:G10000,
    _xlpm.nav_amfi, 'Current NAVs'!B2:B1000,
    _xlpm.nav_cat, 'Current NAVs'!H2:H1000,
    _xlfn.DROP(_xlfn.REDUCE("", _xlfn.SEQUENCE(ROWS(_xlpm.s_scheme)), _xlfn.LAMBDA(_xlpm.acc,_xlpm.i,
        _xlfn.LET(
            _xlpm.amt, INDEX(_xlpm.s_amount, _xlpm.i, 1),
            IF(OR(_xlpm.amt="", _xlpm.amt=0),
                _xlfn.VSTACK(_xlpm.acc, _xlfn.HSTACK("", "", "", "", "")),
                _xlfn.LET(
                    _xlpm.scheme, INDEX(_xlpm.s_scheme, _xlpm.i, 1),
                    _xlpm.folio, INDEX(_xlpm.s_folio, _xlpm.i, 1),
                    _xlpm.nav, INDEX(_xlpm.s_nav, _xlpm.i, 1),
                    _xlpm.target_units, _xlpm.amt / _xlpm.nav,
                    _xlpm.amfi_code, _xlfn.XLOOKUP(1, (_xlpm.cas_scheme=_xlpm.scheme)*(_xlpm.cas_folio=_xlpm.folio), _xlpm.cas_amfi, ""),
                    _xlpm.category, _xlfn.XLOOKUP(_xlpm.amfi_code, _xlpm.nav_amfi, _xlpm.nav_cat, "Equity"),
                    _xlpm.holding_months, IF(_xlpm.category="Debt", 36, 12),
                    _xlpm.cond, (_xlpm.cas_scheme=_xlpm.scheme)*(_xlpm.cas_folio=_xlpm.folio),
                    _xlpm.raw_u, _xlfn._xlws.FILTER(_xlpm.cas_units, _xlpm.cond, 0),
                    _xlpm.raw_a, _xlfn._xlws.FILTER(_xlpm.cas_amt, _xlpm.cond, 0),
                    _xlpm.raw_d, _xlfn._xlws.FILTER(_xlpm.cas_date, _xlpm.cond, 0),
                    _xlpm.p_u, _xlfn._xlws.FILTER(_xlpm.raw_u, _xlpm.raw_u&gt;0, 0),
                    _xlpm.p_a, _xlfn._xlws.FILTER(_xlpm.raw_a, _xlpm.raw_u&gt;0, 0),
                    _xlpm.p_d, _xlfn._xlws.FILTER(_xlpm.raw_d, _xlpm.raw_u&gt;0, 0),
                    _xlpm.sold_total, -SUM(_xlfn._xlws.FILTER(_xlpm.raw_u, _xlpm.raw_u&lt;0, 0)),
                    _xlpm.cum_p, _xlfn.SCAN(0, _xlpm.p_u, _xlfn.LAMBDA(_xlpm.a,_xlpm.c, _xlpm.a + _xlpm.c)),
                    _xlpm.avail_u, _xlfn.MAP(_xlpm.p_u, _xlpm.cum_p, _xlfn.LAMBDA(_xlpm.pu,_xlpm.cum, MAX(0, MIN(_xlpm.pu, _xlpm.cum - _xlpm.sold_total)))),
                    _xlpm.cum_avail, _xlfn.SCAN(0, _xlpm.avail_u, _xlfn.LAMBDA(_xlpm.a,_xlpm.c, _xlpm.a + _xlpm.c)),
                    _xlpm.consume_u, _xlfn.MAP(_xlpm.avail_u, _xlpm.cum_avail, _xlfn.LAMBDA(_xlpm.au,_xlpm.ca, MAX(0, MIN(_xlpm.au, _xlpm.target_units - (_xlpm.ca - _xlpm.au))))),
                    _xlpm.unit_gain, _xlpm.nav - IFERROR(_xlpm.p_a / _xlpm.p_u, 0),
                    _xlpm.tranche_gain, _xlpm.consume_u * _xlpm.unit_gain,
                    _xlpm.is_ltcg, _xlfn.MAP(_xlpm.p_d, _xlfn.LAMBDA(_xlpm.d, EDATE(_xlpm.d, _xlpm.holding_months) &lt;= TODAY())),
                    _xlpm.total_ltcg, SUM(_xlfn._xlws.FILTER(_xlpm.tranche_gain, _xlpm.is_ltcg, 0)),
                    _xlpm.total_stcg, SUM(_xlfn._xlws.FILTER(_xlpm.tranche_gain, NOT(_xlpm.is_ltcg), 0)),
                    _xlpm.eq_ltcg, IF(_xlpm.category="Equity", _xlpm.total_ltcg, ""),
                    _xlpm.eq_stcg, IF(_xlpm.category="Equity", _xlpm.total_stcg, ""),
                    _xlpm.debt_ltcg, IF(_xlpm.category="Debt", _xlpm.total_ltcg, ""),
                    _xlpm.debt_stcg, IF(_xlpm.category="Debt", _xlpm.total_stcg, ""),
                    _xlfn.VSTACK(_xlpm.acc, _xlfn.HSTACK(_xlpm.target_units, _xlpm.eq_ltcg, _xlpm.eq_stcg, _xlpm.debt_ltcg, _xlpm.debt_stcg))
                )
            )
        )
    )), 1)
)</f>
        <v/>
      </c>
      <c r="O5" s="47" t="str">
        <f ca="1"/>
        <v/>
      </c>
      <c r="P5" s="50" t="str">
        <f ca="1"/>
        <v/>
      </c>
      <c r="Q5" s="47" t="str">
        <f ca="1"/>
        <v/>
      </c>
      <c r="R5" s="50" t="str">
        <f ca="1"/>
        <v/>
      </c>
      <c r="T5" s="50" cm="1">
        <f t="array" aca="1" ref="T5:T21" ca="1">_xlfn.LET(
    _xlpm.ltcg_units,_xlfn.ANCHORARRAY( U5),
    _xlpm.latest_nav, _xlfn.CHOOSECOLS(_xlfn.DROP(_xlfn.ANCHORARRAY(A4), 1), 6),
    IF(_xlpm.ltcg_units="", "", _xlpm.ltcg_units * _xlpm.latest_nav)
)</f>
        <v>9.6421300000000001E-2</v>
      </c>
      <c r="U5" cm="1">
        <f t="array" aca="1" ref="U5:U21" ca="1">_xlfn.LET(
    _xlpm.master, _xlfn.DROP(_xlfn.ANCHORARRAY(A4), 1),
    _xlpm.raw_names, _xlfn.CHOOSECOLS(_xlpm.master, 1),
    _xlpm.filled_names, _xlfn.SCAN("", _xlpm.raw_names, _xlfn.LAMBDA(_xlpm.a,_xlpm.c, IF(_xlpm.c="", _xlpm.a, _xlpm.c))),
    _xlpm.schemes, _xlfn.CHOOSECOLS(_xlpm.master, 2),
    _xlpm.folios, _xlfn.CHOOSECOLS(_xlpm.master, 3),
    _xlpm.cas_pan, CAS!$C$2:$C$10000,
    _xlpm.cas_scheme, CAS!$D$2:$D$10000,
    _xlpm.cas_folio, CAS!$B$2:$B$10000,
    _xlpm.cas_units, CAS!$K$2:$K$10000,
    _xlpm.cas_date, CAS!$H$2:$H$10000,
    _xlpm.cas_amfi, CAS!$G$2:$G$10000,
    _xlpm.nav_amfi, 'Current NAVs'!$B$2:$B$1000,
    _xlpm.nav_cat, 'Current NAVs'!$H$2:$H$1000,
    _xlfn.MAP(_xlpm.filled_names, _xlpm.schemes, _xlpm.folios, _xlfn.LAMBDA(_xlpm.n,_xlpm.s,_xlpm.f,
        IF(_xlpm.s="", "", _xlfn.LET(
            _xlpm.pan, _xlfn.XLOOKUP(_xlpm.n, 'PAN Mapper'!$B$2:$B$20, 'PAN Mapper'!$A$2:$A$20, ""),
            _xlpm.cond, (_xlpm.cas_pan=_xlpm.pan) * (_xlpm.cas_scheme=_xlpm.s) * (_xlpm.cas_folio=_xlpm.f),
            _xlpm.raw_u, _xlfn._xlws.FILTER(_xlpm.cas_units, _xlpm.cond, 0),
            _xlpm.raw_d, _xlfn._xlws.FILTER(_xlpm.cas_date, _xlpm.cond, 0),
            _xlpm.raw_amfi, _xlfn._xlws.FILTER(_xlpm.cas_amfi, _xlpm.cond, ""),
            _xlpm.amfi_code, INDEX(_xlpm.raw_amfi, 1),
            _xlpm.cat, _xlfn.XLOOKUP(_xlpm.amfi_code, _xlpm.nav_amfi, _xlpm.nav_cat, "Equity"),
            IF(_xlpm.cat&lt;&gt;"Equity", "", _xlfn.LET(
                _xlpm.p_u, _xlfn._xlws.FILTER(_xlpm.raw_u, _xlpm.raw_u&gt;0, 0),
                _xlpm.p_d, _xlfn._xlws.FILTER(_xlpm.raw_d, _xlpm.raw_u&gt;0, 0),
                _xlpm.sold_total, -SUM(_xlfn._xlws.FILTER(_xlpm.raw_u, _xlpm.raw_u&lt;0, 0)),
                _xlpm.cum_p, _xlfn.SCAN(0, _xlpm.p_u, _xlfn.LAMBDA(_xlpm.a,_xlpm.c, _xlpm.a+_xlpm.c)),
                _xlpm.avail_u, _xlfn.MAP(_xlpm.p_u, _xlpm.cum_p, _xlfn.LAMBDA(_xlpm.pu,_xlpm.cum, MAX(0, MIN(_xlpm.pu, _xlpm.cum - _xlpm.sold_total)))),
                _xlpm.is_ltcg, _xlfn.MAP(_xlpm.p_d, _xlfn.LAMBDA(_xlpm.d, EDATE(_xlpm.d, 12) &lt;= TODAY())),
                _xlpm.ltcg_units, SUM(_xlfn._xlws.FILTER(_xlpm.avail_u, _xlpm.is_ltcg, 0)),
                IF(_xlpm.ltcg_units &gt; 0, ROUND(_xlpm.ltcg_units, 3), 0)
            ))
        ))
    ))
)</f>
        <v>1E-3</v>
      </c>
      <c r="V5" s="50" cm="1">
        <f t="array" aca="1" ref="V5:V21" ca="1">_xlfn.MAP(_xlfn.CHOOSECOLS(_xlfn.DROP(_xlfn.ANCHORARRAY(A4), 1), 1),_xlfn.ANCHORARRAY( W5), _xlfn.LAMBDA(_xlpm.n,_xlpm.claimed, IF(_xlpm.n="", "", MAX(0, 125000 - _xlpm.claimed))))</f>
        <v>125000</v>
      </c>
      <c r="W5" s="50" cm="1">
        <f t="array" aca="1" ref="W5:W21" ca="1">_xlfn.LET(
    _xlpm.names, _xlfn.CHOOSECOLS(_xlfn.DROP(_xlfn.ANCHORARRAY(A4), 1), 1),
    _xlpm.curr_fy, "FY "&amp;IF(MONTH(TODAY())&gt;=4, YEAR(TODAY()), YEAR(TODAY())-1)&amp;"-"&amp;RIGHT(IF(MONTH(TODAY())&gt;=4, YEAR(TODAY())+1, YEAR(TODAY())), 2),
    _xlfn.MAP(_xlpm.names, _xlfn.LAMBDA(_xlpm.n,
        IF(_xlpm.n="", "", SUMIFS(Sell_Ledger!$M:$M, Sell_Ledger!$N:$N, _xlpm.n, Sell_Ledger!$G:$G, "Equity", Sell_Ledger!$F:$F, _xlpm.curr_fy))
    ))
)</f>
        <v>0</v>
      </c>
      <c r="Y5" t="str">
        <f ca="1"/>
        <v>Name 1</v>
      </c>
      <c r="Z5" s="50">
        <f ca="1"/>
        <v>2969491.1743016145</v>
      </c>
      <c r="AA5" s="50">
        <f ca="1"/>
        <v>5931021.3315485893</v>
      </c>
      <c r="AB5" s="50">
        <f ca="1"/>
        <v>8900512.5058502033</v>
      </c>
      <c r="AC5" s="19">
        <f ca="1"/>
        <v>0.13221467137336729</v>
      </c>
      <c r="AD5" s="19" t="str">
        <f ca="1"/>
        <v/>
      </c>
      <c r="AE5" s="50">
        <f ca="1"/>
        <v>6958399.6158502027</v>
      </c>
      <c r="AF5" s="19">
        <f ca="1"/>
        <v>0.13221467137336729</v>
      </c>
    </row>
    <row r="6" spans="1:32" ht="17" x14ac:dyDescent="0.2">
      <c r="A6" s="17" t="str">
        <v/>
      </c>
      <c r="B6" s="17" t="str">
        <v>HDFC Flexi Cap Fund - Direct Plan - Growth</v>
      </c>
      <c r="C6" s="39" t="str">
        <v>AAAA9990</v>
      </c>
      <c r="D6" s="36">
        <v>46189</v>
      </c>
      <c r="E6" s="18">
        <v>19986.459000000003</v>
      </c>
      <c r="F6" s="18">
        <v>124.492</v>
      </c>
      <c r="G6" s="42" t="str">
        <v>15-07-2026</v>
      </c>
      <c r="H6" s="21">
        <v>0.15588048100471502</v>
      </c>
      <c r="I6" s="49">
        <v>716719.99379716732</v>
      </c>
      <c r="J6" s="49">
        <v>1771434.2600308331</v>
      </c>
      <c r="K6" s="54">
        <v>2488154.2538280003</v>
      </c>
      <c r="L6" s="17"/>
      <c r="M6" s="54">
        <v>1000</v>
      </c>
      <c r="N6" s="62">
        <f ca="1"/>
        <v>8.0326446679304695</v>
      </c>
      <c r="O6" s="47">
        <f ca="1"/>
        <v>792.39520655612364</v>
      </c>
      <c r="P6" s="50">
        <f ca="1"/>
        <v>0</v>
      </c>
      <c r="Q6" s="47" t="str">
        <f ca="1"/>
        <v/>
      </c>
      <c r="R6" s="50" t="str">
        <f ca="1"/>
        <v/>
      </c>
      <c r="T6" s="50">
        <f ca="1"/>
        <v>2324781.4103560001</v>
      </c>
      <c r="U6">
        <f ca="1"/>
        <v>18674.143</v>
      </c>
      <c r="V6" s="50" t="str">
        <f ca="1"/>
        <v/>
      </c>
      <c r="W6" s="50" t="str">
        <f ca="1"/>
        <v/>
      </c>
      <c r="Y6" t="str">
        <f ca="1"/>
        <v>Name 2</v>
      </c>
      <c r="Z6" s="50">
        <f ca="1"/>
        <v>2394259.2397168106</v>
      </c>
      <c r="AA6" s="50">
        <f ca="1"/>
        <v>4039133.2296659886</v>
      </c>
      <c r="AB6" s="50">
        <f ca="1"/>
        <v>6433392.4693827992</v>
      </c>
      <c r="AC6" s="19">
        <f ca="1"/>
        <v>0.12979635596275332</v>
      </c>
      <c r="AD6" s="19" t="str">
        <f ca="1"/>
        <v/>
      </c>
      <c r="AE6" s="50">
        <f ca="1"/>
        <v>5386701.0893827984</v>
      </c>
      <c r="AF6" s="19">
        <f ca="1"/>
        <v>0.12241293787956237</v>
      </c>
    </row>
    <row r="7" spans="1:32" ht="34" customHeight="1" x14ac:dyDescent="0.2">
      <c r="A7" s="17" t="str">
        <v/>
      </c>
      <c r="B7" s="17" t="str">
        <v>ICICI Pru Equity &amp; Debt Fund - Direct Growth</v>
      </c>
      <c r="C7" s="39" t="str">
        <v>AAAA9993</v>
      </c>
      <c r="D7" s="36">
        <v>46176</v>
      </c>
      <c r="E7" s="18">
        <v>14866.268999999998</v>
      </c>
      <c r="F7" s="18">
        <v>98.370900000000006</v>
      </c>
      <c r="G7" s="42" t="str">
        <v>15-07-2026</v>
      </c>
      <c r="H7" s="21">
        <v>0.14311926960945132</v>
      </c>
      <c r="I7" s="49">
        <v>508194.85902570479</v>
      </c>
      <c r="J7" s="49">
        <v>954213.40214639518</v>
      </c>
      <c r="K7" s="54">
        <v>1462408.2611721</v>
      </c>
      <c r="L7" s="17"/>
      <c r="M7" s="54"/>
      <c r="N7" s="62" t="str">
        <f ca="1"/>
        <v/>
      </c>
      <c r="O7" s="47" t="str">
        <f ca="1"/>
        <v/>
      </c>
      <c r="P7" s="50" t="str">
        <f ca="1"/>
        <v/>
      </c>
      <c r="Q7" s="47" t="str">
        <f ca="1"/>
        <v/>
      </c>
      <c r="R7" s="50" t="str">
        <f ca="1"/>
        <v/>
      </c>
      <c r="T7" s="50">
        <f ca="1"/>
        <v>1349042.4881432999</v>
      </c>
      <c r="U7">
        <f ca="1"/>
        <v>13713.837</v>
      </c>
      <c r="V7" s="50" t="str">
        <f ca="1"/>
        <v/>
      </c>
      <c r="W7" s="50" t="str">
        <f ca="1"/>
        <v/>
      </c>
      <c r="Y7" t="str">
        <f ca="1"/>
        <v>Name 3</v>
      </c>
      <c r="Z7" s="50">
        <f ca="1"/>
        <v>2636546.780658192</v>
      </c>
      <c r="AA7" s="50">
        <f ca="1"/>
        <v>4615534.9480189066</v>
      </c>
      <c r="AB7" s="50">
        <f ca="1"/>
        <v>7252081.7286770986</v>
      </c>
      <c r="AC7" s="19">
        <f ca="1"/>
        <v>0.13297459483146665</v>
      </c>
      <c r="AD7" s="19" t="str">
        <f ca="1"/>
        <v/>
      </c>
      <c r="AE7" s="50">
        <f ca="1"/>
        <v>5469698.9186770981</v>
      </c>
      <c r="AF7" s="19">
        <f ca="1"/>
        <v>0.12585873007774354</v>
      </c>
    </row>
    <row r="8" spans="1:32" ht="17" x14ac:dyDescent="0.2">
      <c r="A8" s="17" t="str">
        <v/>
      </c>
      <c r="B8" s="17" t="str">
        <v>Parag Parikh Flexi Cap Fund - Direct Growth</v>
      </c>
      <c r="C8" s="39" t="str">
        <v>AAAA9991</v>
      </c>
      <c r="D8" s="36">
        <v>46175</v>
      </c>
      <c r="E8" s="18">
        <v>23440.083000000013</v>
      </c>
      <c r="F8" s="18">
        <v>91.126199999999997</v>
      </c>
      <c r="G8" s="42" t="str">
        <v>15-07-2026</v>
      </c>
      <c r="H8" s="21">
        <v>0.11400634646415708</v>
      </c>
      <c r="I8" s="49">
        <v>867764.23237947258</v>
      </c>
      <c r="J8" s="49">
        <v>1268241.4590951286</v>
      </c>
      <c r="K8" s="54">
        <v>2136005.6914746012</v>
      </c>
      <c r="L8" s="17"/>
      <c r="M8" s="54"/>
      <c r="N8" s="62" t="str">
        <f ca="1"/>
        <v/>
      </c>
      <c r="O8" s="47" t="str">
        <f ca="1"/>
        <v/>
      </c>
      <c r="P8" s="50" t="str">
        <f ca="1"/>
        <v/>
      </c>
      <c r="Q8" s="47" t="str">
        <f ca="1"/>
        <v/>
      </c>
      <c r="R8" s="50" t="str">
        <f ca="1"/>
        <v/>
      </c>
      <c r="T8" s="50">
        <f ca="1"/>
        <v>2060839.3341426002</v>
      </c>
      <c r="U8">
        <f ca="1"/>
        <v>22615.223000000002</v>
      </c>
      <c r="V8" s="50" t="str">
        <f ca="1"/>
        <v/>
      </c>
      <c r="W8" s="50" t="str">
        <f ca="1"/>
        <v/>
      </c>
      <c r="Y8" t="str">
        <f ca="1"/>
        <v>Name 4</v>
      </c>
      <c r="Z8" s="50">
        <f ca="1"/>
        <v>2458804.3494214038</v>
      </c>
      <c r="AA8" s="50">
        <f ca="1"/>
        <v>5282231.5141015993</v>
      </c>
      <c r="AB8" s="50">
        <f ca="1"/>
        <v>7741035.8635230027</v>
      </c>
      <c r="AC8" s="19">
        <f ca="1"/>
        <v>0.13907812237739567</v>
      </c>
      <c r="AD8" s="19" t="str">
        <f ca="1"/>
        <v/>
      </c>
      <c r="AE8" s="50">
        <f ca="1"/>
        <v>6103683.7635230031</v>
      </c>
      <c r="AF8" s="19">
        <f ca="1"/>
        <v>0.12907509207725523</v>
      </c>
    </row>
    <row r="9" spans="1:32" ht="34" customHeight="1" x14ac:dyDescent="0.2">
      <c r="A9" s="17" t="str">
        <v/>
      </c>
      <c r="B9" s="17" t="str">
        <v>SBI Liquid Fund Direct Growth</v>
      </c>
      <c r="C9" s="39" t="str">
        <v>AAAA9992</v>
      </c>
      <c r="D9" s="36">
        <v>46203</v>
      </c>
      <c r="E9" s="18">
        <v>26894.393000000015</v>
      </c>
      <c r="F9" s="18">
        <v>104.6294</v>
      </c>
      <c r="G9" s="42" t="str">
        <v>15-07-2026</v>
      </c>
      <c r="H9" s="21">
        <v>0.13745967745780943</v>
      </c>
      <c r="I9" s="49">
        <v>876812.04331256228</v>
      </c>
      <c r="J9" s="49">
        <v>1937132.1596416393</v>
      </c>
      <c r="K9" s="54">
        <v>2813944.2029542015</v>
      </c>
      <c r="L9" s="17"/>
      <c r="M9" s="54"/>
      <c r="N9" s="62" t="str">
        <f ca="1"/>
        <v/>
      </c>
      <c r="O9" s="47" t="str">
        <f ca="1"/>
        <v/>
      </c>
      <c r="P9" s="50" t="str">
        <f ca="1"/>
        <v/>
      </c>
      <c r="Q9" s="47" t="str">
        <f ca="1"/>
        <v/>
      </c>
      <c r="R9" s="50" t="str">
        <f ca="1"/>
        <v/>
      </c>
      <c r="T9" s="50">
        <f ca="1"/>
        <v>2699866.1403577998</v>
      </c>
      <c r="U9">
        <f ca="1"/>
        <v>25804.087</v>
      </c>
      <c r="V9" s="50" t="str">
        <f ca="1"/>
        <v/>
      </c>
      <c r="W9" s="50" t="str">
        <f ca="1"/>
        <v/>
      </c>
    </row>
    <row r="10" spans="1:32" ht="17" x14ac:dyDescent="0.2">
      <c r="A10" s="17" t="str">
        <v>Name 2</v>
      </c>
      <c r="B10" s="17" t="str">
        <v>HDFC Flexi Cap Fund - Direct Plan - Growth</v>
      </c>
      <c r="C10" s="39" t="str">
        <v>BBBB9990</v>
      </c>
      <c r="D10" s="36">
        <v>46177</v>
      </c>
      <c r="E10" s="18">
        <v>22074.736000000004</v>
      </c>
      <c r="F10" s="18">
        <v>124.492</v>
      </c>
      <c r="G10" s="42" t="str">
        <v>15-07-2026</v>
      </c>
      <c r="H10" s="21">
        <v>0.15787617564201359</v>
      </c>
      <c r="I10" s="49">
        <v>757500.4308656482</v>
      </c>
      <c r="J10" s="49">
        <v>1990627.6032463526</v>
      </c>
      <c r="K10" s="54">
        <v>2748128.0341120008</v>
      </c>
      <c r="L10" s="17"/>
      <c r="M10" s="54"/>
      <c r="N10" s="62" t="str">
        <f ca="1"/>
        <v/>
      </c>
      <c r="O10" s="47" t="str">
        <f ca="1"/>
        <v/>
      </c>
      <c r="P10" s="50" t="str">
        <f ca="1"/>
        <v/>
      </c>
      <c r="Q10" s="47" t="str">
        <f ca="1"/>
        <v/>
      </c>
      <c r="R10" s="50" t="str">
        <f ca="1"/>
        <v/>
      </c>
      <c r="T10" s="50">
        <f ca="1"/>
        <v>2590504.6046759998</v>
      </c>
      <c r="U10">
        <f ca="1"/>
        <v>20808.602999999999</v>
      </c>
      <c r="V10" s="50">
        <f ca="1"/>
        <v>47791.762514836752</v>
      </c>
      <c r="W10" s="50">
        <f ca="1"/>
        <v>77208.237485163248</v>
      </c>
    </row>
    <row r="11" spans="1:32" ht="34" customHeight="1" x14ac:dyDescent="0.2">
      <c r="A11" s="17" t="str">
        <v/>
      </c>
      <c r="B11" s="17" t="str">
        <v>ICICI Pru Equity &amp; Debt Fund - Direct Growth</v>
      </c>
      <c r="C11" s="39" t="str">
        <v>BBBB9993</v>
      </c>
      <c r="D11" s="36">
        <v>46180</v>
      </c>
      <c r="E11" s="18">
        <v>12274.757999999996</v>
      </c>
      <c r="F11" s="18">
        <v>98.370900000000006</v>
      </c>
      <c r="G11" s="42" t="str">
        <v>15-07-2026</v>
      </c>
      <c r="H11" s="21">
        <v>0.11612113118171694</v>
      </c>
      <c r="I11" s="49">
        <v>516601.1088153387</v>
      </c>
      <c r="J11" s="49">
        <v>690877.88292686106</v>
      </c>
      <c r="K11" s="54">
        <v>1207478.9917421998</v>
      </c>
      <c r="L11" s="17"/>
      <c r="M11" s="54">
        <v>50000</v>
      </c>
      <c r="N11" s="62">
        <f ca="1"/>
        <v>508.2803959300972</v>
      </c>
      <c r="O11" s="47">
        <f ca="1"/>
        <v>33680.912749712523</v>
      </c>
      <c r="P11" s="50">
        <f ca="1"/>
        <v>0</v>
      </c>
      <c r="Q11" s="47" t="str">
        <f ca="1"/>
        <v/>
      </c>
      <c r="R11" s="50" t="str">
        <f ca="1"/>
        <v/>
      </c>
      <c r="T11" s="50">
        <f ca="1"/>
        <v>1109348.9037054002</v>
      </c>
      <c r="U11">
        <f ca="1"/>
        <v>11277.206</v>
      </c>
      <c r="V11" s="50" t="str">
        <f ca="1"/>
        <v/>
      </c>
      <c r="W11" s="50" t="str">
        <f ca="1"/>
        <v/>
      </c>
    </row>
    <row r="12" spans="1:32" ht="51" customHeight="1" x14ac:dyDescent="0.2">
      <c r="A12" s="17" t="str">
        <v/>
      </c>
      <c r="B12" s="17" t="str">
        <v>Parag Parikh Flexi Cap Fund - Direct Growth</v>
      </c>
      <c r="C12" s="39" t="str">
        <v>BBBB9991</v>
      </c>
      <c r="D12" s="36">
        <v>46201</v>
      </c>
      <c r="E12" s="18">
        <v>18441.929999999986</v>
      </c>
      <c r="F12" s="18">
        <v>91.126199999999997</v>
      </c>
      <c r="G12" s="42" t="str">
        <v>15-07-2026</v>
      </c>
      <c r="H12" s="21">
        <v>0.12785595059394836</v>
      </c>
      <c r="I12" s="49">
        <v>695400.29875500454</v>
      </c>
      <c r="J12" s="49">
        <v>985142.70281099412</v>
      </c>
      <c r="K12" s="54">
        <v>1680543.0015659987</v>
      </c>
      <c r="L12" s="17"/>
      <c r="M12" s="54"/>
      <c r="N12" s="62" t="str">
        <f ca="1"/>
        <v/>
      </c>
      <c r="O12" s="47" t="str">
        <f ca="1"/>
        <v/>
      </c>
      <c r="P12" s="50" t="str">
        <f ca="1"/>
        <v/>
      </c>
      <c r="Q12" s="47" t="str">
        <f ca="1"/>
        <v/>
      </c>
      <c r="R12" s="50" t="str">
        <f ca="1"/>
        <v/>
      </c>
      <c r="T12" s="50">
        <f ca="1"/>
        <v>1563538.5099114</v>
      </c>
      <c r="U12">
        <f ca="1"/>
        <v>17157.947</v>
      </c>
      <c r="V12" s="50" t="str">
        <f ca="1"/>
        <v/>
      </c>
      <c r="W12" s="50" t="str">
        <f ca="1"/>
        <v/>
      </c>
    </row>
    <row r="13" spans="1:32" ht="34" customHeight="1" x14ac:dyDescent="0.2">
      <c r="A13" s="17" t="str">
        <v/>
      </c>
      <c r="B13" s="17" t="str">
        <v>SBI Liquid Fund Direct Growth</v>
      </c>
      <c r="C13" s="39" t="str">
        <v>BBBB9992</v>
      </c>
      <c r="D13" s="36">
        <v>46191</v>
      </c>
      <c r="E13" s="18">
        <v>7619.6790000000001</v>
      </c>
      <c r="F13" s="18">
        <v>104.6294</v>
      </c>
      <c r="G13" s="42" t="str">
        <v>15-07-2026</v>
      </c>
      <c r="H13" s="21">
        <v>0.10456761717796326</v>
      </c>
      <c r="I13" s="49">
        <v>424757.40128081921</v>
      </c>
      <c r="J13" s="49">
        <v>372485.04068178078</v>
      </c>
      <c r="K13" s="54">
        <v>797242.44196259999</v>
      </c>
      <c r="L13" s="17"/>
      <c r="M13" s="54"/>
      <c r="N13" s="62" t="str">
        <f ca="1"/>
        <v/>
      </c>
      <c r="O13" s="47" t="str">
        <f ca="1"/>
        <v/>
      </c>
      <c r="P13" s="50" t="str">
        <f ca="1"/>
        <v/>
      </c>
      <c r="Q13" s="47" t="str">
        <f ca="1"/>
        <v/>
      </c>
      <c r="R13" s="50" t="str">
        <f ca="1"/>
        <v/>
      </c>
      <c r="T13" s="50">
        <f ca="1"/>
        <v>714803.9960380001</v>
      </c>
      <c r="U13">
        <f ca="1"/>
        <v>6831.77</v>
      </c>
      <c r="V13" s="50" t="str">
        <f ca="1"/>
        <v/>
      </c>
      <c r="W13" s="50" t="str">
        <f ca="1"/>
        <v/>
      </c>
    </row>
    <row r="14" spans="1:32" ht="34" customHeight="1" x14ac:dyDescent="0.2">
      <c r="A14" s="17" t="str">
        <v>Name 3</v>
      </c>
      <c r="B14" s="17" t="str">
        <v>HDFC Flexi Cap Fund - Direct Plan - Growth</v>
      </c>
      <c r="C14" s="39" t="str">
        <v>CCCC9990</v>
      </c>
      <c r="D14" s="36">
        <v>46185</v>
      </c>
      <c r="E14" s="18">
        <v>18744.597999999994</v>
      </c>
      <c r="F14" s="18">
        <v>124.492</v>
      </c>
      <c r="G14" s="42" t="str">
        <v>15-07-2026</v>
      </c>
      <c r="H14" s="21">
        <v>0.16438848376274112</v>
      </c>
      <c r="I14" s="49">
        <v>682006.17006777553</v>
      </c>
      <c r="J14" s="49">
        <v>1651546.3241482237</v>
      </c>
      <c r="K14" s="54">
        <v>2333552.4942159993</v>
      </c>
      <c r="L14" s="17"/>
      <c r="M14" s="54"/>
      <c r="N14" s="62" t="str">
        <f ca="1"/>
        <v/>
      </c>
      <c r="O14" s="47" t="str">
        <f ca="1"/>
        <v/>
      </c>
      <c r="P14" s="50" t="str">
        <f ca="1"/>
        <v/>
      </c>
      <c r="Q14" s="47" t="str">
        <f ca="1"/>
        <v/>
      </c>
      <c r="R14" s="50" t="str">
        <f ca="1"/>
        <v/>
      </c>
      <c r="T14" s="50">
        <f ca="1"/>
        <v>2189067.7014760002</v>
      </c>
      <c r="U14">
        <f ca="1"/>
        <v>17584.003000000001</v>
      </c>
      <c r="V14" s="50">
        <f ca="1"/>
        <v>125000</v>
      </c>
      <c r="W14" s="50">
        <f ca="1"/>
        <v>0</v>
      </c>
    </row>
    <row r="15" spans="1:32" ht="16" customHeight="1" x14ac:dyDescent="0.2">
      <c r="A15" t="str">
        <v/>
      </c>
      <c r="B15" t="str">
        <v>ICICI Pru Equity &amp; Debt Fund - Direct Growth</v>
      </c>
      <c r="C15" s="25" t="str">
        <v>CCCC9993</v>
      </c>
      <c r="D15" s="34">
        <v>46201</v>
      </c>
      <c r="E15" s="2">
        <v>10243.394999999997</v>
      </c>
      <c r="F15" s="2">
        <v>98.370900000000006</v>
      </c>
      <c r="G15" s="43" t="str">
        <v>15-07-2026</v>
      </c>
      <c r="H15" s="20">
        <v>0.11012374758720397</v>
      </c>
      <c r="I15" s="50">
        <v>484107.97376917204</v>
      </c>
      <c r="J15" s="50">
        <v>523544.01143632777</v>
      </c>
      <c r="K15" s="56">
        <v>1007651.9852054998</v>
      </c>
      <c r="L15"/>
      <c r="M15" s="54"/>
      <c r="N15" s="63" t="str">
        <f ca="1"/>
        <v/>
      </c>
      <c r="O15" s="47" t="str">
        <f ca="1"/>
        <v/>
      </c>
      <c r="P15" s="50" t="str">
        <f ca="1"/>
        <v/>
      </c>
      <c r="Q15" s="47" t="str">
        <f ca="1"/>
        <v/>
      </c>
      <c r="R15" s="50" t="str">
        <f ca="1"/>
        <v/>
      </c>
      <c r="T15" s="50">
        <f ca="1"/>
        <v>905169.57506910001</v>
      </c>
      <c r="U15">
        <f ca="1"/>
        <v>9201.5990000000002</v>
      </c>
      <c r="V15" s="50" t="str">
        <f ca="1"/>
        <v/>
      </c>
      <c r="W15" s="50" t="str">
        <f ca="1"/>
        <v/>
      </c>
    </row>
    <row r="16" spans="1:32" ht="17" x14ac:dyDescent="0.2">
      <c r="A16" t="str">
        <v/>
      </c>
      <c r="B16" t="str">
        <v>Parag Parikh Flexi Cap Fund - Direct Growth</v>
      </c>
      <c r="C16" s="25" t="str">
        <v>CCCC9991</v>
      </c>
      <c r="D16" s="34">
        <v>46177</v>
      </c>
      <c r="E16" s="2">
        <v>19577.117000000009</v>
      </c>
      <c r="F16" s="2">
        <v>91.126199999999997</v>
      </c>
      <c r="G16" s="43" t="str">
        <v>15-07-2026</v>
      </c>
      <c r="H16" s="20">
        <v>0.11789209246635435</v>
      </c>
      <c r="I16" s="50">
        <v>739008.70566429838</v>
      </c>
      <c r="J16" s="50">
        <v>1044979.5735011025</v>
      </c>
      <c r="K16" s="56">
        <v>1783988.2791654009</v>
      </c>
      <c r="L16"/>
      <c r="M16" s="54"/>
      <c r="N16" s="63" t="str">
        <f ca="1"/>
        <v/>
      </c>
      <c r="O16" s="47" t="str">
        <f ca="1"/>
        <v/>
      </c>
      <c r="P16" s="50" t="str">
        <f ca="1"/>
        <v/>
      </c>
      <c r="Q16" s="47" t="str">
        <f ca="1"/>
        <v/>
      </c>
      <c r="R16" s="50" t="str">
        <f ca="1"/>
        <v/>
      </c>
      <c r="T16" s="50">
        <f ca="1"/>
        <v>1690915.3501548001</v>
      </c>
      <c r="U16">
        <f ca="1"/>
        <v>18555.754000000001</v>
      </c>
      <c r="V16" s="50" t="str">
        <f ca="1"/>
        <v/>
      </c>
      <c r="W16" s="50" t="str">
        <f ca="1"/>
        <v/>
      </c>
    </row>
    <row r="17" spans="1:23" ht="17" x14ac:dyDescent="0.2">
      <c r="A17" t="str">
        <v/>
      </c>
      <c r="B17" t="str">
        <v>SBI Liquid Fund Direct Growth</v>
      </c>
      <c r="C17" s="25" t="str">
        <v>CCCC9992</v>
      </c>
      <c r="D17" s="34">
        <v>46179</v>
      </c>
      <c r="E17" s="2">
        <v>20327.832999999984</v>
      </c>
      <c r="F17" s="2">
        <v>104.6294</v>
      </c>
      <c r="G17" s="43" t="str">
        <v>15-07-2026</v>
      </c>
      <c r="H17" s="20">
        <v>0.13267911076545716</v>
      </c>
      <c r="I17" s="50">
        <v>731423.93115694588</v>
      </c>
      <c r="J17" s="50">
        <v>1395465.0389332525</v>
      </c>
      <c r="K17" s="56">
        <v>2126888.9700901983</v>
      </c>
      <c r="L17"/>
      <c r="M17" s="54"/>
      <c r="N17" s="63" t="str">
        <f ca="1"/>
        <v/>
      </c>
      <c r="O17" s="47" t="str">
        <f ca="1"/>
        <v/>
      </c>
      <c r="P17" s="50" t="str">
        <f ca="1"/>
        <v/>
      </c>
      <c r="Q17" s="47" t="str">
        <f ca="1"/>
        <v/>
      </c>
      <c r="R17" s="50" t="str">
        <f ca="1"/>
        <v/>
      </c>
      <c r="T17" s="50">
        <f ca="1"/>
        <v>2016282.1970976002</v>
      </c>
      <c r="U17">
        <f ca="1"/>
        <v>19270.704000000002</v>
      </c>
      <c r="V17" s="50" t="str">
        <f ca="1"/>
        <v/>
      </c>
      <c r="W17" s="50" t="str">
        <f ca="1"/>
        <v/>
      </c>
    </row>
    <row r="18" spans="1:23" ht="17" x14ac:dyDescent="0.2">
      <c r="A18" t="str">
        <v>Name 4</v>
      </c>
      <c r="B18" t="str">
        <v>HDFC Flexi Cap Fund - Direct Plan - Growth</v>
      </c>
      <c r="C18" s="25" t="str">
        <v>DDDD9990</v>
      </c>
      <c r="D18" s="34">
        <v>46176</v>
      </c>
      <c r="E18" s="2">
        <v>26478.477000000014</v>
      </c>
      <c r="F18" s="2">
        <v>124.492</v>
      </c>
      <c r="G18" s="43" t="str">
        <v>15-07-2026</v>
      </c>
      <c r="H18" s="20">
        <v>0.16089308857917789</v>
      </c>
      <c r="I18" s="50">
        <v>716339.15032511752</v>
      </c>
      <c r="J18" s="50">
        <v>2580019.408358884</v>
      </c>
      <c r="K18" s="56">
        <v>3296358.5586840017</v>
      </c>
      <c r="L18"/>
      <c r="M18" s="54"/>
      <c r="N18" s="63" t="str">
        <f ca="1"/>
        <v/>
      </c>
      <c r="O18" s="47" t="str">
        <f ca="1"/>
        <v/>
      </c>
      <c r="P18" s="50" t="str">
        <f ca="1"/>
        <v/>
      </c>
      <c r="Q18" s="47" t="str">
        <f ca="1"/>
        <v/>
      </c>
      <c r="R18" s="50" t="str">
        <f ca="1"/>
        <v/>
      </c>
      <c r="T18" s="50">
        <f ca="1"/>
        <v>3122603.4558879999</v>
      </c>
      <c r="U18">
        <f ca="1"/>
        <v>25082.763999999999</v>
      </c>
      <c r="V18" s="50">
        <f ca="1"/>
        <v>125000</v>
      </c>
      <c r="W18" s="50">
        <f ca="1"/>
        <v>0</v>
      </c>
    </row>
    <row r="19" spans="1:23" x14ac:dyDescent="0.2">
      <c r="A19" t="str">
        <v/>
      </c>
      <c r="B19" t="str">
        <v>ICICI Pru Equity &amp; Debt Fund - Direct Growth</v>
      </c>
      <c r="C19" s="40" t="str">
        <v>DDDD9993</v>
      </c>
      <c r="D19" s="37">
        <v>46181</v>
      </c>
      <c r="E19">
        <v>14687.830000000009</v>
      </c>
      <c r="F19">
        <v>98.370900000000006</v>
      </c>
      <c r="G19" s="43" t="str">
        <v>15-07-2026</v>
      </c>
      <c r="H19" s="19">
        <v>0.11984722018241881</v>
      </c>
      <c r="I19" s="50">
        <v>623535.76147903001</v>
      </c>
      <c r="J19" s="50">
        <v>821319.29466797097</v>
      </c>
      <c r="K19" s="56">
        <v>1444855.056147001</v>
      </c>
      <c r="L19"/>
      <c r="M19" s="54"/>
      <c r="N19" s="63" t="str">
        <f ca="1"/>
        <v/>
      </c>
      <c r="O19" s="47" t="str">
        <f ca="1"/>
        <v/>
      </c>
      <c r="P19" s="50" t="str">
        <f ca="1"/>
        <v/>
      </c>
      <c r="Q19" s="47" t="str">
        <f ca="1"/>
        <v/>
      </c>
      <c r="R19" s="50" t="str">
        <f ca="1"/>
        <v/>
      </c>
      <c r="T19" s="50">
        <f ca="1"/>
        <v>1347750.0912591002</v>
      </c>
      <c r="U19">
        <f ca="1"/>
        <v>13700.699000000001</v>
      </c>
      <c r="V19" s="50" t="str">
        <f ca="1"/>
        <v/>
      </c>
      <c r="W19" s="50" t="str">
        <f ca="1"/>
        <v/>
      </c>
    </row>
    <row r="20" spans="1:23" ht="17" x14ac:dyDescent="0.2">
      <c r="A20" t="str">
        <v/>
      </c>
      <c r="B20" t="str">
        <v>Parag Parikh Flexi Cap Fund - Direct Growth</v>
      </c>
      <c r="C20" s="25" t="str">
        <v>DDDD9991</v>
      </c>
      <c r="D20" s="34">
        <v>46202</v>
      </c>
      <c r="E20" s="2">
        <v>18290.351999999999</v>
      </c>
      <c r="F20" s="2">
        <v>91.126199999999997</v>
      </c>
      <c r="G20" s="43" t="str">
        <v>15-07-2026</v>
      </c>
      <c r="H20" s="20">
        <v>0.13468311429023747</v>
      </c>
      <c r="I20" s="50">
        <v>637629.31116434711</v>
      </c>
      <c r="J20" s="50">
        <v>1029100.9632580528</v>
      </c>
      <c r="K20" s="56">
        <v>1666730.2744223999</v>
      </c>
      <c r="L20"/>
      <c r="M20" s="54"/>
      <c r="N20" s="63" t="str">
        <f ca="1"/>
        <v/>
      </c>
      <c r="O20" s="47" t="str">
        <f ca="1"/>
        <v/>
      </c>
      <c r="P20" s="50" t="str">
        <f ca="1"/>
        <v/>
      </c>
      <c r="Q20" s="47" t="str">
        <f ca="1"/>
        <v/>
      </c>
      <c r="R20" s="50" t="str">
        <f ca="1"/>
        <v/>
      </c>
      <c r="T20" s="50">
        <f ca="1"/>
        <v>1563363.3653550001</v>
      </c>
      <c r="U20">
        <f ca="1"/>
        <v>17156.025000000001</v>
      </c>
      <c r="V20" s="50" t="str">
        <f ca="1"/>
        <v/>
      </c>
      <c r="W20" s="50" t="str">
        <f ca="1"/>
        <v/>
      </c>
    </row>
    <row r="21" spans="1:23" ht="17" x14ac:dyDescent="0.2">
      <c r="A21" t="str">
        <v/>
      </c>
      <c r="B21" t="str">
        <v>SBI Liquid Fund Direct Growth</v>
      </c>
      <c r="C21" s="25" t="str">
        <v>DDDD9992</v>
      </c>
      <c r="D21" s="34">
        <v>46179</v>
      </c>
      <c r="E21" s="2">
        <v>12741.084000000006</v>
      </c>
      <c r="F21" s="2">
        <v>104.6294</v>
      </c>
      <c r="G21" s="43" t="str">
        <v>15-07-2026</v>
      </c>
      <c r="H21" s="20">
        <v>0.12230263352394102</v>
      </c>
      <c r="I21" s="50">
        <v>481300.1264529092</v>
      </c>
      <c r="J21" s="50">
        <v>851791.84781669138</v>
      </c>
      <c r="K21" s="56">
        <v>1333091.9742696006</v>
      </c>
      <c r="L21"/>
      <c r="M21" s="54"/>
      <c r="N21" s="63" t="str">
        <f ca="1"/>
        <v/>
      </c>
      <c r="O21" s="47" t="str">
        <f ca="1"/>
        <v/>
      </c>
      <c r="P21" s="50" t="str">
        <f ca="1"/>
        <v/>
      </c>
      <c r="Q21" s="47" t="str">
        <f ca="1"/>
        <v/>
      </c>
      <c r="R21" s="50" t="str">
        <f ca="1"/>
        <v/>
      </c>
      <c r="T21" s="50">
        <f ca="1"/>
        <v>1214825.0736442001</v>
      </c>
      <c r="U21">
        <f ca="1"/>
        <v>11610.743</v>
      </c>
      <c r="V21" s="50" t="str">
        <f ca="1"/>
        <v/>
      </c>
      <c r="W21" s="50" t="str">
        <f ca="1"/>
        <v/>
      </c>
    </row>
    <row r="22" spans="1:23" ht="17" x14ac:dyDescent="0.2">
      <c r="A22"/>
      <c r="B22"/>
      <c r="C22" s="25"/>
      <c r="D22" s="34"/>
      <c r="E22" s="2"/>
      <c r="F22" s="2"/>
      <c r="G22" s="43"/>
      <c r="H22" s="20"/>
      <c r="I22" s="50"/>
      <c r="J22" s="50"/>
      <c r="K22" s="56"/>
      <c r="L22"/>
      <c r="M22" s="56"/>
      <c r="N22" s="63"/>
    </row>
    <row r="23" spans="1:23" ht="17" x14ac:dyDescent="0.2">
      <c r="A23"/>
      <c r="B23"/>
      <c r="C23" s="25"/>
      <c r="D23" s="34"/>
      <c r="E23" s="2"/>
      <c r="F23" s="2"/>
      <c r="G23" s="43"/>
      <c r="H23" s="20"/>
      <c r="I23" s="50"/>
      <c r="J23" s="50"/>
      <c r="K23" s="56"/>
      <c r="L23"/>
      <c r="M23" s="56"/>
      <c r="N23" s="63"/>
    </row>
    <row r="24" spans="1:23" ht="17" x14ac:dyDescent="0.2">
      <c r="A24"/>
      <c r="B24"/>
      <c r="C24" s="25"/>
      <c r="D24" s="34"/>
      <c r="E24" s="2"/>
      <c r="F24" s="2"/>
      <c r="G24" s="43"/>
      <c r="H24" s="20"/>
      <c r="I24" s="50"/>
      <c r="J24" s="50"/>
      <c r="K24" s="56"/>
      <c r="L24"/>
      <c r="M24" s="56"/>
      <c r="N24" s="63"/>
    </row>
    <row r="25" spans="1:23" x14ac:dyDescent="0.2">
      <c r="A25"/>
      <c r="B25"/>
      <c r="C25" s="25"/>
      <c r="D25" s="34"/>
      <c r="E25" s="2"/>
      <c r="F25" s="2"/>
      <c r="G25" s="43"/>
      <c r="H25" s="20"/>
      <c r="I25" s="50"/>
      <c r="J25" s="50"/>
      <c r="K25" s="56"/>
      <c r="L25"/>
      <c r="M25" s="56"/>
      <c r="N25" s="63"/>
    </row>
    <row r="26" spans="1:23" x14ac:dyDescent="0.2">
      <c r="A26"/>
      <c r="B26"/>
      <c r="C26" s="25"/>
      <c r="D26" s="34"/>
      <c r="E26" s="2"/>
      <c r="F26" s="2"/>
      <c r="G26" s="43"/>
      <c r="H26" s="20"/>
      <c r="I26" s="50"/>
      <c r="J26" s="50"/>
      <c r="K26" s="56"/>
      <c r="L26"/>
      <c r="M26" s="56"/>
      <c r="N26" s="63"/>
    </row>
    <row r="27" spans="1:23" x14ac:dyDescent="0.2">
      <c r="A27"/>
      <c r="B27"/>
      <c r="C27" s="25"/>
      <c r="D27" s="34"/>
      <c r="E27" s="2"/>
      <c r="F27" s="2"/>
      <c r="G27" s="43"/>
      <c r="H27" s="20"/>
      <c r="I27" s="50"/>
      <c r="J27" s="50"/>
      <c r="K27" s="56"/>
      <c r="L27"/>
      <c r="M27" s="56"/>
      <c r="N27" s="63"/>
    </row>
    <row r="28" spans="1:23" x14ac:dyDescent="0.2">
      <c r="A28"/>
      <c r="B28"/>
      <c r="C28" s="25"/>
      <c r="D28" s="34"/>
      <c r="E28" s="2"/>
      <c r="F28" s="2"/>
      <c r="G28" s="43"/>
      <c r="H28" s="20"/>
      <c r="I28" s="50"/>
      <c r="J28" s="50"/>
      <c r="K28" s="56"/>
      <c r="L28"/>
      <c r="M28" s="56"/>
      <c r="N28" s="63"/>
    </row>
    <row r="29" spans="1:23" x14ac:dyDescent="0.2">
      <c r="A29"/>
      <c r="B29"/>
      <c r="C29" s="25"/>
      <c r="D29" s="34"/>
      <c r="E29" s="2"/>
      <c r="F29" s="2"/>
      <c r="G29" s="43"/>
      <c r="H29" s="20"/>
      <c r="I29" s="50"/>
      <c r="J29" s="50"/>
      <c r="K29" s="56"/>
      <c r="L29"/>
      <c r="M29" s="56"/>
      <c r="N29" s="63"/>
    </row>
    <row r="30" spans="1:23" x14ac:dyDescent="0.2">
      <c r="A30"/>
      <c r="B30"/>
      <c r="C30" s="25"/>
      <c r="D30" s="34"/>
      <c r="E30" s="2"/>
      <c r="F30" s="2"/>
      <c r="G30" s="43"/>
      <c r="H30" s="20"/>
      <c r="I30" s="50"/>
      <c r="J30" s="50"/>
      <c r="K30" s="56"/>
      <c r="L30"/>
      <c r="M30" s="56"/>
      <c r="N30" s="63"/>
    </row>
    <row r="31" spans="1:23" x14ac:dyDescent="0.2">
      <c r="A31"/>
      <c r="B31"/>
      <c r="C31" s="25"/>
      <c r="D31" s="34"/>
      <c r="E31" s="2"/>
      <c r="F31" s="2"/>
      <c r="G31" s="43"/>
      <c r="H31" s="20"/>
      <c r="I31" s="50"/>
      <c r="J31" s="50"/>
      <c r="K31" s="56"/>
      <c r="L31"/>
      <c r="M31" s="56"/>
      <c r="N31" s="63"/>
    </row>
    <row r="32" spans="1:23" x14ac:dyDescent="0.2">
      <c r="A32"/>
      <c r="B32"/>
      <c r="C32" s="25"/>
      <c r="D32" s="34"/>
      <c r="E32" s="2"/>
      <c r="F32" s="2"/>
      <c r="G32" s="43"/>
      <c r="H32" s="20"/>
      <c r="I32" s="50"/>
      <c r="J32" s="50"/>
      <c r="K32" s="56"/>
      <c r="L32"/>
      <c r="M32" s="56"/>
      <c r="N32" s="63"/>
    </row>
    <row r="33" spans="1:14" x14ac:dyDescent="0.2">
      <c r="A33"/>
      <c r="B33"/>
      <c r="C33" s="25"/>
      <c r="D33" s="34"/>
      <c r="E33" s="2"/>
      <c r="F33" s="2"/>
      <c r="G33" s="43"/>
      <c r="H33" s="20"/>
      <c r="I33" s="50"/>
      <c r="J33" s="50"/>
      <c r="K33" s="56"/>
      <c r="L33"/>
      <c r="M33" s="56"/>
      <c r="N33" s="63"/>
    </row>
    <row r="34" spans="1:14" x14ac:dyDescent="0.2">
      <c r="A34"/>
      <c r="B34"/>
      <c r="C34" s="25"/>
      <c r="D34" s="34"/>
      <c r="E34" s="2"/>
      <c r="F34" s="2"/>
      <c r="G34" s="43"/>
      <c r="H34" s="20"/>
      <c r="I34" s="50"/>
      <c r="J34" s="50"/>
      <c r="K34" s="56"/>
      <c r="L34"/>
      <c r="M34" s="56"/>
      <c r="N34" s="63"/>
    </row>
    <row r="35" spans="1:14" x14ac:dyDescent="0.2">
      <c r="A35"/>
      <c r="B35"/>
      <c r="C35" s="25"/>
      <c r="D35" s="34"/>
      <c r="E35" s="2"/>
      <c r="F35" s="2"/>
      <c r="G35" s="43"/>
      <c r="H35" s="20"/>
      <c r="I35" s="50"/>
      <c r="J35" s="50"/>
      <c r="K35" s="56"/>
      <c r="L35"/>
      <c r="M35" s="56"/>
      <c r="N35" s="63"/>
    </row>
    <row r="36" spans="1:14" x14ac:dyDescent="0.2">
      <c r="A36"/>
      <c r="B36"/>
      <c r="C36" s="25"/>
      <c r="D36" s="34"/>
      <c r="E36" s="2"/>
      <c r="F36" s="2"/>
      <c r="G36" s="43"/>
      <c r="H36" s="20"/>
      <c r="I36" s="50"/>
      <c r="J36" s="50"/>
      <c r="K36" s="56"/>
      <c r="L36"/>
      <c r="M36" s="56"/>
      <c r="N36" s="63"/>
    </row>
    <row r="37" spans="1:14" x14ac:dyDescent="0.2">
      <c r="A37"/>
      <c r="B37"/>
      <c r="C37" s="25"/>
      <c r="D37" s="34"/>
      <c r="E37" s="2"/>
      <c r="F37" s="2"/>
      <c r="G37" s="43"/>
      <c r="H37" s="20"/>
      <c r="I37" s="50"/>
      <c r="J37" s="50"/>
      <c r="K37" s="56"/>
      <c r="L37"/>
      <c r="M37" s="56"/>
      <c r="N37" s="63"/>
    </row>
    <row r="38" spans="1:14" x14ac:dyDescent="0.2">
      <c r="A38"/>
      <c r="B38"/>
      <c r="C38" s="25"/>
      <c r="D38" s="34"/>
      <c r="E38" s="2"/>
      <c r="F38" s="2"/>
      <c r="G38" s="43"/>
      <c r="H38" s="20"/>
      <c r="I38" s="50"/>
      <c r="J38" s="50"/>
      <c r="K38" s="56"/>
      <c r="L38"/>
      <c r="M38" s="56"/>
      <c r="N38" s="63"/>
    </row>
    <row r="39" spans="1:14" x14ac:dyDescent="0.2">
      <c r="A39"/>
      <c r="B39"/>
      <c r="C39" s="25"/>
      <c r="D39" s="34"/>
      <c r="E39" s="2"/>
      <c r="F39" s="2"/>
      <c r="G39" s="43"/>
      <c r="H39" s="20"/>
      <c r="I39" s="50"/>
      <c r="J39" s="50"/>
      <c r="K39" s="56"/>
      <c r="L39"/>
      <c r="M39" s="56"/>
      <c r="N39" s="63"/>
    </row>
    <row r="40" spans="1:14" x14ac:dyDescent="0.2">
      <c r="A40"/>
      <c r="B40"/>
      <c r="C40" s="25"/>
      <c r="D40" s="34"/>
      <c r="E40" s="2"/>
      <c r="F40" s="2"/>
      <c r="G40" s="43"/>
      <c r="H40" s="20"/>
      <c r="I40" s="50"/>
      <c r="J40" s="50"/>
      <c r="K40" s="56"/>
      <c r="L40"/>
      <c r="M40" s="56"/>
      <c r="N40" s="63"/>
    </row>
    <row r="41" spans="1:14" x14ac:dyDescent="0.2">
      <c r="A41"/>
      <c r="B41"/>
      <c r="C41" s="25"/>
      <c r="D41" s="34"/>
      <c r="E41" s="2"/>
      <c r="F41" s="2"/>
      <c r="G41" s="43"/>
      <c r="H41" s="20"/>
      <c r="I41" s="50"/>
      <c r="J41" s="50"/>
      <c r="K41" s="56"/>
      <c r="L41"/>
      <c r="M41" s="56"/>
      <c r="N41" s="63"/>
    </row>
    <row r="42" spans="1:14" x14ac:dyDescent="0.2">
      <c r="A42"/>
      <c r="B42"/>
      <c r="C42" s="25"/>
      <c r="D42" s="34"/>
      <c r="E42" s="2"/>
      <c r="F42" s="2"/>
      <c r="G42" s="43"/>
      <c r="H42" s="20"/>
      <c r="I42" s="50"/>
      <c r="J42" s="50"/>
      <c r="K42" s="56"/>
      <c r="L42"/>
      <c r="M42" s="56"/>
      <c r="N42" s="63"/>
    </row>
    <row r="43" spans="1:14" x14ac:dyDescent="0.2">
      <c r="A43"/>
      <c r="B43"/>
      <c r="C43" s="25"/>
      <c r="D43" s="34"/>
      <c r="E43" s="2"/>
      <c r="F43" s="2"/>
      <c r="G43" s="43"/>
      <c r="H43" s="20"/>
      <c r="I43" s="50"/>
      <c r="J43" s="50"/>
      <c r="K43" s="56"/>
      <c r="L43"/>
      <c r="M43" s="56"/>
      <c r="N43" s="63"/>
    </row>
    <row r="44" spans="1:14" x14ac:dyDescent="0.2">
      <c r="A44"/>
      <c r="B44"/>
      <c r="C44" s="25"/>
      <c r="D44" s="34"/>
      <c r="E44" s="2"/>
      <c r="F44" s="2"/>
      <c r="G44" s="43"/>
      <c r="H44" s="20"/>
      <c r="I44" s="50"/>
      <c r="J44" s="50"/>
      <c r="K44" s="56"/>
      <c r="L44"/>
      <c r="M44" s="56"/>
      <c r="N44" s="63"/>
    </row>
    <row r="45" spans="1:14" x14ac:dyDescent="0.2">
      <c r="A45"/>
      <c r="B45"/>
      <c r="C45" s="25"/>
      <c r="D45" s="34"/>
      <c r="E45" s="2"/>
      <c r="F45" s="2"/>
      <c r="G45" s="43"/>
      <c r="H45" s="20"/>
      <c r="I45" s="50"/>
      <c r="J45" s="50"/>
      <c r="K45" s="56"/>
      <c r="L45"/>
      <c r="M45" s="56"/>
      <c r="N45" s="63"/>
    </row>
    <row r="46" spans="1:14" x14ac:dyDescent="0.2">
      <c r="A46"/>
      <c r="B46"/>
      <c r="C46" s="25"/>
      <c r="D46" s="34"/>
      <c r="E46" s="2"/>
      <c r="F46" s="2"/>
      <c r="G46" s="43"/>
      <c r="H46" s="20"/>
      <c r="I46" s="50"/>
      <c r="J46" s="50"/>
      <c r="K46" s="56"/>
      <c r="L46"/>
      <c r="M46" s="56"/>
      <c r="N46" s="63"/>
    </row>
    <row r="47" spans="1:14" x14ac:dyDescent="0.2">
      <c r="A47"/>
      <c r="B47"/>
      <c r="C47" s="25"/>
      <c r="D47" s="34"/>
      <c r="E47" s="2"/>
      <c r="F47" s="2"/>
      <c r="G47" s="43"/>
      <c r="H47" s="20"/>
      <c r="I47" s="50"/>
      <c r="J47" s="50"/>
      <c r="K47" s="56"/>
      <c r="L47"/>
      <c r="M47" s="56"/>
      <c r="N47" s="63"/>
    </row>
    <row r="48" spans="1:14" x14ac:dyDescent="0.2">
      <c r="A48"/>
      <c r="B48"/>
      <c r="C48" s="25"/>
      <c r="D48" s="34"/>
      <c r="E48" s="2"/>
      <c r="F48" s="2"/>
      <c r="G48" s="43"/>
      <c r="H48" s="20"/>
      <c r="I48" s="50"/>
      <c r="J48" s="50"/>
      <c r="K48" s="56"/>
      <c r="L48"/>
      <c r="M48" s="56"/>
      <c r="N48" s="63"/>
    </row>
    <row r="49" spans="1:14" x14ac:dyDescent="0.2">
      <c r="A49"/>
      <c r="B49"/>
      <c r="C49" s="25"/>
      <c r="D49" s="34"/>
      <c r="E49" s="2"/>
      <c r="F49" s="2"/>
      <c r="G49" s="43"/>
      <c r="H49" s="20"/>
      <c r="I49" s="50"/>
      <c r="J49" s="50"/>
      <c r="K49" s="56"/>
      <c r="L49"/>
      <c r="M49" s="56"/>
      <c r="N49" s="63"/>
    </row>
    <row r="50" spans="1:14" x14ac:dyDescent="0.2">
      <c r="A50"/>
      <c r="B50"/>
      <c r="C50" s="25"/>
      <c r="D50" s="34"/>
      <c r="E50" s="2"/>
      <c r="F50" s="2"/>
      <c r="G50" s="43"/>
      <c r="H50" s="20"/>
      <c r="I50" s="50"/>
      <c r="J50" s="50"/>
      <c r="K50" s="56"/>
      <c r="L50"/>
      <c r="M50" s="56"/>
      <c r="N50" s="63"/>
    </row>
    <row r="51" spans="1:14" x14ac:dyDescent="0.2">
      <c r="A51"/>
      <c r="B51"/>
      <c r="C51" s="25"/>
      <c r="D51" s="34"/>
      <c r="E51" s="2"/>
      <c r="F51" s="2"/>
      <c r="G51" s="43"/>
      <c r="H51" s="20"/>
      <c r="I51" s="50"/>
      <c r="J51" s="50"/>
      <c r="K51" s="56"/>
      <c r="L51"/>
      <c r="M51" s="56"/>
      <c r="N51" s="63"/>
    </row>
    <row r="52" spans="1:14" x14ac:dyDescent="0.2">
      <c r="A52"/>
      <c r="B52"/>
      <c r="C52" s="25"/>
      <c r="D52" s="34"/>
      <c r="E52" s="2"/>
      <c r="F52" s="2"/>
      <c r="G52" s="43"/>
      <c r="H52" s="20"/>
      <c r="I52" s="50"/>
      <c r="J52" s="50"/>
      <c r="K52" s="56"/>
      <c r="L52"/>
      <c r="M52" s="56"/>
      <c r="N52" s="63"/>
    </row>
    <row r="53" spans="1:14" x14ac:dyDescent="0.2">
      <c r="A53"/>
      <c r="B53"/>
      <c r="C53" s="25"/>
      <c r="D53" s="34"/>
      <c r="E53" s="2"/>
      <c r="F53" s="2"/>
      <c r="G53" s="43"/>
      <c r="H53" s="20"/>
      <c r="I53" s="50"/>
      <c r="J53" s="50"/>
      <c r="K53" s="56"/>
      <c r="L53"/>
      <c r="M53" s="56"/>
      <c r="N53" s="63"/>
    </row>
    <row r="54" spans="1:14" x14ac:dyDescent="0.2">
      <c r="A54"/>
      <c r="B54"/>
      <c r="C54" s="25"/>
      <c r="D54" s="34"/>
      <c r="E54" s="2"/>
      <c r="F54" s="2"/>
      <c r="G54" s="43"/>
      <c r="H54" s="20"/>
      <c r="I54" s="50"/>
      <c r="J54" s="50"/>
      <c r="K54" s="56"/>
      <c r="L54"/>
      <c r="M54" s="56"/>
      <c r="N54" s="63"/>
    </row>
    <row r="55" spans="1:14" x14ac:dyDescent="0.2">
      <c r="A55"/>
      <c r="B55"/>
      <c r="C55" s="25"/>
      <c r="D55" s="34"/>
      <c r="E55" s="2"/>
      <c r="F55" s="2"/>
      <c r="G55" s="43"/>
      <c r="H55" s="20"/>
      <c r="I55" s="50"/>
      <c r="J55" s="50"/>
      <c r="K55" s="56"/>
      <c r="L55"/>
      <c r="M55" s="56"/>
      <c r="N55" s="63"/>
    </row>
    <row r="56" spans="1:14" x14ac:dyDescent="0.2">
      <c r="A56"/>
      <c r="B56"/>
      <c r="C56" s="25"/>
      <c r="D56" s="34"/>
      <c r="E56" s="2"/>
      <c r="F56" s="2"/>
      <c r="G56" s="43"/>
      <c r="H56" s="20"/>
      <c r="I56" s="50"/>
      <c r="J56" s="50"/>
      <c r="K56" s="56"/>
      <c r="L56"/>
      <c r="M56" s="56"/>
      <c r="N56" s="63"/>
    </row>
    <row r="57" spans="1:14" x14ac:dyDescent="0.2">
      <c r="A57"/>
      <c r="B57"/>
      <c r="C57" s="25"/>
      <c r="D57" s="34"/>
      <c r="E57" s="2"/>
      <c r="F57" s="2"/>
      <c r="G57" s="43"/>
      <c r="H57" s="20"/>
      <c r="I57" s="50"/>
      <c r="J57" s="50"/>
      <c r="K57" s="56"/>
      <c r="L57"/>
      <c r="M57" s="56"/>
      <c r="N57" s="63"/>
    </row>
    <row r="58" spans="1:14" x14ac:dyDescent="0.2">
      <c r="A58"/>
      <c r="B58"/>
      <c r="C58" s="25"/>
      <c r="D58" s="34"/>
      <c r="E58" s="2"/>
      <c r="F58" s="2"/>
      <c r="G58" s="43"/>
      <c r="H58" s="20"/>
      <c r="I58" s="50"/>
      <c r="J58" s="50"/>
      <c r="K58" s="56"/>
      <c r="L58"/>
      <c r="M58" s="56"/>
      <c r="N58" s="63"/>
    </row>
    <row r="59" spans="1:14" x14ac:dyDescent="0.2">
      <c r="A59"/>
      <c r="B59"/>
      <c r="C59" s="25"/>
      <c r="D59" s="34"/>
      <c r="E59" s="2"/>
      <c r="F59" s="2"/>
      <c r="G59" s="43"/>
      <c r="H59" s="20"/>
      <c r="I59" s="50"/>
      <c r="J59" s="50"/>
      <c r="K59" s="56"/>
      <c r="L59"/>
      <c r="M59" s="56"/>
      <c r="N59" s="63"/>
    </row>
    <row r="60" spans="1:14" x14ac:dyDescent="0.2">
      <c r="A60"/>
      <c r="B60"/>
      <c r="C60" s="25"/>
      <c r="D60" s="34"/>
      <c r="E60" s="2"/>
      <c r="F60" s="2"/>
      <c r="G60" s="43"/>
      <c r="H60" s="20"/>
      <c r="I60" s="50"/>
      <c r="J60" s="50"/>
      <c r="K60" s="56"/>
      <c r="L60"/>
      <c r="M60" s="56"/>
      <c r="N60" s="63"/>
    </row>
    <row r="61" spans="1:14" x14ac:dyDescent="0.2">
      <c r="A61"/>
      <c r="B61"/>
      <c r="C61" s="25"/>
      <c r="D61" s="34"/>
      <c r="E61" s="2"/>
      <c r="F61" s="2"/>
      <c r="G61" s="43"/>
      <c r="H61" s="20"/>
      <c r="I61" s="50"/>
      <c r="J61" s="50"/>
      <c r="K61" s="56"/>
      <c r="L61"/>
      <c r="M61" s="56"/>
      <c r="N61" s="63"/>
    </row>
    <row r="62" spans="1:14" x14ac:dyDescent="0.2">
      <c r="A62"/>
      <c r="B62"/>
      <c r="C62" s="25"/>
      <c r="D62" s="34"/>
      <c r="E62" s="2"/>
      <c r="F62" s="2"/>
      <c r="G62" s="43"/>
      <c r="H62" s="20"/>
      <c r="I62" s="50"/>
      <c r="J62" s="50"/>
      <c r="K62" s="56"/>
      <c r="L62"/>
      <c r="M62" s="56"/>
      <c r="N62" s="63"/>
    </row>
    <row r="63" spans="1:14" x14ac:dyDescent="0.2">
      <c r="A63"/>
      <c r="B63"/>
      <c r="C63" s="25"/>
      <c r="D63" s="34"/>
      <c r="E63" s="2"/>
      <c r="F63" s="2"/>
      <c r="G63" s="43"/>
      <c r="H63" s="20"/>
      <c r="I63" s="50"/>
      <c r="J63" s="50"/>
      <c r="K63" s="56"/>
      <c r="L63"/>
      <c r="M63" s="56"/>
      <c r="N63" s="63"/>
    </row>
    <row r="64" spans="1:14" x14ac:dyDescent="0.2">
      <c r="A64"/>
      <c r="B64"/>
      <c r="C64" s="25"/>
      <c r="D64" s="34"/>
      <c r="E64" s="2"/>
      <c r="F64" s="2"/>
      <c r="G64" s="43"/>
      <c r="H64" s="20"/>
      <c r="I64" s="50"/>
      <c r="J64" s="50"/>
      <c r="K64" s="56"/>
      <c r="L64"/>
      <c r="M64" s="56"/>
      <c r="N64" s="63"/>
    </row>
    <row r="65" spans="1:14" x14ac:dyDescent="0.2">
      <c r="A65"/>
      <c r="B65"/>
      <c r="C65" s="25"/>
      <c r="D65" s="34"/>
      <c r="E65" s="2"/>
      <c r="F65" s="2"/>
      <c r="G65" s="43"/>
      <c r="H65" s="20"/>
      <c r="I65" s="50"/>
      <c r="J65" s="50"/>
      <c r="K65" s="56"/>
      <c r="L65"/>
      <c r="M65" s="56"/>
      <c r="N65" s="63"/>
    </row>
    <row r="66" spans="1:14" x14ac:dyDescent="0.2">
      <c r="A66"/>
      <c r="B66"/>
      <c r="C66" s="25"/>
      <c r="D66" s="34"/>
      <c r="E66" s="2"/>
      <c r="F66" s="2"/>
      <c r="G66" s="43"/>
      <c r="H66" s="20"/>
      <c r="I66" s="50"/>
      <c r="J66" s="50"/>
      <c r="K66" s="56"/>
      <c r="L66"/>
      <c r="M66" s="56"/>
      <c r="N66" s="63"/>
    </row>
    <row r="67" spans="1:14" x14ac:dyDescent="0.2">
      <c r="A67"/>
      <c r="B67"/>
      <c r="C67" s="25"/>
      <c r="D67" s="34"/>
      <c r="E67" s="2"/>
      <c r="F67" s="2"/>
      <c r="G67" s="43"/>
      <c r="H67" s="20"/>
      <c r="I67" s="50"/>
      <c r="J67" s="50"/>
      <c r="K67" s="56"/>
      <c r="L67"/>
      <c r="M67" s="56"/>
      <c r="N67" s="63"/>
    </row>
    <row r="68" spans="1:14" x14ac:dyDescent="0.2">
      <c r="A68"/>
      <c r="B68"/>
      <c r="C68" s="25"/>
      <c r="D68" s="34"/>
      <c r="E68" s="2"/>
      <c r="F68" s="2"/>
      <c r="G68" s="43"/>
      <c r="H68" s="20"/>
      <c r="I68" s="50"/>
      <c r="J68" s="50"/>
      <c r="K68" s="56"/>
      <c r="L68"/>
      <c r="M68" s="56"/>
      <c r="N68" s="63"/>
    </row>
    <row r="69" spans="1:14" x14ac:dyDescent="0.2">
      <c r="A69"/>
      <c r="B69"/>
      <c r="C69" s="25"/>
      <c r="D69" s="34"/>
      <c r="E69" s="2"/>
      <c r="F69" s="2"/>
      <c r="G69" s="43"/>
      <c r="H69" s="20"/>
      <c r="I69" s="50"/>
      <c r="J69" s="50"/>
      <c r="K69" s="56"/>
      <c r="L69"/>
      <c r="M69" s="56"/>
      <c r="N69" s="63"/>
    </row>
    <row r="70" spans="1:14" x14ac:dyDescent="0.2">
      <c r="A70"/>
      <c r="B70"/>
      <c r="C70" s="25"/>
      <c r="D70" s="34"/>
      <c r="E70" s="2"/>
      <c r="F70" s="2"/>
      <c r="G70" s="43"/>
      <c r="H70" s="20"/>
      <c r="I70" s="50"/>
      <c r="J70" s="50"/>
      <c r="K70" s="56"/>
      <c r="L70"/>
      <c r="M70" s="56"/>
      <c r="N70" s="63"/>
    </row>
    <row r="71" spans="1:14" x14ac:dyDescent="0.2">
      <c r="A71"/>
      <c r="B71"/>
      <c r="C71" s="25"/>
      <c r="D71" s="34"/>
      <c r="E71" s="2"/>
      <c r="F71" s="2"/>
      <c r="G71" s="43"/>
      <c r="H71" s="20"/>
      <c r="I71" s="50"/>
      <c r="J71" s="50"/>
      <c r="K71" s="56"/>
      <c r="L71"/>
      <c r="M71" s="56"/>
      <c r="N71" s="63"/>
    </row>
    <row r="72" spans="1:14" x14ac:dyDescent="0.2">
      <c r="A72"/>
      <c r="B72"/>
      <c r="C72" s="25"/>
      <c r="D72" s="34"/>
      <c r="E72" s="2"/>
      <c r="F72" s="2"/>
      <c r="G72" s="43"/>
      <c r="H72" s="20"/>
      <c r="I72" s="50"/>
      <c r="J72" s="50"/>
      <c r="K72" s="56"/>
      <c r="L72"/>
      <c r="M72" s="56"/>
      <c r="N72" s="63"/>
    </row>
    <row r="73" spans="1:14" x14ac:dyDescent="0.2">
      <c r="A73"/>
      <c r="B73"/>
      <c r="C73" s="25"/>
      <c r="D73" s="34"/>
      <c r="E73" s="2"/>
      <c r="F73" s="2"/>
      <c r="G73" s="43"/>
      <c r="H73" s="20"/>
      <c r="I73" s="50"/>
      <c r="J73" s="50"/>
      <c r="K73" s="56"/>
      <c r="L73"/>
      <c r="M73" s="56"/>
      <c r="N73" s="63"/>
    </row>
    <row r="74" spans="1:14" x14ac:dyDescent="0.2">
      <c r="A74"/>
      <c r="B74"/>
      <c r="C74" s="25"/>
      <c r="D74" s="34"/>
      <c r="E74" s="2"/>
      <c r="F74" s="2"/>
      <c r="G74" s="43"/>
      <c r="H74" s="20"/>
      <c r="I74" s="50"/>
      <c r="J74" s="50"/>
      <c r="K74" s="56"/>
      <c r="L74"/>
      <c r="M74" s="56"/>
      <c r="N74" s="63"/>
    </row>
    <row r="75" spans="1:14" x14ac:dyDescent="0.2">
      <c r="A75"/>
      <c r="B75"/>
      <c r="C75" s="25"/>
      <c r="D75" s="34"/>
      <c r="E75" s="2"/>
      <c r="F75" s="2"/>
      <c r="G75" s="43"/>
      <c r="H75" s="20"/>
      <c r="I75" s="50"/>
      <c r="J75" s="50"/>
      <c r="K75" s="56"/>
      <c r="L75"/>
      <c r="M75" s="56"/>
      <c r="N75" s="63"/>
    </row>
    <row r="76" spans="1:14" x14ac:dyDescent="0.2">
      <c r="A76"/>
      <c r="B76"/>
      <c r="C76" s="25"/>
      <c r="D76" s="34"/>
      <c r="E76" s="2"/>
      <c r="F76" s="2"/>
      <c r="G76" s="43"/>
      <c r="H76" s="20"/>
      <c r="I76" s="50"/>
      <c r="J76" s="50"/>
      <c r="K76" s="56"/>
      <c r="L76"/>
      <c r="M76" s="56"/>
      <c r="N76" s="63"/>
    </row>
    <row r="77" spans="1:14" x14ac:dyDescent="0.2">
      <c r="A77"/>
      <c r="B77"/>
      <c r="C77" s="25"/>
      <c r="D77" s="34"/>
      <c r="E77" s="2"/>
      <c r="F77" s="2"/>
      <c r="G77" s="43"/>
      <c r="H77" s="20"/>
      <c r="I77" s="50"/>
      <c r="J77" s="50"/>
      <c r="K77" s="56"/>
      <c r="L77"/>
      <c r="M77" s="56"/>
      <c r="N77" s="63"/>
    </row>
    <row r="78" spans="1:14" x14ac:dyDescent="0.2">
      <c r="A78"/>
      <c r="B78"/>
      <c r="C78" s="25"/>
      <c r="D78" s="34"/>
      <c r="E78" s="2"/>
      <c r="F78" s="2"/>
      <c r="G78" s="43"/>
      <c r="H78" s="20"/>
      <c r="I78" s="50"/>
      <c r="J78" s="50"/>
      <c r="K78" s="56"/>
      <c r="L78"/>
      <c r="M78" s="56"/>
      <c r="N78" s="63"/>
    </row>
    <row r="79" spans="1:14" x14ac:dyDescent="0.2">
      <c r="A79"/>
      <c r="B79"/>
      <c r="C79" s="25"/>
      <c r="D79" s="34"/>
      <c r="E79" s="2"/>
      <c r="F79" s="2"/>
      <c r="G79" s="43"/>
      <c r="H79" s="20"/>
      <c r="I79" s="50"/>
      <c r="J79" s="50"/>
      <c r="K79" s="56"/>
      <c r="L79"/>
      <c r="M79" s="56"/>
      <c r="N79" s="63"/>
    </row>
    <row r="80" spans="1:14" x14ac:dyDescent="0.2">
      <c r="A80"/>
      <c r="B80"/>
      <c r="C80" s="25"/>
      <c r="D80" s="34"/>
      <c r="E80" s="2"/>
      <c r="F80" s="2"/>
      <c r="G80" s="43"/>
      <c r="H80" s="20"/>
      <c r="I80" s="50"/>
      <c r="J80" s="50"/>
      <c r="K80" s="56"/>
      <c r="L80"/>
      <c r="M80" s="56"/>
      <c r="N80" s="63"/>
    </row>
    <row r="81" spans="1:14" x14ac:dyDescent="0.2">
      <c r="A81"/>
      <c r="B81"/>
      <c r="C81" s="25"/>
      <c r="D81" s="34"/>
      <c r="E81" s="2"/>
      <c r="F81" s="2"/>
      <c r="G81" s="43"/>
      <c r="H81" s="20"/>
      <c r="I81" s="50"/>
      <c r="J81" s="50"/>
      <c r="K81" s="56"/>
      <c r="L81"/>
      <c r="M81" s="56"/>
      <c r="N81" s="63"/>
    </row>
    <row r="82" spans="1:14" x14ac:dyDescent="0.2">
      <c r="A82"/>
      <c r="B82"/>
      <c r="C82" s="25"/>
      <c r="D82" s="34"/>
      <c r="E82" s="2"/>
      <c r="F82" s="2"/>
      <c r="G82" s="43"/>
      <c r="H82" s="20"/>
      <c r="I82" s="50"/>
      <c r="J82" s="50"/>
      <c r="K82" s="56"/>
      <c r="L82"/>
      <c r="M82" s="56"/>
      <c r="N82" s="63"/>
    </row>
    <row r="83" spans="1:14" x14ac:dyDescent="0.2">
      <c r="A83"/>
      <c r="B83"/>
      <c r="C83" s="25"/>
      <c r="D83" s="34"/>
      <c r="E83" s="2"/>
      <c r="F83" s="2"/>
      <c r="G83" s="43"/>
      <c r="H83" s="20"/>
      <c r="I83" s="50"/>
      <c r="J83" s="50"/>
      <c r="K83" s="56"/>
      <c r="L83"/>
      <c r="M83" s="56"/>
      <c r="N83" s="63"/>
    </row>
    <row r="84" spans="1:14" x14ac:dyDescent="0.2">
      <c r="A84"/>
      <c r="B84"/>
      <c r="C84" s="25"/>
      <c r="D84" s="34"/>
      <c r="E84" s="2"/>
      <c r="F84" s="2"/>
      <c r="G84" s="43"/>
      <c r="H84" s="20"/>
      <c r="I84" s="50"/>
      <c r="J84" s="50"/>
      <c r="K84" s="56"/>
      <c r="L84"/>
      <c r="M84" s="56"/>
      <c r="N84" s="63"/>
    </row>
    <row r="85" spans="1:14" x14ac:dyDescent="0.2">
      <c r="A85"/>
      <c r="B85"/>
      <c r="C85" s="25"/>
      <c r="D85" s="34"/>
      <c r="E85" s="2"/>
      <c r="F85" s="2"/>
      <c r="G85" s="43"/>
      <c r="H85" s="20"/>
      <c r="I85" s="50"/>
      <c r="J85" s="50"/>
      <c r="K85" s="56"/>
      <c r="L85"/>
      <c r="M85" s="56"/>
      <c r="N85" s="63"/>
    </row>
    <row r="86" spans="1:14" x14ac:dyDescent="0.2">
      <c r="A86"/>
      <c r="B86"/>
      <c r="C86" s="25"/>
      <c r="D86" s="34"/>
      <c r="E86" s="2"/>
      <c r="F86" s="2"/>
      <c r="G86" s="43"/>
      <c r="H86" s="20"/>
      <c r="I86" s="50"/>
      <c r="J86" s="50"/>
      <c r="K86" s="56"/>
      <c r="L86"/>
      <c r="M86" s="56"/>
      <c r="N86" s="63"/>
    </row>
    <row r="87" spans="1:14" x14ac:dyDescent="0.2">
      <c r="A87"/>
      <c r="B87"/>
      <c r="C87" s="25"/>
      <c r="D87" s="34"/>
      <c r="E87" s="2"/>
      <c r="F87" s="2"/>
      <c r="G87" s="43"/>
      <c r="H87" s="20"/>
      <c r="I87" s="50"/>
      <c r="J87" s="50"/>
      <c r="K87" s="56"/>
      <c r="L87"/>
      <c r="M87" s="56"/>
      <c r="N87" s="63"/>
    </row>
    <row r="88" spans="1:14" x14ac:dyDescent="0.2">
      <c r="A88"/>
      <c r="B88"/>
      <c r="C88" s="25"/>
      <c r="D88" s="34"/>
      <c r="E88" s="2"/>
      <c r="F88" s="2"/>
      <c r="G88" s="43"/>
      <c r="H88" s="20"/>
      <c r="I88" s="50"/>
      <c r="J88" s="50"/>
      <c r="K88" s="56"/>
      <c r="L88"/>
      <c r="M88" s="56"/>
      <c r="N88" s="63"/>
    </row>
    <row r="89" spans="1:14" x14ac:dyDescent="0.2">
      <c r="A89"/>
      <c r="B89"/>
      <c r="C89" s="25"/>
      <c r="D89" s="34"/>
      <c r="E89" s="2"/>
      <c r="F89" s="2"/>
      <c r="G89" s="43"/>
      <c r="H89" s="20"/>
      <c r="I89" s="50"/>
      <c r="J89" s="50"/>
      <c r="K89" s="56"/>
      <c r="L89"/>
      <c r="M89" s="56"/>
      <c r="N89" s="63"/>
    </row>
    <row r="90" spans="1:14" x14ac:dyDescent="0.2">
      <c r="A90"/>
      <c r="B90"/>
      <c r="C90" s="25"/>
      <c r="D90" s="34"/>
      <c r="E90" s="2"/>
      <c r="F90" s="2"/>
      <c r="G90" s="43"/>
      <c r="H90" s="20"/>
      <c r="I90" s="50"/>
      <c r="J90" s="50"/>
      <c r="K90" s="56"/>
      <c r="L90"/>
      <c r="M90" s="56"/>
      <c r="N90" s="63"/>
    </row>
    <row r="91" spans="1:14" x14ac:dyDescent="0.2">
      <c r="A91"/>
      <c r="B91"/>
      <c r="C91" s="25"/>
      <c r="D91" s="34"/>
      <c r="E91" s="2"/>
      <c r="F91" s="2"/>
      <c r="G91" s="43"/>
      <c r="H91" s="20"/>
      <c r="I91" s="50"/>
      <c r="J91" s="50"/>
      <c r="K91" s="56"/>
      <c r="L91"/>
      <c r="M91" s="56"/>
      <c r="N91" s="63"/>
    </row>
    <row r="92" spans="1:14" x14ac:dyDescent="0.2">
      <c r="A92"/>
      <c r="B92"/>
      <c r="C92" s="25"/>
      <c r="D92" s="34"/>
      <c r="E92" s="2"/>
      <c r="F92" s="2"/>
      <c r="G92" s="43"/>
      <c r="H92" s="20"/>
      <c r="I92" s="50"/>
      <c r="J92" s="50"/>
      <c r="K92" s="56"/>
      <c r="L92"/>
      <c r="M92" s="56"/>
      <c r="N92" s="63"/>
    </row>
    <row r="93" spans="1:14" x14ac:dyDescent="0.2">
      <c r="A93"/>
      <c r="B93"/>
      <c r="C93" s="25"/>
      <c r="D93" s="34"/>
      <c r="E93" s="2"/>
      <c r="F93" s="2"/>
      <c r="G93" s="43"/>
      <c r="H93" s="20"/>
      <c r="I93" s="50"/>
      <c r="J93" s="50"/>
      <c r="K93" s="56"/>
      <c r="L93"/>
      <c r="M93" s="56"/>
      <c r="N93" s="63"/>
    </row>
    <row r="94" spans="1:14" x14ac:dyDescent="0.2">
      <c r="A94"/>
      <c r="B94"/>
      <c r="C94" s="25"/>
      <c r="D94" s="34"/>
      <c r="E94" s="2"/>
      <c r="F94" s="2"/>
      <c r="G94" s="43"/>
      <c r="H94" s="20"/>
      <c r="I94" s="50"/>
      <c r="J94" s="50"/>
      <c r="K94" s="56"/>
      <c r="L94"/>
      <c r="M94" s="56"/>
      <c r="N94" s="63"/>
    </row>
    <row r="95" spans="1:14" x14ac:dyDescent="0.2">
      <c r="A95"/>
      <c r="B95"/>
      <c r="C95" s="25"/>
      <c r="D95" s="34"/>
      <c r="E95" s="2"/>
      <c r="F95" s="2"/>
      <c r="G95" s="43"/>
      <c r="H95" s="20"/>
      <c r="I95" s="50"/>
      <c r="J95" s="50"/>
      <c r="K95" s="56"/>
      <c r="L95"/>
      <c r="M95" s="56"/>
      <c r="N95" s="63"/>
    </row>
    <row r="96" spans="1:14" x14ac:dyDescent="0.2">
      <c r="A96"/>
      <c r="B96"/>
      <c r="C96" s="25"/>
      <c r="D96" s="34"/>
      <c r="E96" s="2"/>
      <c r="F96" s="2"/>
      <c r="G96" s="43"/>
      <c r="H96" s="20"/>
      <c r="I96" s="50"/>
      <c r="J96" s="50"/>
      <c r="K96" s="56"/>
      <c r="L96"/>
      <c r="M96" s="56"/>
      <c r="N96" s="63"/>
    </row>
    <row r="97" spans="1:14" x14ac:dyDescent="0.2">
      <c r="A97"/>
      <c r="B97"/>
      <c r="C97" s="25"/>
      <c r="D97" s="34"/>
      <c r="E97" s="2"/>
      <c r="F97" s="2"/>
      <c r="G97" s="43"/>
      <c r="H97" s="20"/>
      <c r="I97" s="50"/>
      <c r="J97" s="50"/>
      <c r="K97" s="56"/>
      <c r="L97"/>
      <c r="M97" s="56"/>
      <c r="N97" s="63"/>
    </row>
    <row r="98" spans="1:14" x14ac:dyDescent="0.2">
      <c r="A98"/>
      <c r="B98"/>
      <c r="C98" s="25"/>
      <c r="D98" s="34"/>
      <c r="E98" s="2"/>
      <c r="F98" s="2"/>
      <c r="G98" s="43"/>
      <c r="H98" s="20"/>
      <c r="I98" s="50"/>
      <c r="J98" s="50"/>
      <c r="K98" s="56"/>
      <c r="L98"/>
      <c r="M98" s="56"/>
      <c r="N98" s="63"/>
    </row>
    <row r="99" spans="1:14" x14ac:dyDescent="0.2">
      <c r="A99"/>
      <c r="B99"/>
      <c r="C99" s="25"/>
      <c r="D99" s="34"/>
      <c r="E99" s="2"/>
      <c r="F99" s="2"/>
      <c r="G99" s="43"/>
      <c r="H99" s="20"/>
      <c r="I99" s="50"/>
      <c r="J99" s="50"/>
      <c r="K99" s="56"/>
      <c r="L99"/>
      <c r="M99" s="56"/>
      <c r="N99" s="63"/>
    </row>
    <row r="100" spans="1:14" x14ac:dyDescent="0.2">
      <c r="A100"/>
      <c r="B100"/>
      <c r="C100" s="25"/>
      <c r="D100" s="34"/>
      <c r="E100" s="2"/>
      <c r="F100" s="2"/>
      <c r="G100" s="43"/>
      <c r="H100" s="20"/>
      <c r="I100" s="50"/>
      <c r="J100" s="50"/>
      <c r="K100" s="56"/>
      <c r="L100"/>
      <c r="M100" s="56"/>
      <c r="N100" s="63"/>
    </row>
    <row r="101" spans="1:14" x14ac:dyDescent="0.2">
      <c r="A101"/>
      <c r="B101"/>
      <c r="C101" s="25"/>
      <c r="D101" s="34"/>
      <c r="E101" s="2"/>
      <c r="F101" s="2"/>
      <c r="G101" s="43"/>
      <c r="H101" s="20"/>
      <c r="I101" s="50"/>
      <c r="J101" s="50"/>
      <c r="K101" s="56"/>
      <c r="L101"/>
      <c r="M101" s="56"/>
      <c r="N101" s="63"/>
    </row>
    <row r="102" spans="1:14" x14ac:dyDescent="0.2">
      <c r="A102"/>
      <c r="B102"/>
      <c r="C102" s="25"/>
      <c r="D102" s="34"/>
      <c r="E102" s="2"/>
      <c r="F102" s="2"/>
      <c r="G102" s="43"/>
      <c r="H102" s="20"/>
      <c r="I102" s="50"/>
      <c r="J102" s="50"/>
      <c r="K102" s="56"/>
      <c r="L102"/>
      <c r="M102" s="56"/>
      <c r="N102" s="63"/>
    </row>
    <row r="103" spans="1:14" x14ac:dyDescent="0.2">
      <c r="A103"/>
      <c r="B103"/>
      <c r="C103" s="25"/>
      <c r="D103" s="34"/>
      <c r="E103" s="2"/>
      <c r="F103" s="2"/>
      <c r="G103" s="43"/>
      <c r="H103" s="20"/>
      <c r="I103" s="50"/>
      <c r="J103" s="50"/>
      <c r="K103" s="56"/>
      <c r="L103"/>
      <c r="M103" s="56"/>
      <c r="N103" s="63"/>
    </row>
    <row r="104" spans="1:14" x14ac:dyDescent="0.2">
      <c r="A104"/>
      <c r="B104"/>
      <c r="C104" s="25"/>
      <c r="D104" s="34"/>
      <c r="E104" s="2"/>
      <c r="F104" s="2"/>
      <c r="G104" s="43"/>
      <c r="H104" s="20"/>
      <c r="I104" s="50"/>
      <c r="J104" s="50"/>
      <c r="K104" s="56"/>
      <c r="L104"/>
      <c r="M104" s="56"/>
      <c r="N104" s="63"/>
    </row>
    <row r="105" spans="1:14" x14ac:dyDescent="0.2">
      <c r="A105"/>
      <c r="B105"/>
      <c r="C105" s="25"/>
      <c r="D105" s="34"/>
      <c r="E105" s="2"/>
      <c r="F105" s="2"/>
      <c r="G105" s="43"/>
      <c r="H105" s="20"/>
      <c r="I105" s="50"/>
      <c r="J105" s="50"/>
      <c r="K105" s="56"/>
      <c r="L105"/>
      <c r="M105" s="56"/>
      <c r="N105" s="63"/>
    </row>
    <row r="106" spans="1:14" x14ac:dyDescent="0.2">
      <c r="A106"/>
      <c r="B106"/>
      <c r="C106" s="25"/>
      <c r="D106" s="34"/>
      <c r="E106" s="2"/>
      <c r="F106" s="2"/>
      <c r="G106" s="43"/>
      <c r="H106" s="20"/>
      <c r="I106" s="50"/>
      <c r="J106" s="50"/>
      <c r="K106" s="56"/>
      <c r="L106"/>
      <c r="M106" s="56"/>
      <c r="N106" s="63"/>
    </row>
    <row r="107" spans="1:14" x14ac:dyDescent="0.2">
      <c r="A107"/>
      <c r="B107"/>
      <c r="C107" s="25"/>
      <c r="D107" s="34"/>
      <c r="E107" s="2"/>
      <c r="F107" s="2"/>
      <c r="G107" s="43"/>
      <c r="H107" s="20"/>
      <c r="I107" s="50"/>
      <c r="J107" s="50"/>
      <c r="K107" s="56"/>
      <c r="L107"/>
      <c r="M107" s="56"/>
      <c r="N107" s="63"/>
    </row>
    <row r="108" spans="1:14" x14ac:dyDescent="0.2">
      <c r="A108"/>
      <c r="B108"/>
      <c r="C108" s="25"/>
      <c r="D108" s="34"/>
      <c r="E108" s="2"/>
      <c r="F108" s="2"/>
      <c r="G108" s="43"/>
      <c r="H108" s="20"/>
      <c r="I108" s="50"/>
      <c r="J108" s="50"/>
      <c r="K108" s="56"/>
      <c r="L108"/>
      <c r="M108" s="56"/>
      <c r="N108" s="63"/>
    </row>
    <row r="109" spans="1:14" x14ac:dyDescent="0.2">
      <c r="A109"/>
      <c r="B109"/>
      <c r="C109" s="25"/>
      <c r="D109" s="34"/>
      <c r="E109" s="2"/>
      <c r="F109" s="2"/>
      <c r="G109" s="43"/>
      <c r="H109" s="20"/>
      <c r="I109" s="50"/>
      <c r="J109" s="50"/>
      <c r="K109" s="56"/>
      <c r="L109"/>
      <c r="M109" s="56"/>
      <c r="N109" s="63"/>
    </row>
    <row r="110" spans="1:14" x14ac:dyDescent="0.2">
      <c r="A110"/>
      <c r="B110"/>
      <c r="C110" s="25"/>
      <c r="D110" s="34"/>
      <c r="E110" s="2"/>
      <c r="F110" s="2"/>
      <c r="G110" s="43"/>
      <c r="H110" s="20"/>
      <c r="I110" s="50"/>
      <c r="J110" s="50"/>
      <c r="K110" s="56"/>
      <c r="L110"/>
      <c r="M110" s="56"/>
      <c r="N110" s="63"/>
    </row>
    <row r="111" spans="1:14" x14ac:dyDescent="0.2">
      <c r="A111"/>
      <c r="B111"/>
      <c r="C111" s="25"/>
      <c r="D111" s="34"/>
      <c r="E111" s="2"/>
      <c r="F111" s="2"/>
      <c r="G111" s="43"/>
      <c r="H111" s="20"/>
      <c r="I111" s="50"/>
      <c r="J111" s="50"/>
      <c r="K111" s="56"/>
      <c r="L111"/>
      <c r="M111" s="56"/>
      <c r="N111" s="63"/>
    </row>
    <row r="112" spans="1:14" x14ac:dyDescent="0.2">
      <c r="A112"/>
      <c r="B112"/>
      <c r="C112" s="25"/>
      <c r="D112" s="34"/>
      <c r="E112" s="2"/>
      <c r="F112" s="2"/>
      <c r="G112" s="43"/>
      <c r="H112" s="20"/>
      <c r="I112" s="50"/>
      <c r="J112" s="50"/>
      <c r="K112" s="56"/>
      <c r="L112"/>
      <c r="M112" s="56"/>
      <c r="N112" s="63"/>
    </row>
    <row r="113" spans="1:14" x14ac:dyDescent="0.2">
      <c r="A113"/>
      <c r="B113"/>
      <c r="C113" s="25"/>
      <c r="D113" s="34"/>
      <c r="E113" s="2"/>
      <c r="F113" s="2"/>
      <c r="G113" s="43"/>
      <c r="H113" s="20"/>
      <c r="I113" s="50"/>
      <c r="J113" s="50"/>
      <c r="K113" s="56"/>
      <c r="L113"/>
      <c r="M113" s="56"/>
      <c r="N113" s="63"/>
    </row>
    <row r="114" spans="1:14" x14ac:dyDescent="0.2">
      <c r="A114"/>
      <c r="B114"/>
      <c r="C114" s="25"/>
      <c r="D114" s="34"/>
      <c r="E114" s="2"/>
      <c r="F114" s="2"/>
      <c r="G114" s="43"/>
      <c r="H114" s="20"/>
      <c r="I114" s="50"/>
      <c r="J114" s="50"/>
      <c r="K114" s="56"/>
      <c r="L114"/>
      <c r="M114" s="56"/>
      <c r="N114" s="63"/>
    </row>
    <row r="115" spans="1:14" x14ac:dyDescent="0.2">
      <c r="A115"/>
      <c r="B115"/>
      <c r="C115" s="25"/>
      <c r="D115" s="34"/>
      <c r="E115" s="2"/>
      <c r="F115" s="2"/>
      <c r="G115" s="43"/>
      <c r="H115" s="20"/>
      <c r="I115" s="50"/>
      <c r="J115" s="50"/>
      <c r="K115" s="56"/>
      <c r="L115"/>
      <c r="M115" s="56"/>
      <c r="N115" s="63"/>
    </row>
    <row r="116" spans="1:14" x14ac:dyDescent="0.2">
      <c r="A116"/>
      <c r="B116"/>
      <c r="C116" s="25"/>
      <c r="D116" s="34"/>
      <c r="E116" s="2"/>
      <c r="F116" s="2"/>
      <c r="G116" s="43"/>
      <c r="H116" s="20"/>
      <c r="I116" s="50"/>
      <c r="J116" s="50"/>
      <c r="K116" s="56"/>
      <c r="L116"/>
      <c r="M116" s="56"/>
      <c r="N116" s="63"/>
    </row>
    <row r="117" spans="1:14" x14ac:dyDescent="0.2">
      <c r="A117"/>
      <c r="B117"/>
      <c r="C117" s="25"/>
      <c r="D117" s="34"/>
      <c r="E117" s="2"/>
      <c r="F117" s="2"/>
      <c r="G117" s="43"/>
      <c r="H117" s="20"/>
      <c r="I117" s="50"/>
      <c r="J117" s="50"/>
      <c r="K117" s="56"/>
      <c r="L117"/>
      <c r="M117" s="56"/>
      <c r="N117" s="63"/>
    </row>
    <row r="118" spans="1:14" x14ac:dyDescent="0.2">
      <c r="A118"/>
      <c r="B118"/>
      <c r="C118" s="25"/>
      <c r="D118" s="34"/>
      <c r="E118" s="2"/>
      <c r="F118" s="2"/>
      <c r="G118" s="43"/>
      <c r="H118" s="20"/>
      <c r="I118" s="50"/>
      <c r="J118" s="50"/>
      <c r="K118" s="56"/>
      <c r="L118"/>
      <c r="M118" s="56"/>
      <c r="N118" s="63"/>
    </row>
    <row r="119" spans="1:14" x14ac:dyDescent="0.2">
      <c r="A119"/>
      <c r="B119"/>
      <c r="C119" s="25"/>
      <c r="D119" s="34"/>
      <c r="E119" s="2"/>
      <c r="F119" s="2"/>
      <c r="G119" s="43"/>
      <c r="H119" s="20"/>
      <c r="I119" s="50"/>
      <c r="J119" s="50"/>
      <c r="K119" s="56"/>
      <c r="L119"/>
      <c r="M119" s="56"/>
      <c r="N119" s="63"/>
    </row>
    <row r="120" spans="1:14" x14ac:dyDescent="0.2">
      <c r="A120"/>
      <c r="B120"/>
      <c r="C120" s="25"/>
      <c r="D120" s="34"/>
      <c r="E120" s="2"/>
      <c r="F120" s="2"/>
      <c r="G120" s="43"/>
      <c r="H120" s="20"/>
      <c r="I120" s="50"/>
      <c r="J120" s="50"/>
      <c r="K120" s="56"/>
      <c r="L120"/>
      <c r="M120" s="56"/>
      <c r="N120" s="63"/>
    </row>
    <row r="121" spans="1:14" x14ac:dyDescent="0.2">
      <c r="A121"/>
      <c r="B121"/>
      <c r="C121" s="25"/>
      <c r="D121" s="34"/>
      <c r="E121" s="2"/>
      <c r="F121" s="2"/>
      <c r="G121" s="43"/>
      <c r="H121" s="20"/>
      <c r="I121" s="50"/>
      <c r="J121" s="50"/>
      <c r="K121" s="56"/>
      <c r="L121"/>
      <c r="M121" s="56"/>
      <c r="N121" s="63"/>
    </row>
    <row r="122" spans="1:14" x14ac:dyDescent="0.2">
      <c r="A122"/>
      <c r="B122"/>
      <c r="C122" s="25"/>
      <c r="D122" s="34"/>
      <c r="E122" s="2"/>
      <c r="F122" s="2"/>
      <c r="G122" s="43"/>
      <c r="H122" s="20"/>
      <c r="I122" s="50"/>
      <c r="J122" s="50"/>
      <c r="K122" s="56"/>
      <c r="L122"/>
      <c r="M122" s="56"/>
      <c r="N122" s="63"/>
    </row>
    <row r="123" spans="1:14" x14ac:dyDescent="0.2">
      <c r="A123"/>
      <c r="B123"/>
      <c r="C123" s="25"/>
      <c r="D123" s="34"/>
      <c r="E123" s="2"/>
      <c r="F123" s="2"/>
      <c r="G123" s="43"/>
      <c r="H123" s="20"/>
      <c r="I123" s="50"/>
      <c r="J123" s="50"/>
      <c r="K123" s="56"/>
      <c r="L123"/>
      <c r="M123" s="56"/>
      <c r="N123" s="63"/>
    </row>
    <row r="124" spans="1:14" x14ac:dyDescent="0.2">
      <c r="A124"/>
      <c r="B124"/>
      <c r="C124" s="25"/>
      <c r="D124" s="34"/>
      <c r="E124" s="2"/>
      <c r="F124" s="2"/>
      <c r="G124" s="43"/>
      <c r="H124" s="20"/>
      <c r="I124" s="50"/>
      <c r="J124" s="50"/>
      <c r="K124" s="56"/>
      <c r="L124"/>
      <c r="M124" s="56"/>
      <c r="N124" s="63"/>
    </row>
    <row r="125" spans="1:14" x14ac:dyDescent="0.2">
      <c r="A125"/>
      <c r="B125"/>
      <c r="C125" s="25"/>
      <c r="D125" s="34"/>
      <c r="E125" s="2"/>
      <c r="F125" s="2"/>
      <c r="G125" s="43"/>
      <c r="H125" s="20"/>
      <c r="I125" s="50"/>
      <c r="J125" s="50"/>
      <c r="K125" s="56"/>
      <c r="L125"/>
      <c r="M125" s="56"/>
      <c r="N125" s="63"/>
    </row>
    <row r="126" spans="1:14" x14ac:dyDescent="0.2">
      <c r="A126"/>
      <c r="B126"/>
      <c r="C126" s="25"/>
      <c r="D126" s="34"/>
      <c r="E126" s="2"/>
      <c r="F126" s="2"/>
      <c r="G126" s="43"/>
      <c r="H126" s="20"/>
      <c r="I126" s="50"/>
      <c r="J126" s="50"/>
      <c r="K126" s="56"/>
      <c r="L126"/>
      <c r="M126" s="56"/>
      <c r="N126" s="63"/>
    </row>
    <row r="127" spans="1:14" x14ac:dyDescent="0.2">
      <c r="A127"/>
      <c r="B127"/>
      <c r="C127" s="25"/>
      <c r="D127" s="34"/>
      <c r="E127" s="2"/>
      <c r="F127" s="2"/>
      <c r="G127" s="43"/>
      <c r="H127" s="20"/>
      <c r="I127" s="50"/>
      <c r="J127" s="50"/>
      <c r="K127" s="56"/>
      <c r="L127"/>
      <c r="M127" s="56"/>
      <c r="N127" s="63"/>
    </row>
    <row r="128" spans="1:14" x14ac:dyDescent="0.2">
      <c r="A128"/>
      <c r="B128"/>
      <c r="C128" s="25"/>
      <c r="D128" s="34"/>
      <c r="E128" s="2"/>
      <c r="F128" s="2"/>
      <c r="G128" s="43"/>
      <c r="H128" s="20"/>
      <c r="I128" s="50"/>
      <c r="J128" s="50"/>
      <c r="K128" s="56"/>
      <c r="L128"/>
      <c r="M128" s="56"/>
      <c r="N128" s="63"/>
    </row>
    <row r="129" spans="1:14" x14ac:dyDescent="0.2">
      <c r="A129"/>
      <c r="B129"/>
      <c r="C129" s="25"/>
      <c r="D129" s="34"/>
      <c r="E129" s="2"/>
      <c r="F129" s="2"/>
      <c r="G129" s="43"/>
      <c r="H129" s="20"/>
      <c r="I129" s="50"/>
      <c r="J129" s="50"/>
      <c r="K129" s="56"/>
      <c r="L129"/>
      <c r="M129" s="56"/>
      <c r="N129" s="63"/>
    </row>
    <row r="130" spans="1:14" x14ac:dyDescent="0.2">
      <c r="A130"/>
      <c r="B130"/>
      <c r="C130" s="25"/>
      <c r="D130" s="34"/>
      <c r="E130" s="2"/>
      <c r="F130" s="2"/>
      <c r="G130" s="43"/>
      <c r="H130" s="20"/>
      <c r="I130" s="50"/>
      <c r="J130" s="50"/>
      <c r="K130" s="56"/>
      <c r="L130"/>
      <c r="M130" s="56"/>
      <c r="N130" s="63"/>
    </row>
    <row r="131" spans="1:14" x14ac:dyDescent="0.2">
      <c r="A131"/>
      <c r="B131"/>
      <c r="C131" s="25"/>
      <c r="D131" s="34"/>
      <c r="E131" s="2"/>
      <c r="F131" s="2"/>
      <c r="G131" s="43"/>
      <c r="H131" s="20"/>
      <c r="I131" s="50"/>
      <c r="J131" s="50"/>
      <c r="K131" s="56"/>
      <c r="L131"/>
      <c r="M131" s="56"/>
      <c r="N131" s="63"/>
    </row>
    <row r="132" spans="1:14" x14ac:dyDescent="0.2">
      <c r="A132"/>
      <c r="B132"/>
      <c r="C132" s="25"/>
      <c r="D132" s="34"/>
      <c r="E132" s="2"/>
      <c r="F132" s="2"/>
      <c r="G132" s="43"/>
      <c r="H132" s="20"/>
      <c r="I132" s="50"/>
      <c r="J132" s="50"/>
      <c r="K132" s="56"/>
      <c r="L132"/>
      <c r="M132" s="56"/>
      <c r="N132" s="63"/>
    </row>
    <row r="133" spans="1:14" x14ac:dyDescent="0.2">
      <c r="A133"/>
      <c r="B133"/>
      <c r="C133" s="25"/>
      <c r="D133" s="34"/>
      <c r="E133" s="2"/>
      <c r="F133" s="2"/>
      <c r="G133" s="43"/>
      <c r="H133" s="20"/>
      <c r="I133" s="50"/>
      <c r="J133" s="50"/>
      <c r="K133" s="56"/>
      <c r="L133"/>
      <c r="M133" s="56"/>
      <c r="N133" s="63"/>
    </row>
    <row r="134" spans="1:14" x14ac:dyDescent="0.2">
      <c r="A134"/>
      <c r="B134"/>
      <c r="C134" s="25"/>
      <c r="D134" s="34"/>
      <c r="E134" s="2"/>
      <c r="F134" s="2"/>
      <c r="G134" s="43"/>
      <c r="H134" s="20"/>
      <c r="I134" s="50"/>
      <c r="J134" s="50"/>
      <c r="K134" s="56"/>
      <c r="L134"/>
      <c r="M134" s="56"/>
      <c r="N134" s="63"/>
    </row>
    <row r="135" spans="1:14" x14ac:dyDescent="0.2">
      <c r="A135"/>
      <c r="B135"/>
      <c r="C135" s="25"/>
      <c r="D135" s="34"/>
      <c r="E135" s="2"/>
      <c r="F135" s="2"/>
      <c r="G135" s="43"/>
      <c r="H135" s="20"/>
      <c r="I135" s="50"/>
      <c r="J135" s="50"/>
      <c r="K135" s="56"/>
      <c r="L135"/>
      <c r="M135" s="56"/>
      <c r="N135" s="63"/>
    </row>
    <row r="136" spans="1:14" x14ac:dyDescent="0.2">
      <c r="A136"/>
      <c r="B136"/>
      <c r="C136" s="25"/>
      <c r="D136" s="34"/>
      <c r="E136" s="2"/>
      <c r="F136" s="2"/>
      <c r="G136" s="43"/>
      <c r="H136" s="20"/>
      <c r="I136" s="50"/>
      <c r="J136" s="50"/>
      <c r="K136" s="56"/>
      <c r="L136"/>
      <c r="M136" s="56"/>
      <c r="N136" s="63"/>
    </row>
    <row r="137" spans="1:14" x14ac:dyDescent="0.2">
      <c r="A137"/>
      <c r="B137"/>
      <c r="C137" s="25"/>
      <c r="D137" s="34"/>
      <c r="E137" s="2"/>
      <c r="F137" s="2"/>
      <c r="G137" s="43"/>
      <c r="H137" s="20"/>
      <c r="I137" s="50"/>
      <c r="J137" s="50"/>
      <c r="K137" s="56"/>
      <c r="L137"/>
      <c r="M137" s="56"/>
      <c r="N137" s="63"/>
    </row>
    <row r="138" spans="1:14" x14ac:dyDescent="0.2">
      <c r="A138"/>
      <c r="B138"/>
      <c r="C138" s="25"/>
      <c r="D138" s="34"/>
      <c r="E138" s="2"/>
      <c r="F138" s="2"/>
      <c r="G138" s="43"/>
      <c r="H138" s="20"/>
      <c r="I138" s="50"/>
      <c r="J138" s="50"/>
      <c r="K138" s="56"/>
      <c r="L138"/>
      <c r="M138" s="56"/>
      <c r="N138" s="63"/>
    </row>
    <row r="139" spans="1:14" x14ac:dyDescent="0.2">
      <c r="A139"/>
      <c r="B139"/>
      <c r="C139" s="25"/>
      <c r="D139" s="34"/>
      <c r="E139" s="2"/>
      <c r="F139" s="2"/>
      <c r="G139" s="43"/>
      <c r="H139" s="20"/>
      <c r="I139" s="50"/>
      <c r="J139" s="50"/>
      <c r="K139" s="56"/>
      <c r="L139"/>
      <c r="M139" s="56"/>
      <c r="N139" s="63"/>
    </row>
    <row r="140" spans="1:14" x14ac:dyDescent="0.2">
      <c r="A140"/>
      <c r="B140"/>
      <c r="C140" s="25"/>
      <c r="D140" s="34"/>
      <c r="E140" s="2"/>
      <c r="F140" s="2"/>
      <c r="G140" s="43"/>
      <c r="H140" s="20"/>
      <c r="I140" s="50"/>
      <c r="J140" s="50"/>
      <c r="K140" s="56"/>
      <c r="L140"/>
      <c r="M140" s="56"/>
      <c r="N140" s="63"/>
    </row>
    <row r="141" spans="1:14" x14ac:dyDescent="0.2">
      <c r="A141"/>
      <c r="B141"/>
      <c r="C141" s="25"/>
      <c r="D141" s="34"/>
      <c r="E141" s="2"/>
      <c r="F141" s="2"/>
      <c r="G141" s="43"/>
      <c r="H141" s="20"/>
      <c r="I141" s="50"/>
      <c r="J141" s="50"/>
      <c r="K141" s="56"/>
      <c r="L141"/>
      <c r="M141" s="56"/>
      <c r="N141" s="63"/>
    </row>
    <row r="142" spans="1:14" x14ac:dyDescent="0.2">
      <c r="A142"/>
      <c r="B142"/>
      <c r="C142" s="25"/>
      <c r="D142" s="34"/>
      <c r="E142" s="2"/>
      <c r="F142" s="2"/>
      <c r="G142" s="43"/>
      <c r="H142" s="20"/>
      <c r="I142" s="50"/>
      <c r="J142" s="50"/>
      <c r="K142" s="56"/>
      <c r="L142"/>
      <c r="M142" s="56"/>
      <c r="N142" s="63"/>
    </row>
    <row r="143" spans="1:14" x14ac:dyDescent="0.2">
      <c r="A143"/>
      <c r="B143"/>
      <c r="C143" s="25"/>
      <c r="D143" s="34"/>
      <c r="E143" s="2"/>
      <c r="F143" s="2"/>
      <c r="G143" s="43"/>
      <c r="H143" s="20"/>
      <c r="I143" s="50"/>
      <c r="J143" s="50"/>
      <c r="K143" s="56"/>
      <c r="L143"/>
      <c r="M143" s="56"/>
      <c r="N143" s="63"/>
    </row>
    <row r="144" spans="1:14" x14ac:dyDescent="0.2">
      <c r="A144"/>
      <c r="B144"/>
      <c r="C144" s="25"/>
      <c r="D144" s="34"/>
      <c r="E144" s="2"/>
      <c r="F144" s="2"/>
      <c r="G144" s="43"/>
      <c r="H144" s="20"/>
      <c r="I144" s="50"/>
      <c r="J144" s="50"/>
      <c r="K144" s="56"/>
      <c r="L144"/>
      <c r="M144" s="56"/>
      <c r="N144" s="63"/>
    </row>
    <row r="145" spans="1:14" x14ac:dyDescent="0.2">
      <c r="A145"/>
      <c r="B145"/>
      <c r="C145" s="25"/>
      <c r="D145" s="34"/>
      <c r="E145" s="2"/>
      <c r="F145" s="2"/>
      <c r="G145" s="43"/>
      <c r="H145" s="20"/>
      <c r="I145" s="50"/>
      <c r="J145" s="50"/>
      <c r="K145" s="56"/>
      <c r="L145"/>
      <c r="M145" s="56"/>
      <c r="N145" s="63"/>
    </row>
    <row r="146" spans="1:14" x14ac:dyDescent="0.2">
      <c r="A146"/>
      <c r="B146"/>
      <c r="C146" s="25"/>
      <c r="D146" s="34"/>
      <c r="E146" s="2"/>
      <c r="F146" s="2"/>
      <c r="G146" s="43"/>
      <c r="H146" s="20"/>
      <c r="I146" s="50"/>
      <c r="J146" s="50"/>
      <c r="K146" s="56"/>
      <c r="L146"/>
      <c r="M146" s="56"/>
      <c r="N146" s="63"/>
    </row>
    <row r="147" spans="1:14" x14ac:dyDescent="0.2">
      <c r="A147"/>
      <c r="B147"/>
      <c r="C147" s="25"/>
      <c r="D147" s="34"/>
      <c r="E147" s="2"/>
      <c r="F147" s="2"/>
      <c r="G147" s="43"/>
      <c r="H147" s="20"/>
      <c r="I147" s="50"/>
      <c r="J147" s="50"/>
      <c r="K147" s="56"/>
      <c r="L147"/>
      <c r="M147" s="56"/>
      <c r="N147" s="63"/>
    </row>
    <row r="148" spans="1:14" x14ac:dyDescent="0.2">
      <c r="A148"/>
      <c r="B148"/>
      <c r="C148" s="25"/>
      <c r="D148" s="34"/>
      <c r="E148" s="2"/>
      <c r="F148" s="2"/>
      <c r="G148" s="43"/>
      <c r="H148" s="20"/>
      <c r="I148" s="50"/>
      <c r="J148" s="50"/>
      <c r="K148" s="56"/>
      <c r="L148"/>
      <c r="M148" s="56"/>
      <c r="N148" s="63"/>
    </row>
    <row r="149" spans="1:14" x14ac:dyDescent="0.2">
      <c r="A149"/>
      <c r="B149"/>
      <c r="C149" s="25"/>
      <c r="D149" s="34"/>
      <c r="E149" s="2"/>
      <c r="F149" s="2"/>
      <c r="G149" s="43"/>
      <c r="H149" s="20"/>
      <c r="I149" s="50"/>
      <c r="J149" s="50"/>
      <c r="K149" s="56"/>
      <c r="L149"/>
      <c r="M149" s="56"/>
      <c r="N149" s="63"/>
    </row>
    <row r="150" spans="1:14" x14ac:dyDescent="0.2">
      <c r="A150"/>
      <c r="B150"/>
      <c r="C150" s="25"/>
      <c r="D150" s="34"/>
      <c r="E150" s="2"/>
      <c r="F150" s="2"/>
      <c r="G150" s="43"/>
      <c r="H150" s="20"/>
      <c r="I150" s="50"/>
      <c r="J150" s="50"/>
      <c r="K150" s="56"/>
      <c r="L150"/>
      <c r="M150" s="56"/>
      <c r="N150" s="63"/>
    </row>
    <row r="151" spans="1:14" x14ac:dyDescent="0.2">
      <c r="A151"/>
      <c r="B151"/>
      <c r="C151" s="25"/>
      <c r="D151" s="34"/>
      <c r="E151" s="2"/>
      <c r="F151" s="2"/>
      <c r="G151" s="43"/>
      <c r="H151" s="20"/>
      <c r="I151" s="50"/>
      <c r="J151" s="50"/>
      <c r="K151" s="56"/>
      <c r="L151"/>
      <c r="M151" s="56"/>
      <c r="N151" s="63"/>
    </row>
    <row r="152" spans="1:14" x14ac:dyDescent="0.2">
      <c r="A152"/>
      <c r="B152"/>
      <c r="C152" s="25"/>
      <c r="D152" s="34"/>
      <c r="E152" s="2"/>
      <c r="F152" s="2"/>
      <c r="G152" s="43"/>
      <c r="H152" s="20"/>
      <c r="I152" s="50"/>
      <c r="J152" s="50"/>
      <c r="K152" s="56"/>
      <c r="L152"/>
      <c r="M152" s="56"/>
      <c r="N152" s="63"/>
    </row>
    <row r="153" spans="1:14" x14ac:dyDescent="0.2">
      <c r="A153"/>
      <c r="B153"/>
      <c r="C153" s="25"/>
      <c r="D153" s="34"/>
      <c r="E153" s="2"/>
      <c r="F153" s="2"/>
      <c r="G153" s="43"/>
      <c r="H153" s="20"/>
      <c r="I153" s="50"/>
      <c r="J153" s="50"/>
      <c r="K153" s="56"/>
      <c r="L153"/>
      <c r="M153" s="56"/>
      <c r="N153" s="63"/>
    </row>
    <row r="154" spans="1:14" x14ac:dyDescent="0.2">
      <c r="A154"/>
      <c r="B154"/>
      <c r="C154" s="25"/>
      <c r="D154" s="34"/>
      <c r="E154" s="2"/>
      <c r="F154" s="2"/>
      <c r="G154" s="43"/>
      <c r="H154" s="20"/>
      <c r="I154" s="50"/>
      <c r="J154" s="50"/>
      <c r="K154" s="56"/>
      <c r="L154"/>
      <c r="M154" s="56"/>
      <c r="N154" s="63"/>
    </row>
    <row r="155" spans="1:14" x14ac:dyDescent="0.2">
      <c r="A155"/>
      <c r="B155"/>
      <c r="C155" s="25"/>
      <c r="D155" s="34"/>
      <c r="E155" s="2"/>
      <c r="F155" s="2"/>
      <c r="G155" s="43"/>
      <c r="H155" s="20"/>
      <c r="I155" s="50"/>
      <c r="J155" s="50"/>
      <c r="K155" s="56"/>
      <c r="L155"/>
      <c r="M155" s="56"/>
      <c r="N155" s="63"/>
    </row>
    <row r="156" spans="1:14" x14ac:dyDescent="0.2">
      <c r="A156"/>
      <c r="B156"/>
      <c r="C156" s="25"/>
      <c r="D156" s="34"/>
      <c r="E156" s="2"/>
      <c r="F156" s="2"/>
      <c r="G156" s="43"/>
      <c r="H156" s="20"/>
      <c r="I156" s="50"/>
      <c r="J156" s="50"/>
      <c r="K156" s="56"/>
      <c r="L156"/>
      <c r="M156" s="56"/>
      <c r="N156" s="63"/>
    </row>
    <row r="157" spans="1:14" x14ac:dyDescent="0.2">
      <c r="A157"/>
      <c r="B157"/>
      <c r="C157" s="25"/>
      <c r="D157" s="34"/>
      <c r="E157" s="2"/>
      <c r="F157" s="2"/>
      <c r="G157" s="43"/>
      <c r="H157" s="20"/>
      <c r="I157" s="50"/>
      <c r="J157" s="50"/>
      <c r="K157" s="56"/>
      <c r="L157"/>
      <c r="M157" s="56"/>
      <c r="N157" s="63"/>
    </row>
    <row r="158" spans="1:14" x14ac:dyDescent="0.2">
      <c r="A158"/>
      <c r="B158"/>
      <c r="C158" s="25"/>
      <c r="D158" s="34"/>
      <c r="E158" s="2"/>
      <c r="F158" s="2"/>
      <c r="G158" s="43"/>
      <c r="H158" s="20"/>
      <c r="I158" s="50"/>
      <c r="J158" s="50"/>
      <c r="K158" s="56"/>
      <c r="L158"/>
      <c r="M158" s="56"/>
      <c r="N158" s="63"/>
    </row>
    <row r="159" spans="1:14" x14ac:dyDescent="0.2">
      <c r="A159"/>
      <c r="B159"/>
      <c r="C159" s="25"/>
      <c r="D159" s="34"/>
      <c r="E159" s="2"/>
      <c r="F159" s="2"/>
      <c r="G159" s="43"/>
      <c r="H159" s="20"/>
      <c r="I159" s="50"/>
      <c r="J159" s="50"/>
      <c r="K159" s="56"/>
      <c r="L159"/>
      <c r="M159" s="56"/>
      <c r="N159" s="63"/>
    </row>
    <row r="160" spans="1:14" x14ac:dyDescent="0.2">
      <c r="A160"/>
      <c r="B160"/>
      <c r="C160" s="25"/>
      <c r="D160" s="34"/>
      <c r="E160" s="2"/>
      <c r="F160" s="2"/>
      <c r="G160" s="43"/>
      <c r="H160" s="20"/>
      <c r="I160" s="50"/>
      <c r="J160" s="50"/>
      <c r="K160" s="56"/>
      <c r="L160"/>
      <c r="M160" s="56"/>
      <c r="N160" s="63"/>
    </row>
    <row r="161" spans="1:14" x14ac:dyDescent="0.2">
      <c r="A161"/>
      <c r="B161"/>
      <c r="C161" s="25"/>
      <c r="D161" s="34"/>
      <c r="E161" s="2"/>
      <c r="F161" s="2"/>
      <c r="G161" s="43"/>
      <c r="H161" s="20"/>
      <c r="I161" s="50"/>
      <c r="J161" s="50"/>
      <c r="K161" s="56"/>
      <c r="L161"/>
      <c r="M161" s="56"/>
      <c r="N161" s="63"/>
    </row>
    <row r="162" spans="1:14" x14ac:dyDescent="0.2">
      <c r="A162"/>
      <c r="B162"/>
      <c r="C162" s="25"/>
      <c r="D162" s="34"/>
      <c r="E162" s="2"/>
      <c r="F162" s="2"/>
      <c r="G162" s="43"/>
      <c r="H162" s="20"/>
      <c r="I162" s="50"/>
      <c r="J162" s="50"/>
      <c r="K162" s="56"/>
      <c r="L162"/>
      <c r="M162" s="56"/>
      <c r="N162" s="63"/>
    </row>
    <row r="163" spans="1:14" x14ac:dyDescent="0.2">
      <c r="A163"/>
      <c r="B163"/>
      <c r="C163" s="25"/>
      <c r="D163" s="34"/>
      <c r="E163" s="2"/>
      <c r="F163" s="2"/>
      <c r="G163" s="43"/>
      <c r="H163" s="20"/>
      <c r="I163" s="50"/>
      <c r="J163" s="50"/>
      <c r="K163" s="56"/>
      <c r="L163"/>
      <c r="M163" s="56"/>
      <c r="N163" s="63"/>
    </row>
    <row r="164" spans="1:14" x14ac:dyDescent="0.2">
      <c r="A164"/>
      <c r="B164"/>
      <c r="C164" s="25"/>
      <c r="D164" s="34"/>
      <c r="E164" s="2"/>
      <c r="F164" s="2"/>
      <c r="G164" s="43"/>
      <c r="H164" s="20"/>
      <c r="I164" s="50"/>
      <c r="J164" s="50"/>
      <c r="K164" s="56"/>
      <c r="L164"/>
      <c r="M164" s="56"/>
      <c r="N164" s="63"/>
    </row>
    <row r="165" spans="1:14" x14ac:dyDescent="0.2">
      <c r="A165"/>
      <c r="B165"/>
      <c r="C165" s="25"/>
      <c r="D165" s="34"/>
      <c r="E165" s="2"/>
      <c r="F165" s="2"/>
      <c r="G165" s="43"/>
      <c r="H165" s="20"/>
      <c r="I165" s="50"/>
      <c r="J165" s="50"/>
      <c r="K165" s="56"/>
      <c r="L165"/>
      <c r="M165" s="56"/>
      <c r="N165" s="63"/>
    </row>
    <row r="166" spans="1:14" x14ac:dyDescent="0.2">
      <c r="A166"/>
      <c r="B166"/>
      <c r="C166" s="25"/>
      <c r="D166" s="34"/>
      <c r="E166" s="2"/>
      <c r="F166" s="2"/>
      <c r="G166" s="43"/>
      <c r="H166" s="20"/>
      <c r="I166" s="50"/>
      <c r="J166" s="50"/>
      <c r="K166" s="56"/>
      <c r="L166"/>
      <c r="M166" s="56"/>
      <c r="N166" s="63"/>
    </row>
    <row r="167" spans="1:14" x14ac:dyDescent="0.2">
      <c r="A167"/>
      <c r="B167"/>
      <c r="C167" s="25"/>
      <c r="D167" s="34"/>
      <c r="E167" s="2"/>
      <c r="F167" s="2"/>
      <c r="G167" s="43"/>
      <c r="H167" s="20"/>
      <c r="I167" s="50"/>
      <c r="J167" s="50"/>
      <c r="K167" s="56"/>
      <c r="L167"/>
      <c r="M167" s="56"/>
      <c r="N167" s="63"/>
    </row>
    <row r="168" spans="1:14" x14ac:dyDescent="0.2">
      <c r="A168"/>
      <c r="B168"/>
      <c r="C168" s="25"/>
      <c r="D168" s="34"/>
      <c r="E168" s="2"/>
      <c r="F168" s="2"/>
      <c r="G168" s="43"/>
      <c r="H168" s="20"/>
      <c r="I168" s="50"/>
      <c r="J168" s="50"/>
      <c r="K168" s="56"/>
      <c r="L168"/>
      <c r="M168" s="56"/>
      <c r="N168" s="63"/>
    </row>
    <row r="169" spans="1:14" x14ac:dyDescent="0.2">
      <c r="A169"/>
      <c r="B169"/>
      <c r="C169" s="25"/>
      <c r="D169" s="34"/>
      <c r="E169" s="2"/>
      <c r="F169" s="2"/>
      <c r="G169" s="43"/>
      <c r="H169" s="20"/>
      <c r="I169" s="50"/>
      <c r="J169" s="50"/>
      <c r="K169" s="56"/>
      <c r="L169"/>
      <c r="M169" s="56"/>
      <c r="N169" s="63"/>
    </row>
    <row r="170" spans="1:14" x14ac:dyDescent="0.2">
      <c r="A170"/>
      <c r="B170"/>
      <c r="C170" s="25"/>
      <c r="D170" s="34"/>
      <c r="E170" s="2"/>
      <c r="F170" s="2"/>
      <c r="G170" s="43"/>
      <c r="H170" s="20"/>
      <c r="I170" s="50"/>
      <c r="J170" s="50"/>
      <c r="K170" s="56"/>
      <c r="L170"/>
      <c r="M170" s="56"/>
      <c r="N170" s="63"/>
    </row>
    <row r="171" spans="1:14" x14ac:dyDescent="0.2">
      <c r="A171"/>
      <c r="B171"/>
      <c r="C171" s="25"/>
      <c r="D171" s="34"/>
      <c r="E171" s="2"/>
      <c r="F171" s="2"/>
      <c r="G171" s="43"/>
      <c r="H171" s="20"/>
      <c r="I171" s="50"/>
      <c r="J171" s="50"/>
      <c r="K171" s="56"/>
      <c r="L171"/>
      <c r="M171" s="56"/>
      <c r="N171" s="63"/>
    </row>
    <row r="172" spans="1:14" x14ac:dyDescent="0.2">
      <c r="A172"/>
      <c r="B172"/>
      <c r="C172" s="25"/>
      <c r="D172" s="34"/>
      <c r="E172" s="2"/>
      <c r="F172" s="2"/>
      <c r="G172" s="43"/>
      <c r="H172" s="20"/>
      <c r="I172" s="50"/>
      <c r="J172" s="50"/>
      <c r="K172" s="56"/>
      <c r="L172"/>
      <c r="M172" s="56"/>
      <c r="N172" s="63"/>
    </row>
    <row r="173" spans="1:14" x14ac:dyDescent="0.2">
      <c r="A173"/>
      <c r="B173"/>
      <c r="C173" s="25"/>
      <c r="D173" s="34"/>
      <c r="E173" s="2"/>
      <c r="F173" s="2"/>
      <c r="G173" s="43"/>
      <c r="H173" s="20"/>
      <c r="I173" s="50"/>
      <c r="J173" s="50"/>
      <c r="K173" s="56"/>
      <c r="L173"/>
      <c r="M173" s="56"/>
      <c r="N173" s="63"/>
    </row>
    <row r="174" spans="1:14" x14ac:dyDescent="0.2">
      <c r="A174"/>
      <c r="B174"/>
      <c r="C174" s="25"/>
      <c r="D174" s="34"/>
      <c r="E174" s="2"/>
      <c r="F174" s="2"/>
      <c r="G174" s="43"/>
      <c r="H174" s="20"/>
      <c r="I174" s="50"/>
      <c r="J174" s="50"/>
      <c r="K174" s="56"/>
      <c r="L174"/>
      <c r="M174" s="56"/>
      <c r="N174" s="63"/>
    </row>
    <row r="175" spans="1:14" x14ac:dyDescent="0.2">
      <c r="A175"/>
      <c r="B175"/>
      <c r="C175" s="25"/>
      <c r="D175" s="34"/>
      <c r="E175" s="2"/>
      <c r="F175" s="2"/>
      <c r="G175" s="43"/>
      <c r="H175" s="20"/>
      <c r="I175" s="50"/>
      <c r="J175" s="50"/>
      <c r="K175" s="56"/>
      <c r="L175"/>
      <c r="M175" s="56"/>
      <c r="N175" s="63"/>
    </row>
    <row r="176" spans="1:14" x14ac:dyDescent="0.2">
      <c r="A176"/>
      <c r="B176"/>
      <c r="C176" s="25"/>
      <c r="D176" s="34"/>
      <c r="E176" s="2"/>
      <c r="F176" s="2"/>
      <c r="G176" s="43"/>
      <c r="H176" s="20"/>
      <c r="I176" s="50"/>
      <c r="J176" s="50"/>
      <c r="K176" s="56"/>
      <c r="L176"/>
      <c r="M176" s="56"/>
      <c r="N176" s="63"/>
    </row>
    <row r="177" spans="1:14" x14ac:dyDescent="0.2">
      <c r="A177"/>
      <c r="B177"/>
      <c r="C177" s="25"/>
      <c r="D177" s="34"/>
      <c r="E177" s="2"/>
      <c r="F177" s="2"/>
      <c r="G177" s="43"/>
      <c r="H177" s="20"/>
      <c r="I177" s="50"/>
      <c r="J177" s="50"/>
      <c r="K177" s="56"/>
      <c r="L177"/>
      <c r="M177" s="56"/>
      <c r="N177" s="63"/>
    </row>
    <row r="178" spans="1:14" x14ac:dyDescent="0.2">
      <c r="A178"/>
      <c r="B178"/>
      <c r="C178" s="25"/>
      <c r="D178" s="34"/>
      <c r="E178" s="2"/>
      <c r="F178" s="2"/>
      <c r="G178" s="43"/>
      <c r="H178" s="20"/>
      <c r="I178" s="50"/>
      <c r="J178" s="50"/>
      <c r="K178" s="56"/>
      <c r="L178"/>
      <c r="M178" s="56"/>
      <c r="N178" s="63"/>
    </row>
    <row r="179" spans="1:14" x14ac:dyDescent="0.2">
      <c r="A179"/>
      <c r="B179"/>
      <c r="C179" s="25"/>
      <c r="D179" s="34"/>
      <c r="E179" s="2"/>
      <c r="F179" s="2"/>
      <c r="G179" s="43"/>
      <c r="H179" s="20"/>
      <c r="I179" s="50"/>
      <c r="J179" s="50"/>
      <c r="K179" s="56"/>
      <c r="L179"/>
      <c r="M179" s="56"/>
      <c r="N179" s="63"/>
    </row>
    <row r="180" spans="1:14" x14ac:dyDescent="0.2">
      <c r="A180"/>
      <c r="B180"/>
      <c r="C180" s="25"/>
      <c r="D180" s="34"/>
      <c r="E180" s="2"/>
      <c r="F180" s="2"/>
      <c r="G180" s="43"/>
      <c r="H180" s="20"/>
      <c r="I180" s="50"/>
      <c r="J180" s="50"/>
      <c r="K180" s="56"/>
      <c r="L180"/>
      <c r="M180" s="56"/>
      <c r="N180" s="63"/>
    </row>
    <row r="181" spans="1:14" x14ac:dyDescent="0.2">
      <c r="A181"/>
      <c r="B181"/>
      <c r="C181" s="25"/>
      <c r="D181" s="34"/>
      <c r="E181" s="2"/>
      <c r="F181" s="2"/>
      <c r="G181" s="43"/>
      <c r="H181" s="20"/>
      <c r="I181" s="50"/>
      <c r="J181" s="50"/>
      <c r="K181" s="56"/>
      <c r="L181"/>
      <c r="M181" s="56"/>
      <c r="N181" s="63"/>
    </row>
    <row r="182" spans="1:14" x14ac:dyDescent="0.2">
      <c r="A182"/>
      <c r="B182"/>
      <c r="C182" s="25"/>
      <c r="D182" s="34"/>
      <c r="E182" s="2"/>
      <c r="F182" s="2"/>
      <c r="G182" s="43"/>
      <c r="H182" s="20"/>
      <c r="I182" s="50"/>
      <c r="J182" s="50"/>
      <c r="K182" s="56"/>
      <c r="L182"/>
      <c r="M182" s="56"/>
      <c r="N182" s="63"/>
    </row>
    <row r="183" spans="1:14" x14ac:dyDescent="0.2">
      <c r="A183"/>
      <c r="B183"/>
      <c r="C183" s="25"/>
      <c r="D183" s="34"/>
      <c r="E183" s="2"/>
      <c r="F183" s="2"/>
      <c r="G183" s="43"/>
      <c r="H183" s="20"/>
      <c r="I183" s="50"/>
      <c r="J183" s="50"/>
      <c r="K183" s="56"/>
      <c r="L183"/>
      <c r="M183" s="56"/>
      <c r="N183" s="63"/>
    </row>
    <row r="184" spans="1:14" x14ac:dyDescent="0.2">
      <c r="A184"/>
      <c r="B184"/>
      <c r="C184" s="25"/>
      <c r="D184" s="34"/>
      <c r="E184" s="2"/>
      <c r="F184" s="2"/>
      <c r="G184" s="43"/>
      <c r="H184" s="20"/>
      <c r="I184" s="50"/>
      <c r="J184" s="50"/>
      <c r="K184" s="56"/>
      <c r="L184"/>
      <c r="M184" s="56"/>
      <c r="N184" s="63"/>
    </row>
    <row r="185" spans="1:14" x14ac:dyDescent="0.2">
      <c r="A185"/>
      <c r="B185"/>
      <c r="C185" s="25"/>
      <c r="D185" s="34"/>
      <c r="E185" s="2"/>
      <c r="F185" s="2"/>
      <c r="G185" s="43"/>
      <c r="H185" s="20"/>
      <c r="I185" s="50"/>
      <c r="J185" s="50"/>
      <c r="K185" s="56"/>
      <c r="L185"/>
      <c r="M185" s="56"/>
      <c r="N185" s="63"/>
    </row>
    <row r="186" spans="1:14" x14ac:dyDescent="0.2">
      <c r="A186"/>
      <c r="B186"/>
      <c r="C186" s="25"/>
      <c r="D186" s="34"/>
      <c r="E186" s="2"/>
      <c r="F186" s="2"/>
      <c r="G186" s="43"/>
      <c r="H186" s="20"/>
      <c r="I186" s="50"/>
      <c r="J186" s="50"/>
      <c r="K186" s="56"/>
      <c r="L186"/>
      <c r="M186" s="56"/>
      <c r="N186" s="63"/>
    </row>
    <row r="187" spans="1:14" x14ac:dyDescent="0.2">
      <c r="A187"/>
      <c r="B187"/>
      <c r="C187" s="25"/>
      <c r="D187" s="34"/>
      <c r="E187" s="2"/>
      <c r="F187" s="2"/>
      <c r="G187" s="43"/>
      <c r="H187" s="20"/>
      <c r="I187" s="50"/>
      <c r="J187" s="50"/>
      <c r="K187" s="56"/>
      <c r="L187"/>
      <c r="M187" s="56"/>
      <c r="N187" s="63"/>
    </row>
    <row r="188" spans="1:14" x14ac:dyDescent="0.2">
      <c r="A188"/>
      <c r="B188"/>
      <c r="C188" s="25"/>
      <c r="D188" s="34"/>
      <c r="E188" s="2"/>
      <c r="F188" s="2"/>
      <c r="G188" s="43"/>
      <c r="H188" s="20"/>
      <c r="I188" s="50"/>
      <c r="J188" s="50"/>
      <c r="K188" s="56"/>
      <c r="L188"/>
      <c r="M188" s="56"/>
      <c r="N188" s="63"/>
    </row>
    <row r="189" spans="1:14" x14ac:dyDescent="0.2">
      <c r="A189"/>
      <c r="B189"/>
      <c r="C189" s="25"/>
      <c r="D189" s="34"/>
      <c r="E189" s="2"/>
      <c r="F189" s="2"/>
      <c r="G189" s="43"/>
      <c r="H189" s="20"/>
      <c r="I189" s="50"/>
      <c r="J189" s="50"/>
      <c r="K189" s="56"/>
      <c r="L189"/>
      <c r="M189" s="56"/>
      <c r="N189" s="63"/>
    </row>
    <row r="190" spans="1:14" x14ac:dyDescent="0.2">
      <c r="A190"/>
      <c r="B190"/>
      <c r="C190" s="25"/>
      <c r="D190" s="34"/>
      <c r="E190" s="2"/>
      <c r="F190" s="2"/>
      <c r="G190" s="43"/>
      <c r="H190" s="20"/>
      <c r="I190" s="50"/>
      <c r="J190" s="50"/>
      <c r="K190" s="56"/>
      <c r="L190"/>
      <c r="M190" s="56"/>
      <c r="N190" s="63"/>
    </row>
    <row r="191" spans="1:14" x14ac:dyDescent="0.2">
      <c r="A191"/>
      <c r="B191"/>
      <c r="C191" s="25"/>
      <c r="D191" s="34"/>
      <c r="E191" s="2"/>
      <c r="F191" s="2"/>
      <c r="G191" s="43"/>
      <c r="H191" s="20"/>
      <c r="I191" s="50"/>
      <c r="J191" s="50"/>
      <c r="K191" s="56"/>
      <c r="L191"/>
      <c r="M191" s="56"/>
      <c r="N191" s="63"/>
    </row>
    <row r="192" spans="1:14" x14ac:dyDescent="0.2">
      <c r="A192"/>
      <c r="B192"/>
      <c r="C192" s="25"/>
      <c r="D192" s="34"/>
      <c r="E192" s="2"/>
      <c r="F192" s="2"/>
      <c r="G192" s="43"/>
      <c r="H192" s="20"/>
      <c r="I192" s="50"/>
      <c r="J192" s="50"/>
      <c r="K192" s="56"/>
      <c r="L192"/>
      <c r="M192" s="56"/>
      <c r="N192" s="63"/>
    </row>
    <row r="193" spans="1:14" x14ac:dyDescent="0.2">
      <c r="A193"/>
      <c r="B193"/>
      <c r="C193" s="25"/>
      <c r="D193" s="34"/>
      <c r="E193" s="2"/>
      <c r="F193" s="2"/>
      <c r="G193" s="43"/>
      <c r="H193" s="20"/>
      <c r="I193" s="50"/>
      <c r="J193" s="50"/>
      <c r="K193" s="56"/>
      <c r="L193"/>
      <c r="M193" s="56"/>
      <c r="N193" s="63"/>
    </row>
    <row r="194" spans="1:14" x14ac:dyDescent="0.2">
      <c r="A194"/>
      <c r="B194"/>
      <c r="C194" s="25"/>
      <c r="D194" s="34"/>
      <c r="E194" s="2"/>
      <c r="F194" s="2"/>
      <c r="G194" s="43"/>
      <c r="H194" s="20"/>
      <c r="I194" s="50"/>
      <c r="J194" s="50"/>
      <c r="K194" s="56"/>
      <c r="L194"/>
      <c r="M194" s="56"/>
      <c r="N194" s="63"/>
    </row>
    <row r="195" spans="1:14" x14ac:dyDescent="0.2">
      <c r="A195"/>
      <c r="B195"/>
      <c r="C195" s="25"/>
      <c r="D195" s="34"/>
      <c r="E195" s="2"/>
      <c r="F195" s="2"/>
      <c r="G195" s="43"/>
      <c r="H195" s="20"/>
      <c r="I195" s="50"/>
      <c r="J195" s="50"/>
      <c r="K195" s="56"/>
      <c r="L195"/>
      <c r="M195" s="56"/>
      <c r="N195" s="63"/>
    </row>
    <row r="196" spans="1:14" x14ac:dyDescent="0.2">
      <c r="A196"/>
      <c r="B196"/>
      <c r="C196" s="25"/>
      <c r="D196" s="34"/>
      <c r="E196" s="2"/>
      <c r="F196" s="2"/>
      <c r="G196" s="43"/>
      <c r="H196" s="20"/>
      <c r="I196" s="50"/>
      <c r="J196" s="50"/>
      <c r="K196" s="56"/>
      <c r="L196"/>
      <c r="M196" s="56"/>
      <c r="N196" s="63"/>
    </row>
    <row r="197" spans="1:14" x14ac:dyDescent="0.2">
      <c r="A197"/>
      <c r="B197"/>
      <c r="C197" s="25"/>
      <c r="D197" s="34"/>
      <c r="E197" s="2"/>
      <c r="F197" s="2"/>
      <c r="G197" s="43"/>
      <c r="H197" s="20"/>
      <c r="I197" s="50"/>
      <c r="J197" s="50"/>
      <c r="K197" s="56"/>
      <c r="L197"/>
      <c r="M197" s="56"/>
      <c r="N197" s="63"/>
    </row>
    <row r="198" spans="1:14" x14ac:dyDescent="0.2">
      <c r="A198"/>
      <c r="B198"/>
      <c r="C198" s="25"/>
      <c r="D198" s="34"/>
      <c r="E198" s="2"/>
      <c r="F198" s="2"/>
      <c r="G198" s="43"/>
      <c r="H198" s="20"/>
      <c r="I198" s="50"/>
      <c r="J198" s="50"/>
      <c r="K198" s="56"/>
      <c r="L198"/>
      <c r="M198" s="56"/>
      <c r="N198" s="63"/>
    </row>
    <row r="199" spans="1:14" x14ac:dyDescent="0.2">
      <c r="A199"/>
      <c r="B199"/>
      <c r="C199" s="25"/>
      <c r="D199" s="34"/>
      <c r="E199" s="2"/>
      <c r="F199" s="2"/>
      <c r="G199" s="43"/>
      <c r="H199" s="20"/>
      <c r="I199" s="50"/>
      <c r="J199" s="50"/>
      <c r="K199" s="56"/>
      <c r="L199"/>
      <c r="M199" s="56"/>
      <c r="N199" s="63"/>
    </row>
    <row r="200" spans="1:14" x14ac:dyDescent="0.2">
      <c r="A200"/>
      <c r="B200"/>
      <c r="C200" s="25"/>
      <c r="D200" s="34"/>
      <c r="E200" s="2"/>
      <c r="F200" s="2"/>
      <c r="G200" s="43"/>
      <c r="H200" s="20"/>
      <c r="I200" s="50"/>
      <c r="J200" s="50"/>
      <c r="K200" s="56"/>
      <c r="L200"/>
      <c r="M200" s="56"/>
      <c r="N200" s="63"/>
    </row>
    <row r="201" spans="1:14" x14ac:dyDescent="0.2">
      <c r="A201"/>
      <c r="B201"/>
      <c r="C201" s="25"/>
      <c r="D201" s="34"/>
      <c r="E201" s="2"/>
      <c r="F201" s="2"/>
      <c r="G201" s="43"/>
      <c r="H201" s="20"/>
      <c r="I201" s="50"/>
      <c r="J201" s="50"/>
      <c r="K201" s="56"/>
      <c r="L201"/>
      <c r="M201" s="56"/>
      <c r="N201" s="63"/>
    </row>
    <row r="202" spans="1:14" x14ac:dyDescent="0.2">
      <c r="A202"/>
      <c r="B202"/>
      <c r="C202" s="25"/>
      <c r="D202" s="34"/>
      <c r="E202" s="2"/>
      <c r="F202" s="2"/>
      <c r="G202" s="43"/>
      <c r="H202" s="20"/>
      <c r="I202" s="50"/>
      <c r="J202" s="50"/>
      <c r="K202" s="56"/>
      <c r="L202"/>
      <c r="M202" s="56"/>
      <c r="N202" s="63"/>
    </row>
    <row r="203" spans="1:14" x14ac:dyDescent="0.2">
      <c r="A203"/>
      <c r="B203"/>
      <c r="C203" s="25"/>
      <c r="D203" s="34"/>
      <c r="E203" s="2"/>
      <c r="F203" s="2"/>
      <c r="G203" s="43"/>
      <c r="H203" s="20"/>
      <c r="I203" s="50"/>
      <c r="J203" s="50"/>
      <c r="K203" s="56"/>
      <c r="L203"/>
      <c r="M203" s="56"/>
      <c r="N203" s="63"/>
    </row>
    <row r="204" spans="1:14" x14ac:dyDescent="0.2">
      <c r="A204"/>
      <c r="B204"/>
      <c r="C204" s="25"/>
      <c r="D204" s="34"/>
      <c r="E204" s="2"/>
      <c r="F204" s="2"/>
      <c r="G204" s="43"/>
      <c r="H204" s="20"/>
      <c r="I204" s="50"/>
      <c r="J204" s="50"/>
      <c r="K204" s="56"/>
      <c r="L204"/>
      <c r="M204" s="56"/>
      <c r="N204" s="63"/>
    </row>
    <row r="205" spans="1:14" x14ac:dyDescent="0.2">
      <c r="A205"/>
      <c r="B205"/>
      <c r="C205" s="25"/>
      <c r="D205" s="34"/>
      <c r="E205" s="2"/>
      <c r="F205" s="2"/>
      <c r="G205" s="43"/>
      <c r="H205" s="19"/>
      <c r="I205" s="50"/>
      <c r="J205" s="47"/>
      <c r="K205" s="50"/>
      <c r="L205"/>
      <c r="M205" s="50"/>
    </row>
    <row r="206" spans="1:14" x14ac:dyDescent="0.2">
      <c r="A206"/>
      <c r="B206"/>
      <c r="C206" s="25"/>
      <c r="D206" s="34"/>
      <c r="E206" s="2"/>
      <c r="F206" s="2"/>
      <c r="G206" s="43"/>
      <c r="H206" s="19"/>
      <c r="I206" s="50"/>
      <c r="J206" s="47"/>
      <c r="K206" s="50"/>
      <c r="L206"/>
      <c r="M206" s="50"/>
    </row>
    <row r="207" spans="1:14" x14ac:dyDescent="0.2">
      <c r="A207"/>
      <c r="B207"/>
      <c r="C207" s="25"/>
      <c r="D207" s="34"/>
      <c r="E207" s="2"/>
      <c r="F207" s="2"/>
      <c r="G207" s="43"/>
      <c r="H207" s="19"/>
      <c r="I207" s="50"/>
      <c r="J207" s="47"/>
      <c r="K207" s="50"/>
      <c r="L207"/>
      <c r="M207" s="50"/>
    </row>
    <row r="208" spans="1:14" x14ac:dyDescent="0.2">
      <c r="A208"/>
      <c r="B208"/>
      <c r="C208" s="25"/>
      <c r="D208" s="34"/>
      <c r="E208" s="2"/>
      <c r="F208" s="2"/>
      <c r="G208" s="43"/>
      <c r="H208" s="19"/>
      <c r="I208" s="50"/>
      <c r="J208" s="47"/>
      <c r="K208" s="50"/>
      <c r="L208"/>
      <c r="M208" s="50"/>
    </row>
    <row r="209" spans="1:13" x14ac:dyDescent="0.2">
      <c r="A209"/>
      <c r="B209"/>
      <c r="C209" s="25"/>
      <c r="D209" s="34"/>
      <c r="E209" s="2"/>
      <c r="F209" s="2"/>
      <c r="G209" s="43"/>
      <c r="H209" s="19"/>
      <c r="I209" s="50"/>
      <c r="J209" s="47"/>
      <c r="K209" s="50"/>
      <c r="L209"/>
      <c r="M209" s="50"/>
    </row>
    <row r="210" spans="1:13" x14ac:dyDescent="0.2">
      <c r="A210"/>
      <c r="B210"/>
      <c r="C210" s="25"/>
      <c r="D210" s="34"/>
      <c r="E210" s="2"/>
      <c r="F210" s="2"/>
      <c r="G210" s="43"/>
      <c r="H210" s="19"/>
      <c r="I210" s="50"/>
      <c r="J210" s="47"/>
      <c r="K210" s="50"/>
      <c r="L210"/>
      <c r="M210" s="50"/>
    </row>
    <row r="211" spans="1:13" x14ac:dyDescent="0.2">
      <c r="A211"/>
      <c r="B211"/>
      <c r="C211" s="25"/>
      <c r="D211" s="34"/>
      <c r="E211" s="2"/>
      <c r="F211" s="2"/>
      <c r="G211" s="43"/>
      <c r="H211" s="19"/>
      <c r="I211" s="50"/>
      <c r="J211" s="47"/>
      <c r="K211" s="50"/>
      <c r="L211"/>
      <c r="M211" s="50"/>
    </row>
    <row r="212" spans="1:13" x14ac:dyDescent="0.2">
      <c r="A212"/>
      <c r="B212"/>
      <c r="C212" s="25"/>
      <c r="D212" s="34"/>
      <c r="E212" s="2"/>
      <c r="F212" s="2"/>
      <c r="G212" s="43"/>
      <c r="H212" s="19"/>
      <c r="I212" s="50"/>
      <c r="J212" s="47"/>
      <c r="K212" s="50"/>
      <c r="L212"/>
      <c r="M212" s="50"/>
    </row>
    <row r="213" spans="1:13" x14ac:dyDescent="0.2">
      <c r="A213"/>
      <c r="B213"/>
      <c r="C213" s="25"/>
      <c r="D213" s="34"/>
      <c r="E213" s="2"/>
      <c r="F213" s="2"/>
      <c r="G213" s="43"/>
      <c r="H213" s="19"/>
      <c r="I213" s="50"/>
      <c r="J213" s="47"/>
      <c r="K213" s="50"/>
      <c r="L213"/>
      <c r="M213" s="50"/>
    </row>
    <row r="214" spans="1:13" x14ac:dyDescent="0.2">
      <c r="A214"/>
      <c r="B214"/>
      <c r="C214" s="25"/>
      <c r="D214" s="34"/>
      <c r="E214" s="2"/>
      <c r="F214" s="2"/>
      <c r="G214" s="43"/>
      <c r="H214" s="19"/>
      <c r="I214" s="50"/>
      <c r="J214" s="47"/>
      <c r="K214" s="50"/>
      <c r="L214"/>
      <c r="M214" s="50"/>
    </row>
    <row r="215" spans="1:13" x14ac:dyDescent="0.2">
      <c r="A215"/>
      <c r="B215"/>
      <c r="C215" s="25"/>
      <c r="D215" s="34"/>
      <c r="E215" s="2"/>
      <c r="F215" s="2"/>
      <c r="G215" s="43"/>
      <c r="H215" s="19"/>
      <c r="I215" s="50"/>
      <c r="J215" s="47"/>
      <c r="K215" s="50"/>
      <c r="L215"/>
      <c r="M215" s="50"/>
    </row>
    <row r="216" spans="1:13" x14ac:dyDescent="0.2">
      <c r="A216"/>
      <c r="B216"/>
      <c r="C216" s="25"/>
      <c r="D216" s="34"/>
      <c r="E216" s="2"/>
      <c r="F216" s="2"/>
      <c r="G216" s="43"/>
      <c r="H216" s="19"/>
      <c r="I216" s="50"/>
      <c r="J216" s="47"/>
      <c r="K216" s="50"/>
      <c r="L216"/>
      <c r="M216" s="50"/>
    </row>
    <row r="217" spans="1:13" x14ac:dyDescent="0.2">
      <c r="A217"/>
      <c r="B217"/>
      <c r="C217" s="25"/>
      <c r="D217" s="34"/>
      <c r="E217" s="2"/>
      <c r="F217" s="2"/>
      <c r="G217" s="43"/>
      <c r="H217" s="19"/>
      <c r="I217" s="50"/>
      <c r="J217" s="47"/>
      <c r="K217" s="50"/>
      <c r="L217"/>
      <c r="M217" s="50"/>
    </row>
    <row r="218" spans="1:13" x14ac:dyDescent="0.2">
      <c r="A218"/>
      <c r="B218"/>
      <c r="C218" s="25"/>
      <c r="D218" s="34"/>
      <c r="E218" s="2"/>
      <c r="F218" s="2"/>
      <c r="G218" s="43"/>
      <c r="H218" s="19"/>
      <c r="I218" s="50"/>
      <c r="J218" s="47"/>
      <c r="K218" s="50"/>
      <c r="L218"/>
      <c r="M218" s="50"/>
    </row>
    <row r="219" spans="1:13" x14ac:dyDescent="0.2">
      <c r="A219"/>
      <c r="B219"/>
      <c r="C219" s="25"/>
      <c r="D219" s="34"/>
      <c r="E219" s="2"/>
      <c r="F219" s="2"/>
      <c r="G219" s="43"/>
      <c r="H219" s="19"/>
      <c r="I219" s="50"/>
      <c r="J219" s="47"/>
      <c r="K219" s="50"/>
      <c r="L219"/>
      <c r="M219" s="50"/>
    </row>
    <row r="220" spans="1:13" x14ac:dyDescent="0.2">
      <c r="A220"/>
      <c r="B220"/>
      <c r="C220" s="25"/>
      <c r="D220" s="34"/>
      <c r="E220" s="2"/>
      <c r="F220" s="2"/>
      <c r="G220" s="43"/>
      <c r="H220" s="19"/>
      <c r="I220" s="50"/>
      <c r="J220" s="47"/>
      <c r="K220" s="50"/>
      <c r="L220"/>
      <c r="M220" s="50"/>
    </row>
    <row r="221" spans="1:13" x14ac:dyDescent="0.2">
      <c r="A221"/>
      <c r="B221"/>
      <c r="C221" s="25"/>
      <c r="D221" s="34"/>
      <c r="E221" s="2"/>
      <c r="F221" s="2"/>
      <c r="G221" s="43"/>
      <c r="H221" s="19"/>
      <c r="I221" s="50"/>
      <c r="J221" s="47"/>
      <c r="K221" s="50"/>
      <c r="L221"/>
      <c r="M221" s="50"/>
    </row>
    <row r="222" spans="1:13" x14ac:dyDescent="0.2">
      <c r="A222"/>
      <c r="B222"/>
      <c r="C222" s="25"/>
      <c r="D222" s="34"/>
      <c r="E222" s="2"/>
      <c r="F222" s="2"/>
      <c r="G222" s="43"/>
      <c r="H222" s="19"/>
      <c r="I222" s="50"/>
      <c r="J222" s="47"/>
      <c r="K222" s="50"/>
      <c r="L222"/>
      <c r="M222" s="50"/>
    </row>
    <row r="223" spans="1:13" x14ac:dyDescent="0.2">
      <c r="A223"/>
      <c r="B223"/>
      <c r="C223" s="25"/>
      <c r="D223" s="34"/>
      <c r="E223" s="2"/>
      <c r="F223" s="2"/>
      <c r="G223" s="43"/>
      <c r="H223" s="19"/>
      <c r="I223" s="50"/>
      <c r="J223" s="47"/>
      <c r="K223" s="50"/>
      <c r="L223"/>
      <c r="M223" s="50"/>
    </row>
    <row r="224" spans="1:13" x14ac:dyDescent="0.2">
      <c r="A224"/>
      <c r="B224"/>
      <c r="C224" s="25"/>
      <c r="D224" s="34"/>
      <c r="E224" s="2"/>
      <c r="F224" s="2"/>
      <c r="G224" s="43"/>
      <c r="H224" s="19"/>
      <c r="I224" s="50"/>
      <c r="J224" s="47"/>
      <c r="K224" s="50"/>
      <c r="L224"/>
      <c r="M224" s="50"/>
    </row>
    <row r="225" spans="1:13" x14ac:dyDescent="0.2">
      <c r="A225"/>
      <c r="B225"/>
      <c r="C225" s="25"/>
      <c r="D225" s="34"/>
      <c r="E225" s="2"/>
      <c r="F225" s="2"/>
      <c r="G225" s="43"/>
      <c r="H225" s="19"/>
      <c r="I225" s="50"/>
      <c r="J225" s="47"/>
      <c r="K225" s="50"/>
      <c r="L225"/>
      <c r="M225" s="50"/>
    </row>
    <row r="226" spans="1:13" x14ac:dyDescent="0.2">
      <c r="A226"/>
      <c r="B226"/>
      <c r="C226" s="25"/>
      <c r="D226" s="34"/>
      <c r="E226" s="2"/>
      <c r="F226" s="2"/>
      <c r="G226" s="43"/>
      <c r="H226" s="19"/>
      <c r="I226" s="50"/>
      <c r="J226" s="47"/>
      <c r="K226" s="50"/>
      <c r="L226"/>
      <c r="M226" s="50"/>
    </row>
    <row r="227" spans="1:13" x14ac:dyDescent="0.2">
      <c r="A227"/>
      <c r="B227"/>
      <c r="C227" s="25"/>
      <c r="D227" s="34"/>
      <c r="E227" s="2"/>
      <c r="F227" s="2"/>
      <c r="G227" s="43"/>
      <c r="H227" s="19"/>
      <c r="I227" s="50"/>
      <c r="J227" s="47"/>
      <c r="K227" s="50"/>
      <c r="L227"/>
      <c r="M227" s="50"/>
    </row>
    <row r="228" spans="1:13" x14ac:dyDescent="0.2">
      <c r="A228"/>
      <c r="B228"/>
      <c r="C228" s="25"/>
      <c r="D228" s="34"/>
      <c r="E228" s="2"/>
      <c r="F228" s="2"/>
      <c r="G228" s="43"/>
      <c r="H228" s="19"/>
      <c r="I228" s="50"/>
      <c r="J228" s="47"/>
      <c r="K228" s="50"/>
      <c r="L228"/>
      <c r="M228" s="50"/>
    </row>
    <row r="229" spans="1:13" x14ac:dyDescent="0.2">
      <c r="A229"/>
      <c r="B229"/>
      <c r="C229" s="25"/>
      <c r="D229" s="34"/>
      <c r="E229" s="2"/>
      <c r="F229" s="2"/>
      <c r="G229" s="43"/>
      <c r="H229" s="19"/>
      <c r="I229" s="50"/>
      <c r="J229" s="47"/>
      <c r="K229" s="50"/>
      <c r="L229"/>
      <c r="M229" s="50"/>
    </row>
    <row r="230" spans="1:13" x14ac:dyDescent="0.2">
      <c r="A230"/>
      <c r="B230"/>
      <c r="C230" s="25"/>
      <c r="D230" s="34"/>
      <c r="E230" s="2"/>
      <c r="F230" s="2"/>
      <c r="G230" s="43"/>
      <c r="H230" s="19"/>
      <c r="I230" s="50"/>
      <c r="J230" s="47"/>
      <c r="K230" s="50"/>
      <c r="L230"/>
      <c r="M230" s="50"/>
    </row>
    <row r="231" spans="1:13" x14ac:dyDescent="0.2">
      <c r="A231"/>
      <c r="B231"/>
      <c r="C231" s="25"/>
      <c r="D231" s="34"/>
      <c r="E231" s="2"/>
      <c r="F231" s="2"/>
      <c r="G231" s="43"/>
      <c r="H231" s="19"/>
      <c r="I231" s="50"/>
      <c r="J231" s="47"/>
      <c r="K231" s="50"/>
      <c r="L231"/>
      <c r="M231" s="50"/>
    </row>
    <row r="232" spans="1:13" x14ac:dyDescent="0.2">
      <c r="A232"/>
      <c r="B232"/>
      <c r="C232" s="25"/>
      <c r="D232" s="34"/>
      <c r="E232" s="2"/>
      <c r="F232" s="2"/>
      <c r="G232" s="43"/>
      <c r="H232" s="19"/>
      <c r="I232" s="50"/>
      <c r="J232" s="47"/>
      <c r="K232" s="50"/>
      <c r="L232"/>
      <c r="M232" s="50"/>
    </row>
    <row r="233" spans="1:13" x14ac:dyDescent="0.2">
      <c r="A233"/>
      <c r="B233"/>
      <c r="C233" s="25"/>
      <c r="D233" s="34"/>
      <c r="E233" s="2"/>
      <c r="F233" s="2"/>
      <c r="G233" s="43"/>
      <c r="H233" s="19"/>
      <c r="I233" s="50"/>
      <c r="J233" s="47"/>
      <c r="K233" s="50"/>
      <c r="L233"/>
      <c r="M233" s="50"/>
    </row>
    <row r="234" spans="1:13" x14ac:dyDescent="0.2">
      <c r="A234"/>
      <c r="B234"/>
      <c r="C234" s="25"/>
      <c r="D234" s="34"/>
      <c r="E234" s="2"/>
      <c r="F234" s="2"/>
      <c r="G234" s="43"/>
      <c r="H234" s="19"/>
      <c r="I234" s="50"/>
      <c r="J234" s="47"/>
      <c r="K234" s="50"/>
      <c r="L234"/>
      <c r="M234" s="50"/>
    </row>
    <row r="235" spans="1:13" x14ac:dyDescent="0.2">
      <c r="A235"/>
      <c r="B235"/>
      <c r="C235" s="25"/>
      <c r="D235" s="34"/>
      <c r="E235" s="2"/>
      <c r="F235" s="2"/>
      <c r="G235" s="43"/>
      <c r="H235" s="19"/>
      <c r="I235" s="50"/>
      <c r="J235" s="47"/>
      <c r="K235" s="50"/>
      <c r="L235"/>
      <c r="M235" s="50"/>
    </row>
    <row r="236" spans="1:13" x14ac:dyDescent="0.2">
      <c r="A236"/>
      <c r="B236"/>
      <c r="C236" s="25"/>
      <c r="D236" s="34"/>
      <c r="E236" s="2"/>
      <c r="F236" s="2"/>
      <c r="G236" s="43"/>
      <c r="H236" s="19"/>
      <c r="I236" s="50"/>
      <c r="J236" s="47"/>
      <c r="K236" s="50"/>
      <c r="L236"/>
      <c r="M236" s="50"/>
    </row>
    <row r="237" spans="1:13" x14ac:dyDescent="0.2">
      <c r="A237"/>
      <c r="B237"/>
      <c r="C237" s="25"/>
      <c r="D237" s="34"/>
      <c r="E237" s="2"/>
      <c r="F237" s="2"/>
      <c r="G237" s="43"/>
      <c r="H237" s="19"/>
      <c r="I237" s="50"/>
      <c r="J237" s="47"/>
      <c r="K237" s="50"/>
      <c r="L237"/>
      <c r="M237" s="50"/>
    </row>
    <row r="238" spans="1:13" x14ac:dyDescent="0.2">
      <c r="A238"/>
      <c r="B238"/>
      <c r="C238" s="25"/>
      <c r="D238" s="34"/>
      <c r="E238" s="2"/>
      <c r="F238" s="2"/>
      <c r="G238" s="43"/>
      <c r="H238" s="19"/>
      <c r="I238" s="50"/>
      <c r="J238" s="47"/>
      <c r="K238" s="50"/>
      <c r="L238"/>
      <c r="M238" s="50"/>
    </row>
    <row r="239" spans="1:13" x14ac:dyDescent="0.2">
      <c r="A239"/>
      <c r="B239"/>
      <c r="C239" s="25"/>
      <c r="D239" s="34"/>
      <c r="E239" s="2"/>
      <c r="F239" s="2"/>
      <c r="G239" s="43"/>
      <c r="H239" s="19"/>
      <c r="I239" s="50"/>
      <c r="J239" s="47"/>
      <c r="K239" s="50"/>
      <c r="L239"/>
      <c r="M239" s="50"/>
    </row>
    <row r="240" spans="1:13" x14ac:dyDescent="0.2">
      <c r="A240"/>
      <c r="B240"/>
      <c r="C240" s="25"/>
      <c r="D240" s="34"/>
      <c r="E240" s="2"/>
      <c r="F240" s="2"/>
      <c r="G240" s="43"/>
      <c r="H240" s="19"/>
      <c r="I240" s="50"/>
      <c r="J240" s="47"/>
      <c r="K240" s="50"/>
      <c r="L240"/>
      <c r="M240" s="50"/>
    </row>
    <row r="241" spans="1:13" x14ac:dyDescent="0.2">
      <c r="A241"/>
      <c r="B241"/>
      <c r="C241" s="25"/>
      <c r="D241" s="34"/>
      <c r="E241" s="2"/>
      <c r="F241" s="2"/>
      <c r="G241" s="43"/>
      <c r="H241" s="19"/>
      <c r="I241" s="50"/>
      <c r="J241" s="47"/>
      <c r="K241" s="50"/>
      <c r="L241"/>
      <c r="M241" s="50"/>
    </row>
    <row r="242" spans="1:13" x14ac:dyDescent="0.2">
      <c r="A242"/>
      <c r="B242"/>
      <c r="C242" s="25"/>
      <c r="D242" s="34"/>
      <c r="E242" s="2"/>
      <c r="F242" s="2"/>
      <c r="G242" s="43"/>
      <c r="H242" s="19"/>
      <c r="I242" s="50"/>
      <c r="J242" s="47"/>
      <c r="K242" s="50"/>
      <c r="L242"/>
      <c r="M242" s="50"/>
    </row>
    <row r="243" spans="1:13" x14ac:dyDescent="0.2">
      <c r="A243"/>
      <c r="B243"/>
      <c r="C243" s="25"/>
      <c r="D243" s="34"/>
      <c r="E243" s="2"/>
      <c r="F243" s="2"/>
      <c r="G243" s="43"/>
      <c r="H243" s="19"/>
      <c r="I243" s="50"/>
      <c r="J243" s="47"/>
      <c r="K243" s="50"/>
      <c r="L243"/>
      <c r="M243" s="50"/>
    </row>
    <row r="244" spans="1:13" x14ac:dyDescent="0.2">
      <c r="A244"/>
      <c r="B244"/>
      <c r="C244" s="25"/>
      <c r="D244" s="34"/>
      <c r="E244" s="2"/>
      <c r="F244" s="2"/>
      <c r="G244" s="43"/>
      <c r="H244" s="19"/>
      <c r="I244" s="50"/>
      <c r="J244" s="47"/>
      <c r="K244" s="50"/>
      <c r="L244"/>
      <c r="M244" s="50"/>
    </row>
    <row r="245" spans="1:13" x14ac:dyDescent="0.2">
      <c r="A245"/>
      <c r="B245"/>
      <c r="C245" s="25"/>
      <c r="D245" s="34"/>
      <c r="E245" s="2"/>
      <c r="F245" s="2"/>
      <c r="G245" s="43"/>
      <c r="H245" s="19"/>
      <c r="I245" s="50"/>
      <c r="J245" s="47"/>
      <c r="K245" s="50"/>
      <c r="L245"/>
      <c r="M245" s="50"/>
    </row>
    <row r="246" spans="1:13" x14ac:dyDescent="0.2">
      <c r="A246"/>
      <c r="B246"/>
      <c r="C246" s="25"/>
      <c r="D246" s="34"/>
      <c r="E246" s="2"/>
      <c r="F246" s="2"/>
      <c r="G246" s="43"/>
      <c r="H246" s="19"/>
      <c r="I246" s="50"/>
      <c r="J246" s="47"/>
      <c r="K246" s="50"/>
      <c r="L246"/>
      <c r="M246" s="50"/>
    </row>
    <row r="247" spans="1:13" x14ac:dyDescent="0.2">
      <c r="A247"/>
      <c r="B247"/>
      <c r="C247" s="25"/>
      <c r="D247" s="34"/>
      <c r="E247" s="2"/>
      <c r="F247" s="2"/>
      <c r="G247" s="43"/>
      <c r="H247" s="19"/>
      <c r="I247" s="50"/>
      <c r="J247" s="47"/>
      <c r="K247" s="50"/>
      <c r="L247"/>
      <c r="M247" s="50"/>
    </row>
    <row r="248" spans="1:13" x14ac:dyDescent="0.2">
      <c r="A248"/>
      <c r="B248"/>
      <c r="C248" s="25"/>
      <c r="D248" s="34"/>
      <c r="E248" s="2"/>
      <c r="F248" s="2"/>
      <c r="G248" s="43"/>
      <c r="H248" s="19"/>
      <c r="I248" s="50"/>
      <c r="J248" s="47"/>
      <c r="K248" s="50"/>
      <c r="L248"/>
      <c r="M248" s="50"/>
    </row>
    <row r="249" spans="1:13" x14ac:dyDescent="0.2">
      <c r="A249"/>
      <c r="B249"/>
      <c r="C249" s="25"/>
      <c r="D249" s="34"/>
      <c r="E249" s="2"/>
      <c r="F249" s="2"/>
      <c r="G249" s="43"/>
      <c r="H249" s="19"/>
      <c r="I249" s="50"/>
      <c r="J249" s="47"/>
      <c r="K249" s="50"/>
      <c r="L249"/>
      <c r="M249" s="50"/>
    </row>
    <row r="250" spans="1:13" x14ac:dyDescent="0.2">
      <c r="A250"/>
      <c r="B250"/>
      <c r="C250" s="25"/>
      <c r="D250" s="34"/>
      <c r="E250" s="2"/>
      <c r="F250" s="2"/>
      <c r="G250" s="43"/>
      <c r="H250" s="19"/>
      <c r="I250" s="50"/>
      <c r="J250" s="47"/>
      <c r="K250" s="50"/>
      <c r="L250"/>
      <c r="M250" s="50"/>
    </row>
    <row r="251" spans="1:13" x14ac:dyDescent="0.2">
      <c r="A251"/>
      <c r="B251"/>
      <c r="C251" s="25"/>
      <c r="D251" s="34"/>
      <c r="E251" s="2"/>
      <c r="F251" s="2"/>
      <c r="G251" s="43"/>
      <c r="H251" s="19"/>
      <c r="I251" s="50"/>
      <c r="J251" s="47"/>
      <c r="K251" s="50"/>
      <c r="L251"/>
      <c r="M251" s="50"/>
    </row>
    <row r="252" spans="1:13" x14ac:dyDescent="0.2">
      <c r="A252"/>
      <c r="B252"/>
      <c r="C252" s="25"/>
      <c r="D252" s="34"/>
      <c r="E252" s="2"/>
      <c r="F252" s="2"/>
      <c r="G252" s="43"/>
      <c r="H252" s="19"/>
      <c r="I252" s="50"/>
      <c r="J252" s="47"/>
      <c r="K252" s="50"/>
      <c r="L252"/>
      <c r="M252" s="50"/>
    </row>
    <row r="253" spans="1:13" x14ac:dyDescent="0.2">
      <c r="A253"/>
      <c r="B253"/>
      <c r="C253" s="25"/>
      <c r="D253" s="34"/>
      <c r="E253" s="2"/>
      <c r="F253" s="2"/>
      <c r="G253" s="43"/>
      <c r="H253" s="19"/>
      <c r="I253" s="50"/>
      <c r="J253" s="47"/>
      <c r="K253" s="50"/>
      <c r="L253"/>
      <c r="M253" s="50"/>
    </row>
    <row r="254" spans="1:13" x14ac:dyDescent="0.2">
      <c r="A254"/>
      <c r="B254"/>
      <c r="C254" s="25"/>
      <c r="D254" s="34"/>
      <c r="E254" s="2"/>
      <c r="F254" s="2"/>
      <c r="G254" s="43"/>
      <c r="H254" s="19"/>
      <c r="I254" s="50"/>
      <c r="J254" s="47"/>
      <c r="K254" s="50"/>
      <c r="L254"/>
      <c r="M254" s="50"/>
    </row>
  </sheetData>
  <mergeCells count="7">
    <mergeCell ref="E1:G1"/>
    <mergeCell ref="I1:K1"/>
    <mergeCell ref="Y3:AF3"/>
    <mergeCell ref="T3:W3"/>
    <mergeCell ref="A2:M2"/>
    <mergeCell ref="E3:G3"/>
    <mergeCell ref="M3:R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BF6D0-4C40-D24D-BB8C-72BF534DE59B}">
  <dimension ref="A1:O1000"/>
  <sheetViews>
    <sheetView workbookViewId="0">
      <selection activeCell="S9" sqref="S9"/>
    </sheetView>
  </sheetViews>
  <sheetFormatPr baseColWidth="10" defaultRowHeight="16" x14ac:dyDescent="0.2"/>
  <cols>
    <col min="2" max="2" width="19.83203125" style="50" customWidth="1"/>
    <col min="3" max="3" width="16" style="37" customWidth="1"/>
    <col min="4" max="4" width="19.83203125" customWidth="1"/>
    <col min="5" max="5" width="15.1640625" style="50" customWidth="1"/>
    <col min="6" max="6" width="13.5" style="19" customWidth="1"/>
    <col min="7" max="8" width="21.33203125" style="19" customWidth="1"/>
    <col min="9" max="9" width="18.33203125" style="50" customWidth="1"/>
    <col min="10" max="10" width="24.33203125" style="50" customWidth="1"/>
    <col min="11" max="11" width="16.1640625" style="50" customWidth="1"/>
    <col min="12" max="12" width="12.5" style="19" customWidth="1"/>
    <col min="13" max="13" width="23" customWidth="1"/>
    <col min="14" max="14" width="11.1640625" customWidth="1"/>
    <col min="15" max="15" width="20.33203125" style="50" customWidth="1"/>
  </cols>
  <sheetData>
    <row r="1" spans="1:15" x14ac:dyDescent="0.2">
      <c r="A1" s="23" t="s">
        <v>155</v>
      </c>
      <c r="B1" s="85" t="s">
        <v>156</v>
      </c>
      <c r="C1" s="86" t="s">
        <v>157</v>
      </c>
      <c r="D1" s="23" t="s">
        <v>158</v>
      </c>
      <c r="E1" s="85" t="s">
        <v>159</v>
      </c>
      <c r="F1" s="87" t="s">
        <v>160</v>
      </c>
      <c r="G1" s="87" t="s">
        <v>161</v>
      </c>
      <c r="H1" s="87"/>
      <c r="I1" s="85" t="s">
        <v>162</v>
      </c>
      <c r="J1" s="85" t="s">
        <v>163</v>
      </c>
      <c r="K1" s="85" t="s">
        <v>164</v>
      </c>
      <c r="L1" s="87" t="s">
        <v>165</v>
      </c>
      <c r="M1" s="23" t="s">
        <v>166</v>
      </c>
      <c r="N1" s="23"/>
      <c r="O1" s="85" t="s">
        <v>167</v>
      </c>
    </row>
    <row r="2" spans="1:15" x14ac:dyDescent="0.2">
      <c r="A2" t="s">
        <v>168</v>
      </c>
      <c r="B2" s="50">
        <v>1500000</v>
      </c>
      <c r="C2" s="37">
        <v>46032</v>
      </c>
      <c r="D2">
        <v>5</v>
      </c>
      <c r="E2" s="50">
        <v>10000</v>
      </c>
      <c r="F2" s="19">
        <v>0.06</v>
      </c>
      <c r="G2" s="19">
        <v>0.06</v>
      </c>
      <c r="I2" s="50" cm="1">
        <f t="array" ref="I2:I1000">_xlfn.MAP(A2:A1000, B2:B1000, D2:D1000, F2:F1000, _xlfn.LAMBDA(_xlpm.goal,_xlpm.pv,_xlpm.years,_xlpm.inflation, IF(_xlpm.goal="", "", IFERROR(_xlpm.pv * (1 + IF(_xlpm.inflation="", 0, _xlpm.inflation))^_xlpm.years, ""))))</f>
        <v>2007338.3664000006</v>
      </c>
      <c r="J2" s="50" cm="1">
        <f t="array" ref="J2:J1000">_xlfn.BYROW(A2:A1000, _xlfn.LAMBDA(_xlpm.row, IF(_xlpm.row="", "", SUM(([1]Goals_Tagger!$A$2:$A$1000=_xlpm.row) * IFERROR(_xlfn.XLOOKUP([1]Goals_Tagger!$B$2:$B$1000 &amp; "|" &amp; [1]Goals_Tagger!$C$2:$C$1000, '[1]MF Summary'!$C$2:$C$1000 &amp; "|" &amp; '[1]MF Summary'!$B$2:$B$1000, '[1]MF Summary'!$K$2:$K$1000, 0), 0) * [1]Goals_Tagger!$D$2:$D$1000))))</f>
        <v>468448.17463999992</v>
      </c>
      <c r="K2" s="50" cm="1">
        <f t="array" aca="1" ref="K2:K1000" ca="1">_xlfn.MAP(A2:A1000, C2:C1000, D2:D1000, E2:E1000, G2:G1000, I2:I1000, J2:J1000, _xlfn.LAMBDA(_xlpm.goal,_xlpm.start_date,_xlpm.years,_xlpm.upfront,_xlpm.rate,_xlpm.fv_val,_xlpm.curr_val, IF(_xlpm.goal="", "", IFERROR(MAX(0, _xlpm.fv_val - FV(IF(_xlpm.rate="", 0, _xlpm.rate), MAX(0, (DATE(YEAR(_xlpm.start_date)+_xlpm.years, MONTH(_xlpm.start_date), DAY(_xlpm.start_date)) - TODAY()) / 365.25), 0, -(_xlpm.curr_val + IF(_xlpm.upfront="", 0, _xlpm.upfront)))), 0))))</f>
        <v>1385910.3076146804</v>
      </c>
      <c r="L2" s="19" cm="1">
        <f t="array" ref="L2:L1000">_xlfn.MAP(A2:A1000, B2:B1000, E2:E1000, J2:J1000, _xlfn.LAMBDA(_xlpm.goal,_xlpm.target_pv,_xlpm.upfront,_xlpm.curr_val, IF(_xlpm.goal="", "", IFERROR((_xlpm.curr_val + IF(_xlpm.upfront="", 0, _xlpm.upfront)) / _xlpm.target_pv, 0))))</f>
        <v>0.31896544975999996</v>
      </c>
      <c r="M2" t="str" cm="1">
        <f t="array" aca="1" ref="M2:M1000" ca="1">_xlfn.MAP(A2:A1000, C2:C1000, D2:D1000, _xlfn.LAMBDA(_xlpm.goal,_xlpm.start_date,_xlpm.years, IF(_xlpm.goal="", "", _xlfn.LET(_xlpm.target, DATE(YEAR(_xlpm.start_date)+_xlpm.years, MONTH(_xlpm.start_date), DAY(_xlpm.start_date)), IF(_xlpm.target &lt;= TODAY(), "Goal Target Reached", DATEDIF(TODAY(), _xlpm.target, "Y") &amp; " Years, " &amp; DATEDIF(TODAY(), _xlpm.target, "YM") &amp; " Months, " &amp; DATEDIF(TODAY(), _xlpm.target, "MD") &amp; " Days")))))</f>
        <v>4 Years, 5 Months, 25 Days</v>
      </c>
      <c r="O2" s="50" cm="1">
        <f t="array" aca="1" ref="O2:O1000" ca="1">_xlfn.MAP(A2:A1000, C2:C1000, D2:D1000, G2:G1000, K2:K1000, _xlfn.LAMBDA(_xlpm.goal,_xlpm.start_date,_xlpm.years,_xlpm.rate,_xlpm.shortfall, IF(_xlpm.goal="", "", _xlfn.LET(_xlpm.target, DATE(YEAR(_xlpm.start_date)+_xlpm.years, MONTH(_xlpm.start_date), DAY(_xlpm.start_date)), IFERROR(PMT(IF(_xlpm.rate="", 0, _xlpm.rate)/12, MAX(1, DATEDIF(TODAY(), _xlpm.target, "M")), 0, -_xlpm.shortfall), 0)))))</f>
        <v>22902.262926543095</v>
      </c>
    </row>
    <row r="3" spans="1:15" x14ac:dyDescent="0.2">
      <c r="I3" s="50" t="str">
        <v/>
      </c>
      <c r="J3" s="50" t="str">
        <v/>
      </c>
      <c r="K3" s="50" t="str">
        <f ca="1"/>
        <v/>
      </c>
      <c r="L3" s="19" t="str">
        <v/>
      </c>
      <c r="M3" t="str">
        <f ca="1"/>
        <v/>
      </c>
      <c r="O3" s="50" t="str">
        <f ca="1"/>
        <v/>
      </c>
    </row>
    <row r="4" spans="1:15" x14ac:dyDescent="0.2">
      <c r="I4" s="50" t="str">
        <v/>
      </c>
      <c r="J4" s="50" t="str">
        <v/>
      </c>
      <c r="K4" s="50" t="str">
        <f ca="1"/>
        <v/>
      </c>
      <c r="L4" s="19" t="str">
        <v/>
      </c>
      <c r="M4" t="str">
        <f ca="1"/>
        <v/>
      </c>
      <c r="O4" s="50" t="str">
        <f ca="1"/>
        <v/>
      </c>
    </row>
    <row r="5" spans="1:15" x14ac:dyDescent="0.2">
      <c r="I5" s="50" t="str">
        <v/>
      </c>
      <c r="J5" s="50" t="str">
        <v/>
      </c>
      <c r="K5" s="50" t="str">
        <f ca="1"/>
        <v/>
      </c>
      <c r="L5" s="19" t="str">
        <v/>
      </c>
      <c r="M5" t="str">
        <f ca="1"/>
        <v/>
      </c>
      <c r="O5" s="50" t="str">
        <f ca="1"/>
        <v/>
      </c>
    </row>
    <row r="6" spans="1:15" x14ac:dyDescent="0.2">
      <c r="I6" s="50" t="str">
        <v/>
      </c>
      <c r="J6" s="50" t="str">
        <v/>
      </c>
      <c r="K6" s="50" t="str">
        <f ca="1"/>
        <v/>
      </c>
      <c r="L6" s="19" t="str">
        <v/>
      </c>
      <c r="M6" t="str">
        <f ca="1"/>
        <v/>
      </c>
      <c r="O6" s="50" t="str">
        <f ca="1"/>
        <v/>
      </c>
    </row>
    <row r="7" spans="1:15" x14ac:dyDescent="0.2">
      <c r="I7" s="50" t="str">
        <v/>
      </c>
      <c r="J7" s="50" t="str">
        <v/>
      </c>
      <c r="K7" s="50" t="str">
        <f ca="1"/>
        <v/>
      </c>
      <c r="L7" s="19" t="str">
        <v/>
      </c>
      <c r="M7" t="str">
        <f ca="1"/>
        <v/>
      </c>
      <c r="O7" s="50" t="str">
        <f ca="1"/>
        <v/>
      </c>
    </row>
    <row r="8" spans="1:15" x14ac:dyDescent="0.2">
      <c r="I8" s="50" t="str">
        <v/>
      </c>
      <c r="J8" s="50" t="str">
        <v/>
      </c>
      <c r="K8" s="50" t="str">
        <f ca="1"/>
        <v/>
      </c>
      <c r="L8" s="19" t="str">
        <v/>
      </c>
      <c r="M8" t="str">
        <f ca="1"/>
        <v/>
      </c>
      <c r="O8" s="50" t="str">
        <f ca="1"/>
        <v/>
      </c>
    </row>
    <row r="9" spans="1:15" x14ac:dyDescent="0.2">
      <c r="I9" s="50" t="str">
        <v/>
      </c>
      <c r="J9" s="50" t="str">
        <v/>
      </c>
      <c r="K9" s="50" t="str">
        <f ca="1"/>
        <v/>
      </c>
      <c r="L9" s="19" t="str">
        <v/>
      </c>
      <c r="M9" t="str">
        <f ca="1"/>
        <v/>
      </c>
      <c r="O9" s="50" t="str">
        <f ca="1"/>
        <v/>
      </c>
    </row>
    <row r="10" spans="1:15" x14ac:dyDescent="0.2">
      <c r="I10" s="50" t="str">
        <v/>
      </c>
      <c r="J10" s="50" t="str">
        <v/>
      </c>
      <c r="K10" s="50" t="str">
        <f ca="1"/>
        <v/>
      </c>
      <c r="L10" s="19" t="str">
        <v/>
      </c>
      <c r="M10" t="str">
        <f ca="1"/>
        <v/>
      </c>
      <c r="O10" s="50" t="str">
        <f ca="1"/>
        <v/>
      </c>
    </row>
    <row r="11" spans="1:15" x14ac:dyDescent="0.2">
      <c r="I11" s="50" t="str">
        <v/>
      </c>
      <c r="J11" s="50" t="str">
        <v/>
      </c>
      <c r="K11" s="50" t="str">
        <f ca="1"/>
        <v/>
      </c>
      <c r="L11" s="19" t="str">
        <v/>
      </c>
      <c r="M11" t="str">
        <f ca="1"/>
        <v/>
      </c>
      <c r="O11" s="50" t="str">
        <f ca="1"/>
        <v/>
      </c>
    </row>
    <row r="12" spans="1:15" x14ac:dyDescent="0.2">
      <c r="I12" s="50" t="str">
        <v/>
      </c>
      <c r="J12" s="50" t="str">
        <v/>
      </c>
      <c r="K12" s="50" t="str">
        <f ca="1"/>
        <v/>
      </c>
      <c r="L12" s="19" t="str">
        <v/>
      </c>
      <c r="M12" t="str">
        <f ca="1"/>
        <v/>
      </c>
      <c r="O12" s="50" t="str">
        <f ca="1"/>
        <v/>
      </c>
    </row>
    <row r="13" spans="1:15" x14ac:dyDescent="0.2">
      <c r="I13" s="50" t="str">
        <v/>
      </c>
      <c r="J13" s="50" t="str">
        <v/>
      </c>
      <c r="K13" s="50" t="str">
        <f ca="1"/>
        <v/>
      </c>
      <c r="L13" s="19" t="str">
        <v/>
      </c>
      <c r="M13" t="str">
        <f ca="1"/>
        <v/>
      </c>
      <c r="O13" s="50" t="str">
        <f ca="1"/>
        <v/>
      </c>
    </row>
    <row r="14" spans="1:15" x14ac:dyDescent="0.2">
      <c r="I14" s="50" t="str">
        <v/>
      </c>
      <c r="J14" s="50" t="str">
        <v/>
      </c>
      <c r="K14" s="50" t="str">
        <f ca="1"/>
        <v/>
      </c>
      <c r="L14" s="19" t="str">
        <v/>
      </c>
      <c r="M14" t="str">
        <f ca="1"/>
        <v/>
      </c>
      <c r="O14" s="50" t="str">
        <f ca="1"/>
        <v/>
      </c>
    </row>
    <row r="15" spans="1:15" x14ac:dyDescent="0.2">
      <c r="I15" s="50" t="str">
        <v/>
      </c>
      <c r="J15" s="50" t="str">
        <v/>
      </c>
      <c r="K15" s="50" t="str">
        <f ca="1"/>
        <v/>
      </c>
      <c r="L15" s="19" t="str">
        <v/>
      </c>
      <c r="M15" t="str">
        <f ca="1"/>
        <v/>
      </c>
      <c r="O15" s="50" t="str">
        <f ca="1"/>
        <v/>
      </c>
    </row>
    <row r="16" spans="1:15" x14ac:dyDescent="0.2">
      <c r="I16" s="50" t="str">
        <v/>
      </c>
      <c r="J16" s="50" t="str">
        <v/>
      </c>
      <c r="K16" s="50" t="str">
        <f ca="1"/>
        <v/>
      </c>
      <c r="L16" s="19" t="str">
        <v/>
      </c>
      <c r="M16" t="str">
        <f ca="1"/>
        <v/>
      </c>
      <c r="O16" s="50" t="str">
        <f ca="1"/>
        <v/>
      </c>
    </row>
    <row r="17" spans="9:15" x14ac:dyDescent="0.2">
      <c r="I17" s="50" t="str">
        <v/>
      </c>
      <c r="J17" s="50" t="str">
        <v/>
      </c>
      <c r="K17" s="50" t="str">
        <f ca="1"/>
        <v/>
      </c>
      <c r="L17" s="19" t="str">
        <v/>
      </c>
      <c r="M17" t="str">
        <f ca="1"/>
        <v/>
      </c>
      <c r="O17" s="50" t="str">
        <f ca="1"/>
        <v/>
      </c>
    </row>
    <row r="18" spans="9:15" x14ac:dyDescent="0.2">
      <c r="I18" s="50" t="str">
        <v/>
      </c>
      <c r="J18" s="50" t="str">
        <v/>
      </c>
      <c r="K18" s="50" t="str">
        <f ca="1"/>
        <v/>
      </c>
      <c r="L18" s="19" t="str">
        <v/>
      </c>
      <c r="M18" t="str">
        <f ca="1"/>
        <v/>
      </c>
      <c r="O18" s="50" t="str">
        <f ca="1"/>
        <v/>
      </c>
    </row>
    <row r="19" spans="9:15" x14ac:dyDescent="0.2">
      <c r="I19" s="50" t="str">
        <v/>
      </c>
      <c r="J19" s="50" t="str">
        <v/>
      </c>
      <c r="K19" s="50" t="str">
        <f ca="1"/>
        <v/>
      </c>
      <c r="L19" s="19" t="str">
        <v/>
      </c>
      <c r="M19" t="str">
        <f ca="1"/>
        <v/>
      </c>
      <c r="O19" s="50" t="str">
        <f ca="1"/>
        <v/>
      </c>
    </row>
    <row r="20" spans="9:15" x14ac:dyDescent="0.2">
      <c r="I20" s="50" t="str">
        <v/>
      </c>
      <c r="J20" s="50" t="str">
        <v/>
      </c>
      <c r="K20" s="50" t="str">
        <f ca="1"/>
        <v/>
      </c>
      <c r="L20" s="19" t="str">
        <v/>
      </c>
      <c r="M20" t="str">
        <f ca="1"/>
        <v/>
      </c>
      <c r="O20" s="50" t="str">
        <f ca="1"/>
        <v/>
      </c>
    </row>
    <row r="21" spans="9:15" x14ac:dyDescent="0.2">
      <c r="I21" s="50" t="str">
        <v/>
      </c>
      <c r="J21" s="50" t="str">
        <v/>
      </c>
      <c r="K21" s="50" t="str">
        <f ca="1"/>
        <v/>
      </c>
      <c r="L21" s="19" t="str">
        <v/>
      </c>
      <c r="M21" t="str">
        <f ca="1"/>
        <v/>
      </c>
      <c r="O21" s="50" t="str">
        <f ca="1"/>
        <v/>
      </c>
    </row>
    <row r="22" spans="9:15" x14ac:dyDescent="0.2">
      <c r="I22" s="50" t="str">
        <v/>
      </c>
      <c r="J22" s="50" t="str">
        <v/>
      </c>
      <c r="K22" s="50" t="str">
        <f ca="1"/>
        <v/>
      </c>
      <c r="L22" s="19" t="str">
        <v/>
      </c>
      <c r="M22" t="str">
        <f ca="1"/>
        <v/>
      </c>
      <c r="O22" s="50" t="str">
        <f ca="1"/>
        <v/>
      </c>
    </row>
    <row r="23" spans="9:15" x14ac:dyDescent="0.2">
      <c r="I23" s="50" t="str">
        <v/>
      </c>
      <c r="J23" s="50" t="str">
        <v/>
      </c>
      <c r="K23" s="50" t="str">
        <f ca="1"/>
        <v/>
      </c>
      <c r="L23" s="19" t="str">
        <v/>
      </c>
      <c r="M23" t="str">
        <f ca="1"/>
        <v/>
      </c>
      <c r="O23" s="50" t="str">
        <f ca="1"/>
        <v/>
      </c>
    </row>
    <row r="24" spans="9:15" x14ac:dyDescent="0.2">
      <c r="I24" s="50" t="str">
        <v/>
      </c>
      <c r="J24" s="50" t="str">
        <v/>
      </c>
      <c r="K24" s="50" t="str">
        <f ca="1"/>
        <v/>
      </c>
      <c r="L24" s="19" t="str">
        <v/>
      </c>
      <c r="M24" t="str">
        <f ca="1"/>
        <v/>
      </c>
      <c r="O24" s="50" t="str">
        <f ca="1"/>
        <v/>
      </c>
    </row>
    <row r="25" spans="9:15" x14ac:dyDescent="0.2">
      <c r="I25" s="50" t="str">
        <v/>
      </c>
      <c r="J25" s="50" t="str">
        <v/>
      </c>
      <c r="K25" s="50" t="str">
        <f ca="1"/>
        <v/>
      </c>
      <c r="L25" s="19" t="str">
        <v/>
      </c>
      <c r="M25" t="str">
        <f ca="1"/>
        <v/>
      </c>
      <c r="O25" s="50" t="str">
        <f ca="1"/>
        <v/>
      </c>
    </row>
    <row r="26" spans="9:15" x14ac:dyDescent="0.2">
      <c r="I26" s="50" t="str">
        <v/>
      </c>
      <c r="J26" s="50" t="str">
        <v/>
      </c>
      <c r="K26" s="50" t="str">
        <f ca="1"/>
        <v/>
      </c>
      <c r="L26" s="19" t="str">
        <v/>
      </c>
      <c r="M26" t="str">
        <f ca="1"/>
        <v/>
      </c>
      <c r="O26" s="50" t="str">
        <f ca="1"/>
        <v/>
      </c>
    </row>
    <row r="27" spans="9:15" x14ac:dyDescent="0.2">
      <c r="I27" s="50" t="str">
        <v/>
      </c>
      <c r="J27" s="50" t="str">
        <v/>
      </c>
      <c r="K27" s="50" t="str">
        <f ca="1"/>
        <v/>
      </c>
      <c r="L27" s="19" t="str">
        <v/>
      </c>
      <c r="M27" t="str">
        <f ca="1"/>
        <v/>
      </c>
      <c r="O27" s="50" t="str">
        <f ca="1"/>
        <v/>
      </c>
    </row>
    <row r="28" spans="9:15" x14ac:dyDescent="0.2">
      <c r="I28" s="50" t="str">
        <v/>
      </c>
      <c r="J28" s="50" t="str">
        <v/>
      </c>
      <c r="K28" s="50" t="str">
        <f ca="1"/>
        <v/>
      </c>
      <c r="L28" s="19" t="str">
        <v/>
      </c>
      <c r="M28" t="str">
        <f ca="1"/>
        <v/>
      </c>
      <c r="O28" s="50" t="str">
        <f ca="1"/>
        <v/>
      </c>
    </row>
    <row r="29" spans="9:15" x14ac:dyDescent="0.2">
      <c r="I29" s="50" t="str">
        <v/>
      </c>
      <c r="J29" s="50" t="str">
        <v/>
      </c>
      <c r="K29" s="50" t="str">
        <f ca="1"/>
        <v/>
      </c>
      <c r="L29" s="19" t="str">
        <v/>
      </c>
      <c r="M29" t="str">
        <f ca="1"/>
        <v/>
      </c>
      <c r="O29" s="50" t="str">
        <f ca="1"/>
        <v/>
      </c>
    </row>
    <row r="30" spans="9:15" x14ac:dyDescent="0.2">
      <c r="I30" s="50" t="str">
        <v/>
      </c>
      <c r="J30" s="50" t="str">
        <v/>
      </c>
      <c r="K30" s="50" t="str">
        <f ca="1"/>
        <v/>
      </c>
      <c r="L30" s="19" t="str">
        <v/>
      </c>
      <c r="M30" t="str">
        <f ca="1"/>
        <v/>
      </c>
      <c r="O30" s="50" t="str">
        <f ca="1"/>
        <v/>
      </c>
    </row>
    <row r="31" spans="9:15" x14ac:dyDescent="0.2">
      <c r="I31" s="50" t="str">
        <v/>
      </c>
      <c r="J31" s="50" t="str">
        <v/>
      </c>
      <c r="K31" s="50" t="str">
        <f ca="1"/>
        <v/>
      </c>
      <c r="L31" s="19" t="str">
        <v/>
      </c>
      <c r="M31" t="str">
        <f ca="1"/>
        <v/>
      </c>
      <c r="O31" s="50" t="str">
        <f ca="1"/>
        <v/>
      </c>
    </row>
    <row r="32" spans="9:15" x14ac:dyDescent="0.2">
      <c r="I32" s="50" t="str">
        <v/>
      </c>
      <c r="J32" s="50" t="str">
        <v/>
      </c>
      <c r="K32" s="50" t="str">
        <f ca="1"/>
        <v/>
      </c>
      <c r="L32" s="19" t="str">
        <v/>
      </c>
      <c r="M32" t="str">
        <f ca="1"/>
        <v/>
      </c>
      <c r="O32" s="50" t="str">
        <f ca="1"/>
        <v/>
      </c>
    </row>
    <row r="33" spans="9:15" x14ac:dyDescent="0.2">
      <c r="I33" s="50" t="str">
        <v/>
      </c>
      <c r="J33" s="50" t="str">
        <v/>
      </c>
      <c r="K33" s="50" t="str">
        <f ca="1"/>
        <v/>
      </c>
      <c r="L33" s="19" t="str">
        <v/>
      </c>
      <c r="M33" t="str">
        <f ca="1"/>
        <v/>
      </c>
      <c r="O33" s="50" t="str">
        <f ca="1"/>
        <v/>
      </c>
    </row>
    <row r="34" spans="9:15" x14ac:dyDescent="0.2">
      <c r="I34" s="50" t="str">
        <v/>
      </c>
      <c r="J34" s="50" t="str">
        <v/>
      </c>
      <c r="K34" s="50" t="str">
        <f ca="1"/>
        <v/>
      </c>
      <c r="L34" s="19" t="str">
        <v/>
      </c>
      <c r="M34" t="str">
        <f ca="1"/>
        <v/>
      </c>
      <c r="O34" s="50" t="str">
        <f ca="1"/>
        <v/>
      </c>
    </row>
    <row r="35" spans="9:15" x14ac:dyDescent="0.2">
      <c r="I35" s="50" t="str">
        <v/>
      </c>
      <c r="J35" s="50" t="str">
        <v/>
      </c>
      <c r="K35" s="50" t="str">
        <f ca="1"/>
        <v/>
      </c>
      <c r="L35" s="19" t="str">
        <v/>
      </c>
      <c r="M35" t="str">
        <f ca="1"/>
        <v/>
      </c>
      <c r="O35" s="50" t="str">
        <f ca="1"/>
        <v/>
      </c>
    </row>
    <row r="36" spans="9:15" x14ac:dyDescent="0.2">
      <c r="I36" s="50" t="str">
        <v/>
      </c>
      <c r="J36" s="50" t="str">
        <v/>
      </c>
      <c r="K36" s="50" t="str">
        <f ca="1"/>
        <v/>
      </c>
      <c r="L36" s="19" t="str">
        <v/>
      </c>
      <c r="M36" t="str">
        <f ca="1"/>
        <v/>
      </c>
      <c r="O36" s="50" t="str">
        <f ca="1"/>
        <v/>
      </c>
    </row>
    <row r="37" spans="9:15" x14ac:dyDescent="0.2">
      <c r="I37" s="50" t="str">
        <v/>
      </c>
      <c r="J37" s="50" t="str">
        <v/>
      </c>
      <c r="K37" s="50" t="str">
        <f ca="1"/>
        <v/>
      </c>
      <c r="L37" s="19" t="str">
        <v/>
      </c>
      <c r="M37" t="str">
        <f ca="1"/>
        <v/>
      </c>
      <c r="O37" s="50" t="str">
        <f ca="1"/>
        <v/>
      </c>
    </row>
    <row r="38" spans="9:15" x14ac:dyDescent="0.2">
      <c r="I38" s="50" t="str">
        <v/>
      </c>
      <c r="J38" s="50" t="str">
        <v/>
      </c>
      <c r="K38" s="50" t="str">
        <f ca="1"/>
        <v/>
      </c>
      <c r="L38" s="19" t="str">
        <v/>
      </c>
      <c r="M38" t="str">
        <f ca="1"/>
        <v/>
      </c>
      <c r="O38" s="50" t="str">
        <f ca="1"/>
        <v/>
      </c>
    </row>
    <row r="39" spans="9:15" x14ac:dyDescent="0.2">
      <c r="I39" s="50" t="str">
        <v/>
      </c>
      <c r="J39" s="50" t="str">
        <v/>
      </c>
      <c r="K39" s="50" t="str">
        <f ca="1"/>
        <v/>
      </c>
      <c r="L39" s="19" t="str">
        <v/>
      </c>
      <c r="M39" t="str">
        <f ca="1"/>
        <v/>
      </c>
      <c r="O39" s="50" t="str">
        <f ca="1"/>
        <v/>
      </c>
    </row>
    <row r="40" spans="9:15" x14ac:dyDescent="0.2">
      <c r="I40" s="50" t="str">
        <v/>
      </c>
      <c r="J40" s="50" t="str">
        <v/>
      </c>
      <c r="K40" s="50" t="str">
        <f ca="1"/>
        <v/>
      </c>
      <c r="L40" s="19" t="str">
        <v/>
      </c>
      <c r="M40" t="str">
        <f ca="1"/>
        <v/>
      </c>
      <c r="O40" s="50" t="str">
        <f ca="1"/>
        <v/>
      </c>
    </row>
    <row r="41" spans="9:15" x14ac:dyDescent="0.2">
      <c r="I41" s="50" t="str">
        <v/>
      </c>
      <c r="J41" s="50" t="str">
        <v/>
      </c>
      <c r="K41" s="50" t="str">
        <f ca="1"/>
        <v/>
      </c>
      <c r="L41" s="19" t="str">
        <v/>
      </c>
      <c r="M41" t="str">
        <f ca="1"/>
        <v/>
      </c>
      <c r="O41" s="50" t="str">
        <f ca="1"/>
        <v/>
      </c>
    </row>
    <row r="42" spans="9:15" x14ac:dyDescent="0.2">
      <c r="I42" s="50" t="str">
        <v/>
      </c>
      <c r="J42" s="50" t="str">
        <v/>
      </c>
      <c r="K42" s="50" t="str">
        <f ca="1"/>
        <v/>
      </c>
      <c r="L42" s="19" t="str">
        <v/>
      </c>
      <c r="M42" t="str">
        <f ca="1"/>
        <v/>
      </c>
      <c r="O42" s="50" t="str">
        <f ca="1"/>
        <v/>
      </c>
    </row>
    <row r="43" spans="9:15" x14ac:dyDescent="0.2">
      <c r="I43" s="50" t="str">
        <v/>
      </c>
      <c r="J43" s="50" t="str">
        <v/>
      </c>
      <c r="K43" s="50" t="str">
        <f ca="1"/>
        <v/>
      </c>
      <c r="L43" s="19" t="str">
        <v/>
      </c>
      <c r="M43" t="str">
        <f ca="1"/>
        <v/>
      </c>
      <c r="O43" s="50" t="str">
        <f ca="1"/>
        <v/>
      </c>
    </row>
    <row r="44" spans="9:15" x14ac:dyDescent="0.2">
      <c r="I44" s="50" t="str">
        <v/>
      </c>
      <c r="J44" s="50" t="str">
        <v/>
      </c>
      <c r="K44" s="50" t="str">
        <f ca="1"/>
        <v/>
      </c>
      <c r="L44" s="19" t="str">
        <v/>
      </c>
      <c r="M44" t="str">
        <f ca="1"/>
        <v/>
      </c>
      <c r="O44" s="50" t="str">
        <f ca="1"/>
        <v/>
      </c>
    </row>
    <row r="45" spans="9:15" x14ac:dyDescent="0.2">
      <c r="I45" s="50" t="str">
        <v/>
      </c>
      <c r="J45" s="50" t="str">
        <v/>
      </c>
      <c r="K45" s="50" t="str">
        <f ca="1"/>
        <v/>
      </c>
      <c r="L45" s="19" t="str">
        <v/>
      </c>
      <c r="M45" t="str">
        <f ca="1"/>
        <v/>
      </c>
      <c r="O45" s="50" t="str">
        <f ca="1"/>
        <v/>
      </c>
    </row>
    <row r="46" spans="9:15" x14ac:dyDescent="0.2">
      <c r="I46" s="50" t="str">
        <v/>
      </c>
      <c r="J46" s="50" t="str">
        <v/>
      </c>
      <c r="K46" s="50" t="str">
        <f ca="1"/>
        <v/>
      </c>
      <c r="L46" s="19" t="str">
        <v/>
      </c>
      <c r="M46" t="str">
        <f ca="1"/>
        <v/>
      </c>
      <c r="O46" s="50" t="str">
        <f ca="1"/>
        <v/>
      </c>
    </row>
    <row r="47" spans="9:15" x14ac:dyDescent="0.2">
      <c r="I47" s="50" t="str">
        <v/>
      </c>
      <c r="J47" s="50" t="str">
        <v/>
      </c>
      <c r="K47" s="50" t="str">
        <f ca="1"/>
        <v/>
      </c>
      <c r="L47" s="19" t="str">
        <v/>
      </c>
      <c r="M47" t="str">
        <f ca="1"/>
        <v/>
      </c>
      <c r="O47" s="50" t="str">
        <f ca="1"/>
        <v/>
      </c>
    </row>
    <row r="48" spans="9:15" x14ac:dyDescent="0.2">
      <c r="I48" s="50" t="str">
        <v/>
      </c>
      <c r="J48" s="50" t="str">
        <v/>
      </c>
      <c r="K48" s="50" t="str">
        <f ca="1"/>
        <v/>
      </c>
      <c r="L48" s="19" t="str">
        <v/>
      </c>
      <c r="M48" t="str">
        <f ca="1"/>
        <v/>
      </c>
      <c r="O48" s="50" t="str">
        <f ca="1"/>
        <v/>
      </c>
    </row>
    <row r="49" spans="9:15" x14ac:dyDescent="0.2">
      <c r="I49" s="50" t="str">
        <v/>
      </c>
      <c r="J49" s="50" t="str">
        <v/>
      </c>
      <c r="K49" s="50" t="str">
        <f ca="1"/>
        <v/>
      </c>
      <c r="L49" s="19" t="str">
        <v/>
      </c>
      <c r="M49" t="str">
        <f ca="1"/>
        <v/>
      </c>
      <c r="O49" s="50" t="str">
        <f ca="1"/>
        <v/>
      </c>
    </row>
    <row r="50" spans="9:15" x14ac:dyDescent="0.2">
      <c r="I50" s="50" t="str">
        <v/>
      </c>
      <c r="J50" s="50" t="str">
        <v/>
      </c>
      <c r="K50" s="50" t="str">
        <f ca="1"/>
        <v/>
      </c>
      <c r="L50" s="19" t="str">
        <v/>
      </c>
      <c r="M50" t="str">
        <f ca="1"/>
        <v/>
      </c>
      <c r="O50" s="50" t="str">
        <f ca="1"/>
        <v/>
      </c>
    </row>
    <row r="51" spans="9:15" x14ac:dyDescent="0.2">
      <c r="I51" s="50" t="str">
        <v/>
      </c>
      <c r="J51" s="50" t="str">
        <v/>
      </c>
      <c r="K51" s="50" t="str">
        <f ca="1"/>
        <v/>
      </c>
      <c r="L51" s="19" t="str">
        <v/>
      </c>
      <c r="M51" t="str">
        <f ca="1"/>
        <v/>
      </c>
      <c r="O51" s="50" t="str">
        <f ca="1"/>
        <v/>
      </c>
    </row>
    <row r="52" spans="9:15" x14ac:dyDescent="0.2">
      <c r="I52" s="50" t="str">
        <v/>
      </c>
      <c r="J52" s="50" t="str">
        <v/>
      </c>
      <c r="K52" s="50" t="str">
        <f ca="1"/>
        <v/>
      </c>
      <c r="L52" s="19" t="str">
        <v/>
      </c>
      <c r="M52" t="str">
        <f ca="1"/>
        <v/>
      </c>
      <c r="O52" s="50" t="str">
        <f ca="1"/>
        <v/>
      </c>
    </row>
    <row r="53" spans="9:15" x14ac:dyDescent="0.2">
      <c r="I53" s="50" t="str">
        <v/>
      </c>
      <c r="J53" s="50" t="str">
        <v/>
      </c>
      <c r="K53" s="50" t="str">
        <f ca="1"/>
        <v/>
      </c>
      <c r="L53" s="19" t="str">
        <v/>
      </c>
      <c r="M53" t="str">
        <f ca="1"/>
        <v/>
      </c>
      <c r="O53" s="50" t="str">
        <f ca="1"/>
        <v/>
      </c>
    </row>
    <row r="54" spans="9:15" x14ac:dyDescent="0.2">
      <c r="I54" s="50" t="str">
        <v/>
      </c>
      <c r="J54" s="50" t="str">
        <v/>
      </c>
      <c r="K54" s="50" t="str">
        <f ca="1"/>
        <v/>
      </c>
      <c r="L54" s="19" t="str">
        <v/>
      </c>
      <c r="M54" t="str">
        <f ca="1"/>
        <v/>
      </c>
      <c r="O54" s="50" t="str">
        <f ca="1"/>
        <v/>
      </c>
    </row>
    <row r="55" spans="9:15" x14ac:dyDescent="0.2">
      <c r="I55" s="50" t="str">
        <v/>
      </c>
      <c r="J55" s="50" t="str">
        <v/>
      </c>
      <c r="K55" s="50" t="str">
        <f ca="1"/>
        <v/>
      </c>
      <c r="L55" s="19" t="str">
        <v/>
      </c>
      <c r="M55" t="str">
        <f ca="1"/>
        <v/>
      </c>
      <c r="O55" s="50" t="str">
        <f ca="1"/>
        <v/>
      </c>
    </row>
    <row r="56" spans="9:15" x14ac:dyDescent="0.2">
      <c r="I56" s="50" t="str">
        <v/>
      </c>
      <c r="J56" s="50" t="str">
        <v/>
      </c>
      <c r="K56" s="50" t="str">
        <f ca="1"/>
        <v/>
      </c>
      <c r="L56" s="19" t="str">
        <v/>
      </c>
      <c r="M56" t="str">
        <f ca="1"/>
        <v/>
      </c>
      <c r="O56" s="50" t="str">
        <f ca="1"/>
        <v/>
      </c>
    </row>
    <row r="57" spans="9:15" x14ac:dyDescent="0.2">
      <c r="I57" s="50" t="str">
        <v/>
      </c>
      <c r="J57" s="50" t="str">
        <v/>
      </c>
      <c r="K57" s="50" t="str">
        <f ca="1"/>
        <v/>
      </c>
      <c r="L57" s="19" t="str">
        <v/>
      </c>
      <c r="M57" t="str">
        <f ca="1"/>
        <v/>
      </c>
      <c r="O57" s="50" t="str">
        <f ca="1"/>
        <v/>
      </c>
    </row>
    <row r="58" spans="9:15" x14ac:dyDescent="0.2">
      <c r="I58" s="50" t="str">
        <v/>
      </c>
      <c r="J58" s="50" t="str">
        <v/>
      </c>
      <c r="K58" s="50" t="str">
        <f ca="1"/>
        <v/>
      </c>
      <c r="L58" s="19" t="str">
        <v/>
      </c>
      <c r="M58" t="str">
        <f ca="1"/>
        <v/>
      </c>
      <c r="O58" s="50" t="str">
        <f ca="1"/>
        <v/>
      </c>
    </row>
    <row r="59" spans="9:15" x14ac:dyDescent="0.2">
      <c r="I59" s="50" t="str">
        <v/>
      </c>
      <c r="J59" s="50" t="str">
        <v/>
      </c>
      <c r="K59" s="50" t="str">
        <f ca="1"/>
        <v/>
      </c>
      <c r="L59" s="19" t="str">
        <v/>
      </c>
      <c r="M59" t="str">
        <f ca="1"/>
        <v/>
      </c>
      <c r="O59" s="50" t="str">
        <f ca="1"/>
        <v/>
      </c>
    </row>
    <row r="60" spans="9:15" x14ac:dyDescent="0.2">
      <c r="I60" s="50" t="str">
        <v/>
      </c>
      <c r="J60" s="50" t="str">
        <v/>
      </c>
      <c r="K60" s="50" t="str">
        <f ca="1"/>
        <v/>
      </c>
      <c r="L60" s="19" t="str">
        <v/>
      </c>
      <c r="M60" t="str">
        <f ca="1"/>
        <v/>
      </c>
      <c r="O60" s="50" t="str">
        <f ca="1"/>
        <v/>
      </c>
    </row>
    <row r="61" spans="9:15" x14ac:dyDescent="0.2">
      <c r="I61" s="50" t="str">
        <v/>
      </c>
      <c r="J61" s="50" t="str">
        <v/>
      </c>
      <c r="K61" s="50" t="str">
        <f ca="1"/>
        <v/>
      </c>
      <c r="L61" s="19" t="str">
        <v/>
      </c>
      <c r="M61" t="str">
        <f ca="1"/>
        <v/>
      </c>
      <c r="O61" s="50" t="str">
        <f ca="1"/>
        <v/>
      </c>
    </row>
    <row r="62" spans="9:15" x14ac:dyDescent="0.2">
      <c r="I62" s="50" t="str">
        <v/>
      </c>
      <c r="J62" s="50" t="str">
        <v/>
      </c>
      <c r="K62" s="50" t="str">
        <f ca="1"/>
        <v/>
      </c>
      <c r="L62" s="19" t="str">
        <v/>
      </c>
      <c r="M62" t="str">
        <f ca="1"/>
        <v/>
      </c>
      <c r="O62" s="50" t="str">
        <f ca="1"/>
        <v/>
      </c>
    </row>
    <row r="63" spans="9:15" x14ac:dyDescent="0.2">
      <c r="I63" s="50" t="str">
        <v/>
      </c>
      <c r="J63" s="50" t="str">
        <v/>
      </c>
      <c r="K63" s="50" t="str">
        <f ca="1"/>
        <v/>
      </c>
      <c r="L63" s="19" t="str">
        <v/>
      </c>
      <c r="M63" t="str">
        <f ca="1"/>
        <v/>
      </c>
      <c r="O63" s="50" t="str">
        <f ca="1"/>
        <v/>
      </c>
    </row>
    <row r="64" spans="9:15" x14ac:dyDescent="0.2">
      <c r="I64" s="50" t="str">
        <v/>
      </c>
      <c r="J64" s="50" t="str">
        <v/>
      </c>
      <c r="K64" s="50" t="str">
        <f ca="1"/>
        <v/>
      </c>
      <c r="L64" s="19" t="str">
        <v/>
      </c>
      <c r="M64" t="str">
        <f ca="1"/>
        <v/>
      </c>
      <c r="O64" s="50" t="str">
        <f ca="1"/>
        <v/>
      </c>
    </row>
    <row r="65" spans="9:15" x14ac:dyDescent="0.2">
      <c r="I65" s="50" t="str">
        <v/>
      </c>
      <c r="J65" s="50" t="str">
        <v/>
      </c>
      <c r="K65" s="50" t="str">
        <f ca="1"/>
        <v/>
      </c>
      <c r="L65" s="19" t="str">
        <v/>
      </c>
      <c r="M65" t="str">
        <f ca="1"/>
        <v/>
      </c>
      <c r="O65" s="50" t="str">
        <f ca="1"/>
        <v/>
      </c>
    </row>
    <row r="66" spans="9:15" x14ac:dyDescent="0.2">
      <c r="I66" s="50" t="str">
        <v/>
      </c>
      <c r="J66" s="50" t="str">
        <v/>
      </c>
      <c r="K66" s="50" t="str">
        <f ca="1"/>
        <v/>
      </c>
      <c r="L66" s="19" t="str">
        <v/>
      </c>
      <c r="M66" t="str">
        <f ca="1"/>
        <v/>
      </c>
      <c r="O66" s="50" t="str">
        <f ca="1"/>
        <v/>
      </c>
    </row>
    <row r="67" spans="9:15" x14ac:dyDescent="0.2">
      <c r="I67" s="50" t="str">
        <v/>
      </c>
      <c r="J67" s="50" t="str">
        <v/>
      </c>
      <c r="K67" s="50" t="str">
        <f ca="1"/>
        <v/>
      </c>
      <c r="L67" s="19" t="str">
        <v/>
      </c>
      <c r="M67" t="str">
        <f ca="1"/>
        <v/>
      </c>
      <c r="O67" s="50" t="str">
        <f ca="1"/>
        <v/>
      </c>
    </row>
    <row r="68" spans="9:15" x14ac:dyDescent="0.2">
      <c r="I68" s="50" t="str">
        <v/>
      </c>
      <c r="J68" s="50" t="str">
        <v/>
      </c>
      <c r="K68" s="50" t="str">
        <f ca="1"/>
        <v/>
      </c>
      <c r="L68" s="19" t="str">
        <v/>
      </c>
      <c r="M68" t="str">
        <f ca="1"/>
        <v/>
      </c>
      <c r="O68" s="50" t="str">
        <f ca="1"/>
        <v/>
      </c>
    </row>
    <row r="69" spans="9:15" x14ac:dyDescent="0.2">
      <c r="I69" s="50" t="str">
        <v/>
      </c>
      <c r="J69" s="50" t="str">
        <v/>
      </c>
      <c r="K69" s="50" t="str">
        <f ca="1"/>
        <v/>
      </c>
      <c r="L69" s="19" t="str">
        <v/>
      </c>
      <c r="M69" t="str">
        <f ca="1"/>
        <v/>
      </c>
      <c r="O69" s="50" t="str">
        <f ca="1"/>
        <v/>
      </c>
    </row>
    <row r="70" spans="9:15" x14ac:dyDescent="0.2">
      <c r="I70" s="50" t="str">
        <v/>
      </c>
      <c r="J70" s="50" t="str">
        <v/>
      </c>
      <c r="K70" s="50" t="str">
        <f ca="1"/>
        <v/>
      </c>
      <c r="L70" s="19" t="str">
        <v/>
      </c>
      <c r="M70" t="str">
        <f ca="1"/>
        <v/>
      </c>
      <c r="O70" s="50" t="str">
        <f ca="1"/>
        <v/>
      </c>
    </row>
    <row r="71" spans="9:15" x14ac:dyDescent="0.2">
      <c r="I71" s="50" t="str">
        <v/>
      </c>
      <c r="J71" s="50" t="str">
        <v/>
      </c>
      <c r="K71" s="50" t="str">
        <f ca="1"/>
        <v/>
      </c>
      <c r="L71" s="19" t="str">
        <v/>
      </c>
      <c r="M71" t="str">
        <f ca="1"/>
        <v/>
      </c>
      <c r="O71" s="50" t="str">
        <f ca="1"/>
        <v/>
      </c>
    </row>
    <row r="72" spans="9:15" x14ac:dyDescent="0.2">
      <c r="I72" s="50" t="str">
        <v/>
      </c>
      <c r="J72" s="50" t="str">
        <v/>
      </c>
      <c r="K72" s="50" t="str">
        <f ca="1"/>
        <v/>
      </c>
      <c r="L72" s="19" t="str">
        <v/>
      </c>
      <c r="M72" t="str">
        <f ca="1"/>
        <v/>
      </c>
      <c r="O72" s="50" t="str">
        <f ca="1"/>
        <v/>
      </c>
    </row>
    <row r="73" spans="9:15" x14ac:dyDescent="0.2">
      <c r="I73" s="50" t="str">
        <v/>
      </c>
      <c r="J73" s="50" t="str">
        <v/>
      </c>
      <c r="K73" s="50" t="str">
        <f ca="1"/>
        <v/>
      </c>
      <c r="L73" s="19" t="str">
        <v/>
      </c>
      <c r="M73" t="str">
        <f ca="1"/>
        <v/>
      </c>
      <c r="O73" s="50" t="str">
        <f ca="1"/>
        <v/>
      </c>
    </row>
    <row r="74" spans="9:15" x14ac:dyDescent="0.2">
      <c r="I74" s="50" t="str">
        <v/>
      </c>
      <c r="J74" s="50" t="str">
        <v/>
      </c>
      <c r="K74" s="50" t="str">
        <f ca="1"/>
        <v/>
      </c>
      <c r="L74" s="19" t="str">
        <v/>
      </c>
      <c r="M74" t="str">
        <f ca="1"/>
        <v/>
      </c>
      <c r="O74" s="50" t="str">
        <f ca="1"/>
        <v/>
      </c>
    </row>
    <row r="75" spans="9:15" x14ac:dyDescent="0.2">
      <c r="I75" s="50" t="str">
        <v/>
      </c>
      <c r="J75" s="50" t="str">
        <v/>
      </c>
      <c r="K75" s="50" t="str">
        <f ca="1"/>
        <v/>
      </c>
      <c r="L75" s="19" t="str">
        <v/>
      </c>
      <c r="M75" t="str">
        <f ca="1"/>
        <v/>
      </c>
      <c r="O75" s="50" t="str">
        <f ca="1"/>
        <v/>
      </c>
    </row>
    <row r="76" spans="9:15" x14ac:dyDescent="0.2">
      <c r="I76" s="50" t="str">
        <v/>
      </c>
      <c r="J76" s="50" t="str">
        <v/>
      </c>
      <c r="K76" s="50" t="str">
        <f ca="1"/>
        <v/>
      </c>
      <c r="L76" s="19" t="str">
        <v/>
      </c>
      <c r="M76" t="str">
        <f ca="1"/>
        <v/>
      </c>
      <c r="O76" s="50" t="str">
        <f ca="1"/>
        <v/>
      </c>
    </row>
    <row r="77" spans="9:15" x14ac:dyDescent="0.2">
      <c r="I77" s="50" t="str">
        <v/>
      </c>
      <c r="J77" s="50" t="str">
        <v/>
      </c>
      <c r="K77" s="50" t="str">
        <f ca="1"/>
        <v/>
      </c>
      <c r="L77" s="19" t="str">
        <v/>
      </c>
      <c r="M77" t="str">
        <f ca="1"/>
        <v/>
      </c>
      <c r="O77" s="50" t="str">
        <f ca="1"/>
        <v/>
      </c>
    </row>
    <row r="78" spans="9:15" x14ac:dyDescent="0.2">
      <c r="I78" s="50" t="str">
        <v/>
      </c>
      <c r="J78" s="50" t="str">
        <v/>
      </c>
      <c r="K78" s="50" t="str">
        <f ca="1"/>
        <v/>
      </c>
      <c r="L78" s="19" t="str">
        <v/>
      </c>
      <c r="M78" t="str">
        <f ca="1"/>
        <v/>
      </c>
      <c r="O78" s="50" t="str">
        <f ca="1"/>
        <v/>
      </c>
    </row>
    <row r="79" spans="9:15" x14ac:dyDescent="0.2">
      <c r="I79" s="50" t="str">
        <v/>
      </c>
      <c r="J79" s="50" t="str">
        <v/>
      </c>
      <c r="K79" s="50" t="str">
        <f ca="1"/>
        <v/>
      </c>
      <c r="L79" s="19" t="str">
        <v/>
      </c>
      <c r="M79" t="str">
        <f ca="1"/>
        <v/>
      </c>
      <c r="O79" s="50" t="str">
        <f ca="1"/>
        <v/>
      </c>
    </row>
    <row r="80" spans="9:15" x14ac:dyDescent="0.2">
      <c r="I80" s="50" t="str">
        <v/>
      </c>
      <c r="J80" s="50" t="str">
        <v/>
      </c>
      <c r="K80" s="50" t="str">
        <f ca="1"/>
        <v/>
      </c>
      <c r="L80" s="19" t="str">
        <v/>
      </c>
      <c r="M80" t="str">
        <f ca="1"/>
        <v/>
      </c>
      <c r="O80" s="50" t="str">
        <f ca="1"/>
        <v/>
      </c>
    </row>
    <row r="81" spans="9:15" x14ac:dyDescent="0.2">
      <c r="I81" s="50" t="str">
        <v/>
      </c>
      <c r="J81" s="50" t="str">
        <v/>
      </c>
      <c r="K81" s="50" t="str">
        <f ca="1"/>
        <v/>
      </c>
      <c r="L81" s="19" t="str">
        <v/>
      </c>
      <c r="M81" t="str">
        <f ca="1"/>
        <v/>
      </c>
      <c r="O81" s="50" t="str">
        <f ca="1"/>
        <v/>
      </c>
    </row>
    <row r="82" spans="9:15" x14ac:dyDescent="0.2">
      <c r="I82" s="50" t="str">
        <v/>
      </c>
      <c r="J82" s="50" t="str">
        <v/>
      </c>
      <c r="K82" s="50" t="str">
        <f ca="1"/>
        <v/>
      </c>
      <c r="L82" s="19" t="str">
        <v/>
      </c>
      <c r="M82" t="str">
        <f ca="1"/>
        <v/>
      </c>
      <c r="O82" s="50" t="str">
        <f ca="1"/>
        <v/>
      </c>
    </row>
    <row r="83" spans="9:15" x14ac:dyDescent="0.2">
      <c r="I83" s="50" t="str">
        <v/>
      </c>
      <c r="J83" s="50" t="str">
        <v/>
      </c>
      <c r="K83" s="50" t="str">
        <f ca="1"/>
        <v/>
      </c>
      <c r="L83" s="19" t="str">
        <v/>
      </c>
      <c r="M83" t="str">
        <f ca="1"/>
        <v/>
      </c>
      <c r="O83" s="50" t="str">
        <f ca="1"/>
        <v/>
      </c>
    </row>
    <row r="84" spans="9:15" x14ac:dyDescent="0.2">
      <c r="I84" s="50" t="str">
        <v/>
      </c>
      <c r="J84" s="50" t="str">
        <v/>
      </c>
      <c r="K84" s="50" t="str">
        <f ca="1"/>
        <v/>
      </c>
      <c r="L84" s="19" t="str">
        <v/>
      </c>
      <c r="M84" t="str">
        <f ca="1"/>
        <v/>
      </c>
      <c r="O84" s="50" t="str">
        <f ca="1"/>
        <v/>
      </c>
    </row>
    <row r="85" spans="9:15" x14ac:dyDescent="0.2">
      <c r="I85" s="50" t="str">
        <v/>
      </c>
      <c r="J85" s="50" t="str">
        <v/>
      </c>
      <c r="K85" s="50" t="str">
        <f ca="1"/>
        <v/>
      </c>
      <c r="L85" s="19" t="str">
        <v/>
      </c>
      <c r="M85" t="str">
        <f ca="1"/>
        <v/>
      </c>
      <c r="O85" s="50" t="str">
        <f ca="1"/>
        <v/>
      </c>
    </row>
    <row r="86" spans="9:15" x14ac:dyDescent="0.2">
      <c r="I86" s="50" t="str">
        <v/>
      </c>
      <c r="J86" s="50" t="str">
        <v/>
      </c>
      <c r="K86" s="50" t="str">
        <f ca="1"/>
        <v/>
      </c>
      <c r="L86" s="19" t="str">
        <v/>
      </c>
      <c r="M86" t="str">
        <f ca="1"/>
        <v/>
      </c>
      <c r="O86" s="50" t="str">
        <f ca="1"/>
        <v/>
      </c>
    </row>
    <row r="87" spans="9:15" x14ac:dyDescent="0.2">
      <c r="I87" s="50" t="str">
        <v/>
      </c>
      <c r="J87" s="50" t="str">
        <v/>
      </c>
      <c r="K87" s="50" t="str">
        <f ca="1"/>
        <v/>
      </c>
      <c r="L87" s="19" t="str">
        <v/>
      </c>
      <c r="M87" t="str">
        <f ca="1"/>
        <v/>
      </c>
      <c r="O87" s="50" t="str">
        <f ca="1"/>
        <v/>
      </c>
    </row>
    <row r="88" spans="9:15" x14ac:dyDescent="0.2">
      <c r="I88" s="50" t="str">
        <v/>
      </c>
      <c r="J88" s="50" t="str">
        <v/>
      </c>
      <c r="K88" s="50" t="str">
        <f ca="1"/>
        <v/>
      </c>
      <c r="L88" s="19" t="str">
        <v/>
      </c>
      <c r="M88" t="str">
        <f ca="1"/>
        <v/>
      </c>
      <c r="O88" s="50" t="str">
        <f ca="1"/>
        <v/>
      </c>
    </row>
    <row r="89" spans="9:15" x14ac:dyDescent="0.2">
      <c r="I89" s="50" t="str">
        <v/>
      </c>
      <c r="J89" s="50" t="str">
        <v/>
      </c>
      <c r="K89" s="50" t="str">
        <f ca="1"/>
        <v/>
      </c>
      <c r="L89" s="19" t="str">
        <v/>
      </c>
      <c r="M89" t="str">
        <f ca="1"/>
        <v/>
      </c>
      <c r="O89" s="50" t="str">
        <f ca="1"/>
        <v/>
      </c>
    </row>
    <row r="90" spans="9:15" x14ac:dyDescent="0.2">
      <c r="I90" s="50" t="str">
        <v/>
      </c>
      <c r="J90" s="50" t="str">
        <v/>
      </c>
      <c r="K90" s="50" t="str">
        <f ca="1"/>
        <v/>
      </c>
      <c r="L90" s="19" t="str">
        <v/>
      </c>
      <c r="M90" t="str">
        <f ca="1"/>
        <v/>
      </c>
      <c r="O90" s="50" t="str">
        <f ca="1"/>
        <v/>
      </c>
    </row>
    <row r="91" spans="9:15" x14ac:dyDescent="0.2">
      <c r="I91" s="50" t="str">
        <v/>
      </c>
      <c r="J91" s="50" t="str">
        <v/>
      </c>
      <c r="K91" s="50" t="str">
        <f ca="1"/>
        <v/>
      </c>
      <c r="L91" s="19" t="str">
        <v/>
      </c>
      <c r="M91" t="str">
        <f ca="1"/>
        <v/>
      </c>
      <c r="O91" s="50" t="str">
        <f ca="1"/>
        <v/>
      </c>
    </row>
    <row r="92" spans="9:15" x14ac:dyDescent="0.2">
      <c r="I92" s="50" t="str">
        <v/>
      </c>
      <c r="J92" s="50" t="str">
        <v/>
      </c>
      <c r="K92" s="50" t="str">
        <f ca="1"/>
        <v/>
      </c>
      <c r="L92" s="19" t="str">
        <v/>
      </c>
      <c r="M92" t="str">
        <f ca="1"/>
        <v/>
      </c>
      <c r="O92" s="50" t="str">
        <f ca="1"/>
        <v/>
      </c>
    </row>
    <row r="93" spans="9:15" x14ac:dyDescent="0.2">
      <c r="I93" s="50" t="str">
        <v/>
      </c>
      <c r="J93" s="50" t="str">
        <v/>
      </c>
      <c r="K93" s="50" t="str">
        <f ca="1"/>
        <v/>
      </c>
      <c r="L93" s="19" t="str">
        <v/>
      </c>
      <c r="M93" t="str">
        <f ca="1"/>
        <v/>
      </c>
      <c r="O93" s="50" t="str">
        <f ca="1"/>
        <v/>
      </c>
    </row>
    <row r="94" spans="9:15" x14ac:dyDescent="0.2">
      <c r="I94" s="50" t="str">
        <v/>
      </c>
      <c r="J94" s="50" t="str">
        <v/>
      </c>
      <c r="K94" s="50" t="str">
        <f ca="1"/>
        <v/>
      </c>
      <c r="L94" s="19" t="str">
        <v/>
      </c>
      <c r="M94" t="str">
        <f ca="1"/>
        <v/>
      </c>
      <c r="O94" s="50" t="str">
        <f ca="1"/>
        <v/>
      </c>
    </row>
    <row r="95" spans="9:15" x14ac:dyDescent="0.2">
      <c r="I95" s="50" t="str">
        <v/>
      </c>
      <c r="J95" s="50" t="str">
        <v/>
      </c>
      <c r="K95" s="50" t="str">
        <f ca="1"/>
        <v/>
      </c>
      <c r="L95" s="19" t="str">
        <v/>
      </c>
      <c r="M95" t="str">
        <f ca="1"/>
        <v/>
      </c>
      <c r="O95" s="50" t="str">
        <f ca="1"/>
        <v/>
      </c>
    </row>
    <row r="96" spans="9:15" x14ac:dyDescent="0.2">
      <c r="I96" s="50" t="str">
        <v/>
      </c>
      <c r="J96" s="50" t="str">
        <v/>
      </c>
      <c r="K96" s="50" t="str">
        <f ca="1"/>
        <v/>
      </c>
      <c r="L96" s="19" t="str">
        <v/>
      </c>
      <c r="M96" t="str">
        <f ca="1"/>
        <v/>
      </c>
      <c r="O96" s="50" t="str">
        <f ca="1"/>
        <v/>
      </c>
    </row>
    <row r="97" spans="9:15" x14ac:dyDescent="0.2">
      <c r="I97" s="50" t="str">
        <v/>
      </c>
      <c r="J97" s="50" t="str">
        <v/>
      </c>
      <c r="K97" s="50" t="str">
        <f ca="1"/>
        <v/>
      </c>
      <c r="L97" s="19" t="str">
        <v/>
      </c>
      <c r="M97" t="str">
        <f ca="1"/>
        <v/>
      </c>
      <c r="O97" s="50" t="str">
        <f ca="1"/>
        <v/>
      </c>
    </row>
    <row r="98" spans="9:15" x14ac:dyDescent="0.2">
      <c r="I98" s="50" t="str">
        <v/>
      </c>
      <c r="J98" s="50" t="str">
        <v/>
      </c>
      <c r="K98" s="50" t="str">
        <f ca="1"/>
        <v/>
      </c>
      <c r="L98" s="19" t="str">
        <v/>
      </c>
      <c r="M98" t="str">
        <f ca="1"/>
        <v/>
      </c>
      <c r="O98" s="50" t="str">
        <f ca="1"/>
        <v/>
      </c>
    </row>
    <row r="99" spans="9:15" x14ac:dyDescent="0.2">
      <c r="I99" s="50" t="str">
        <v/>
      </c>
      <c r="J99" s="50" t="str">
        <v/>
      </c>
      <c r="K99" s="50" t="str">
        <f ca="1"/>
        <v/>
      </c>
      <c r="L99" s="19" t="str">
        <v/>
      </c>
      <c r="M99" t="str">
        <f ca="1"/>
        <v/>
      </c>
      <c r="O99" s="50" t="str">
        <f ca="1"/>
        <v/>
      </c>
    </row>
    <row r="100" spans="9:15" x14ac:dyDescent="0.2">
      <c r="I100" s="50" t="str">
        <v/>
      </c>
      <c r="J100" s="50" t="str">
        <v/>
      </c>
      <c r="K100" s="50" t="str">
        <f ca="1"/>
        <v/>
      </c>
      <c r="L100" s="19" t="str">
        <v/>
      </c>
      <c r="M100" t="str">
        <f ca="1"/>
        <v/>
      </c>
      <c r="O100" s="50" t="str">
        <f ca="1"/>
        <v/>
      </c>
    </row>
    <row r="101" spans="9:15" x14ac:dyDescent="0.2">
      <c r="I101" s="50" t="str">
        <v/>
      </c>
      <c r="J101" s="50" t="str">
        <v/>
      </c>
      <c r="K101" s="50" t="str">
        <f ca="1"/>
        <v/>
      </c>
      <c r="L101" s="19" t="str">
        <v/>
      </c>
      <c r="M101" t="str">
        <f ca="1"/>
        <v/>
      </c>
      <c r="O101" s="50" t="str">
        <f ca="1"/>
        <v/>
      </c>
    </row>
    <row r="102" spans="9:15" x14ac:dyDescent="0.2">
      <c r="I102" s="50" t="str">
        <v/>
      </c>
      <c r="J102" s="50" t="str">
        <v/>
      </c>
      <c r="K102" s="50" t="str">
        <f ca="1"/>
        <v/>
      </c>
      <c r="L102" s="19" t="str">
        <v/>
      </c>
      <c r="M102" t="str">
        <f ca="1"/>
        <v/>
      </c>
      <c r="O102" s="50" t="str">
        <f ca="1"/>
        <v/>
      </c>
    </row>
    <row r="103" spans="9:15" x14ac:dyDescent="0.2">
      <c r="I103" s="50" t="str">
        <v/>
      </c>
      <c r="J103" s="50" t="str">
        <v/>
      </c>
      <c r="K103" s="50" t="str">
        <f ca="1"/>
        <v/>
      </c>
      <c r="L103" s="19" t="str">
        <v/>
      </c>
      <c r="M103" t="str">
        <f ca="1"/>
        <v/>
      </c>
      <c r="O103" s="50" t="str">
        <f ca="1"/>
        <v/>
      </c>
    </row>
    <row r="104" spans="9:15" x14ac:dyDescent="0.2">
      <c r="I104" s="50" t="str">
        <v/>
      </c>
      <c r="J104" s="50" t="str">
        <v/>
      </c>
      <c r="K104" s="50" t="str">
        <f ca="1"/>
        <v/>
      </c>
      <c r="L104" s="19" t="str">
        <v/>
      </c>
      <c r="M104" t="str">
        <f ca="1"/>
        <v/>
      </c>
      <c r="O104" s="50" t="str">
        <f ca="1"/>
        <v/>
      </c>
    </row>
    <row r="105" spans="9:15" x14ac:dyDescent="0.2">
      <c r="I105" s="50" t="str">
        <v/>
      </c>
      <c r="J105" s="50" t="str">
        <v/>
      </c>
      <c r="K105" s="50" t="str">
        <f ca="1"/>
        <v/>
      </c>
      <c r="L105" s="19" t="str">
        <v/>
      </c>
      <c r="M105" t="str">
        <f ca="1"/>
        <v/>
      </c>
      <c r="O105" s="50" t="str">
        <f ca="1"/>
        <v/>
      </c>
    </row>
    <row r="106" spans="9:15" x14ac:dyDescent="0.2">
      <c r="I106" s="50" t="str">
        <v/>
      </c>
      <c r="J106" s="50" t="str">
        <v/>
      </c>
      <c r="K106" s="50" t="str">
        <f ca="1"/>
        <v/>
      </c>
      <c r="L106" s="19" t="str">
        <v/>
      </c>
      <c r="M106" t="str">
        <f ca="1"/>
        <v/>
      </c>
      <c r="O106" s="50" t="str">
        <f ca="1"/>
        <v/>
      </c>
    </row>
    <row r="107" spans="9:15" x14ac:dyDescent="0.2">
      <c r="I107" s="50" t="str">
        <v/>
      </c>
      <c r="J107" s="50" t="str">
        <v/>
      </c>
      <c r="K107" s="50" t="str">
        <f ca="1"/>
        <v/>
      </c>
      <c r="L107" s="19" t="str">
        <v/>
      </c>
      <c r="M107" t="str">
        <f ca="1"/>
        <v/>
      </c>
      <c r="O107" s="50" t="str">
        <f ca="1"/>
        <v/>
      </c>
    </row>
    <row r="108" spans="9:15" x14ac:dyDescent="0.2">
      <c r="I108" s="50" t="str">
        <v/>
      </c>
      <c r="J108" s="50" t="str">
        <v/>
      </c>
      <c r="K108" s="50" t="str">
        <f ca="1"/>
        <v/>
      </c>
      <c r="L108" s="19" t="str">
        <v/>
      </c>
      <c r="M108" t="str">
        <f ca="1"/>
        <v/>
      </c>
      <c r="O108" s="50" t="str">
        <f ca="1"/>
        <v/>
      </c>
    </row>
    <row r="109" spans="9:15" x14ac:dyDescent="0.2">
      <c r="I109" s="50" t="str">
        <v/>
      </c>
      <c r="J109" s="50" t="str">
        <v/>
      </c>
      <c r="K109" s="50" t="str">
        <f ca="1"/>
        <v/>
      </c>
      <c r="L109" s="19" t="str">
        <v/>
      </c>
      <c r="M109" t="str">
        <f ca="1"/>
        <v/>
      </c>
      <c r="O109" s="50" t="str">
        <f ca="1"/>
        <v/>
      </c>
    </row>
    <row r="110" spans="9:15" x14ac:dyDescent="0.2">
      <c r="I110" s="50" t="str">
        <v/>
      </c>
      <c r="J110" s="50" t="str">
        <v/>
      </c>
      <c r="K110" s="50" t="str">
        <f ca="1"/>
        <v/>
      </c>
      <c r="L110" s="19" t="str">
        <v/>
      </c>
      <c r="M110" t="str">
        <f ca="1"/>
        <v/>
      </c>
      <c r="O110" s="50" t="str">
        <f ca="1"/>
        <v/>
      </c>
    </row>
    <row r="111" spans="9:15" x14ac:dyDescent="0.2">
      <c r="I111" s="50" t="str">
        <v/>
      </c>
      <c r="J111" s="50" t="str">
        <v/>
      </c>
      <c r="K111" s="50" t="str">
        <f ca="1"/>
        <v/>
      </c>
      <c r="L111" s="19" t="str">
        <v/>
      </c>
      <c r="M111" t="str">
        <f ca="1"/>
        <v/>
      </c>
      <c r="O111" s="50" t="str">
        <f ca="1"/>
        <v/>
      </c>
    </row>
    <row r="112" spans="9:15" x14ac:dyDescent="0.2">
      <c r="I112" s="50" t="str">
        <v/>
      </c>
      <c r="J112" s="50" t="str">
        <v/>
      </c>
      <c r="K112" s="50" t="str">
        <f ca="1"/>
        <v/>
      </c>
      <c r="L112" s="19" t="str">
        <v/>
      </c>
      <c r="M112" t="str">
        <f ca="1"/>
        <v/>
      </c>
      <c r="O112" s="50" t="str">
        <f ca="1"/>
        <v/>
      </c>
    </row>
    <row r="113" spans="9:15" x14ac:dyDescent="0.2">
      <c r="I113" s="50" t="str">
        <v/>
      </c>
      <c r="J113" s="50" t="str">
        <v/>
      </c>
      <c r="K113" s="50" t="str">
        <f ca="1"/>
        <v/>
      </c>
      <c r="L113" s="19" t="str">
        <v/>
      </c>
      <c r="M113" t="str">
        <f ca="1"/>
        <v/>
      </c>
      <c r="O113" s="50" t="str">
        <f ca="1"/>
        <v/>
      </c>
    </row>
    <row r="114" spans="9:15" x14ac:dyDescent="0.2">
      <c r="I114" s="50" t="str">
        <v/>
      </c>
      <c r="J114" s="50" t="str">
        <v/>
      </c>
      <c r="K114" s="50" t="str">
        <f ca="1"/>
        <v/>
      </c>
      <c r="L114" s="19" t="str">
        <v/>
      </c>
      <c r="M114" t="str">
        <f ca="1"/>
        <v/>
      </c>
      <c r="O114" s="50" t="str">
        <f ca="1"/>
        <v/>
      </c>
    </row>
    <row r="115" spans="9:15" x14ac:dyDescent="0.2">
      <c r="I115" s="50" t="str">
        <v/>
      </c>
      <c r="J115" s="50" t="str">
        <v/>
      </c>
      <c r="K115" s="50" t="str">
        <f ca="1"/>
        <v/>
      </c>
      <c r="L115" s="19" t="str">
        <v/>
      </c>
      <c r="M115" t="str">
        <f ca="1"/>
        <v/>
      </c>
      <c r="O115" s="50" t="str">
        <f ca="1"/>
        <v/>
      </c>
    </row>
    <row r="116" spans="9:15" x14ac:dyDescent="0.2">
      <c r="I116" s="50" t="str">
        <v/>
      </c>
      <c r="J116" s="50" t="str">
        <v/>
      </c>
      <c r="K116" s="50" t="str">
        <f ca="1"/>
        <v/>
      </c>
      <c r="L116" s="19" t="str">
        <v/>
      </c>
      <c r="M116" t="str">
        <f ca="1"/>
        <v/>
      </c>
      <c r="O116" s="50" t="str">
        <f ca="1"/>
        <v/>
      </c>
    </row>
    <row r="117" spans="9:15" x14ac:dyDescent="0.2">
      <c r="I117" s="50" t="str">
        <v/>
      </c>
      <c r="J117" s="50" t="str">
        <v/>
      </c>
      <c r="K117" s="50" t="str">
        <f ca="1"/>
        <v/>
      </c>
      <c r="L117" s="19" t="str">
        <v/>
      </c>
      <c r="M117" t="str">
        <f ca="1"/>
        <v/>
      </c>
      <c r="O117" s="50" t="str">
        <f ca="1"/>
        <v/>
      </c>
    </row>
    <row r="118" spans="9:15" x14ac:dyDescent="0.2">
      <c r="I118" s="50" t="str">
        <v/>
      </c>
      <c r="J118" s="50" t="str">
        <v/>
      </c>
      <c r="K118" s="50" t="str">
        <f ca="1"/>
        <v/>
      </c>
      <c r="L118" s="19" t="str">
        <v/>
      </c>
      <c r="M118" t="str">
        <f ca="1"/>
        <v/>
      </c>
      <c r="O118" s="50" t="str">
        <f ca="1"/>
        <v/>
      </c>
    </row>
    <row r="119" spans="9:15" x14ac:dyDescent="0.2">
      <c r="I119" s="50" t="str">
        <v/>
      </c>
      <c r="J119" s="50" t="str">
        <v/>
      </c>
      <c r="K119" s="50" t="str">
        <f ca="1"/>
        <v/>
      </c>
      <c r="L119" s="19" t="str">
        <v/>
      </c>
      <c r="M119" t="str">
        <f ca="1"/>
        <v/>
      </c>
      <c r="O119" s="50" t="str">
        <f ca="1"/>
        <v/>
      </c>
    </row>
    <row r="120" spans="9:15" x14ac:dyDescent="0.2">
      <c r="I120" s="50" t="str">
        <v/>
      </c>
      <c r="J120" s="50" t="str">
        <v/>
      </c>
      <c r="K120" s="50" t="str">
        <f ca="1"/>
        <v/>
      </c>
      <c r="L120" s="19" t="str">
        <v/>
      </c>
      <c r="M120" t="str">
        <f ca="1"/>
        <v/>
      </c>
      <c r="O120" s="50" t="str">
        <f ca="1"/>
        <v/>
      </c>
    </row>
    <row r="121" spans="9:15" x14ac:dyDescent="0.2">
      <c r="I121" s="50" t="str">
        <v/>
      </c>
      <c r="J121" s="50" t="str">
        <v/>
      </c>
      <c r="K121" s="50" t="str">
        <f ca="1"/>
        <v/>
      </c>
      <c r="L121" s="19" t="str">
        <v/>
      </c>
      <c r="M121" t="str">
        <f ca="1"/>
        <v/>
      </c>
      <c r="O121" s="50" t="str">
        <f ca="1"/>
        <v/>
      </c>
    </row>
    <row r="122" spans="9:15" x14ac:dyDescent="0.2">
      <c r="I122" s="50" t="str">
        <v/>
      </c>
      <c r="J122" s="50" t="str">
        <v/>
      </c>
      <c r="K122" s="50" t="str">
        <f ca="1"/>
        <v/>
      </c>
      <c r="L122" s="19" t="str">
        <v/>
      </c>
      <c r="M122" t="str">
        <f ca="1"/>
        <v/>
      </c>
      <c r="O122" s="50" t="str">
        <f ca="1"/>
        <v/>
      </c>
    </row>
    <row r="123" spans="9:15" x14ac:dyDescent="0.2">
      <c r="I123" s="50" t="str">
        <v/>
      </c>
      <c r="J123" s="50" t="str">
        <v/>
      </c>
      <c r="K123" s="50" t="str">
        <f ca="1"/>
        <v/>
      </c>
      <c r="L123" s="19" t="str">
        <v/>
      </c>
      <c r="M123" t="str">
        <f ca="1"/>
        <v/>
      </c>
      <c r="O123" s="50" t="str">
        <f ca="1"/>
        <v/>
      </c>
    </row>
    <row r="124" spans="9:15" x14ac:dyDescent="0.2">
      <c r="I124" s="50" t="str">
        <v/>
      </c>
      <c r="J124" s="50" t="str">
        <v/>
      </c>
      <c r="K124" s="50" t="str">
        <f ca="1"/>
        <v/>
      </c>
      <c r="L124" s="19" t="str">
        <v/>
      </c>
      <c r="M124" t="str">
        <f ca="1"/>
        <v/>
      </c>
      <c r="O124" s="50" t="str">
        <f ca="1"/>
        <v/>
      </c>
    </row>
    <row r="125" spans="9:15" x14ac:dyDescent="0.2">
      <c r="I125" s="50" t="str">
        <v/>
      </c>
      <c r="J125" s="50" t="str">
        <v/>
      </c>
      <c r="K125" s="50" t="str">
        <f ca="1"/>
        <v/>
      </c>
      <c r="L125" s="19" t="str">
        <v/>
      </c>
      <c r="M125" t="str">
        <f ca="1"/>
        <v/>
      </c>
      <c r="O125" s="50" t="str">
        <f ca="1"/>
        <v/>
      </c>
    </row>
    <row r="126" spans="9:15" x14ac:dyDescent="0.2">
      <c r="I126" s="50" t="str">
        <v/>
      </c>
      <c r="J126" s="50" t="str">
        <v/>
      </c>
      <c r="K126" s="50" t="str">
        <f ca="1"/>
        <v/>
      </c>
      <c r="L126" s="19" t="str">
        <v/>
      </c>
      <c r="M126" t="str">
        <f ca="1"/>
        <v/>
      </c>
      <c r="O126" s="50" t="str">
        <f ca="1"/>
        <v/>
      </c>
    </row>
    <row r="127" spans="9:15" x14ac:dyDescent="0.2">
      <c r="I127" s="50" t="str">
        <v/>
      </c>
      <c r="J127" s="50" t="str">
        <v/>
      </c>
      <c r="K127" s="50" t="str">
        <f ca="1"/>
        <v/>
      </c>
      <c r="L127" s="19" t="str">
        <v/>
      </c>
      <c r="M127" t="str">
        <f ca="1"/>
        <v/>
      </c>
      <c r="O127" s="50" t="str">
        <f ca="1"/>
        <v/>
      </c>
    </row>
    <row r="128" spans="9:15" x14ac:dyDescent="0.2">
      <c r="I128" s="50" t="str">
        <v/>
      </c>
      <c r="J128" s="50" t="str">
        <v/>
      </c>
      <c r="K128" s="50" t="str">
        <f ca="1"/>
        <v/>
      </c>
      <c r="L128" s="19" t="str">
        <v/>
      </c>
      <c r="M128" t="str">
        <f ca="1"/>
        <v/>
      </c>
      <c r="O128" s="50" t="str">
        <f ca="1"/>
        <v/>
      </c>
    </row>
    <row r="129" spans="9:15" x14ac:dyDescent="0.2">
      <c r="I129" s="50" t="str">
        <v/>
      </c>
      <c r="J129" s="50" t="str">
        <v/>
      </c>
      <c r="K129" s="50" t="str">
        <f ca="1"/>
        <v/>
      </c>
      <c r="L129" s="19" t="str">
        <v/>
      </c>
      <c r="M129" t="str">
        <f ca="1"/>
        <v/>
      </c>
      <c r="O129" s="50" t="str">
        <f ca="1"/>
        <v/>
      </c>
    </row>
    <row r="130" spans="9:15" x14ac:dyDescent="0.2">
      <c r="I130" s="50" t="str">
        <v/>
      </c>
      <c r="J130" s="50" t="str">
        <v/>
      </c>
      <c r="K130" s="50" t="str">
        <f ca="1"/>
        <v/>
      </c>
      <c r="L130" s="19" t="str">
        <v/>
      </c>
      <c r="M130" t="str">
        <f ca="1"/>
        <v/>
      </c>
      <c r="O130" s="50" t="str">
        <f ca="1"/>
        <v/>
      </c>
    </row>
    <row r="131" spans="9:15" x14ac:dyDescent="0.2">
      <c r="I131" s="50" t="str">
        <v/>
      </c>
      <c r="J131" s="50" t="str">
        <v/>
      </c>
      <c r="K131" s="50" t="str">
        <f ca="1"/>
        <v/>
      </c>
      <c r="L131" s="19" t="str">
        <v/>
      </c>
      <c r="M131" t="str">
        <f ca="1"/>
        <v/>
      </c>
      <c r="O131" s="50" t="str">
        <f ca="1"/>
        <v/>
      </c>
    </row>
    <row r="132" spans="9:15" x14ac:dyDescent="0.2">
      <c r="I132" s="50" t="str">
        <v/>
      </c>
      <c r="J132" s="50" t="str">
        <v/>
      </c>
      <c r="K132" s="50" t="str">
        <f ca="1"/>
        <v/>
      </c>
      <c r="L132" s="19" t="str">
        <v/>
      </c>
      <c r="M132" t="str">
        <f ca="1"/>
        <v/>
      </c>
      <c r="O132" s="50" t="str">
        <f ca="1"/>
        <v/>
      </c>
    </row>
    <row r="133" spans="9:15" x14ac:dyDescent="0.2">
      <c r="I133" s="50" t="str">
        <v/>
      </c>
      <c r="J133" s="50" t="str">
        <v/>
      </c>
      <c r="K133" s="50" t="str">
        <f ca="1"/>
        <v/>
      </c>
      <c r="L133" s="19" t="str">
        <v/>
      </c>
      <c r="M133" t="str">
        <f ca="1"/>
        <v/>
      </c>
      <c r="O133" s="50" t="str">
        <f ca="1"/>
        <v/>
      </c>
    </row>
    <row r="134" spans="9:15" x14ac:dyDescent="0.2">
      <c r="I134" s="50" t="str">
        <v/>
      </c>
      <c r="J134" s="50" t="str">
        <v/>
      </c>
      <c r="K134" s="50" t="str">
        <f ca="1"/>
        <v/>
      </c>
      <c r="L134" s="19" t="str">
        <v/>
      </c>
      <c r="M134" t="str">
        <f ca="1"/>
        <v/>
      </c>
      <c r="O134" s="50" t="str">
        <f ca="1"/>
        <v/>
      </c>
    </row>
    <row r="135" spans="9:15" x14ac:dyDescent="0.2">
      <c r="I135" s="50" t="str">
        <v/>
      </c>
      <c r="J135" s="50" t="str">
        <v/>
      </c>
      <c r="K135" s="50" t="str">
        <f ca="1"/>
        <v/>
      </c>
      <c r="L135" s="19" t="str">
        <v/>
      </c>
      <c r="M135" t="str">
        <f ca="1"/>
        <v/>
      </c>
      <c r="O135" s="50" t="str">
        <f ca="1"/>
        <v/>
      </c>
    </row>
    <row r="136" spans="9:15" x14ac:dyDescent="0.2">
      <c r="I136" s="50" t="str">
        <v/>
      </c>
      <c r="J136" s="50" t="str">
        <v/>
      </c>
      <c r="K136" s="50" t="str">
        <f ca="1"/>
        <v/>
      </c>
      <c r="L136" s="19" t="str">
        <v/>
      </c>
      <c r="M136" t="str">
        <f ca="1"/>
        <v/>
      </c>
      <c r="O136" s="50" t="str">
        <f ca="1"/>
        <v/>
      </c>
    </row>
    <row r="137" spans="9:15" x14ac:dyDescent="0.2">
      <c r="I137" s="50" t="str">
        <v/>
      </c>
      <c r="J137" s="50" t="str">
        <v/>
      </c>
      <c r="K137" s="50" t="str">
        <f ca="1"/>
        <v/>
      </c>
      <c r="L137" s="19" t="str">
        <v/>
      </c>
      <c r="M137" t="str">
        <f ca="1"/>
        <v/>
      </c>
      <c r="O137" s="50" t="str">
        <f ca="1"/>
        <v/>
      </c>
    </row>
    <row r="138" spans="9:15" x14ac:dyDescent="0.2">
      <c r="I138" s="50" t="str">
        <v/>
      </c>
      <c r="J138" s="50" t="str">
        <v/>
      </c>
      <c r="K138" s="50" t="str">
        <f ca="1"/>
        <v/>
      </c>
      <c r="L138" s="19" t="str">
        <v/>
      </c>
      <c r="M138" t="str">
        <f ca="1"/>
        <v/>
      </c>
      <c r="O138" s="50" t="str">
        <f ca="1"/>
        <v/>
      </c>
    </row>
    <row r="139" spans="9:15" x14ac:dyDescent="0.2">
      <c r="I139" s="50" t="str">
        <v/>
      </c>
      <c r="J139" s="50" t="str">
        <v/>
      </c>
      <c r="K139" s="50" t="str">
        <f ca="1"/>
        <v/>
      </c>
      <c r="L139" s="19" t="str">
        <v/>
      </c>
      <c r="M139" t="str">
        <f ca="1"/>
        <v/>
      </c>
      <c r="O139" s="50" t="str">
        <f ca="1"/>
        <v/>
      </c>
    </row>
    <row r="140" spans="9:15" x14ac:dyDescent="0.2">
      <c r="I140" s="50" t="str">
        <v/>
      </c>
      <c r="J140" s="50" t="str">
        <v/>
      </c>
      <c r="K140" s="50" t="str">
        <f ca="1"/>
        <v/>
      </c>
      <c r="L140" s="19" t="str">
        <v/>
      </c>
      <c r="M140" t="str">
        <f ca="1"/>
        <v/>
      </c>
      <c r="O140" s="50" t="str">
        <f ca="1"/>
        <v/>
      </c>
    </row>
    <row r="141" spans="9:15" x14ac:dyDescent="0.2">
      <c r="I141" s="50" t="str">
        <v/>
      </c>
      <c r="J141" s="50" t="str">
        <v/>
      </c>
      <c r="K141" s="50" t="str">
        <f ca="1"/>
        <v/>
      </c>
      <c r="L141" s="19" t="str">
        <v/>
      </c>
      <c r="M141" t="str">
        <f ca="1"/>
        <v/>
      </c>
      <c r="O141" s="50" t="str">
        <f ca="1"/>
        <v/>
      </c>
    </row>
    <row r="142" spans="9:15" x14ac:dyDescent="0.2">
      <c r="I142" s="50" t="str">
        <v/>
      </c>
      <c r="J142" s="50" t="str">
        <v/>
      </c>
      <c r="K142" s="50" t="str">
        <f ca="1"/>
        <v/>
      </c>
      <c r="L142" s="19" t="str">
        <v/>
      </c>
      <c r="M142" t="str">
        <f ca="1"/>
        <v/>
      </c>
      <c r="O142" s="50" t="str">
        <f ca="1"/>
        <v/>
      </c>
    </row>
    <row r="143" spans="9:15" x14ac:dyDescent="0.2">
      <c r="I143" s="50" t="str">
        <v/>
      </c>
      <c r="J143" s="50" t="str">
        <v/>
      </c>
      <c r="K143" s="50" t="str">
        <f ca="1"/>
        <v/>
      </c>
      <c r="L143" s="19" t="str">
        <v/>
      </c>
      <c r="M143" t="str">
        <f ca="1"/>
        <v/>
      </c>
      <c r="O143" s="50" t="str">
        <f ca="1"/>
        <v/>
      </c>
    </row>
    <row r="144" spans="9:15" x14ac:dyDescent="0.2">
      <c r="I144" s="50" t="str">
        <v/>
      </c>
      <c r="J144" s="50" t="str">
        <v/>
      </c>
      <c r="K144" s="50" t="str">
        <f ca="1"/>
        <v/>
      </c>
      <c r="L144" s="19" t="str">
        <v/>
      </c>
      <c r="M144" t="str">
        <f ca="1"/>
        <v/>
      </c>
      <c r="O144" s="50" t="str">
        <f ca="1"/>
        <v/>
      </c>
    </row>
    <row r="145" spans="9:15" x14ac:dyDescent="0.2">
      <c r="I145" s="50" t="str">
        <v/>
      </c>
      <c r="J145" s="50" t="str">
        <v/>
      </c>
      <c r="K145" s="50" t="str">
        <f ca="1"/>
        <v/>
      </c>
      <c r="L145" s="19" t="str">
        <v/>
      </c>
      <c r="M145" t="str">
        <f ca="1"/>
        <v/>
      </c>
      <c r="O145" s="50" t="str">
        <f ca="1"/>
        <v/>
      </c>
    </row>
    <row r="146" spans="9:15" x14ac:dyDescent="0.2">
      <c r="I146" s="50" t="str">
        <v/>
      </c>
      <c r="J146" s="50" t="str">
        <v/>
      </c>
      <c r="K146" s="50" t="str">
        <f ca="1"/>
        <v/>
      </c>
      <c r="L146" s="19" t="str">
        <v/>
      </c>
      <c r="M146" t="str">
        <f ca="1"/>
        <v/>
      </c>
      <c r="O146" s="50" t="str">
        <f ca="1"/>
        <v/>
      </c>
    </row>
    <row r="147" spans="9:15" x14ac:dyDescent="0.2">
      <c r="I147" s="50" t="str">
        <v/>
      </c>
      <c r="J147" s="50" t="str">
        <v/>
      </c>
      <c r="K147" s="50" t="str">
        <f ca="1"/>
        <v/>
      </c>
      <c r="L147" s="19" t="str">
        <v/>
      </c>
      <c r="M147" t="str">
        <f ca="1"/>
        <v/>
      </c>
      <c r="O147" s="50" t="str">
        <f ca="1"/>
        <v/>
      </c>
    </row>
    <row r="148" spans="9:15" x14ac:dyDescent="0.2">
      <c r="I148" s="50" t="str">
        <v/>
      </c>
      <c r="J148" s="50" t="str">
        <v/>
      </c>
      <c r="K148" s="50" t="str">
        <f ca="1"/>
        <v/>
      </c>
      <c r="L148" s="19" t="str">
        <v/>
      </c>
      <c r="M148" t="str">
        <f ca="1"/>
        <v/>
      </c>
      <c r="O148" s="50" t="str">
        <f ca="1"/>
        <v/>
      </c>
    </row>
    <row r="149" spans="9:15" x14ac:dyDescent="0.2">
      <c r="I149" s="50" t="str">
        <v/>
      </c>
      <c r="J149" s="50" t="str">
        <v/>
      </c>
      <c r="K149" s="50" t="str">
        <f ca="1"/>
        <v/>
      </c>
      <c r="L149" s="19" t="str">
        <v/>
      </c>
      <c r="M149" t="str">
        <f ca="1"/>
        <v/>
      </c>
      <c r="O149" s="50" t="str">
        <f ca="1"/>
        <v/>
      </c>
    </row>
    <row r="150" spans="9:15" x14ac:dyDescent="0.2">
      <c r="I150" s="50" t="str">
        <v/>
      </c>
      <c r="J150" s="50" t="str">
        <v/>
      </c>
      <c r="K150" s="50" t="str">
        <f ca="1"/>
        <v/>
      </c>
      <c r="L150" s="19" t="str">
        <v/>
      </c>
      <c r="M150" t="str">
        <f ca="1"/>
        <v/>
      </c>
      <c r="O150" s="50" t="str">
        <f ca="1"/>
        <v/>
      </c>
    </row>
    <row r="151" spans="9:15" x14ac:dyDescent="0.2">
      <c r="I151" s="50" t="str">
        <v/>
      </c>
      <c r="J151" s="50" t="str">
        <v/>
      </c>
      <c r="K151" s="50" t="str">
        <f ca="1"/>
        <v/>
      </c>
      <c r="L151" s="19" t="str">
        <v/>
      </c>
      <c r="M151" t="str">
        <f ca="1"/>
        <v/>
      </c>
      <c r="O151" s="50" t="str">
        <f ca="1"/>
        <v/>
      </c>
    </row>
    <row r="152" spans="9:15" x14ac:dyDescent="0.2">
      <c r="I152" s="50" t="str">
        <v/>
      </c>
      <c r="J152" s="50" t="str">
        <v/>
      </c>
      <c r="K152" s="50" t="str">
        <f ca="1"/>
        <v/>
      </c>
      <c r="L152" s="19" t="str">
        <v/>
      </c>
      <c r="M152" t="str">
        <f ca="1"/>
        <v/>
      </c>
      <c r="O152" s="50" t="str">
        <f ca="1"/>
        <v/>
      </c>
    </row>
    <row r="153" spans="9:15" x14ac:dyDescent="0.2">
      <c r="I153" s="50" t="str">
        <v/>
      </c>
      <c r="J153" s="50" t="str">
        <v/>
      </c>
      <c r="K153" s="50" t="str">
        <f ca="1"/>
        <v/>
      </c>
      <c r="L153" s="19" t="str">
        <v/>
      </c>
      <c r="M153" t="str">
        <f ca="1"/>
        <v/>
      </c>
      <c r="O153" s="50" t="str">
        <f ca="1"/>
        <v/>
      </c>
    </row>
    <row r="154" spans="9:15" x14ac:dyDescent="0.2">
      <c r="I154" s="50" t="str">
        <v/>
      </c>
      <c r="J154" s="50" t="str">
        <v/>
      </c>
      <c r="K154" s="50" t="str">
        <f ca="1"/>
        <v/>
      </c>
      <c r="L154" s="19" t="str">
        <v/>
      </c>
      <c r="M154" t="str">
        <f ca="1"/>
        <v/>
      </c>
      <c r="O154" s="50" t="str">
        <f ca="1"/>
        <v/>
      </c>
    </row>
    <row r="155" spans="9:15" x14ac:dyDescent="0.2">
      <c r="I155" s="50" t="str">
        <v/>
      </c>
      <c r="J155" s="50" t="str">
        <v/>
      </c>
      <c r="K155" s="50" t="str">
        <f ca="1"/>
        <v/>
      </c>
      <c r="L155" s="19" t="str">
        <v/>
      </c>
      <c r="M155" t="str">
        <f ca="1"/>
        <v/>
      </c>
      <c r="O155" s="50" t="str">
        <f ca="1"/>
        <v/>
      </c>
    </row>
    <row r="156" spans="9:15" x14ac:dyDescent="0.2">
      <c r="I156" s="50" t="str">
        <v/>
      </c>
      <c r="J156" s="50" t="str">
        <v/>
      </c>
      <c r="K156" s="50" t="str">
        <f ca="1"/>
        <v/>
      </c>
      <c r="L156" s="19" t="str">
        <v/>
      </c>
      <c r="M156" t="str">
        <f ca="1"/>
        <v/>
      </c>
      <c r="O156" s="50" t="str">
        <f ca="1"/>
        <v/>
      </c>
    </row>
    <row r="157" spans="9:15" x14ac:dyDescent="0.2">
      <c r="I157" s="50" t="str">
        <v/>
      </c>
      <c r="J157" s="50" t="str">
        <v/>
      </c>
      <c r="K157" s="50" t="str">
        <f ca="1"/>
        <v/>
      </c>
      <c r="L157" s="19" t="str">
        <v/>
      </c>
      <c r="M157" t="str">
        <f ca="1"/>
        <v/>
      </c>
      <c r="O157" s="50" t="str">
        <f ca="1"/>
        <v/>
      </c>
    </row>
    <row r="158" spans="9:15" x14ac:dyDescent="0.2">
      <c r="I158" s="50" t="str">
        <v/>
      </c>
      <c r="J158" s="50" t="str">
        <v/>
      </c>
      <c r="K158" s="50" t="str">
        <f ca="1"/>
        <v/>
      </c>
      <c r="L158" s="19" t="str">
        <v/>
      </c>
      <c r="M158" t="str">
        <f ca="1"/>
        <v/>
      </c>
      <c r="O158" s="50" t="str">
        <f ca="1"/>
        <v/>
      </c>
    </row>
    <row r="159" spans="9:15" x14ac:dyDescent="0.2">
      <c r="I159" s="50" t="str">
        <v/>
      </c>
      <c r="J159" s="50" t="str">
        <v/>
      </c>
      <c r="K159" s="50" t="str">
        <f ca="1"/>
        <v/>
      </c>
      <c r="L159" s="19" t="str">
        <v/>
      </c>
      <c r="M159" t="str">
        <f ca="1"/>
        <v/>
      </c>
      <c r="O159" s="50" t="str">
        <f ca="1"/>
        <v/>
      </c>
    </row>
    <row r="160" spans="9:15" x14ac:dyDescent="0.2">
      <c r="I160" s="50" t="str">
        <v/>
      </c>
      <c r="J160" s="50" t="str">
        <v/>
      </c>
      <c r="K160" s="50" t="str">
        <f ca="1"/>
        <v/>
      </c>
      <c r="L160" s="19" t="str">
        <v/>
      </c>
      <c r="M160" t="str">
        <f ca="1"/>
        <v/>
      </c>
      <c r="O160" s="50" t="str">
        <f ca="1"/>
        <v/>
      </c>
    </row>
    <row r="161" spans="9:15" x14ac:dyDescent="0.2">
      <c r="I161" s="50" t="str">
        <v/>
      </c>
      <c r="J161" s="50" t="str">
        <v/>
      </c>
      <c r="K161" s="50" t="str">
        <f ca="1"/>
        <v/>
      </c>
      <c r="L161" s="19" t="str">
        <v/>
      </c>
      <c r="M161" t="str">
        <f ca="1"/>
        <v/>
      </c>
      <c r="O161" s="50" t="str">
        <f ca="1"/>
        <v/>
      </c>
    </row>
    <row r="162" spans="9:15" x14ac:dyDescent="0.2">
      <c r="I162" s="50" t="str">
        <v/>
      </c>
      <c r="J162" s="50" t="str">
        <v/>
      </c>
      <c r="K162" s="50" t="str">
        <f ca="1"/>
        <v/>
      </c>
      <c r="L162" s="19" t="str">
        <v/>
      </c>
      <c r="M162" t="str">
        <f ca="1"/>
        <v/>
      </c>
      <c r="O162" s="50" t="str">
        <f ca="1"/>
        <v/>
      </c>
    </row>
    <row r="163" spans="9:15" x14ac:dyDescent="0.2">
      <c r="I163" s="50" t="str">
        <v/>
      </c>
      <c r="J163" s="50" t="str">
        <v/>
      </c>
      <c r="K163" s="50" t="str">
        <f ca="1"/>
        <v/>
      </c>
      <c r="L163" s="19" t="str">
        <v/>
      </c>
      <c r="M163" t="str">
        <f ca="1"/>
        <v/>
      </c>
      <c r="O163" s="50" t="str">
        <f ca="1"/>
        <v/>
      </c>
    </row>
    <row r="164" spans="9:15" x14ac:dyDescent="0.2">
      <c r="I164" s="50" t="str">
        <v/>
      </c>
      <c r="J164" s="50" t="str">
        <v/>
      </c>
      <c r="K164" s="50" t="str">
        <f ca="1"/>
        <v/>
      </c>
      <c r="L164" s="19" t="str">
        <v/>
      </c>
      <c r="M164" t="str">
        <f ca="1"/>
        <v/>
      </c>
      <c r="O164" s="50" t="str">
        <f ca="1"/>
        <v/>
      </c>
    </row>
    <row r="165" spans="9:15" x14ac:dyDescent="0.2">
      <c r="I165" s="50" t="str">
        <v/>
      </c>
      <c r="J165" s="50" t="str">
        <v/>
      </c>
      <c r="K165" s="50" t="str">
        <f ca="1"/>
        <v/>
      </c>
      <c r="L165" s="19" t="str">
        <v/>
      </c>
      <c r="M165" t="str">
        <f ca="1"/>
        <v/>
      </c>
      <c r="O165" s="50" t="str">
        <f ca="1"/>
        <v/>
      </c>
    </row>
    <row r="166" spans="9:15" x14ac:dyDescent="0.2">
      <c r="I166" s="50" t="str">
        <v/>
      </c>
      <c r="J166" s="50" t="str">
        <v/>
      </c>
      <c r="K166" s="50" t="str">
        <f ca="1"/>
        <v/>
      </c>
      <c r="L166" s="19" t="str">
        <v/>
      </c>
      <c r="M166" t="str">
        <f ca="1"/>
        <v/>
      </c>
      <c r="O166" s="50" t="str">
        <f ca="1"/>
        <v/>
      </c>
    </row>
    <row r="167" spans="9:15" x14ac:dyDescent="0.2">
      <c r="I167" s="50" t="str">
        <v/>
      </c>
      <c r="J167" s="50" t="str">
        <v/>
      </c>
      <c r="K167" s="50" t="str">
        <f ca="1"/>
        <v/>
      </c>
      <c r="L167" s="19" t="str">
        <v/>
      </c>
      <c r="M167" t="str">
        <f ca="1"/>
        <v/>
      </c>
      <c r="O167" s="50" t="str">
        <f ca="1"/>
        <v/>
      </c>
    </row>
    <row r="168" spans="9:15" x14ac:dyDescent="0.2">
      <c r="I168" s="50" t="str">
        <v/>
      </c>
      <c r="J168" s="50" t="str">
        <v/>
      </c>
      <c r="K168" s="50" t="str">
        <f ca="1"/>
        <v/>
      </c>
      <c r="L168" s="19" t="str">
        <v/>
      </c>
      <c r="M168" t="str">
        <f ca="1"/>
        <v/>
      </c>
      <c r="O168" s="50" t="str">
        <f ca="1"/>
        <v/>
      </c>
    </row>
    <row r="169" spans="9:15" x14ac:dyDescent="0.2">
      <c r="I169" s="50" t="str">
        <v/>
      </c>
      <c r="J169" s="50" t="str">
        <v/>
      </c>
      <c r="K169" s="50" t="str">
        <f ca="1"/>
        <v/>
      </c>
      <c r="L169" s="19" t="str">
        <v/>
      </c>
      <c r="M169" t="str">
        <f ca="1"/>
        <v/>
      </c>
      <c r="O169" s="50" t="str">
        <f ca="1"/>
        <v/>
      </c>
    </row>
    <row r="170" spans="9:15" x14ac:dyDescent="0.2">
      <c r="I170" s="50" t="str">
        <v/>
      </c>
      <c r="J170" s="50" t="str">
        <v/>
      </c>
      <c r="K170" s="50" t="str">
        <f ca="1"/>
        <v/>
      </c>
      <c r="L170" s="19" t="str">
        <v/>
      </c>
      <c r="M170" t="str">
        <f ca="1"/>
        <v/>
      </c>
      <c r="O170" s="50" t="str">
        <f ca="1"/>
        <v/>
      </c>
    </row>
    <row r="171" spans="9:15" x14ac:dyDescent="0.2">
      <c r="I171" s="50" t="str">
        <v/>
      </c>
      <c r="J171" s="50" t="str">
        <v/>
      </c>
      <c r="K171" s="50" t="str">
        <f ca="1"/>
        <v/>
      </c>
      <c r="L171" s="19" t="str">
        <v/>
      </c>
      <c r="M171" t="str">
        <f ca="1"/>
        <v/>
      </c>
      <c r="O171" s="50" t="str">
        <f ca="1"/>
        <v/>
      </c>
    </row>
    <row r="172" spans="9:15" x14ac:dyDescent="0.2">
      <c r="I172" s="50" t="str">
        <v/>
      </c>
      <c r="J172" s="50" t="str">
        <v/>
      </c>
      <c r="K172" s="50" t="str">
        <f ca="1"/>
        <v/>
      </c>
      <c r="L172" s="19" t="str">
        <v/>
      </c>
      <c r="M172" t="str">
        <f ca="1"/>
        <v/>
      </c>
      <c r="O172" s="50" t="str">
        <f ca="1"/>
        <v/>
      </c>
    </row>
    <row r="173" spans="9:15" x14ac:dyDescent="0.2">
      <c r="I173" s="50" t="str">
        <v/>
      </c>
      <c r="J173" s="50" t="str">
        <v/>
      </c>
      <c r="K173" s="50" t="str">
        <f ca="1"/>
        <v/>
      </c>
      <c r="L173" s="19" t="str">
        <v/>
      </c>
      <c r="M173" t="str">
        <f ca="1"/>
        <v/>
      </c>
      <c r="O173" s="50" t="str">
        <f ca="1"/>
        <v/>
      </c>
    </row>
    <row r="174" spans="9:15" x14ac:dyDescent="0.2">
      <c r="I174" s="50" t="str">
        <v/>
      </c>
      <c r="J174" s="50" t="str">
        <v/>
      </c>
      <c r="K174" s="50" t="str">
        <f ca="1"/>
        <v/>
      </c>
      <c r="L174" s="19" t="str">
        <v/>
      </c>
      <c r="M174" t="str">
        <f ca="1"/>
        <v/>
      </c>
      <c r="O174" s="50" t="str">
        <f ca="1"/>
        <v/>
      </c>
    </row>
    <row r="175" spans="9:15" x14ac:dyDescent="0.2">
      <c r="I175" s="50" t="str">
        <v/>
      </c>
      <c r="J175" s="50" t="str">
        <v/>
      </c>
      <c r="K175" s="50" t="str">
        <f ca="1"/>
        <v/>
      </c>
      <c r="L175" s="19" t="str">
        <v/>
      </c>
      <c r="M175" t="str">
        <f ca="1"/>
        <v/>
      </c>
      <c r="O175" s="50" t="str">
        <f ca="1"/>
        <v/>
      </c>
    </row>
    <row r="176" spans="9:15" x14ac:dyDescent="0.2">
      <c r="I176" s="50" t="str">
        <v/>
      </c>
      <c r="J176" s="50" t="str">
        <v/>
      </c>
      <c r="K176" s="50" t="str">
        <f ca="1"/>
        <v/>
      </c>
      <c r="L176" s="19" t="str">
        <v/>
      </c>
      <c r="M176" t="str">
        <f ca="1"/>
        <v/>
      </c>
      <c r="O176" s="50" t="str">
        <f ca="1"/>
        <v/>
      </c>
    </row>
    <row r="177" spans="9:15" x14ac:dyDescent="0.2">
      <c r="I177" s="50" t="str">
        <v/>
      </c>
      <c r="J177" s="50" t="str">
        <v/>
      </c>
      <c r="K177" s="50" t="str">
        <f ca="1"/>
        <v/>
      </c>
      <c r="L177" s="19" t="str">
        <v/>
      </c>
      <c r="M177" t="str">
        <f ca="1"/>
        <v/>
      </c>
      <c r="O177" s="50" t="str">
        <f ca="1"/>
        <v/>
      </c>
    </row>
    <row r="178" spans="9:15" x14ac:dyDescent="0.2">
      <c r="I178" s="50" t="str">
        <v/>
      </c>
      <c r="J178" s="50" t="str">
        <v/>
      </c>
      <c r="K178" s="50" t="str">
        <f ca="1"/>
        <v/>
      </c>
      <c r="L178" s="19" t="str">
        <v/>
      </c>
      <c r="M178" t="str">
        <f ca="1"/>
        <v/>
      </c>
      <c r="O178" s="50" t="str">
        <f ca="1"/>
        <v/>
      </c>
    </row>
    <row r="179" spans="9:15" x14ac:dyDescent="0.2">
      <c r="I179" s="50" t="str">
        <v/>
      </c>
      <c r="J179" s="50" t="str">
        <v/>
      </c>
      <c r="K179" s="50" t="str">
        <f ca="1"/>
        <v/>
      </c>
      <c r="L179" s="19" t="str">
        <v/>
      </c>
      <c r="M179" t="str">
        <f ca="1"/>
        <v/>
      </c>
      <c r="O179" s="50" t="str">
        <f ca="1"/>
        <v/>
      </c>
    </row>
    <row r="180" spans="9:15" x14ac:dyDescent="0.2">
      <c r="I180" s="50" t="str">
        <v/>
      </c>
      <c r="J180" s="50" t="str">
        <v/>
      </c>
      <c r="K180" s="50" t="str">
        <f ca="1"/>
        <v/>
      </c>
      <c r="L180" s="19" t="str">
        <v/>
      </c>
      <c r="M180" t="str">
        <f ca="1"/>
        <v/>
      </c>
      <c r="O180" s="50" t="str">
        <f ca="1"/>
        <v/>
      </c>
    </row>
    <row r="181" spans="9:15" x14ac:dyDescent="0.2">
      <c r="I181" s="50" t="str">
        <v/>
      </c>
      <c r="J181" s="50" t="str">
        <v/>
      </c>
      <c r="K181" s="50" t="str">
        <f ca="1"/>
        <v/>
      </c>
      <c r="L181" s="19" t="str">
        <v/>
      </c>
      <c r="M181" t="str">
        <f ca="1"/>
        <v/>
      </c>
      <c r="O181" s="50" t="str">
        <f ca="1"/>
        <v/>
      </c>
    </row>
    <row r="182" spans="9:15" x14ac:dyDescent="0.2">
      <c r="I182" s="50" t="str">
        <v/>
      </c>
      <c r="J182" s="50" t="str">
        <v/>
      </c>
      <c r="K182" s="50" t="str">
        <f ca="1"/>
        <v/>
      </c>
      <c r="L182" s="19" t="str">
        <v/>
      </c>
      <c r="M182" t="str">
        <f ca="1"/>
        <v/>
      </c>
      <c r="O182" s="50" t="str">
        <f ca="1"/>
        <v/>
      </c>
    </row>
    <row r="183" spans="9:15" x14ac:dyDescent="0.2">
      <c r="I183" s="50" t="str">
        <v/>
      </c>
      <c r="J183" s="50" t="str">
        <v/>
      </c>
      <c r="K183" s="50" t="str">
        <f ca="1"/>
        <v/>
      </c>
      <c r="L183" s="19" t="str">
        <v/>
      </c>
      <c r="M183" t="str">
        <f ca="1"/>
        <v/>
      </c>
      <c r="O183" s="50" t="str">
        <f ca="1"/>
        <v/>
      </c>
    </row>
    <row r="184" spans="9:15" x14ac:dyDescent="0.2">
      <c r="I184" s="50" t="str">
        <v/>
      </c>
      <c r="J184" s="50" t="str">
        <v/>
      </c>
      <c r="K184" s="50" t="str">
        <f ca="1"/>
        <v/>
      </c>
      <c r="L184" s="19" t="str">
        <v/>
      </c>
      <c r="M184" t="str">
        <f ca="1"/>
        <v/>
      </c>
      <c r="O184" s="50" t="str">
        <f ca="1"/>
        <v/>
      </c>
    </row>
    <row r="185" spans="9:15" x14ac:dyDescent="0.2">
      <c r="I185" s="50" t="str">
        <v/>
      </c>
      <c r="J185" s="50" t="str">
        <v/>
      </c>
      <c r="K185" s="50" t="str">
        <f ca="1"/>
        <v/>
      </c>
      <c r="L185" s="19" t="str">
        <v/>
      </c>
      <c r="M185" t="str">
        <f ca="1"/>
        <v/>
      </c>
      <c r="O185" s="50" t="str">
        <f ca="1"/>
        <v/>
      </c>
    </row>
    <row r="186" spans="9:15" x14ac:dyDescent="0.2">
      <c r="I186" s="50" t="str">
        <v/>
      </c>
      <c r="J186" s="50" t="str">
        <v/>
      </c>
      <c r="K186" s="50" t="str">
        <f ca="1"/>
        <v/>
      </c>
      <c r="L186" s="19" t="str">
        <v/>
      </c>
      <c r="M186" t="str">
        <f ca="1"/>
        <v/>
      </c>
      <c r="O186" s="50" t="str">
        <f ca="1"/>
        <v/>
      </c>
    </row>
    <row r="187" spans="9:15" x14ac:dyDescent="0.2">
      <c r="I187" s="50" t="str">
        <v/>
      </c>
      <c r="J187" s="50" t="str">
        <v/>
      </c>
      <c r="K187" s="50" t="str">
        <f ca="1"/>
        <v/>
      </c>
      <c r="L187" s="19" t="str">
        <v/>
      </c>
      <c r="M187" t="str">
        <f ca="1"/>
        <v/>
      </c>
      <c r="O187" s="50" t="str">
        <f ca="1"/>
        <v/>
      </c>
    </row>
    <row r="188" spans="9:15" x14ac:dyDescent="0.2">
      <c r="I188" s="50" t="str">
        <v/>
      </c>
      <c r="J188" s="50" t="str">
        <v/>
      </c>
      <c r="K188" s="50" t="str">
        <f ca="1"/>
        <v/>
      </c>
      <c r="L188" s="19" t="str">
        <v/>
      </c>
      <c r="M188" t="str">
        <f ca="1"/>
        <v/>
      </c>
      <c r="O188" s="50" t="str">
        <f ca="1"/>
        <v/>
      </c>
    </row>
    <row r="189" spans="9:15" x14ac:dyDescent="0.2">
      <c r="I189" s="50" t="str">
        <v/>
      </c>
      <c r="J189" s="50" t="str">
        <v/>
      </c>
      <c r="K189" s="50" t="str">
        <f ca="1"/>
        <v/>
      </c>
      <c r="L189" s="19" t="str">
        <v/>
      </c>
      <c r="M189" t="str">
        <f ca="1"/>
        <v/>
      </c>
      <c r="O189" s="50" t="str">
        <f ca="1"/>
        <v/>
      </c>
    </row>
    <row r="190" spans="9:15" x14ac:dyDescent="0.2">
      <c r="I190" s="50" t="str">
        <v/>
      </c>
      <c r="J190" s="50" t="str">
        <v/>
      </c>
      <c r="K190" s="50" t="str">
        <f ca="1"/>
        <v/>
      </c>
      <c r="L190" s="19" t="str">
        <v/>
      </c>
      <c r="M190" t="str">
        <f ca="1"/>
        <v/>
      </c>
      <c r="O190" s="50" t="str">
        <f ca="1"/>
        <v/>
      </c>
    </row>
    <row r="191" spans="9:15" x14ac:dyDescent="0.2">
      <c r="I191" s="50" t="str">
        <v/>
      </c>
      <c r="J191" s="50" t="str">
        <v/>
      </c>
      <c r="K191" s="50" t="str">
        <f ca="1"/>
        <v/>
      </c>
      <c r="L191" s="19" t="str">
        <v/>
      </c>
      <c r="M191" t="str">
        <f ca="1"/>
        <v/>
      </c>
      <c r="O191" s="50" t="str">
        <f ca="1"/>
        <v/>
      </c>
    </row>
    <row r="192" spans="9:15" x14ac:dyDescent="0.2">
      <c r="I192" s="50" t="str">
        <v/>
      </c>
      <c r="J192" s="50" t="str">
        <v/>
      </c>
      <c r="K192" s="50" t="str">
        <f ca="1"/>
        <v/>
      </c>
      <c r="L192" s="19" t="str">
        <v/>
      </c>
      <c r="M192" t="str">
        <f ca="1"/>
        <v/>
      </c>
      <c r="O192" s="50" t="str">
        <f ca="1"/>
        <v/>
      </c>
    </row>
    <row r="193" spans="9:15" x14ac:dyDescent="0.2">
      <c r="I193" s="50" t="str">
        <v/>
      </c>
      <c r="J193" s="50" t="str">
        <v/>
      </c>
      <c r="K193" s="50" t="str">
        <f ca="1"/>
        <v/>
      </c>
      <c r="L193" s="19" t="str">
        <v/>
      </c>
      <c r="M193" t="str">
        <f ca="1"/>
        <v/>
      </c>
      <c r="O193" s="50" t="str">
        <f ca="1"/>
        <v/>
      </c>
    </row>
    <row r="194" spans="9:15" x14ac:dyDescent="0.2">
      <c r="I194" s="50" t="str">
        <v/>
      </c>
      <c r="J194" s="50" t="str">
        <v/>
      </c>
      <c r="K194" s="50" t="str">
        <f ca="1"/>
        <v/>
      </c>
      <c r="L194" s="19" t="str">
        <v/>
      </c>
      <c r="M194" t="str">
        <f ca="1"/>
        <v/>
      </c>
      <c r="O194" s="50" t="str">
        <f ca="1"/>
        <v/>
      </c>
    </row>
    <row r="195" spans="9:15" x14ac:dyDescent="0.2">
      <c r="I195" s="50" t="str">
        <v/>
      </c>
      <c r="J195" s="50" t="str">
        <v/>
      </c>
      <c r="K195" s="50" t="str">
        <f ca="1"/>
        <v/>
      </c>
      <c r="L195" s="19" t="str">
        <v/>
      </c>
      <c r="M195" t="str">
        <f ca="1"/>
        <v/>
      </c>
      <c r="O195" s="50" t="str">
        <f ca="1"/>
        <v/>
      </c>
    </row>
    <row r="196" spans="9:15" x14ac:dyDescent="0.2">
      <c r="I196" s="50" t="str">
        <v/>
      </c>
      <c r="J196" s="50" t="str">
        <v/>
      </c>
      <c r="K196" s="50" t="str">
        <f ca="1"/>
        <v/>
      </c>
      <c r="L196" s="19" t="str">
        <v/>
      </c>
      <c r="M196" t="str">
        <f ca="1"/>
        <v/>
      </c>
      <c r="O196" s="50" t="str">
        <f ca="1"/>
        <v/>
      </c>
    </row>
    <row r="197" spans="9:15" x14ac:dyDescent="0.2">
      <c r="I197" s="50" t="str">
        <v/>
      </c>
      <c r="J197" s="50" t="str">
        <v/>
      </c>
      <c r="K197" s="50" t="str">
        <f ca="1"/>
        <v/>
      </c>
      <c r="L197" s="19" t="str">
        <v/>
      </c>
      <c r="M197" t="str">
        <f ca="1"/>
        <v/>
      </c>
      <c r="O197" s="50" t="str">
        <f ca="1"/>
        <v/>
      </c>
    </row>
    <row r="198" spans="9:15" x14ac:dyDescent="0.2">
      <c r="I198" s="50" t="str">
        <v/>
      </c>
      <c r="J198" s="50" t="str">
        <v/>
      </c>
      <c r="K198" s="50" t="str">
        <f ca="1"/>
        <v/>
      </c>
      <c r="L198" s="19" t="str">
        <v/>
      </c>
      <c r="M198" t="str">
        <f ca="1"/>
        <v/>
      </c>
      <c r="O198" s="50" t="str">
        <f ca="1"/>
        <v/>
      </c>
    </row>
    <row r="199" spans="9:15" x14ac:dyDescent="0.2">
      <c r="I199" s="50" t="str">
        <v/>
      </c>
      <c r="J199" s="50" t="str">
        <v/>
      </c>
      <c r="K199" s="50" t="str">
        <f ca="1"/>
        <v/>
      </c>
      <c r="L199" s="19" t="str">
        <v/>
      </c>
      <c r="M199" t="str">
        <f ca="1"/>
        <v/>
      </c>
      <c r="O199" s="50" t="str">
        <f ca="1"/>
        <v/>
      </c>
    </row>
    <row r="200" spans="9:15" x14ac:dyDescent="0.2">
      <c r="I200" s="50" t="str">
        <v/>
      </c>
      <c r="J200" s="50" t="str">
        <v/>
      </c>
      <c r="K200" s="50" t="str">
        <f ca="1"/>
        <v/>
      </c>
      <c r="L200" s="19" t="str">
        <v/>
      </c>
      <c r="M200" t="str">
        <f ca="1"/>
        <v/>
      </c>
      <c r="O200" s="50" t="str">
        <f ca="1"/>
        <v/>
      </c>
    </row>
    <row r="201" spans="9:15" x14ac:dyDescent="0.2">
      <c r="I201" s="50" t="str">
        <v/>
      </c>
      <c r="J201" s="50" t="str">
        <v/>
      </c>
      <c r="K201" s="50" t="str">
        <f ca="1"/>
        <v/>
      </c>
      <c r="L201" s="19" t="str">
        <v/>
      </c>
      <c r="M201" t="str">
        <f ca="1"/>
        <v/>
      </c>
      <c r="O201" s="50" t="str">
        <f ca="1"/>
        <v/>
      </c>
    </row>
    <row r="202" spans="9:15" x14ac:dyDescent="0.2">
      <c r="I202" s="50" t="str">
        <v/>
      </c>
      <c r="J202" s="50" t="str">
        <v/>
      </c>
      <c r="K202" s="50" t="str">
        <f ca="1"/>
        <v/>
      </c>
      <c r="L202" s="19" t="str">
        <v/>
      </c>
      <c r="M202" t="str">
        <f ca="1"/>
        <v/>
      </c>
      <c r="O202" s="50" t="str">
        <f ca="1"/>
        <v/>
      </c>
    </row>
    <row r="203" spans="9:15" x14ac:dyDescent="0.2">
      <c r="I203" s="50" t="str">
        <v/>
      </c>
      <c r="J203" s="50" t="str">
        <v/>
      </c>
      <c r="K203" s="50" t="str">
        <f ca="1"/>
        <v/>
      </c>
      <c r="L203" s="19" t="str">
        <v/>
      </c>
      <c r="M203" t="str">
        <f ca="1"/>
        <v/>
      </c>
      <c r="O203" s="50" t="str">
        <f ca="1"/>
        <v/>
      </c>
    </row>
    <row r="204" spans="9:15" x14ac:dyDescent="0.2">
      <c r="I204" s="50" t="str">
        <v/>
      </c>
      <c r="J204" s="50" t="str">
        <v/>
      </c>
      <c r="K204" s="50" t="str">
        <f ca="1"/>
        <v/>
      </c>
      <c r="L204" s="19" t="str">
        <v/>
      </c>
      <c r="M204" t="str">
        <f ca="1"/>
        <v/>
      </c>
      <c r="O204" s="50" t="str">
        <f ca="1"/>
        <v/>
      </c>
    </row>
    <row r="205" spans="9:15" x14ac:dyDescent="0.2">
      <c r="I205" s="50" t="str">
        <v/>
      </c>
      <c r="J205" s="50" t="str">
        <v/>
      </c>
      <c r="K205" s="50" t="str">
        <f ca="1"/>
        <v/>
      </c>
      <c r="L205" s="19" t="str">
        <v/>
      </c>
      <c r="M205" t="str">
        <f ca="1"/>
        <v/>
      </c>
      <c r="O205" s="50" t="str">
        <f ca="1"/>
        <v/>
      </c>
    </row>
    <row r="206" spans="9:15" x14ac:dyDescent="0.2">
      <c r="I206" s="50" t="str">
        <v/>
      </c>
      <c r="J206" s="50" t="str">
        <v/>
      </c>
      <c r="K206" s="50" t="str">
        <f ca="1"/>
        <v/>
      </c>
      <c r="L206" s="19" t="str">
        <v/>
      </c>
      <c r="M206" t="str">
        <f ca="1"/>
        <v/>
      </c>
      <c r="O206" s="50" t="str">
        <f ca="1"/>
        <v/>
      </c>
    </row>
    <row r="207" spans="9:15" x14ac:dyDescent="0.2">
      <c r="I207" s="50" t="str">
        <v/>
      </c>
      <c r="J207" s="50" t="str">
        <v/>
      </c>
      <c r="K207" s="50" t="str">
        <f ca="1"/>
        <v/>
      </c>
      <c r="L207" s="19" t="str">
        <v/>
      </c>
      <c r="M207" t="str">
        <f ca="1"/>
        <v/>
      </c>
      <c r="O207" s="50" t="str">
        <f ca="1"/>
        <v/>
      </c>
    </row>
    <row r="208" spans="9:15" x14ac:dyDescent="0.2">
      <c r="I208" s="50" t="str">
        <v/>
      </c>
      <c r="J208" s="50" t="str">
        <v/>
      </c>
      <c r="K208" s="50" t="str">
        <f ca="1"/>
        <v/>
      </c>
      <c r="L208" s="19" t="str">
        <v/>
      </c>
      <c r="M208" t="str">
        <f ca="1"/>
        <v/>
      </c>
      <c r="O208" s="50" t="str">
        <f ca="1"/>
        <v/>
      </c>
    </row>
    <row r="209" spans="9:15" x14ac:dyDescent="0.2">
      <c r="I209" s="50" t="str">
        <v/>
      </c>
      <c r="J209" s="50" t="str">
        <v/>
      </c>
      <c r="K209" s="50" t="str">
        <f ca="1"/>
        <v/>
      </c>
      <c r="L209" s="19" t="str">
        <v/>
      </c>
      <c r="M209" t="str">
        <f ca="1"/>
        <v/>
      </c>
      <c r="O209" s="50" t="str">
        <f ca="1"/>
        <v/>
      </c>
    </row>
    <row r="210" spans="9:15" x14ac:dyDescent="0.2">
      <c r="I210" s="50" t="str">
        <v/>
      </c>
      <c r="J210" s="50" t="str">
        <v/>
      </c>
      <c r="K210" s="50" t="str">
        <f ca="1"/>
        <v/>
      </c>
      <c r="L210" s="19" t="str">
        <v/>
      </c>
      <c r="M210" t="str">
        <f ca="1"/>
        <v/>
      </c>
      <c r="O210" s="50" t="str">
        <f ca="1"/>
        <v/>
      </c>
    </row>
    <row r="211" spans="9:15" x14ac:dyDescent="0.2">
      <c r="I211" s="50" t="str">
        <v/>
      </c>
      <c r="J211" s="50" t="str">
        <v/>
      </c>
      <c r="K211" s="50" t="str">
        <f ca="1"/>
        <v/>
      </c>
      <c r="L211" s="19" t="str">
        <v/>
      </c>
      <c r="M211" t="str">
        <f ca="1"/>
        <v/>
      </c>
      <c r="O211" s="50" t="str">
        <f ca="1"/>
        <v/>
      </c>
    </row>
    <row r="212" spans="9:15" x14ac:dyDescent="0.2">
      <c r="I212" s="50" t="str">
        <v/>
      </c>
      <c r="J212" s="50" t="str">
        <v/>
      </c>
      <c r="K212" s="50" t="str">
        <f ca="1"/>
        <v/>
      </c>
      <c r="L212" s="19" t="str">
        <v/>
      </c>
      <c r="M212" t="str">
        <f ca="1"/>
        <v/>
      </c>
      <c r="O212" s="50" t="str">
        <f ca="1"/>
        <v/>
      </c>
    </row>
    <row r="213" spans="9:15" x14ac:dyDescent="0.2">
      <c r="I213" s="50" t="str">
        <v/>
      </c>
      <c r="J213" s="50" t="str">
        <v/>
      </c>
      <c r="K213" s="50" t="str">
        <f ca="1"/>
        <v/>
      </c>
      <c r="L213" s="19" t="str">
        <v/>
      </c>
      <c r="M213" t="str">
        <f ca="1"/>
        <v/>
      </c>
      <c r="O213" s="50" t="str">
        <f ca="1"/>
        <v/>
      </c>
    </row>
    <row r="214" spans="9:15" x14ac:dyDescent="0.2">
      <c r="I214" s="50" t="str">
        <v/>
      </c>
      <c r="J214" s="50" t="str">
        <v/>
      </c>
      <c r="K214" s="50" t="str">
        <f ca="1"/>
        <v/>
      </c>
      <c r="L214" s="19" t="str">
        <v/>
      </c>
      <c r="M214" t="str">
        <f ca="1"/>
        <v/>
      </c>
      <c r="O214" s="50" t="str">
        <f ca="1"/>
        <v/>
      </c>
    </row>
    <row r="215" spans="9:15" x14ac:dyDescent="0.2">
      <c r="I215" s="50" t="str">
        <v/>
      </c>
      <c r="J215" s="50" t="str">
        <v/>
      </c>
      <c r="K215" s="50" t="str">
        <f ca="1"/>
        <v/>
      </c>
      <c r="L215" s="19" t="str">
        <v/>
      </c>
      <c r="M215" t="str">
        <f ca="1"/>
        <v/>
      </c>
      <c r="O215" s="50" t="str">
        <f ca="1"/>
        <v/>
      </c>
    </row>
    <row r="216" spans="9:15" x14ac:dyDescent="0.2">
      <c r="I216" s="50" t="str">
        <v/>
      </c>
      <c r="J216" s="50" t="str">
        <v/>
      </c>
      <c r="K216" s="50" t="str">
        <f ca="1"/>
        <v/>
      </c>
      <c r="L216" s="19" t="str">
        <v/>
      </c>
      <c r="M216" t="str">
        <f ca="1"/>
        <v/>
      </c>
      <c r="O216" s="50" t="str">
        <f ca="1"/>
        <v/>
      </c>
    </row>
    <row r="217" spans="9:15" x14ac:dyDescent="0.2">
      <c r="I217" s="50" t="str">
        <v/>
      </c>
      <c r="J217" s="50" t="str">
        <v/>
      </c>
      <c r="K217" s="50" t="str">
        <f ca="1"/>
        <v/>
      </c>
      <c r="L217" s="19" t="str">
        <v/>
      </c>
      <c r="M217" t="str">
        <f ca="1"/>
        <v/>
      </c>
      <c r="O217" s="50" t="str">
        <f ca="1"/>
        <v/>
      </c>
    </row>
    <row r="218" spans="9:15" x14ac:dyDescent="0.2">
      <c r="I218" s="50" t="str">
        <v/>
      </c>
      <c r="J218" s="50" t="str">
        <v/>
      </c>
      <c r="K218" s="50" t="str">
        <f ca="1"/>
        <v/>
      </c>
      <c r="L218" s="19" t="str">
        <v/>
      </c>
      <c r="M218" t="str">
        <f ca="1"/>
        <v/>
      </c>
      <c r="O218" s="50" t="str">
        <f ca="1"/>
        <v/>
      </c>
    </row>
    <row r="219" spans="9:15" x14ac:dyDescent="0.2">
      <c r="I219" s="50" t="str">
        <v/>
      </c>
      <c r="J219" s="50" t="str">
        <v/>
      </c>
      <c r="K219" s="50" t="str">
        <f ca="1"/>
        <v/>
      </c>
      <c r="L219" s="19" t="str">
        <v/>
      </c>
      <c r="M219" t="str">
        <f ca="1"/>
        <v/>
      </c>
      <c r="O219" s="50" t="str">
        <f ca="1"/>
        <v/>
      </c>
    </row>
    <row r="220" spans="9:15" x14ac:dyDescent="0.2">
      <c r="I220" s="50" t="str">
        <v/>
      </c>
      <c r="J220" s="50" t="str">
        <v/>
      </c>
      <c r="K220" s="50" t="str">
        <f ca="1"/>
        <v/>
      </c>
      <c r="L220" s="19" t="str">
        <v/>
      </c>
      <c r="M220" t="str">
        <f ca="1"/>
        <v/>
      </c>
      <c r="O220" s="50" t="str">
        <f ca="1"/>
        <v/>
      </c>
    </row>
    <row r="221" spans="9:15" x14ac:dyDescent="0.2">
      <c r="I221" s="50" t="str">
        <v/>
      </c>
      <c r="J221" s="50" t="str">
        <v/>
      </c>
      <c r="K221" s="50" t="str">
        <f ca="1"/>
        <v/>
      </c>
      <c r="L221" s="19" t="str">
        <v/>
      </c>
      <c r="M221" t="str">
        <f ca="1"/>
        <v/>
      </c>
      <c r="O221" s="50" t="str">
        <f ca="1"/>
        <v/>
      </c>
    </row>
    <row r="222" spans="9:15" x14ac:dyDescent="0.2">
      <c r="I222" s="50" t="str">
        <v/>
      </c>
      <c r="J222" s="50" t="str">
        <v/>
      </c>
      <c r="K222" s="50" t="str">
        <f ca="1"/>
        <v/>
      </c>
      <c r="L222" s="19" t="str">
        <v/>
      </c>
      <c r="M222" t="str">
        <f ca="1"/>
        <v/>
      </c>
      <c r="O222" s="50" t="str">
        <f ca="1"/>
        <v/>
      </c>
    </row>
    <row r="223" spans="9:15" x14ac:dyDescent="0.2">
      <c r="I223" s="50" t="str">
        <v/>
      </c>
      <c r="J223" s="50" t="str">
        <v/>
      </c>
      <c r="K223" s="50" t="str">
        <f ca="1"/>
        <v/>
      </c>
      <c r="L223" s="19" t="str">
        <v/>
      </c>
      <c r="M223" t="str">
        <f ca="1"/>
        <v/>
      </c>
      <c r="O223" s="50" t="str">
        <f ca="1"/>
        <v/>
      </c>
    </row>
    <row r="224" spans="9:15" x14ac:dyDescent="0.2">
      <c r="I224" s="50" t="str">
        <v/>
      </c>
      <c r="J224" s="50" t="str">
        <v/>
      </c>
      <c r="K224" s="50" t="str">
        <f ca="1"/>
        <v/>
      </c>
      <c r="L224" s="19" t="str">
        <v/>
      </c>
      <c r="M224" t="str">
        <f ca="1"/>
        <v/>
      </c>
      <c r="O224" s="50" t="str">
        <f ca="1"/>
        <v/>
      </c>
    </row>
    <row r="225" spans="9:15" x14ac:dyDescent="0.2">
      <c r="I225" s="50" t="str">
        <v/>
      </c>
      <c r="J225" s="50" t="str">
        <v/>
      </c>
      <c r="K225" s="50" t="str">
        <f ca="1"/>
        <v/>
      </c>
      <c r="L225" s="19" t="str">
        <v/>
      </c>
      <c r="M225" t="str">
        <f ca="1"/>
        <v/>
      </c>
      <c r="O225" s="50" t="str">
        <f ca="1"/>
        <v/>
      </c>
    </row>
    <row r="226" spans="9:15" x14ac:dyDescent="0.2">
      <c r="I226" s="50" t="str">
        <v/>
      </c>
      <c r="J226" s="50" t="str">
        <v/>
      </c>
      <c r="K226" s="50" t="str">
        <f ca="1"/>
        <v/>
      </c>
      <c r="L226" s="19" t="str">
        <v/>
      </c>
      <c r="M226" t="str">
        <f ca="1"/>
        <v/>
      </c>
      <c r="O226" s="50" t="str">
        <f ca="1"/>
        <v/>
      </c>
    </row>
    <row r="227" spans="9:15" x14ac:dyDescent="0.2">
      <c r="I227" s="50" t="str">
        <v/>
      </c>
      <c r="J227" s="50" t="str">
        <v/>
      </c>
      <c r="K227" s="50" t="str">
        <f ca="1"/>
        <v/>
      </c>
      <c r="L227" s="19" t="str">
        <v/>
      </c>
      <c r="M227" t="str">
        <f ca="1"/>
        <v/>
      </c>
      <c r="O227" s="50" t="str">
        <f ca="1"/>
        <v/>
      </c>
    </row>
    <row r="228" spans="9:15" x14ac:dyDescent="0.2">
      <c r="I228" s="50" t="str">
        <v/>
      </c>
      <c r="J228" s="50" t="str">
        <v/>
      </c>
      <c r="K228" s="50" t="str">
        <f ca="1"/>
        <v/>
      </c>
      <c r="L228" s="19" t="str">
        <v/>
      </c>
      <c r="M228" t="str">
        <f ca="1"/>
        <v/>
      </c>
      <c r="O228" s="50" t="str">
        <f ca="1"/>
        <v/>
      </c>
    </row>
    <row r="229" spans="9:15" x14ac:dyDescent="0.2">
      <c r="I229" s="50" t="str">
        <v/>
      </c>
      <c r="J229" s="50" t="str">
        <v/>
      </c>
      <c r="K229" s="50" t="str">
        <f ca="1"/>
        <v/>
      </c>
      <c r="L229" s="19" t="str">
        <v/>
      </c>
      <c r="M229" t="str">
        <f ca="1"/>
        <v/>
      </c>
      <c r="O229" s="50" t="str">
        <f ca="1"/>
        <v/>
      </c>
    </row>
    <row r="230" spans="9:15" x14ac:dyDescent="0.2">
      <c r="I230" s="50" t="str">
        <v/>
      </c>
      <c r="J230" s="50" t="str">
        <v/>
      </c>
      <c r="K230" s="50" t="str">
        <f ca="1"/>
        <v/>
      </c>
      <c r="L230" s="19" t="str">
        <v/>
      </c>
      <c r="M230" t="str">
        <f ca="1"/>
        <v/>
      </c>
      <c r="O230" s="50" t="str">
        <f ca="1"/>
        <v/>
      </c>
    </row>
    <row r="231" spans="9:15" x14ac:dyDescent="0.2">
      <c r="I231" s="50" t="str">
        <v/>
      </c>
      <c r="J231" s="50" t="str">
        <v/>
      </c>
      <c r="K231" s="50" t="str">
        <f ca="1"/>
        <v/>
      </c>
      <c r="L231" s="19" t="str">
        <v/>
      </c>
      <c r="M231" t="str">
        <f ca="1"/>
        <v/>
      </c>
      <c r="O231" s="50" t="str">
        <f ca="1"/>
        <v/>
      </c>
    </row>
    <row r="232" spans="9:15" x14ac:dyDescent="0.2">
      <c r="I232" s="50" t="str">
        <v/>
      </c>
      <c r="J232" s="50" t="str">
        <v/>
      </c>
      <c r="K232" s="50" t="str">
        <f ca="1"/>
        <v/>
      </c>
      <c r="L232" s="19" t="str">
        <v/>
      </c>
      <c r="M232" t="str">
        <f ca="1"/>
        <v/>
      </c>
      <c r="O232" s="50" t="str">
        <f ca="1"/>
        <v/>
      </c>
    </row>
    <row r="233" spans="9:15" x14ac:dyDescent="0.2">
      <c r="I233" s="50" t="str">
        <v/>
      </c>
      <c r="J233" s="50" t="str">
        <v/>
      </c>
      <c r="K233" s="50" t="str">
        <f ca="1"/>
        <v/>
      </c>
      <c r="L233" s="19" t="str">
        <v/>
      </c>
      <c r="M233" t="str">
        <f ca="1"/>
        <v/>
      </c>
      <c r="O233" s="50" t="str">
        <f ca="1"/>
        <v/>
      </c>
    </row>
    <row r="234" spans="9:15" x14ac:dyDescent="0.2">
      <c r="I234" s="50" t="str">
        <v/>
      </c>
      <c r="J234" s="50" t="str">
        <v/>
      </c>
      <c r="K234" s="50" t="str">
        <f ca="1"/>
        <v/>
      </c>
      <c r="L234" s="19" t="str">
        <v/>
      </c>
      <c r="M234" t="str">
        <f ca="1"/>
        <v/>
      </c>
      <c r="O234" s="50" t="str">
        <f ca="1"/>
        <v/>
      </c>
    </row>
    <row r="235" spans="9:15" x14ac:dyDescent="0.2">
      <c r="I235" s="50" t="str">
        <v/>
      </c>
      <c r="J235" s="50" t="str">
        <v/>
      </c>
      <c r="K235" s="50" t="str">
        <f ca="1"/>
        <v/>
      </c>
      <c r="L235" s="19" t="str">
        <v/>
      </c>
      <c r="M235" t="str">
        <f ca="1"/>
        <v/>
      </c>
      <c r="O235" s="50" t="str">
        <f ca="1"/>
        <v/>
      </c>
    </row>
    <row r="236" spans="9:15" x14ac:dyDescent="0.2">
      <c r="I236" s="50" t="str">
        <v/>
      </c>
      <c r="J236" s="50" t="str">
        <v/>
      </c>
      <c r="K236" s="50" t="str">
        <f ca="1"/>
        <v/>
      </c>
      <c r="L236" s="19" t="str">
        <v/>
      </c>
      <c r="M236" t="str">
        <f ca="1"/>
        <v/>
      </c>
      <c r="O236" s="50" t="str">
        <f ca="1"/>
        <v/>
      </c>
    </row>
    <row r="237" spans="9:15" x14ac:dyDescent="0.2">
      <c r="I237" s="50" t="str">
        <v/>
      </c>
      <c r="J237" s="50" t="str">
        <v/>
      </c>
      <c r="K237" s="50" t="str">
        <f ca="1"/>
        <v/>
      </c>
      <c r="L237" s="19" t="str">
        <v/>
      </c>
      <c r="M237" t="str">
        <f ca="1"/>
        <v/>
      </c>
      <c r="O237" s="50" t="str">
        <f ca="1"/>
        <v/>
      </c>
    </row>
    <row r="238" spans="9:15" x14ac:dyDescent="0.2">
      <c r="I238" s="50" t="str">
        <v/>
      </c>
      <c r="J238" s="50" t="str">
        <v/>
      </c>
      <c r="K238" s="50" t="str">
        <f ca="1"/>
        <v/>
      </c>
      <c r="L238" s="19" t="str">
        <v/>
      </c>
      <c r="M238" t="str">
        <f ca="1"/>
        <v/>
      </c>
      <c r="O238" s="50" t="str">
        <f ca="1"/>
        <v/>
      </c>
    </row>
    <row r="239" spans="9:15" x14ac:dyDescent="0.2">
      <c r="I239" s="50" t="str">
        <v/>
      </c>
      <c r="J239" s="50" t="str">
        <v/>
      </c>
      <c r="K239" s="50" t="str">
        <f ca="1"/>
        <v/>
      </c>
      <c r="L239" s="19" t="str">
        <v/>
      </c>
      <c r="M239" t="str">
        <f ca="1"/>
        <v/>
      </c>
      <c r="O239" s="50" t="str">
        <f ca="1"/>
        <v/>
      </c>
    </row>
    <row r="240" spans="9:15" x14ac:dyDescent="0.2">
      <c r="I240" s="50" t="str">
        <v/>
      </c>
      <c r="J240" s="50" t="str">
        <v/>
      </c>
      <c r="K240" s="50" t="str">
        <f ca="1"/>
        <v/>
      </c>
      <c r="L240" s="19" t="str">
        <v/>
      </c>
      <c r="M240" t="str">
        <f ca="1"/>
        <v/>
      </c>
      <c r="O240" s="50" t="str">
        <f ca="1"/>
        <v/>
      </c>
    </row>
    <row r="241" spans="9:15" x14ac:dyDescent="0.2">
      <c r="I241" s="50" t="str">
        <v/>
      </c>
      <c r="J241" s="50" t="str">
        <v/>
      </c>
      <c r="K241" s="50" t="str">
        <f ca="1"/>
        <v/>
      </c>
      <c r="L241" s="19" t="str">
        <v/>
      </c>
      <c r="M241" t="str">
        <f ca="1"/>
        <v/>
      </c>
      <c r="O241" s="50" t="str">
        <f ca="1"/>
        <v/>
      </c>
    </row>
    <row r="242" spans="9:15" x14ac:dyDescent="0.2">
      <c r="I242" s="50" t="str">
        <v/>
      </c>
      <c r="J242" s="50" t="str">
        <v/>
      </c>
      <c r="K242" s="50" t="str">
        <f ca="1"/>
        <v/>
      </c>
      <c r="L242" s="19" t="str">
        <v/>
      </c>
      <c r="M242" t="str">
        <f ca="1"/>
        <v/>
      </c>
      <c r="O242" s="50" t="str">
        <f ca="1"/>
        <v/>
      </c>
    </row>
    <row r="243" spans="9:15" x14ac:dyDescent="0.2">
      <c r="I243" s="50" t="str">
        <v/>
      </c>
      <c r="J243" s="50" t="str">
        <v/>
      </c>
      <c r="K243" s="50" t="str">
        <f ca="1"/>
        <v/>
      </c>
      <c r="L243" s="19" t="str">
        <v/>
      </c>
      <c r="M243" t="str">
        <f ca="1"/>
        <v/>
      </c>
      <c r="O243" s="50" t="str">
        <f ca="1"/>
        <v/>
      </c>
    </row>
    <row r="244" spans="9:15" x14ac:dyDescent="0.2">
      <c r="I244" s="50" t="str">
        <v/>
      </c>
      <c r="J244" s="50" t="str">
        <v/>
      </c>
      <c r="K244" s="50" t="str">
        <f ca="1"/>
        <v/>
      </c>
      <c r="L244" s="19" t="str">
        <v/>
      </c>
      <c r="M244" t="str">
        <f ca="1"/>
        <v/>
      </c>
      <c r="O244" s="50" t="str">
        <f ca="1"/>
        <v/>
      </c>
    </row>
    <row r="245" spans="9:15" x14ac:dyDescent="0.2">
      <c r="I245" s="50" t="str">
        <v/>
      </c>
      <c r="J245" s="50" t="str">
        <v/>
      </c>
      <c r="K245" s="50" t="str">
        <f ca="1"/>
        <v/>
      </c>
      <c r="L245" s="19" t="str">
        <v/>
      </c>
      <c r="M245" t="str">
        <f ca="1"/>
        <v/>
      </c>
      <c r="O245" s="50" t="str">
        <f ca="1"/>
        <v/>
      </c>
    </row>
    <row r="246" spans="9:15" x14ac:dyDescent="0.2">
      <c r="I246" s="50" t="str">
        <v/>
      </c>
      <c r="J246" s="50" t="str">
        <v/>
      </c>
      <c r="K246" s="50" t="str">
        <f ca="1"/>
        <v/>
      </c>
      <c r="L246" s="19" t="str">
        <v/>
      </c>
      <c r="M246" t="str">
        <f ca="1"/>
        <v/>
      </c>
      <c r="O246" s="50" t="str">
        <f ca="1"/>
        <v/>
      </c>
    </row>
    <row r="247" spans="9:15" x14ac:dyDescent="0.2">
      <c r="I247" s="50" t="str">
        <v/>
      </c>
      <c r="J247" s="50" t="str">
        <v/>
      </c>
      <c r="K247" s="50" t="str">
        <f ca="1"/>
        <v/>
      </c>
      <c r="L247" s="19" t="str">
        <v/>
      </c>
      <c r="M247" t="str">
        <f ca="1"/>
        <v/>
      </c>
      <c r="O247" s="50" t="str">
        <f ca="1"/>
        <v/>
      </c>
    </row>
    <row r="248" spans="9:15" x14ac:dyDescent="0.2">
      <c r="I248" s="50" t="str">
        <v/>
      </c>
      <c r="J248" s="50" t="str">
        <v/>
      </c>
      <c r="K248" s="50" t="str">
        <f ca="1"/>
        <v/>
      </c>
      <c r="L248" s="19" t="str">
        <v/>
      </c>
      <c r="M248" t="str">
        <f ca="1"/>
        <v/>
      </c>
      <c r="O248" s="50" t="str">
        <f ca="1"/>
        <v/>
      </c>
    </row>
    <row r="249" spans="9:15" x14ac:dyDescent="0.2">
      <c r="I249" s="50" t="str">
        <v/>
      </c>
      <c r="J249" s="50" t="str">
        <v/>
      </c>
      <c r="K249" s="50" t="str">
        <f ca="1"/>
        <v/>
      </c>
      <c r="L249" s="19" t="str">
        <v/>
      </c>
      <c r="M249" t="str">
        <f ca="1"/>
        <v/>
      </c>
      <c r="O249" s="50" t="str">
        <f ca="1"/>
        <v/>
      </c>
    </row>
    <row r="250" spans="9:15" x14ac:dyDescent="0.2">
      <c r="I250" s="50" t="str">
        <v/>
      </c>
      <c r="J250" s="50" t="str">
        <v/>
      </c>
      <c r="K250" s="50" t="str">
        <f ca="1"/>
        <v/>
      </c>
      <c r="L250" s="19" t="str">
        <v/>
      </c>
      <c r="M250" t="str">
        <f ca="1"/>
        <v/>
      </c>
      <c r="O250" s="50" t="str">
        <f ca="1"/>
        <v/>
      </c>
    </row>
    <row r="251" spans="9:15" x14ac:dyDescent="0.2">
      <c r="I251" s="50" t="str">
        <v/>
      </c>
      <c r="J251" s="50" t="str">
        <v/>
      </c>
      <c r="K251" s="50" t="str">
        <f ca="1"/>
        <v/>
      </c>
      <c r="L251" s="19" t="str">
        <v/>
      </c>
      <c r="M251" t="str">
        <f ca="1"/>
        <v/>
      </c>
      <c r="O251" s="50" t="str">
        <f ca="1"/>
        <v/>
      </c>
    </row>
    <row r="252" spans="9:15" x14ac:dyDescent="0.2">
      <c r="I252" s="50" t="str">
        <v/>
      </c>
      <c r="J252" s="50" t="str">
        <v/>
      </c>
      <c r="K252" s="50" t="str">
        <f ca="1"/>
        <v/>
      </c>
      <c r="L252" s="19" t="str">
        <v/>
      </c>
      <c r="M252" t="str">
        <f ca="1"/>
        <v/>
      </c>
      <c r="O252" s="50" t="str">
        <f ca="1"/>
        <v/>
      </c>
    </row>
    <row r="253" spans="9:15" x14ac:dyDescent="0.2">
      <c r="I253" s="50" t="str">
        <v/>
      </c>
      <c r="J253" s="50" t="str">
        <v/>
      </c>
      <c r="K253" s="50" t="str">
        <f ca="1"/>
        <v/>
      </c>
      <c r="L253" s="19" t="str">
        <v/>
      </c>
      <c r="M253" t="str">
        <f ca="1"/>
        <v/>
      </c>
      <c r="O253" s="50" t="str">
        <f ca="1"/>
        <v/>
      </c>
    </row>
    <row r="254" spans="9:15" x14ac:dyDescent="0.2">
      <c r="I254" s="50" t="str">
        <v/>
      </c>
      <c r="J254" s="50" t="str">
        <v/>
      </c>
      <c r="K254" s="50" t="str">
        <f ca="1"/>
        <v/>
      </c>
      <c r="L254" s="19" t="str">
        <v/>
      </c>
      <c r="M254" t="str">
        <f ca="1"/>
        <v/>
      </c>
      <c r="O254" s="50" t="str">
        <f ca="1"/>
        <v/>
      </c>
    </row>
    <row r="255" spans="9:15" x14ac:dyDescent="0.2">
      <c r="I255" s="50" t="str">
        <v/>
      </c>
      <c r="J255" s="50" t="str">
        <v/>
      </c>
      <c r="K255" s="50" t="str">
        <f ca="1"/>
        <v/>
      </c>
      <c r="L255" s="19" t="str">
        <v/>
      </c>
      <c r="M255" t="str">
        <f ca="1"/>
        <v/>
      </c>
      <c r="O255" s="50" t="str">
        <f ca="1"/>
        <v/>
      </c>
    </row>
    <row r="256" spans="9:15" x14ac:dyDescent="0.2">
      <c r="I256" s="50" t="str">
        <v/>
      </c>
      <c r="J256" s="50" t="str">
        <v/>
      </c>
      <c r="K256" s="50" t="str">
        <f ca="1"/>
        <v/>
      </c>
      <c r="L256" s="19" t="str">
        <v/>
      </c>
      <c r="M256" t="str">
        <f ca="1"/>
        <v/>
      </c>
      <c r="O256" s="50" t="str">
        <f ca="1"/>
        <v/>
      </c>
    </row>
    <row r="257" spans="9:15" x14ac:dyDescent="0.2">
      <c r="I257" s="50" t="str">
        <v/>
      </c>
      <c r="J257" s="50" t="str">
        <v/>
      </c>
      <c r="K257" s="50" t="str">
        <f ca="1"/>
        <v/>
      </c>
      <c r="L257" s="19" t="str">
        <v/>
      </c>
      <c r="M257" t="str">
        <f ca="1"/>
        <v/>
      </c>
      <c r="O257" s="50" t="str">
        <f ca="1"/>
        <v/>
      </c>
    </row>
    <row r="258" spans="9:15" x14ac:dyDescent="0.2">
      <c r="I258" s="50" t="str">
        <v/>
      </c>
      <c r="J258" s="50" t="str">
        <v/>
      </c>
      <c r="K258" s="50" t="str">
        <f ca="1"/>
        <v/>
      </c>
      <c r="L258" s="19" t="str">
        <v/>
      </c>
      <c r="M258" t="str">
        <f ca="1"/>
        <v/>
      </c>
      <c r="O258" s="50" t="str">
        <f ca="1"/>
        <v/>
      </c>
    </row>
    <row r="259" spans="9:15" x14ac:dyDescent="0.2">
      <c r="I259" s="50" t="str">
        <v/>
      </c>
      <c r="J259" s="50" t="str">
        <v/>
      </c>
      <c r="K259" s="50" t="str">
        <f ca="1"/>
        <v/>
      </c>
      <c r="L259" s="19" t="str">
        <v/>
      </c>
      <c r="M259" t="str">
        <f ca="1"/>
        <v/>
      </c>
      <c r="O259" s="50" t="str">
        <f ca="1"/>
        <v/>
      </c>
    </row>
    <row r="260" spans="9:15" x14ac:dyDescent="0.2">
      <c r="I260" s="50" t="str">
        <v/>
      </c>
      <c r="J260" s="50" t="str">
        <v/>
      </c>
      <c r="K260" s="50" t="str">
        <f ca="1"/>
        <v/>
      </c>
      <c r="L260" s="19" t="str">
        <v/>
      </c>
      <c r="M260" t="str">
        <f ca="1"/>
        <v/>
      </c>
      <c r="O260" s="50" t="str">
        <f ca="1"/>
        <v/>
      </c>
    </row>
    <row r="261" spans="9:15" x14ac:dyDescent="0.2">
      <c r="I261" s="50" t="str">
        <v/>
      </c>
      <c r="J261" s="50" t="str">
        <v/>
      </c>
      <c r="K261" s="50" t="str">
        <f ca="1"/>
        <v/>
      </c>
      <c r="L261" s="19" t="str">
        <v/>
      </c>
      <c r="M261" t="str">
        <f ca="1"/>
        <v/>
      </c>
      <c r="O261" s="50" t="str">
        <f ca="1"/>
        <v/>
      </c>
    </row>
    <row r="262" spans="9:15" x14ac:dyDescent="0.2">
      <c r="I262" s="50" t="str">
        <v/>
      </c>
      <c r="J262" s="50" t="str">
        <v/>
      </c>
      <c r="K262" s="50" t="str">
        <f ca="1"/>
        <v/>
      </c>
      <c r="L262" s="19" t="str">
        <v/>
      </c>
      <c r="M262" t="str">
        <f ca="1"/>
        <v/>
      </c>
      <c r="O262" s="50" t="str">
        <f ca="1"/>
        <v/>
      </c>
    </row>
    <row r="263" spans="9:15" x14ac:dyDescent="0.2">
      <c r="I263" s="50" t="str">
        <v/>
      </c>
      <c r="J263" s="50" t="str">
        <v/>
      </c>
      <c r="K263" s="50" t="str">
        <f ca="1"/>
        <v/>
      </c>
      <c r="L263" s="19" t="str">
        <v/>
      </c>
      <c r="M263" t="str">
        <f ca="1"/>
        <v/>
      </c>
      <c r="O263" s="50" t="str">
        <f ca="1"/>
        <v/>
      </c>
    </row>
    <row r="264" spans="9:15" x14ac:dyDescent="0.2">
      <c r="I264" s="50" t="str">
        <v/>
      </c>
      <c r="J264" s="50" t="str">
        <v/>
      </c>
      <c r="K264" s="50" t="str">
        <f ca="1"/>
        <v/>
      </c>
      <c r="L264" s="19" t="str">
        <v/>
      </c>
      <c r="M264" t="str">
        <f ca="1"/>
        <v/>
      </c>
      <c r="O264" s="50" t="str">
        <f ca="1"/>
        <v/>
      </c>
    </row>
    <row r="265" spans="9:15" x14ac:dyDescent="0.2">
      <c r="I265" s="50" t="str">
        <v/>
      </c>
      <c r="J265" s="50" t="str">
        <v/>
      </c>
      <c r="K265" s="50" t="str">
        <f ca="1"/>
        <v/>
      </c>
      <c r="L265" s="19" t="str">
        <v/>
      </c>
      <c r="M265" t="str">
        <f ca="1"/>
        <v/>
      </c>
      <c r="O265" s="50" t="str">
        <f ca="1"/>
        <v/>
      </c>
    </row>
    <row r="266" spans="9:15" x14ac:dyDescent="0.2">
      <c r="I266" s="50" t="str">
        <v/>
      </c>
      <c r="J266" s="50" t="str">
        <v/>
      </c>
      <c r="K266" s="50" t="str">
        <f ca="1"/>
        <v/>
      </c>
      <c r="L266" s="19" t="str">
        <v/>
      </c>
      <c r="M266" t="str">
        <f ca="1"/>
        <v/>
      </c>
      <c r="O266" s="50" t="str">
        <f ca="1"/>
        <v/>
      </c>
    </row>
    <row r="267" spans="9:15" x14ac:dyDescent="0.2">
      <c r="I267" s="50" t="str">
        <v/>
      </c>
      <c r="J267" s="50" t="str">
        <v/>
      </c>
      <c r="K267" s="50" t="str">
        <f ca="1"/>
        <v/>
      </c>
      <c r="L267" s="19" t="str">
        <v/>
      </c>
      <c r="M267" t="str">
        <f ca="1"/>
        <v/>
      </c>
      <c r="O267" s="50" t="str">
        <f ca="1"/>
        <v/>
      </c>
    </row>
    <row r="268" spans="9:15" x14ac:dyDescent="0.2">
      <c r="I268" s="50" t="str">
        <v/>
      </c>
      <c r="J268" s="50" t="str">
        <v/>
      </c>
      <c r="K268" s="50" t="str">
        <f ca="1"/>
        <v/>
      </c>
      <c r="L268" s="19" t="str">
        <v/>
      </c>
      <c r="M268" t="str">
        <f ca="1"/>
        <v/>
      </c>
      <c r="O268" s="50" t="str">
        <f ca="1"/>
        <v/>
      </c>
    </row>
    <row r="269" spans="9:15" x14ac:dyDescent="0.2">
      <c r="I269" s="50" t="str">
        <v/>
      </c>
      <c r="J269" s="50" t="str">
        <v/>
      </c>
      <c r="K269" s="50" t="str">
        <f ca="1"/>
        <v/>
      </c>
      <c r="L269" s="19" t="str">
        <v/>
      </c>
      <c r="M269" t="str">
        <f ca="1"/>
        <v/>
      </c>
      <c r="O269" s="50" t="str">
        <f ca="1"/>
        <v/>
      </c>
    </row>
    <row r="270" spans="9:15" x14ac:dyDescent="0.2">
      <c r="I270" s="50" t="str">
        <v/>
      </c>
      <c r="J270" s="50" t="str">
        <v/>
      </c>
      <c r="K270" s="50" t="str">
        <f ca="1"/>
        <v/>
      </c>
      <c r="L270" s="19" t="str">
        <v/>
      </c>
      <c r="M270" t="str">
        <f ca="1"/>
        <v/>
      </c>
      <c r="O270" s="50" t="str">
        <f ca="1"/>
        <v/>
      </c>
    </row>
    <row r="271" spans="9:15" x14ac:dyDescent="0.2">
      <c r="I271" s="50" t="str">
        <v/>
      </c>
      <c r="J271" s="50" t="str">
        <v/>
      </c>
      <c r="K271" s="50" t="str">
        <f ca="1"/>
        <v/>
      </c>
      <c r="L271" s="19" t="str">
        <v/>
      </c>
      <c r="M271" t="str">
        <f ca="1"/>
        <v/>
      </c>
      <c r="O271" s="50" t="str">
        <f ca="1"/>
        <v/>
      </c>
    </row>
    <row r="272" spans="9:15" x14ac:dyDescent="0.2">
      <c r="I272" s="50" t="str">
        <v/>
      </c>
      <c r="J272" s="50" t="str">
        <v/>
      </c>
      <c r="K272" s="50" t="str">
        <f ca="1"/>
        <v/>
      </c>
      <c r="L272" s="19" t="str">
        <v/>
      </c>
      <c r="M272" t="str">
        <f ca="1"/>
        <v/>
      </c>
      <c r="O272" s="50" t="str">
        <f ca="1"/>
        <v/>
      </c>
    </row>
    <row r="273" spans="9:15" x14ac:dyDescent="0.2">
      <c r="I273" s="50" t="str">
        <v/>
      </c>
      <c r="J273" s="50" t="str">
        <v/>
      </c>
      <c r="K273" s="50" t="str">
        <f ca="1"/>
        <v/>
      </c>
      <c r="L273" s="19" t="str">
        <v/>
      </c>
      <c r="M273" t="str">
        <f ca="1"/>
        <v/>
      </c>
      <c r="O273" s="50" t="str">
        <f ca="1"/>
        <v/>
      </c>
    </row>
    <row r="274" spans="9:15" x14ac:dyDescent="0.2">
      <c r="I274" s="50" t="str">
        <v/>
      </c>
      <c r="J274" s="50" t="str">
        <v/>
      </c>
      <c r="K274" s="50" t="str">
        <f ca="1"/>
        <v/>
      </c>
      <c r="L274" s="19" t="str">
        <v/>
      </c>
      <c r="M274" t="str">
        <f ca="1"/>
        <v/>
      </c>
      <c r="O274" s="50" t="str">
        <f ca="1"/>
        <v/>
      </c>
    </row>
    <row r="275" spans="9:15" x14ac:dyDescent="0.2">
      <c r="I275" s="50" t="str">
        <v/>
      </c>
      <c r="J275" s="50" t="str">
        <v/>
      </c>
      <c r="K275" s="50" t="str">
        <f ca="1"/>
        <v/>
      </c>
      <c r="L275" s="19" t="str">
        <v/>
      </c>
      <c r="M275" t="str">
        <f ca="1"/>
        <v/>
      </c>
      <c r="O275" s="50" t="str">
        <f ca="1"/>
        <v/>
      </c>
    </row>
    <row r="276" spans="9:15" x14ac:dyDescent="0.2">
      <c r="I276" s="50" t="str">
        <v/>
      </c>
      <c r="J276" s="50" t="str">
        <v/>
      </c>
      <c r="K276" s="50" t="str">
        <f ca="1"/>
        <v/>
      </c>
      <c r="L276" s="19" t="str">
        <v/>
      </c>
      <c r="M276" t="str">
        <f ca="1"/>
        <v/>
      </c>
      <c r="O276" s="50" t="str">
        <f ca="1"/>
        <v/>
      </c>
    </row>
    <row r="277" spans="9:15" x14ac:dyDescent="0.2">
      <c r="I277" s="50" t="str">
        <v/>
      </c>
      <c r="J277" s="50" t="str">
        <v/>
      </c>
      <c r="K277" s="50" t="str">
        <f ca="1"/>
        <v/>
      </c>
      <c r="L277" s="19" t="str">
        <v/>
      </c>
      <c r="M277" t="str">
        <f ca="1"/>
        <v/>
      </c>
      <c r="O277" s="50" t="str">
        <f ca="1"/>
        <v/>
      </c>
    </row>
    <row r="278" spans="9:15" x14ac:dyDescent="0.2">
      <c r="I278" s="50" t="str">
        <v/>
      </c>
      <c r="J278" s="50" t="str">
        <v/>
      </c>
      <c r="K278" s="50" t="str">
        <f ca="1"/>
        <v/>
      </c>
      <c r="L278" s="19" t="str">
        <v/>
      </c>
      <c r="M278" t="str">
        <f ca="1"/>
        <v/>
      </c>
      <c r="O278" s="50" t="str">
        <f ca="1"/>
        <v/>
      </c>
    </row>
    <row r="279" spans="9:15" x14ac:dyDescent="0.2">
      <c r="I279" s="50" t="str">
        <v/>
      </c>
      <c r="J279" s="50" t="str">
        <v/>
      </c>
      <c r="K279" s="50" t="str">
        <f ca="1"/>
        <v/>
      </c>
      <c r="L279" s="19" t="str">
        <v/>
      </c>
      <c r="M279" t="str">
        <f ca="1"/>
        <v/>
      </c>
      <c r="O279" s="50" t="str">
        <f ca="1"/>
        <v/>
      </c>
    </row>
    <row r="280" spans="9:15" x14ac:dyDescent="0.2">
      <c r="I280" s="50" t="str">
        <v/>
      </c>
      <c r="J280" s="50" t="str">
        <v/>
      </c>
      <c r="K280" s="50" t="str">
        <f ca="1"/>
        <v/>
      </c>
      <c r="L280" s="19" t="str">
        <v/>
      </c>
      <c r="M280" t="str">
        <f ca="1"/>
        <v/>
      </c>
      <c r="O280" s="50" t="str">
        <f ca="1"/>
        <v/>
      </c>
    </row>
    <row r="281" spans="9:15" x14ac:dyDescent="0.2">
      <c r="I281" s="50" t="str">
        <v/>
      </c>
      <c r="J281" s="50" t="str">
        <v/>
      </c>
      <c r="K281" s="50" t="str">
        <f ca="1"/>
        <v/>
      </c>
      <c r="L281" s="19" t="str">
        <v/>
      </c>
      <c r="M281" t="str">
        <f ca="1"/>
        <v/>
      </c>
      <c r="O281" s="50" t="str">
        <f ca="1"/>
        <v/>
      </c>
    </row>
    <row r="282" spans="9:15" x14ac:dyDescent="0.2">
      <c r="I282" s="50" t="str">
        <v/>
      </c>
      <c r="J282" s="50" t="str">
        <v/>
      </c>
      <c r="K282" s="50" t="str">
        <f ca="1"/>
        <v/>
      </c>
      <c r="L282" s="19" t="str">
        <v/>
      </c>
      <c r="M282" t="str">
        <f ca="1"/>
        <v/>
      </c>
      <c r="O282" s="50" t="str">
        <f ca="1"/>
        <v/>
      </c>
    </row>
    <row r="283" spans="9:15" x14ac:dyDescent="0.2">
      <c r="I283" s="50" t="str">
        <v/>
      </c>
      <c r="J283" s="50" t="str">
        <v/>
      </c>
      <c r="K283" s="50" t="str">
        <f ca="1"/>
        <v/>
      </c>
      <c r="L283" s="19" t="str">
        <v/>
      </c>
      <c r="M283" t="str">
        <f ca="1"/>
        <v/>
      </c>
      <c r="O283" s="50" t="str">
        <f ca="1"/>
        <v/>
      </c>
    </row>
    <row r="284" spans="9:15" x14ac:dyDescent="0.2">
      <c r="I284" s="50" t="str">
        <v/>
      </c>
      <c r="J284" s="50" t="str">
        <v/>
      </c>
      <c r="K284" s="50" t="str">
        <f ca="1"/>
        <v/>
      </c>
      <c r="L284" s="19" t="str">
        <v/>
      </c>
      <c r="M284" t="str">
        <f ca="1"/>
        <v/>
      </c>
      <c r="O284" s="50" t="str">
        <f ca="1"/>
        <v/>
      </c>
    </row>
    <row r="285" spans="9:15" x14ac:dyDescent="0.2">
      <c r="I285" s="50" t="str">
        <v/>
      </c>
      <c r="J285" s="50" t="str">
        <v/>
      </c>
      <c r="K285" s="50" t="str">
        <f ca="1"/>
        <v/>
      </c>
      <c r="L285" s="19" t="str">
        <v/>
      </c>
      <c r="M285" t="str">
        <f ca="1"/>
        <v/>
      </c>
      <c r="O285" s="50" t="str">
        <f ca="1"/>
        <v/>
      </c>
    </row>
    <row r="286" spans="9:15" x14ac:dyDescent="0.2">
      <c r="I286" s="50" t="str">
        <v/>
      </c>
      <c r="J286" s="50" t="str">
        <v/>
      </c>
      <c r="K286" s="50" t="str">
        <f ca="1"/>
        <v/>
      </c>
      <c r="L286" s="19" t="str">
        <v/>
      </c>
      <c r="M286" t="str">
        <f ca="1"/>
        <v/>
      </c>
      <c r="O286" s="50" t="str">
        <f ca="1"/>
        <v/>
      </c>
    </row>
    <row r="287" spans="9:15" x14ac:dyDescent="0.2">
      <c r="I287" s="50" t="str">
        <v/>
      </c>
      <c r="J287" s="50" t="str">
        <v/>
      </c>
      <c r="K287" s="50" t="str">
        <f ca="1"/>
        <v/>
      </c>
      <c r="L287" s="19" t="str">
        <v/>
      </c>
      <c r="M287" t="str">
        <f ca="1"/>
        <v/>
      </c>
      <c r="O287" s="50" t="str">
        <f ca="1"/>
        <v/>
      </c>
    </row>
    <row r="288" spans="9:15" x14ac:dyDescent="0.2">
      <c r="I288" s="50" t="str">
        <v/>
      </c>
      <c r="J288" s="50" t="str">
        <v/>
      </c>
      <c r="K288" s="50" t="str">
        <f ca="1"/>
        <v/>
      </c>
      <c r="L288" s="19" t="str">
        <v/>
      </c>
      <c r="M288" t="str">
        <f ca="1"/>
        <v/>
      </c>
      <c r="O288" s="50" t="str">
        <f ca="1"/>
        <v/>
      </c>
    </row>
    <row r="289" spans="9:15" x14ac:dyDescent="0.2">
      <c r="I289" s="50" t="str">
        <v/>
      </c>
      <c r="J289" s="50" t="str">
        <v/>
      </c>
      <c r="K289" s="50" t="str">
        <f ca="1"/>
        <v/>
      </c>
      <c r="L289" s="19" t="str">
        <v/>
      </c>
      <c r="M289" t="str">
        <f ca="1"/>
        <v/>
      </c>
      <c r="O289" s="50" t="str">
        <f ca="1"/>
        <v/>
      </c>
    </row>
    <row r="290" spans="9:15" x14ac:dyDescent="0.2">
      <c r="I290" s="50" t="str">
        <v/>
      </c>
      <c r="J290" s="50" t="str">
        <v/>
      </c>
      <c r="K290" s="50" t="str">
        <f ca="1"/>
        <v/>
      </c>
      <c r="L290" s="19" t="str">
        <v/>
      </c>
      <c r="M290" t="str">
        <f ca="1"/>
        <v/>
      </c>
      <c r="O290" s="50" t="str">
        <f ca="1"/>
        <v/>
      </c>
    </row>
    <row r="291" spans="9:15" x14ac:dyDescent="0.2">
      <c r="I291" s="50" t="str">
        <v/>
      </c>
      <c r="J291" s="50" t="str">
        <v/>
      </c>
      <c r="K291" s="50" t="str">
        <f ca="1"/>
        <v/>
      </c>
      <c r="L291" s="19" t="str">
        <v/>
      </c>
      <c r="M291" t="str">
        <f ca="1"/>
        <v/>
      </c>
      <c r="O291" s="50" t="str">
        <f ca="1"/>
        <v/>
      </c>
    </row>
    <row r="292" spans="9:15" x14ac:dyDescent="0.2">
      <c r="I292" s="50" t="str">
        <v/>
      </c>
      <c r="J292" s="50" t="str">
        <v/>
      </c>
      <c r="K292" s="50" t="str">
        <f ca="1"/>
        <v/>
      </c>
      <c r="L292" s="19" t="str">
        <v/>
      </c>
      <c r="M292" t="str">
        <f ca="1"/>
        <v/>
      </c>
      <c r="O292" s="50" t="str">
        <f ca="1"/>
        <v/>
      </c>
    </row>
    <row r="293" spans="9:15" x14ac:dyDescent="0.2">
      <c r="I293" s="50" t="str">
        <v/>
      </c>
      <c r="J293" s="50" t="str">
        <v/>
      </c>
      <c r="K293" s="50" t="str">
        <f ca="1"/>
        <v/>
      </c>
      <c r="L293" s="19" t="str">
        <v/>
      </c>
      <c r="M293" t="str">
        <f ca="1"/>
        <v/>
      </c>
      <c r="O293" s="50" t="str">
        <f ca="1"/>
        <v/>
      </c>
    </row>
    <row r="294" spans="9:15" x14ac:dyDescent="0.2">
      <c r="I294" s="50" t="str">
        <v/>
      </c>
      <c r="J294" s="50" t="str">
        <v/>
      </c>
      <c r="K294" s="50" t="str">
        <f ca="1"/>
        <v/>
      </c>
      <c r="L294" s="19" t="str">
        <v/>
      </c>
      <c r="M294" t="str">
        <f ca="1"/>
        <v/>
      </c>
      <c r="O294" s="50" t="str">
        <f ca="1"/>
        <v/>
      </c>
    </row>
    <row r="295" spans="9:15" x14ac:dyDescent="0.2">
      <c r="I295" s="50" t="str">
        <v/>
      </c>
      <c r="J295" s="50" t="str">
        <v/>
      </c>
      <c r="K295" s="50" t="str">
        <f ca="1"/>
        <v/>
      </c>
      <c r="L295" s="19" t="str">
        <v/>
      </c>
      <c r="M295" t="str">
        <f ca="1"/>
        <v/>
      </c>
      <c r="O295" s="50" t="str">
        <f ca="1"/>
        <v/>
      </c>
    </row>
    <row r="296" spans="9:15" x14ac:dyDescent="0.2">
      <c r="I296" s="50" t="str">
        <v/>
      </c>
      <c r="J296" s="50" t="str">
        <v/>
      </c>
      <c r="K296" s="50" t="str">
        <f ca="1"/>
        <v/>
      </c>
      <c r="L296" s="19" t="str">
        <v/>
      </c>
      <c r="M296" t="str">
        <f ca="1"/>
        <v/>
      </c>
      <c r="O296" s="50" t="str">
        <f ca="1"/>
        <v/>
      </c>
    </row>
    <row r="297" spans="9:15" x14ac:dyDescent="0.2">
      <c r="I297" s="50" t="str">
        <v/>
      </c>
      <c r="J297" s="50" t="str">
        <v/>
      </c>
      <c r="K297" s="50" t="str">
        <f ca="1"/>
        <v/>
      </c>
      <c r="L297" s="19" t="str">
        <v/>
      </c>
      <c r="M297" t="str">
        <f ca="1"/>
        <v/>
      </c>
      <c r="O297" s="50" t="str">
        <f ca="1"/>
        <v/>
      </c>
    </row>
    <row r="298" spans="9:15" x14ac:dyDescent="0.2">
      <c r="I298" s="50" t="str">
        <v/>
      </c>
      <c r="J298" s="50" t="str">
        <v/>
      </c>
      <c r="K298" s="50" t="str">
        <f ca="1"/>
        <v/>
      </c>
      <c r="L298" s="19" t="str">
        <v/>
      </c>
      <c r="M298" t="str">
        <f ca="1"/>
        <v/>
      </c>
      <c r="O298" s="50" t="str">
        <f ca="1"/>
        <v/>
      </c>
    </row>
    <row r="299" spans="9:15" x14ac:dyDescent="0.2">
      <c r="I299" s="50" t="str">
        <v/>
      </c>
      <c r="J299" s="50" t="str">
        <v/>
      </c>
      <c r="K299" s="50" t="str">
        <f ca="1"/>
        <v/>
      </c>
      <c r="L299" s="19" t="str">
        <v/>
      </c>
      <c r="M299" t="str">
        <f ca="1"/>
        <v/>
      </c>
      <c r="O299" s="50" t="str">
        <f ca="1"/>
        <v/>
      </c>
    </row>
    <row r="300" spans="9:15" x14ac:dyDescent="0.2">
      <c r="I300" s="50" t="str">
        <v/>
      </c>
      <c r="J300" s="50" t="str">
        <v/>
      </c>
      <c r="K300" s="50" t="str">
        <f ca="1"/>
        <v/>
      </c>
      <c r="L300" s="19" t="str">
        <v/>
      </c>
      <c r="M300" t="str">
        <f ca="1"/>
        <v/>
      </c>
      <c r="O300" s="50" t="str">
        <f ca="1"/>
        <v/>
      </c>
    </row>
    <row r="301" spans="9:15" x14ac:dyDescent="0.2">
      <c r="I301" s="50" t="str">
        <v/>
      </c>
      <c r="J301" s="50" t="str">
        <v/>
      </c>
      <c r="K301" s="50" t="str">
        <f ca="1"/>
        <v/>
      </c>
      <c r="L301" s="19" t="str">
        <v/>
      </c>
      <c r="M301" t="str">
        <f ca="1"/>
        <v/>
      </c>
      <c r="O301" s="50" t="str">
        <f ca="1"/>
        <v/>
      </c>
    </row>
    <row r="302" spans="9:15" x14ac:dyDescent="0.2">
      <c r="I302" s="50" t="str">
        <v/>
      </c>
      <c r="J302" s="50" t="str">
        <v/>
      </c>
      <c r="K302" s="50" t="str">
        <f ca="1"/>
        <v/>
      </c>
      <c r="L302" s="19" t="str">
        <v/>
      </c>
      <c r="M302" t="str">
        <f ca="1"/>
        <v/>
      </c>
      <c r="O302" s="50" t="str">
        <f ca="1"/>
        <v/>
      </c>
    </row>
    <row r="303" spans="9:15" x14ac:dyDescent="0.2">
      <c r="I303" s="50" t="str">
        <v/>
      </c>
      <c r="J303" s="50" t="str">
        <v/>
      </c>
      <c r="K303" s="50" t="str">
        <f ca="1"/>
        <v/>
      </c>
      <c r="L303" s="19" t="str">
        <v/>
      </c>
      <c r="M303" t="str">
        <f ca="1"/>
        <v/>
      </c>
      <c r="O303" s="50" t="str">
        <f ca="1"/>
        <v/>
      </c>
    </row>
    <row r="304" spans="9:15" x14ac:dyDescent="0.2">
      <c r="I304" s="50" t="str">
        <v/>
      </c>
      <c r="J304" s="50" t="str">
        <v/>
      </c>
      <c r="K304" s="50" t="str">
        <f ca="1"/>
        <v/>
      </c>
      <c r="L304" s="19" t="str">
        <v/>
      </c>
      <c r="M304" t="str">
        <f ca="1"/>
        <v/>
      </c>
      <c r="O304" s="50" t="str">
        <f ca="1"/>
        <v/>
      </c>
    </row>
    <row r="305" spans="9:15" x14ac:dyDescent="0.2">
      <c r="I305" s="50" t="str">
        <v/>
      </c>
      <c r="J305" s="50" t="str">
        <v/>
      </c>
      <c r="K305" s="50" t="str">
        <f ca="1"/>
        <v/>
      </c>
      <c r="L305" s="19" t="str">
        <v/>
      </c>
      <c r="M305" t="str">
        <f ca="1"/>
        <v/>
      </c>
      <c r="O305" s="50" t="str">
        <f ca="1"/>
        <v/>
      </c>
    </row>
    <row r="306" spans="9:15" x14ac:dyDescent="0.2">
      <c r="I306" s="50" t="str">
        <v/>
      </c>
      <c r="J306" s="50" t="str">
        <v/>
      </c>
      <c r="K306" s="50" t="str">
        <f ca="1"/>
        <v/>
      </c>
      <c r="L306" s="19" t="str">
        <v/>
      </c>
      <c r="M306" t="str">
        <f ca="1"/>
        <v/>
      </c>
      <c r="O306" s="50" t="str">
        <f ca="1"/>
        <v/>
      </c>
    </row>
    <row r="307" spans="9:15" x14ac:dyDescent="0.2">
      <c r="I307" s="50" t="str">
        <v/>
      </c>
      <c r="J307" s="50" t="str">
        <v/>
      </c>
      <c r="K307" s="50" t="str">
        <f ca="1"/>
        <v/>
      </c>
      <c r="L307" s="19" t="str">
        <v/>
      </c>
      <c r="M307" t="str">
        <f ca="1"/>
        <v/>
      </c>
      <c r="O307" s="50" t="str">
        <f ca="1"/>
        <v/>
      </c>
    </row>
    <row r="308" spans="9:15" x14ac:dyDescent="0.2">
      <c r="I308" s="50" t="str">
        <v/>
      </c>
      <c r="J308" s="50" t="str">
        <v/>
      </c>
      <c r="K308" s="50" t="str">
        <f ca="1"/>
        <v/>
      </c>
      <c r="L308" s="19" t="str">
        <v/>
      </c>
      <c r="M308" t="str">
        <f ca="1"/>
        <v/>
      </c>
      <c r="O308" s="50" t="str">
        <f ca="1"/>
        <v/>
      </c>
    </row>
    <row r="309" spans="9:15" x14ac:dyDescent="0.2">
      <c r="I309" s="50" t="str">
        <v/>
      </c>
      <c r="J309" s="50" t="str">
        <v/>
      </c>
      <c r="K309" s="50" t="str">
        <f ca="1"/>
        <v/>
      </c>
      <c r="L309" s="19" t="str">
        <v/>
      </c>
      <c r="M309" t="str">
        <f ca="1"/>
        <v/>
      </c>
      <c r="O309" s="50" t="str">
        <f ca="1"/>
        <v/>
      </c>
    </row>
    <row r="310" spans="9:15" x14ac:dyDescent="0.2">
      <c r="I310" s="50" t="str">
        <v/>
      </c>
      <c r="J310" s="50" t="str">
        <v/>
      </c>
      <c r="K310" s="50" t="str">
        <f ca="1"/>
        <v/>
      </c>
      <c r="L310" s="19" t="str">
        <v/>
      </c>
      <c r="M310" t="str">
        <f ca="1"/>
        <v/>
      </c>
      <c r="O310" s="50" t="str">
        <f ca="1"/>
        <v/>
      </c>
    </row>
    <row r="311" spans="9:15" x14ac:dyDescent="0.2">
      <c r="I311" s="50" t="str">
        <v/>
      </c>
      <c r="J311" s="50" t="str">
        <v/>
      </c>
      <c r="K311" s="50" t="str">
        <f ca="1"/>
        <v/>
      </c>
      <c r="L311" s="19" t="str">
        <v/>
      </c>
      <c r="M311" t="str">
        <f ca="1"/>
        <v/>
      </c>
      <c r="O311" s="50" t="str">
        <f ca="1"/>
        <v/>
      </c>
    </row>
    <row r="312" spans="9:15" x14ac:dyDescent="0.2">
      <c r="I312" s="50" t="str">
        <v/>
      </c>
      <c r="J312" s="50" t="str">
        <v/>
      </c>
      <c r="K312" s="50" t="str">
        <f ca="1"/>
        <v/>
      </c>
      <c r="L312" s="19" t="str">
        <v/>
      </c>
      <c r="M312" t="str">
        <f ca="1"/>
        <v/>
      </c>
      <c r="O312" s="50" t="str">
        <f ca="1"/>
        <v/>
      </c>
    </row>
    <row r="313" spans="9:15" x14ac:dyDescent="0.2">
      <c r="I313" s="50" t="str">
        <v/>
      </c>
      <c r="J313" s="50" t="str">
        <v/>
      </c>
      <c r="K313" s="50" t="str">
        <f ca="1"/>
        <v/>
      </c>
      <c r="L313" s="19" t="str">
        <v/>
      </c>
      <c r="M313" t="str">
        <f ca="1"/>
        <v/>
      </c>
      <c r="O313" s="50" t="str">
        <f ca="1"/>
        <v/>
      </c>
    </row>
    <row r="314" spans="9:15" x14ac:dyDescent="0.2">
      <c r="I314" s="50" t="str">
        <v/>
      </c>
      <c r="J314" s="50" t="str">
        <v/>
      </c>
      <c r="K314" s="50" t="str">
        <f ca="1"/>
        <v/>
      </c>
      <c r="L314" s="19" t="str">
        <v/>
      </c>
      <c r="M314" t="str">
        <f ca="1"/>
        <v/>
      </c>
      <c r="O314" s="50" t="str">
        <f ca="1"/>
        <v/>
      </c>
    </row>
    <row r="315" spans="9:15" x14ac:dyDescent="0.2">
      <c r="I315" s="50" t="str">
        <v/>
      </c>
      <c r="J315" s="50" t="str">
        <v/>
      </c>
      <c r="K315" s="50" t="str">
        <f ca="1"/>
        <v/>
      </c>
      <c r="L315" s="19" t="str">
        <v/>
      </c>
      <c r="M315" t="str">
        <f ca="1"/>
        <v/>
      </c>
      <c r="O315" s="50" t="str">
        <f ca="1"/>
        <v/>
      </c>
    </row>
    <row r="316" spans="9:15" x14ac:dyDescent="0.2">
      <c r="I316" s="50" t="str">
        <v/>
      </c>
      <c r="J316" s="50" t="str">
        <v/>
      </c>
      <c r="K316" s="50" t="str">
        <f ca="1"/>
        <v/>
      </c>
      <c r="L316" s="19" t="str">
        <v/>
      </c>
      <c r="M316" t="str">
        <f ca="1"/>
        <v/>
      </c>
      <c r="O316" s="50" t="str">
        <f ca="1"/>
        <v/>
      </c>
    </row>
    <row r="317" spans="9:15" x14ac:dyDescent="0.2">
      <c r="I317" s="50" t="str">
        <v/>
      </c>
      <c r="J317" s="50" t="str">
        <v/>
      </c>
      <c r="K317" s="50" t="str">
        <f ca="1"/>
        <v/>
      </c>
      <c r="L317" s="19" t="str">
        <v/>
      </c>
      <c r="M317" t="str">
        <f ca="1"/>
        <v/>
      </c>
      <c r="O317" s="50" t="str">
        <f ca="1"/>
        <v/>
      </c>
    </row>
    <row r="318" spans="9:15" x14ac:dyDescent="0.2">
      <c r="I318" s="50" t="str">
        <v/>
      </c>
      <c r="J318" s="50" t="str">
        <v/>
      </c>
      <c r="K318" s="50" t="str">
        <f ca="1"/>
        <v/>
      </c>
      <c r="L318" s="19" t="str">
        <v/>
      </c>
      <c r="M318" t="str">
        <f ca="1"/>
        <v/>
      </c>
      <c r="O318" s="50" t="str">
        <f ca="1"/>
        <v/>
      </c>
    </row>
    <row r="319" spans="9:15" x14ac:dyDescent="0.2">
      <c r="I319" s="50" t="str">
        <v/>
      </c>
      <c r="J319" s="50" t="str">
        <v/>
      </c>
      <c r="K319" s="50" t="str">
        <f ca="1"/>
        <v/>
      </c>
      <c r="L319" s="19" t="str">
        <v/>
      </c>
      <c r="M319" t="str">
        <f ca="1"/>
        <v/>
      </c>
      <c r="O319" s="50" t="str">
        <f ca="1"/>
        <v/>
      </c>
    </row>
    <row r="320" spans="9:15" x14ac:dyDescent="0.2">
      <c r="I320" s="50" t="str">
        <v/>
      </c>
      <c r="J320" s="50" t="str">
        <v/>
      </c>
      <c r="K320" s="50" t="str">
        <f ca="1"/>
        <v/>
      </c>
      <c r="L320" s="19" t="str">
        <v/>
      </c>
      <c r="M320" t="str">
        <f ca="1"/>
        <v/>
      </c>
      <c r="O320" s="50" t="str">
        <f ca="1"/>
        <v/>
      </c>
    </row>
    <row r="321" spans="9:15" x14ac:dyDescent="0.2">
      <c r="I321" s="50" t="str">
        <v/>
      </c>
      <c r="J321" s="50" t="str">
        <v/>
      </c>
      <c r="K321" s="50" t="str">
        <f ca="1"/>
        <v/>
      </c>
      <c r="L321" s="19" t="str">
        <v/>
      </c>
      <c r="M321" t="str">
        <f ca="1"/>
        <v/>
      </c>
      <c r="O321" s="50" t="str">
        <f ca="1"/>
        <v/>
      </c>
    </row>
    <row r="322" spans="9:15" x14ac:dyDescent="0.2">
      <c r="I322" s="50" t="str">
        <v/>
      </c>
      <c r="J322" s="50" t="str">
        <v/>
      </c>
      <c r="K322" s="50" t="str">
        <f ca="1"/>
        <v/>
      </c>
      <c r="L322" s="19" t="str">
        <v/>
      </c>
      <c r="M322" t="str">
        <f ca="1"/>
        <v/>
      </c>
      <c r="O322" s="50" t="str">
        <f ca="1"/>
        <v/>
      </c>
    </row>
    <row r="323" spans="9:15" x14ac:dyDescent="0.2">
      <c r="I323" s="50" t="str">
        <v/>
      </c>
      <c r="J323" s="50" t="str">
        <v/>
      </c>
      <c r="K323" s="50" t="str">
        <f ca="1"/>
        <v/>
      </c>
      <c r="L323" s="19" t="str">
        <v/>
      </c>
      <c r="M323" t="str">
        <f ca="1"/>
        <v/>
      </c>
      <c r="O323" s="50" t="str">
        <f ca="1"/>
        <v/>
      </c>
    </row>
    <row r="324" spans="9:15" x14ac:dyDescent="0.2">
      <c r="I324" s="50" t="str">
        <v/>
      </c>
      <c r="J324" s="50" t="str">
        <v/>
      </c>
      <c r="K324" s="50" t="str">
        <f ca="1"/>
        <v/>
      </c>
      <c r="L324" s="19" t="str">
        <v/>
      </c>
      <c r="M324" t="str">
        <f ca="1"/>
        <v/>
      </c>
      <c r="O324" s="50" t="str">
        <f ca="1"/>
        <v/>
      </c>
    </row>
    <row r="325" spans="9:15" x14ac:dyDescent="0.2">
      <c r="I325" s="50" t="str">
        <v/>
      </c>
      <c r="J325" s="50" t="str">
        <v/>
      </c>
      <c r="K325" s="50" t="str">
        <f ca="1"/>
        <v/>
      </c>
      <c r="L325" s="19" t="str">
        <v/>
      </c>
      <c r="M325" t="str">
        <f ca="1"/>
        <v/>
      </c>
      <c r="O325" s="50" t="str">
        <f ca="1"/>
        <v/>
      </c>
    </row>
    <row r="326" spans="9:15" x14ac:dyDescent="0.2">
      <c r="I326" s="50" t="str">
        <v/>
      </c>
      <c r="J326" s="50" t="str">
        <v/>
      </c>
      <c r="K326" s="50" t="str">
        <f ca="1"/>
        <v/>
      </c>
      <c r="L326" s="19" t="str">
        <v/>
      </c>
      <c r="M326" t="str">
        <f ca="1"/>
        <v/>
      </c>
      <c r="O326" s="50" t="str">
        <f ca="1"/>
        <v/>
      </c>
    </row>
    <row r="327" spans="9:15" x14ac:dyDescent="0.2">
      <c r="I327" s="50" t="str">
        <v/>
      </c>
      <c r="J327" s="50" t="str">
        <v/>
      </c>
      <c r="K327" s="50" t="str">
        <f ca="1"/>
        <v/>
      </c>
      <c r="L327" s="19" t="str">
        <v/>
      </c>
      <c r="M327" t="str">
        <f ca="1"/>
        <v/>
      </c>
      <c r="O327" s="50" t="str">
        <f ca="1"/>
        <v/>
      </c>
    </row>
    <row r="328" spans="9:15" x14ac:dyDescent="0.2">
      <c r="I328" s="50" t="str">
        <v/>
      </c>
      <c r="J328" s="50" t="str">
        <v/>
      </c>
      <c r="K328" s="50" t="str">
        <f ca="1"/>
        <v/>
      </c>
      <c r="L328" s="19" t="str">
        <v/>
      </c>
      <c r="M328" t="str">
        <f ca="1"/>
        <v/>
      </c>
      <c r="O328" s="50" t="str">
        <f ca="1"/>
        <v/>
      </c>
    </row>
    <row r="329" spans="9:15" x14ac:dyDescent="0.2">
      <c r="I329" s="50" t="str">
        <v/>
      </c>
      <c r="J329" s="50" t="str">
        <v/>
      </c>
      <c r="K329" s="50" t="str">
        <f ca="1"/>
        <v/>
      </c>
      <c r="L329" s="19" t="str">
        <v/>
      </c>
      <c r="M329" t="str">
        <f ca="1"/>
        <v/>
      </c>
      <c r="O329" s="50" t="str">
        <f ca="1"/>
        <v/>
      </c>
    </row>
    <row r="330" spans="9:15" x14ac:dyDescent="0.2">
      <c r="I330" s="50" t="str">
        <v/>
      </c>
      <c r="J330" s="50" t="str">
        <v/>
      </c>
      <c r="K330" s="50" t="str">
        <f ca="1"/>
        <v/>
      </c>
      <c r="L330" s="19" t="str">
        <v/>
      </c>
      <c r="M330" t="str">
        <f ca="1"/>
        <v/>
      </c>
      <c r="O330" s="50" t="str">
        <f ca="1"/>
        <v/>
      </c>
    </row>
    <row r="331" spans="9:15" x14ac:dyDescent="0.2">
      <c r="I331" s="50" t="str">
        <v/>
      </c>
      <c r="J331" s="50" t="str">
        <v/>
      </c>
      <c r="K331" s="50" t="str">
        <f ca="1"/>
        <v/>
      </c>
      <c r="L331" s="19" t="str">
        <v/>
      </c>
      <c r="M331" t="str">
        <f ca="1"/>
        <v/>
      </c>
      <c r="O331" s="50" t="str">
        <f ca="1"/>
        <v/>
      </c>
    </row>
    <row r="332" spans="9:15" x14ac:dyDescent="0.2">
      <c r="I332" s="50" t="str">
        <v/>
      </c>
      <c r="J332" s="50" t="str">
        <v/>
      </c>
      <c r="K332" s="50" t="str">
        <f ca="1"/>
        <v/>
      </c>
      <c r="L332" s="19" t="str">
        <v/>
      </c>
      <c r="M332" t="str">
        <f ca="1"/>
        <v/>
      </c>
      <c r="O332" s="50" t="str">
        <f ca="1"/>
        <v/>
      </c>
    </row>
    <row r="333" spans="9:15" x14ac:dyDescent="0.2">
      <c r="I333" s="50" t="str">
        <v/>
      </c>
      <c r="J333" s="50" t="str">
        <v/>
      </c>
      <c r="K333" s="50" t="str">
        <f ca="1"/>
        <v/>
      </c>
      <c r="L333" s="19" t="str">
        <v/>
      </c>
      <c r="M333" t="str">
        <f ca="1"/>
        <v/>
      </c>
      <c r="O333" s="50" t="str">
        <f ca="1"/>
        <v/>
      </c>
    </row>
    <row r="334" spans="9:15" x14ac:dyDescent="0.2">
      <c r="I334" s="50" t="str">
        <v/>
      </c>
      <c r="J334" s="50" t="str">
        <v/>
      </c>
      <c r="K334" s="50" t="str">
        <f ca="1"/>
        <v/>
      </c>
      <c r="L334" s="19" t="str">
        <v/>
      </c>
      <c r="M334" t="str">
        <f ca="1"/>
        <v/>
      </c>
      <c r="O334" s="50" t="str">
        <f ca="1"/>
        <v/>
      </c>
    </row>
    <row r="335" spans="9:15" x14ac:dyDescent="0.2">
      <c r="I335" s="50" t="str">
        <v/>
      </c>
      <c r="J335" s="50" t="str">
        <v/>
      </c>
      <c r="K335" s="50" t="str">
        <f ca="1"/>
        <v/>
      </c>
      <c r="L335" s="19" t="str">
        <v/>
      </c>
      <c r="M335" t="str">
        <f ca="1"/>
        <v/>
      </c>
      <c r="O335" s="50" t="str">
        <f ca="1"/>
        <v/>
      </c>
    </row>
    <row r="336" spans="9:15" x14ac:dyDescent="0.2">
      <c r="I336" s="50" t="str">
        <v/>
      </c>
      <c r="J336" s="50" t="str">
        <v/>
      </c>
      <c r="K336" s="50" t="str">
        <f ca="1"/>
        <v/>
      </c>
      <c r="L336" s="19" t="str">
        <v/>
      </c>
      <c r="M336" t="str">
        <f ca="1"/>
        <v/>
      </c>
      <c r="O336" s="50" t="str">
        <f ca="1"/>
        <v/>
      </c>
    </row>
    <row r="337" spans="9:15" x14ac:dyDescent="0.2">
      <c r="I337" s="50" t="str">
        <v/>
      </c>
      <c r="J337" s="50" t="str">
        <v/>
      </c>
      <c r="K337" s="50" t="str">
        <f ca="1"/>
        <v/>
      </c>
      <c r="L337" s="19" t="str">
        <v/>
      </c>
      <c r="M337" t="str">
        <f ca="1"/>
        <v/>
      </c>
      <c r="O337" s="50" t="str">
        <f ca="1"/>
        <v/>
      </c>
    </row>
    <row r="338" spans="9:15" x14ac:dyDescent="0.2">
      <c r="I338" s="50" t="str">
        <v/>
      </c>
      <c r="J338" s="50" t="str">
        <v/>
      </c>
      <c r="K338" s="50" t="str">
        <f ca="1"/>
        <v/>
      </c>
      <c r="L338" s="19" t="str">
        <v/>
      </c>
      <c r="M338" t="str">
        <f ca="1"/>
        <v/>
      </c>
      <c r="O338" s="50" t="str">
        <f ca="1"/>
        <v/>
      </c>
    </row>
    <row r="339" spans="9:15" x14ac:dyDescent="0.2">
      <c r="I339" s="50" t="str">
        <v/>
      </c>
      <c r="J339" s="50" t="str">
        <v/>
      </c>
      <c r="K339" s="50" t="str">
        <f ca="1"/>
        <v/>
      </c>
      <c r="L339" s="19" t="str">
        <v/>
      </c>
      <c r="M339" t="str">
        <f ca="1"/>
        <v/>
      </c>
      <c r="O339" s="50" t="str">
        <f ca="1"/>
        <v/>
      </c>
    </row>
    <row r="340" spans="9:15" x14ac:dyDescent="0.2">
      <c r="I340" s="50" t="str">
        <v/>
      </c>
      <c r="J340" s="50" t="str">
        <v/>
      </c>
      <c r="K340" s="50" t="str">
        <f ca="1"/>
        <v/>
      </c>
      <c r="L340" s="19" t="str">
        <v/>
      </c>
      <c r="M340" t="str">
        <f ca="1"/>
        <v/>
      </c>
      <c r="O340" s="50" t="str">
        <f ca="1"/>
        <v/>
      </c>
    </row>
    <row r="341" spans="9:15" x14ac:dyDescent="0.2">
      <c r="I341" s="50" t="str">
        <v/>
      </c>
      <c r="J341" s="50" t="str">
        <v/>
      </c>
      <c r="K341" s="50" t="str">
        <f ca="1"/>
        <v/>
      </c>
      <c r="L341" s="19" t="str">
        <v/>
      </c>
      <c r="M341" t="str">
        <f ca="1"/>
        <v/>
      </c>
      <c r="O341" s="50" t="str">
        <f ca="1"/>
        <v/>
      </c>
    </row>
    <row r="342" spans="9:15" x14ac:dyDescent="0.2">
      <c r="I342" s="50" t="str">
        <v/>
      </c>
      <c r="J342" s="50" t="str">
        <v/>
      </c>
      <c r="K342" s="50" t="str">
        <f ca="1"/>
        <v/>
      </c>
      <c r="L342" s="19" t="str">
        <v/>
      </c>
      <c r="M342" t="str">
        <f ca="1"/>
        <v/>
      </c>
      <c r="O342" s="50" t="str">
        <f ca="1"/>
        <v/>
      </c>
    </row>
    <row r="343" spans="9:15" x14ac:dyDescent="0.2">
      <c r="I343" s="50" t="str">
        <v/>
      </c>
      <c r="J343" s="50" t="str">
        <v/>
      </c>
      <c r="K343" s="50" t="str">
        <f ca="1"/>
        <v/>
      </c>
      <c r="L343" s="19" t="str">
        <v/>
      </c>
      <c r="M343" t="str">
        <f ca="1"/>
        <v/>
      </c>
      <c r="O343" s="50" t="str">
        <f ca="1"/>
        <v/>
      </c>
    </row>
    <row r="344" spans="9:15" x14ac:dyDescent="0.2">
      <c r="I344" s="50" t="str">
        <v/>
      </c>
      <c r="J344" s="50" t="str">
        <v/>
      </c>
      <c r="K344" s="50" t="str">
        <f ca="1"/>
        <v/>
      </c>
      <c r="L344" s="19" t="str">
        <v/>
      </c>
      <c r="M344" t="str">
        <f ca="1"/>
        <v/>
      </c>
      <c r="O344" s="50" t="str">
        <f ca="1"/>
        <v/>
      </c>
    </row>
    <row r="345" spans="9:15" x14ac:dyDescent="0.2">
      <c r="I345" s="50" t="str">
        <v/>
      </c>
      <c r="J345" s="50" t="str">
        <v/>
      </c>
      <c r="K345" s="50" t="str">
        <f ca="1"/>
        <v/>
      </c>
      <c r="L345" s="19" t="str">
        <v/>
      </c>
      <c r="M345" t="str">
        <f ca="1"/>
        <v/>
      </c>
      <c r="O345" s="50" t="str">
        <f ca="1"/>
        <v/>
      </c>
    </row>
    <row r="346" spans="9:15" x14ac:dyDescent="0.2">
      <c r="I346" s="50" t="str">
        <v/>
      </c>
      <c r="J346" s="50" t="str">
        <v/>
      </c>
      <c r="K346" s="50" t="str">
        <f ca="1"/>
        <v/>
      </c>
      <c r="L346" s="19" t="str">
        <v/>
      </c>
      <c r="M346" t="str">
        <f ca="1"/>
        <v/>
      </c>
      <c r="O346" s="50" t="str">
        <f ca="1"/>
        <v/>
      </c>
    </row>
    <row r="347" spans="9:15" x14ac:dyDescent="0.2">
      <c r="I347" s="50" t="str">
        <v/>
      </c>
      <c r="J347" s="50" t="str">
        <v/>
      </c>
      <c r="K347" s="50" t="str">
        <f ca="1"/>
        <v/>
      </c>
      <c r="L347" s="19" t="str">
        <v/>
      </c>
      <c r="M347" t="str">
        <f ca="1"/>
        <v/>
      </c>
      <c r="O347" s="50" t="str">
        <f ca="1"/>
        <v/>
      </c>
    </row>
    <row r="348" spans="9:15" x14ac:dyDescent="0.2">
      <c r="I348" s="50" t="str">
        <v/>
      </c>
      <c r="J348" s="50" t="str">
        <v/>
      </c>
      <c r="K348" s="50" t="str">
        <f ca="1"/>
        <v/>
      </c>
      <c r="L348" s="19" t="str">
        <v/>
      </c>
      <c r="M348" t="str">
        <f ca="1"/>
        <v/>
      </c>
      <c r="O348" s="50" t="str">
        <f ca="1"/>
        <v/>
      </c>
    </row>
    <row r="349" spans="9:15" x14ac:dyDescent="0.2">
      <c r="I349" s="50" t="str">
        <v/>
      </c>
      <c r="J349" s="50" t="str">
        <v/>
      </c>
      <c r="K349" s="50" t="str">
        <f ca="1"/>
        <v/>
      </c>
      <c r="L349" s="19" t="str">
        <v/>
      </c>
      <c r="M349" t="str">
        <f ca="1"/>
        <v/>
      </c>
      <c r="O349" s="50" t="str">
        <f ca="1"/>
        <v/>
      </c>
    </row>
    <row r="350" spans="9:15" x14ac:dyDescent="0.2">
      <c r="I350" s="50" t="str">
        <v/>
      </c>
      <c r="J350" s="50" t="str">
        <v/>
      </c>
      <c r="K350" s="50" t="str">
        <f ca="1"/>
        <v/>
      </c>
      <c r="L350" s="19" t="str">
        <v/>
      </c>
      <c r="M350" t="str">
        <f ca="1"/>
        <v/>
      </c>
      <c r="O350" s="50" t="str">
        <f ca="1"/>
        <v/>
      </c>
    </row>
    <row r="351" spans="9:15" x14ac:dyDescent="0.2">
      <c r="I351" s="50" t="str">
        <v/>
      </c>
      <c r="J351" s="50" t="str">
        <v/>
      </c>
      <c r="K351" s="50" t="str">
        <f ca="1"/>
        <v/>
      </c>
      <c r="L351" s="19" t="str">
        <v/>
      </c>
      <c r="M351" t="str">
        <f ca="1"/>
        <v/>
      </c>
      <c r="O351" s="50" t="str">
        <f ca="1"/>
        <v/>
      </c>
    </row>
    <row r="352" spans="9:15" x14ac:dyDescent="0.2">
      <c r="I352" s="50" t="str">
        <v/>
      </c>
      <c r="J352" s="50" t="str">
        <v/>
      </c>
      <c r="K352" s="50" t="str">
        <f ca="1"/>
        <v/>
      </c>
      <c r="L352" s="19" t="str">
        <v/>
      </c>
      <c r="M352" t="str">
        <f ca="1"/>
        <v/>
      </c>
      <c r="O352" s="50" t="str">
        <f ca="1"/>
        <v/>
      </c>
    </row>
    <row r="353" spans="9:15" x14ac:dyDescent="0.2">
      <c r="I353" s="50" t="str">
        <v/>
      </c>
      <c r="J353" s="50" t="str">
        <v/>
      </c>
      <c r="K353" s="50" t="str">
        <f ca="1"/>
        <v/>
      </c>
      <c r="L353" s="19" t="str">
        <v/>
      </c>
      <c r="M353" t="str">
        <f ca="1"/>
        <v/>
      </c>
      <c r="O353" s="50" t="str">
        <f ca="1"/>
        <v/>
      </c>
    </row>
    <row r="354" spans="9:15" x14ac:dyDescent="0.2">
      <c r="I354" s="50" t="str">
        <v/>
      </c>
      <c r="J354" s="50" t="str">
        <v/>
      </c>
      <c r="K354" s="50" t="str">
        <f ca="1"/>
        <v/>
      </c>
      <c r="L354" s="19" t="str">
        <v/>
      </c>
      <c r="M354" t="str">
        <f ca="1"/>
        <v/>
      </c>
      <c r="O354" s="50" t="str">
        <f ca="1"/>
        <v/>
      </c>
    </row>
    <row r="355" spans="9:15" x14ac:dyDescent="0.2">
      <c r="I355" s="50" t="str">
        <v/>
      </c>
      <c r="J355" s="50" t="str">
        <v/>
      </c>
      <c r="K355" s="50" t="str">
        <f ca="1"/>
        <v/>
      </c>
      <c r="L355" s="19" t="str">
        <v/>
      </c>
      <c r="M355" t="str">
        <f ca="1"/>
        <v/>
      </c>
      <c r="O355" s="50" t="str">
        <f ca="1"/>
        <v/>
      </c>
    </row>
    <row r="356" spans="9:15" x14ac:dyDescent="0.2">
      <c r="I356" s="50" t="str">
        <v/>
      </c>
      <c r="J356" s="50" t="str">
        <v/>
      </c>
      <c r="K356" s="50" t="str">
        <f ca="1"/>
        <v/>
      </c>
      <c r="L356" s="19" t="str">
        <v/>
      </c>
      <c r="M356" t="str">
        <f ca="1"/>
        <v/>
      </c>
      <c r="O356" s="50" t="str">
        <f ca="1"/>
        <v/>
      </c>
    </row>
    <row r="357" spans="9:15" x14ac:dyDescent="0.2">
      <c r="I357" s="50" t="str">
        <v/>
      </c>
      <c r="J357" s="50" t="str">
        <v/>
      </c>
      <c r="K357" s="50" t="str">
        <f ca="1"/>
        <v/>
      </c>
      <c r="L357" s="19" t="str">
        <v/>
      </c>
      <c r="M357" t="str">
        <f ca="1"/>
        <v/>
      </c>
      <c r="O357" s="50" t="str">
        <f ca="1"/>
        <v/>
      </c>
    </row>
    <row r="358" spans="9:15" x14ac:dyDescent="0.2">
      <c r="I358" s="50" t="str">
        <v/>
      </c>
      <c r="J358" s="50" t="str">
        <v/>
      </c>
      <c r="K358" s="50" t="str">
        <f ca="1"/>
        <v/>
      </c>
      <c r="L358" s="19" t="str">
        <v/>
      </c>
      <c r="M358" t="str">
        <f ca="1"/>
        <v/>
      </c>
      <c r="O358" s="50" t="str">
        <f ca="1"/>
        <v/>
      </c>
    </row>
    <row r="359" spans="9:15" x14ac:dyDescent="0.2">
      <c r="I359" s="50" t="str">
        <v/>
      </c>
      <c r="J359" s="50" t="str">
        <v/>
      </c>
      <c r="K359" s="50" t="str">
        <f ca="1"/>
        <v/>
      </c>
      <c r="L359" s="19" t="str">
        <v/>
      </c>
      <c r="M359" t="str">
        <f ca="1"/>
        <v/>
      </c>
      <c r="O359" s="50" t="str">
        <f ca="1"/>
        <v/>
      </c>
    </row>
    <row r="360" spans="9:15" x14ac:dyDescent="0.2">
      <c r="I360" s="50" t="str">
        <v/>
      </c>
      <c r="J360" s="50" t="str">
        <v/>
      </c>
      <c r="K360" s="50" t="str">
        <f ca="1"/>
        <v/>
      </c>
      <c r="L360" s="19" t="str">
        <v/>
      </c>
      <c r="M360" t="str">
        <f ca="1"/>
        <v/>
      </c>
      <c r="O360" s="50" t="str">
        <f ca="1"/>
        <v/>
      </c>
    </row>
    <row r="361" spans="9:15" x14ac:dyDescent="0.2">
      <c r="I361" s="50" t="str">
        <v/>
      </c>
      <c r="J361" s="50" t="str">
        <v/>
      </c>
      <c r="K361" s="50" t="str">
        <f ca="1"/>
        <v/>
      </c>
      <c r="L361" s="19" t="str">
        <v/>
      </c>
      <c r="M361" t="str">
        <f ca="1"/>
        <v/>
      </c>
      <c r="O361" s="50" t="str">
        <f ca="1"/>
        <v/>
      </c>
    </row>
    <row r="362" spans="9:15" x14ac:dyDescent="0.2">
      <c r="I362" s="50" t="str">
        <v/>
      </c>
      <c r="J362" s="50" t="str">
        <v/>
      </c>
      <c r="K362" s="50" t="str">
        <f ca="1"/>
        <v/>
      </c>
      <c r="L362" s="19" t="str">
        <v/>
      </c>
      <c r="M362" t="str">
        <f ca="1"/>
        <v/>
      </c>
      <c r="O362" s="50" t="str">
        <f ca="1"/>
        <v/>
      </c>
    </row>
    <row r="363" spans="9:15" x14ac:dyDescent="0.2">
      <c r="I363" s="50" t="str">
        <v/>
      </c>
      <c r="J363" s="50" t="str">
        <v/>
      </c>
      <c r="K363" s="50" t="str">
        <f ca="1"/>
        <v/>
      </c>
      <c r="L363" s="19" t="str">
        <v/>
      </c>
      <c r="M363" t="str">
        <f ca="1"/>
        <v/>
      </c>
      <c r="O363" s="50" t="str">
        <f ca="1"/>
        <v/>
      </c>
    </row>
    <row r="364" spans="9:15" x14ac:dyDescent="0.2">
      <c r="I364" s="50" t="str">
        <v/>
      </c>
      <c r="J364" s="50" t="str">
        <v/>
      </c>
      <c r="K364" s="50" t="str">
        <f ca="1"/>
        <v/>
      </c>
      <c r="L364" s="19" t="str">
        <v/>
      </c>
      <c r="M364" t="str">
        <f ca="1"/>
        <v/>
      </c>
      <c r="O364" s="50" t="str">
        <f ca="1"/>
        <v/>
      </c>
    </row>
    <row r="365" spans="9:15" x14ac:dyDescent="0.2">
      <c r="I365" s="50" t="str">
        <v/>
      </c>
      <c r="J365" s="50" t="str">
        <v/>
      </c>
      <c r="K365" s="50" t="str">
        <f ca="1"/>
        <v/>
      </c>
      <c r="L365" s="19" t="str">
        <v/>
      </c>
      <c r="M365" t="str">
        <f ca="1"/>
        <v/>
      </c>
      <c r="O365" s="50" t="str">
        <f ca="1"/>
        <v/>
      </c>
    </row>
    <row r="366" spans="9:15" x14ac:dyDescent="0.2">
      <c r="I366" s="50" t="str">
        <v/>
      </c>
      <c r="J366" s="50" t="str">
        <v/>
      </c>
      <c r="K366" s="50" t="str">
        <f ca="1"/>
        <v/>
      </c>
      <c r="L366" s="19" t="str">
        <v/>
      </c>
      <c r="M366" t="str">
        <f ca="1"/>
        <v/>
      </c>
      <c r="O366" s="50" t="str">
        <f ca="1"/>
        <v/>
      </c>
    </row>
    <row r="367" spans="9:15" x14ac:dyDescent="0.2">
      <c r="I367" s="50" t="str">
        <v/>
      </c>
      <c r="J367" s="50" t="str">
        <v/>
      </c>
      <c r="K367" s="50" t="str">
        <f ca="1"/>
        <v/>
      </c>
      <c r="L367" s="19" t="str">
        <v/>
      </c>
      <c r="M367" t="str">
        <f ca="1"/>
        <v/>
      </c>
      <c r="O367" s="50" t="str">
        <f ca="1"/>
        <v/>
      </c>
    </row>
    <row r="368" spans="9:15" x14ac:dyDescent="0.2">
      <c r="I368" s="50" t="str">
        <v/>
      </c>
      <c r="J368" s="50" t="str">
        <v/>
      </c>
      <c r="K368" s="50" t="str">
        <f ca="1"/>
        <v/>
      </c>
      <c r="L368" s="19" t="str">
        <v/>
      </c>
      <c r="M368" t="str">
        <f ca="1"/>
        <v/>
      </c>
      <c r="O368" s="50" t="str">
        <f ca="1"/>
        <v/>
      </c>
    </row>
    <row r="369" spans="9:15" x14ac:dyDescent="0.2">
      <c r="I369" s="50" t="str">
        <v/>
      </c>
      <c r="J369" s="50" t="str">
        <v/>
      </c>
      <c r="K369" s="50" t="str">
        <f ca="1"/>
        <v/>
      </c>
      <c r="L369" s="19" t="str">
        <v/>
      </c>
      <c r="M369" t="str">
        <f ca="1"/>
        <v/>
      </c>
      <c r="O369" s="50" t="str">
        <f ca="1"/>
        <v/>
      </c>
    </row>
    <row r="370" spans="9:15" x14ac:dyDescent="0.2">
      <c r="I370" s="50" t="str">
        <v/>
      </c>
      <c r="J370" s="50" t="str">
        <v/>
      </c>
      <c r="K370" s="50" t="str">
        <f ca="1"/>
        <v/>
      </c>
      <c r="L370" s="19" t="str">
        <v/>
      </c>
      <c r="M370" t="str">
        <f ca="1"/>
        <v/>
      </c>
      <c r="O370" s="50" t="str">
        <f ca="1"/>
        <v/>
      </c>
    </row>
    <row r="371" spans="9:15" x14ac:dyDescent="0.2">
      <c r="I371" s="50" t="str">
        <v/>
      </c>
      <c r="J371" s="50" t="str">
        <v/>
      </c>
      <c r="K371" s="50" t="str">
        <f ca="1"/>
        <v/>
      </c>
      <c r="L371" s="19" t="str">
        <v/>
      </c>
      <c r="M371" t="str">
        <f ca="1"/>
        <v/>
      </c>
      <c r="O371" s="50" t="str">
        <f ca="1"/>
        <v/>
      </c>
    </row>
    <row r="372" spans="9:15" x14ac:dyDescent="0.2">
      <c r="I372" s="50" t="str">
        <v/>
      </c>
      <c r="J372" s="50" t="str">
        <v/>
      </c>
      <c r="K372" s="50" t="str">
        <f ca="1"/>
        <v/>
      </c>
      <c r="L372" s="19" t="str">
        <v/>
      </c>
      <c r="M372" t="str">
        <f ca="1"/>
        <v/>
      </c>
      <c r="O372" s="50" t="str">
        <f ca="1"/>
        <v/>
      </c>
    </row>
    <row r="373" spans="9:15" x14ac:dyDescent="0.2">
      <c r="I373" s="50" t="str">
        <v/>
      </c>
      <c r="J373" s="50" t="str">
        <v/>
      </c>
      <c r="K373" s="50" t="str">
        <f ca="1"/>
        <v/>
      </c>
      <c r="L373" s="19" t="str">
        <v/>
      </c>
      <c r="M373" t="str">
        <f ca="1"/>
        <v/>
      </c>
      <c r="O373" s="50" t="str">
        <f ca="1"/>
        <v/>
      </c>
    </row>
    <row r="374" spans="9:15" x14ac:dyDescent="0.2">
      <c r="I374" s="50" t="str">
        <v/>
      </c>
      <c r="J374" s="50" t="str">
        <v/>
      </c>
      <c r="K374" s="50" t="str">
        <f ca="1"/>
        <v/>
      </c>
      <c r="L374" s="19" t="str">
        <v/>
      </c>
      <c r="M374" t="str">
        <f ca="1"/>
        <v/>
      </c>
      <c r="O374" s="50" t="str">
        <f ca="1"/>
        <v/>
      </c>
    </row>
    <row r="375" spans="9:15" x14ac:dyDescent="0.2">
      <c r="I375" s="50" t="str">
        <v/>
      </c>
      <c r="J375" s="50" t="str">
        <v/>
      </c>
      <c r="K375" s="50" t="str">
        <f ca="1"/>
        <v/>
      </c>
      <c r="L375" s="19" t="str">
        <v/>
      </c>
      <c r="M375" t="str">
        <f ca="1"/>
        <v/>
      </c>
      <c r="O375" s="50" t="str">
        <f ca="1"/>
        <v/>
      </c>
    </row>
    <row r="376" spans="9:15" x14ac:dyDescent="0.2">
      <c r="I376" s="50" t="str">
        <v/>
      </c>
      <c r="J376" s="50" t="str">
        <v/>
      </c>
      <c r="K376" s="50" t="str">
        <f ca="1"/>
        <v/>
      </c>
      <c r="L376" s="19" t="str">
        <v/>
      </c>
      <c r="M376" t="str">
        <f ca="1"/>
        <v/>
      </c>
      <c r="O376" s="50" t="str">
        <f ca="1"/>
        <v/>
      </c>
    </row>
    <row r="377" spans="9:15" x14ac:dyDescent="0.2">
      <c r="I377" s="50" t="str">
        <v/>
      </c>
      <c r="J377" s="50" t="str">
        <v/>
      </c>
      <c r="K377" s="50" t="str">
        <f ca="1"/>
        <v/>
      </c>
      <c r="L377" s="19" t="str">
        <v/>
      </c>
      <c r="M377" t="str">
        <f ca="1"/>
        <v/>
      </c>
      <c r="O377" s="50" t="str">
        <f ca="1"/>
        <v/>
      </c>
    </row>
    <row r="378" spans="9:15" x14ac:dyDescent="0.2">
      <c r="I378" s="50" t="str">
        <v/>
      </c>
      <c r="J378" s="50" t="str">
        <v/>
      </c>
      <c r="K378" s="50" t="str">
        <f ca="1"/>
        <v/>
      </c>
      <c r="L378" s="19" t="str">
        <v/>
      </c>
      <c r="M378" t="str">
        <f ca="1"/>
        <v/>
      </c>
      <c r="O378" s="50" t="str">
        <f ca="1"/>
        <v/>
      </c>
    </row>
    <row r="379" spans="9:15" x14ac:dyDescent="0.2">
      <c r="I379" s="50" t="str">
        <v/>
      </c>
      <c r="J379" s="50" t="str">
        <v/>
      </c>
      <c r="K379" s="50" t="str">
        <f ca="1"/>
        <v/>
      </c>
      <c r="L379" s="19" t="str">
        <v/>
      </c>
      <c r="M379" t="str">
        <f ca="1"/>
        <v/>
      </c>
      <c r="O379" s="50" t="str">
        <f ca="1"/>
        <v/>
      </c>
    </row>
    <row r="380" spans="9:15" x14ac:dyDescent="0.2">
      <c r="I380" s="50" t="str">
        <v/>
      </c>
      <c r="J380" s="50" t="str">
        <v/>
      </c>
      <c r="K380" s="50" t="str">
        <f ca="1"/>
        <v/>
      </c>
      <c r="L380" s="19" t="str">
        <v/>
      </c>
      <c r="M380" t="str">
        <f ca="1"/>
        <v/>
      </c>
      <c r="O380" s="50" t="str">
        <f ca="1"/>
        <v/>
      </c>
    </row>
    <row r="381" spans="9:15" x14ac:dyDescent="0.2">
      <c r="I381" s="50" t="str">
        <v/>
      </c>
      <c r="J381" s="50" t="str">
        <v/>
      </c>
      <c r="K381" s="50" t="str">
        <f ca="1"/>
        <v/>
      </c>
      <c r="L381" s="19" t="str">
        <v/>
      </c>
      <c r="M381" t="str">
        <f ca="1"/>
        <v/>
      </c>
      <c r="O381" s="50" t="str">
        <f ca="1"/>
        <v/>
      </c>
    </row>
    <row r="382" spans="9:15" x14ac:dyDescent="0.2">
      <c r="I382" s="50" t="str">
        <v/>
      </c>
      <c r="J382" s="50" t="str">
        <v/>
      </c>
      <c r="K382" s="50" t="str">
        <f ca="1"/>
        <v/>
      </c>
      <c r="L382" s="19" t="str">
        <v/>
      </c>
      <c r="M382" t="str">
        <f ca="1"/>
        <v/>
      </c>
      <c r="O382" s="50" t="str">
        <f ca="1"/>
        <v/>
      </c>
    </row>
    <row r="383" spans="9:15" x14ac:dyDescent="0.2">
      <c r="I383" s="50" t="str">
        <v/>
      </c>
      <c r="J383" s="50" t="str">
        <v/>
      </c>
      <c r="K383" s="50" t="str">
        <f ca="1"/>
        <v/>
      </c>
      <c r="L383" s="19" t="str">
        <v/>
      </c>
      <c r="M383" t="str">
        <f ca="1"/>
        <v/>
      </c>
      <c r="O383" s="50" t="str">
        <f ca="1"/>
        <v/>
      </c>
    </row>
    <row r="384" spans="9:15" x14ac:dyDescent="0.2">
      <c r="I384" s="50" t="str">
        <v/>
      </c>
      <c r="J384" s="50" t="str">
        <v/>
      </c>
      <c r="K384" s="50" t="str">
        <f ca="1"/>
        <v/>
      </c>
      <c r="L384" s="19" t="str">
        <v/>
      </c>
      <c r="M384" t="str">
        <f ca="1"/>
        <v/>
      </c>
      <c r="O384" s="50" t="str">
        <f ca="1"/>
        <v/>
      </c>
    </row>
    <row r="385" spans="9:15" x14ac:dyDescent="0.2">
      <c r="I385" s="50" t="str">
        <v/>
      </c>
      <c r="J385" s="50" t="str">
        <v/>
      </c>
      <c r="K385" s="50" t="str">
        <f ca="1"/>
        <v/>
      </c>
      <c r="L385" s="19" t="str">
        <v/>
      </c>
      <c r="M385" t="str">
        <f ca="1"/>
        <v/>
      </c>
      <c r="O385" s="50" t="str">
        <f ca="1"/>
        <v/>
      </c>
    </row>
    <row r="386" spans="9:15" x14ac:dyDescent="0.2">
      <c r="I386" s="50" t="str">
        <v/>
      </c>
      <c r="J386" s="50" t="str">
        <v/>
      </c>
      <c r="K386" s="50" t="str">
        <f ca="1"/>
        <v/>
      </c>
      <c r="L386" s="19" t="str">
        <v/>
      </c>
      <c r="M386" t="str">
        <f ca="1"/>
        <v/>
      </c>
      <c r="O386" s="50" t="str">
        <f ca="1"/>
        <v/>
      </c>
    </row>
    <row r="387" spans="9:15" x14ac:dyDescent="0.2">
      <c r="I387" s="50" t="str">
        <v/>
      </c>
      <c r="J387" s="50" t="str">
        <v/>
      </c>
      <c r="K387" s="50" t="str">
        <f ca="1"/>
        <v/>
      </c>
      <c r="L387" s="19" t="str">
        <v/>
      </c>
      <c r="M387" t="str">
        <f ca="1"/>
        <v/>
      </c>
      <c r="O387" s="50" t="str">
        <f ca="1"/>
        <v/>
      </c>
    </row>
    <row r="388" spans="9:15" x14ac:dyDescent="0.2">
      <c r="I388" s="50" t="str">
        <v/>
      </c>
      <c r="J388" s="50" t="str">
        <v/>
      </c>
      <c r="K388" s="50" t="str">
        <f ca="1"/>
        <v/>
      </c>
      <c r="L388" s="19" t="str">
        <v/>
      </c>
      <c r="M388" t="str">
        <f ca="1"/>
        <v/>
      </c>
      <c r="O388" s="50" t="str">
        <f ca="1"/>
        <v/>
      </c>
    </row>
    <row r="389" spans="9:15" x14ac:dyDescent="0.2">
      <c r="I389" s="50" t="str">
        <v/>
      </c>
      <c r="J389" s="50" t="str">
        <v/>
      </c>
      <c r="K389" s="50" t="str">
        <f ca="1"/>
        <v/>
      </c>
      <c r="L389" s="19" t="str">
        <v/>
      </c>
      <c r="M389" t="str">
        <f ca="1"/>
        <v/>
      </c>
      <c r="O389" s="50" t="str">
        <f ca="1"/>
        <v/>
      </c>
    </row>
    <row r="390" spans="9:15" x14ac:dyDescent="0.2">
      <c r="I390" s="50" t="str">
        <v/>
      </c>
      <c r="J390" s="50" t="str">
        <v/>
      </c>
      <c r="K390" s="50" t="str">
        <f ca="1"/>
        <v/>
      </c>
      <c r="L390" s="19" t="str">
        <v/>
      </c>
      <c r="M390" t="str">
        <f ca="1"/>
        <v/>
      </c>
      <c r="O390" s="50" t="str">
        <f ca="1"/>
        <v/>
      </c>
    </row>
    <row r="391" spans="9:15" x14ac:dyDescent="0.2">
      <c r="I391" s="50" t="str">
        <v/>
      </c>
      <c r="J391" s="50" t="str">
        <v/>
      </c>
      <c r="K391" s="50" t="str">
        <f ca="1"/>
        <v/>
      </c>
      <c r="L391" s="19" t="str">
        <v/>
      </c>
      <c r="M391" t="str">
        <f ca="1"/>
        <v/>
      </c>
      <c r="O391" s="50" t="str">
        <f ca="1"/>
        <v/>
      </c>
    </row>
    <row r="392" spans="9:15" x14ac:dyDescent="0.2">
      <c r="I392" s="50" t="str">
        <v/>
      </c>
      <c r="J392" s="50" t="str">
        <v/>
      </c>
      <c r="K392" s="50" t="str">
        <f ca="1"/>
        <v/>
      </c>
      <c r="L392" s="19" t="str">
        <v/>
      </c>
      <c r="M392" t="str">
        <f ca="1"/>
        <v/>
      </c>
      <c r="O392" s="50" t="str">
        <f ca="1"/>
        <v/>
      </c>
    </row>
    <row r="393" spans="9:15" x14ac:dyDescent="0.2">
      <c r="I393" s="50" t="str">
        <v/>
      </c>
      <c r="J393" s="50" t="str">
        <v/>
      </c>
      <c r="K393" s="50" t="str">
        <f ca="1"/>
        <v/>
      </c>
      <c r="L393" s="19" t="str">
        <v/>
      </c>
      <c r="M393" t="str">
        <f ca="1"/>
        <v/>
      </c>
      <c r="O393" s="50" t="str">
        <f ca="1"/>
        <v/>
      </c>
    </row>
    <row r="394" spans="9:15" x14ac:dyDescent="0.2">
      <c r="I394" s="50" t="str">
        <v/>
      </c>
      <c r="J394" s="50" t="str">
        <v/>
      </c>
      <c r="K394" s="50" t="str">
        <f ca="1"/>
        <v/>
      </c>
      <c r="L394" s="19" t="str">
        <v/>
      </c>
      <c r="M394" t="str">
        <f ca="1"/>
        <v/>
      </c>
      <c r="O394" s="50" t="str">
        <f ca="1"/>
        <v/>
      </c>
    </row>
    <row r="395" spans="9:15" x14ac:dyDescent="0.2">
      <c r="I395" s="50" t="str">
        <v/>
      </c>
      <c r="J395" s="50" t="str">
        <v/>
      </c>
      <c r="K395" s="50" t="str">
        <f ca="1"/>
        <v/>
      </c>
      <c r="L395" s="19" t="str">
        <v/>
      </c>
      <c r="M395" t="str">
        <f ca="1"/>
        <v/>
      </c>
      <c r="O395" s="50" t="str">
        <f ca="1"/>
        <v/>
      </c>
    </row>
    <row r="396" spans="9:15" x14ac:dyDescent="0.2">
      <c r="I396" s="50" t="str">
        <v/>
      </c>
      <c r="J396" s="50" t="str">
        <v/>
      </c>
      <c r="K396" s="50" t="str">
        <f ca="1"/>
        <v/>
      </c>
      <c r="L396" s="19" t="str">
        <v/>
      </c>
      <c r="M396" t="str">
        <f ca="1"/>
        <v/>
      </c>
      <c r="O396" s="50" t="str">
        <f ca="1"/>
        <v/>
      </c>
    </row>
    <row r="397" spans="9:15" x14ac:dyDescent="0.2">
      <c r="I397" s="50" t="str">
        <v/>
      </c>
      <c r="J397" s="50" t="str">
        <v/>
      </c>
      <c r="K397" s="50" t="str">
        <f ca="1"/>
        <v/>
      </c>
      <c r="L397" s="19" t="str">
        <v/>
      </c>
      <c r="M397" t="str">
        <f ca="1"/>
        <v/>
      </c>
      <c r="O397" s="50" t="str">
        <f ca="1"/>
        <v/>
      </c>
    </row>
    <row r="398" spans="9:15" x14ac:dyDescent="0.2">
      <c r="I398" s="50" t="str">
        <v/>
      </c>
      <c r="J398" s="50" t="str">
        <v/>
      </c>
      <c r="K398" s="50" t="str">
        <f ca="1"/>
        <v/>
      </c>
      <c r="L398" s="19" t="str">
        <v/>
      </c>
      <c r="M398" t="str">
        <f ca="1"/>
        <v/>
      </c>
      <c r="O398" s="50" t="str">
        <f ca="1"/>
        <v/>
      </c>
    </row>
    <row r="399" spans="9:15" x14ac:dyDescent="0.2">
      <c r="I399" s="50" t="str">
        <v/>
      </c>
      <c r="J399" s="50" t="str">
        <v/>
      </c>
      <c r="K399" s="50" t="str">
        <f ca="1"/>
        <v/>
      </c>
      <c r="L399" s="19" t="str">
        <v/>
      </c>
      <c r="M399" t="str">
        <f ca="1"/>
        <v/>
      </c>
      <c r="O399" s="50" t="str">
        <f ca="1"/>
        <v/>
      </c>
    </row>
    <row r="400" spans="9:15" x14ac:dyDescent="0.2">
      <c r="I400" s="50" t="str">
        <v/>
      </c>
      <c r="J400" s="50" t="str">
        <v/>
      </c>
      <c r="K400" s="50" t="str">
        <f ca="1"/>
        <v/>
      </c>
      <c r="L400" s="19" t="str">
        <v/>
      </c>
      <c r="M400" t="str">
        <f ca="1"/>
        <v/>
      </c>
      <c r="O400" s="50" t="str">
        <f ca="1"/>
        <v/>
      </c>
    </row>
    <row r="401" spans="9:15" x14ac:dyDescent="0.2">
      <c r="I401" s="50" t="str">
        <v/>
      </c>
      <c r="J401" s="50" t="str">
        <v/>
      </c>
      <c r="K401" s="50" t="str">
        <f ca="1"/>
        <v/>
      </c>
      <c r="L401" s="19" t="str">
        <v/>
      </c>
      <c r="M401" t="str">
        <f ca="1"/>
        <v/>
      </c>
      <c r="O401" s="50" t="str">
        <f ca="1"/>
        <v/>
      </c>
    </row>
    <row r="402" spans="9:15" x14ac:dyDescent="0.2">
      <c r="I402" s="50" t="str">
        <v/>
      </c>
      <c r="J402" s="50" t="str">
        <v/>
      </c>
      <c r="K402" s="50" t="str">
        <f ca="1"/>
        <v/>
      </c>
      <c r="L402" s="19" t="str">
        <v/>
      </c>
      <c r="M402" t="str">
        <f ca="1"/>
        <v/>
      </c>
      <c r="O402" s="50" t="str">
        <f ca="1"/>
        <v/>
      </c>
    </row>
    <row r="403" spans="9:15" x14ac:dyDescent="0.2">
      <c r="I403" s="50" t="str">
        <v/>
      </c>
      <c r="J403" s="50" t="str">
        <v/>
      </c>
      <c r="K403" s="50" t="str">
        <f ca="1"/>
        <v/>
      </c>
      <c r="L403" s="19" t="str">
        <v/>
      </c>
      <c r="M403" t="str">
        <f ca="1"/>
        <v/>
      </c>
      <c r="O403" s="50" t="str">
        <f ca="1"/>
        <v/>
      </c>
    </row>
    <row r="404" spans="9:15" x14ac:dyDescent="0.2">
      <c r="I404" s="50" t="str">
        <v/>
      </c>
      <c r="J404" s="50" t="str">
        <v/>
      </c>
      <c r="K404" s="50" t="str">
        <f ca="1"/>
        <v/>
      </c>
      <c r="L404" s="19" t="str">
        <v/>
      </c>
      <c r="M404" t="str">
        <f ca="1"/>
        <v/>
      </c>
      <c r="O404" s="50" t="str">
        <f ca="1"/>
        <v/>
      </c>
    </row>
    <row r="405" spans="9:15" x14ac:dyDescent="0.2">
      <c r="I405" s="50" t="str">
        <v/>
      </c>
      <c r="J405" s="50" t="str">
        <v/>
      </c>
      <c r="K405" s="50" t="str">
        <f ca="1"/>
        <v/>
      </c>
      <c r="L405" s="19" t="str">
        <v/>
      </c>
      <c r="M405" t="str">
        <f ca="1"/>
        <v/>
      </c>
      <c r="O405" s="50" t="str">
        <f ca="1"/>
        <v/>
      </c>
    </row>
    <row r="406" spans="9:15" x14ac:dyDescent="0.2">
      <c r="I406" s="50" t="str">
        <v/>
      </c>
      <c r="J406" s="50" t="str">
        <v/>
      </c>
      <c r="K406" s="50" t="str">
        <f ca="1"/>
        <v/>
      </c>
      <c r="L406" s="19" t="str">
        <v/>
      </c>
      <c r="M406" t="str">
        <f ca="1"/>
        <v/>
      </c>
      <c r="O406" s="50" t="str">
        <f ca="1"/>
        <v/>
      </c>
    </row>
    <row r="407" spans="9:15" x14ac:dyDescent="0.2">
      <c r="I407" s="50" t="str">
        <v/>
      </c>
      <c r="J407" s="50" t="str">
        <v/>
      </c>
      <c r="K407" s="50" t="str">
        <f ca="1"/>
        <v/>
      </c>
      <c r="L407" s="19" t="str">
        <v/>
      </c>
      <c r="M407" t="str">
        <f ca="1"/>
        <v/>
      </c>
      <c r="O407" s="50" t="str">
        <f ca="1"/>
        <v/>
      </c>
    </row>
    <row r="408" spans="9:15" x14ac:dyDescent="0.2">
      <c r="I408" s="50" t="str">
        <v/>
      </c>
      <c r="J408" s="50" t="str">
        <v/>
      </c>
      <c r="K408" s="50" t="str">
        <f ca="1"/>
        <v/>
      </c>
      <c r="L408" s="19" t="str">
        <v/>
      </c>
      <c r="M408" t="str">
        <f ca="1"/>
        <v/>
      </c>
      <c r="O408" s="50" t="str">
        <f ca="1"/>
        <v/>
      </c>
    </row>
    <row r="409" spans="9:15" x14ac:dyDescent="0.2">
      <c r="I409" s="50" t="str">
        <v/>
      </c>
      <c r="J409" s="50" t="str">
        <v/>
      </c>
      <c r="K409" s="50" t="str">
        <f ca="1"/>
        <v/>
      </c>
      <c r="L409" s="19" t="str">
        <v/>
      </c>
      <c r="M409" t="str">
        <f ca="1"/>
        <v/>
      </c>
      <c r="O409" s="50" t="str">
        <f ca="1"/>
        <v/>
      </c>
    </row>
    <row r="410" spans="9:15" x14ac:dyDescent="0.2">
      <c r="I410" s="50" t="str">
        <v/>
      </c>
      <c r="J410" s="50" t="str">
        <v/>
      </c>
      <c r="K410" s="50" t="str">
        <f ca="1"/>
        <v/>
      </c>
      <c r="L410" s="19" t="str">
        <v/>
      </c>
      <c r="M410" t="str">
        <f ca="1"/>
        <v/>
      </c>
      <c r="O410" s="50" t="str">
        <f ca="1"/>
        <v/>
      </c>
    </row>
    <row r="411" spans="9:15" x14ac:dyDescent="0.2">
      <c r="I411" s="50" t="str">
        <v/>
      </c>
      <c r="J411" s="50" t="str">
        <v/>
      </c>
      <c r="K411" s="50" t="str">
        <f ca="1"/>
        <v/>
      </c>
      <c r="L411" s="19" t="str">
        <v/>
      </c>
      <c r="M411" t="str">
        <f ca="1"/>
        <v/>
      </c>
      <c r="O411" s="50" t="str">
        <f ca="1"/>
        <v/>
      </c>
    </row>
    <row r="412" spans="9:15" x14ac:dyDescent="0.2">
      <c r="I412" s="50" t="str">
        <v/>
      </c>
      <c r="J412" s="50" t="str">
        <v/>
      </c>
      <c r="K412" s="50" t="str">
        <f ca="1"/>
        <v/>
      </c>
      <c r="L412" s="19" t="str">
        <v/>
      </c>
      <c r="M412" t="str">
        <f ca="1"/>
        <v/>
      </c>
      <c r="O412" s="50" t="str">
        <f ca="1"/>
        <v/>
      </c>
    </row>
    <row r="413" spans="9:15" x14ac:dyDescent="0.2">
      <c r="I413" s="50" t="str">
        <v/>
      </c>
      <c r="J413" s="50" t="str">
        <v/>
      </c>
      <c r="K413" s="50" t="str">
        <f ca="1"/>
        <v/>
      </c>
      <c r="L413" s="19" t="str">
        <v/>
      </c>
      <c r="M413" t="str">
        <f ca="1"/>
        <v/>
      </c>
      <c r="O413" s="50" t="str">
        <f ca="1"/>
        <v/>
      </c>
    </row>
    <row r="414" spans="9:15" x14ac:dyDescent="0.2">
      <c r="I414" s="50" t="str">
        <v/>
      </c>
      <c r="J414" s="50" t="str">
        <v/>
      </c>
      <c r="K414" s="50" t="str">
        <f ca="1"/>
        <v/>
      </c>
      <c r="L414" s="19" t="str">
        <v/>
      </c>
      <c r="M414" t="str">
        <f ca="1"/>
        <v/>
      </c>
      <c r="O414" s="50" t="str">
        <f ca="1"/>
        <v/>
      </c>
    </row>
    <row r="415" spans="9:15" x14ac:dyDescent="0.2">
      <c r="I415" s="50" t="str">
        <v/>
      </c>
      <c r="J415" s="50" t="str">
        <v/>
      </c>
      <c r="K415" s="50" t="str">
        <f ca="1"/>
        <v/>
      </c>
      <c r="L415" s="19" t="str">
        <v/>
      </c>
      <c r="M415" t="str">
        <f ca="1"/>
        <v/>
      </c>
      <c r="O415" s="50" t="str">
        <f ca="1"/>
        <v/>
      </c>
    </row>
    <row r="416" spans="9:15" x14ac:dyDescent="0.2">
      <c r="I416" s="50" t="str">
        <v/>
      </c>
      <c r="J416" s="50" t="str">
        <v/>
      </c>
      <c r="K416" s="50" t="str">
        <f ca="1"/>
        <v/>
      </c>
      <c r="L416" s="19" t="str">
        <v/>
      </c>
      <c r="M416" t="str">
        <f ca="1"/>
        <v/>
      </c>
      <c r="O416" s="50" t="str">
        <f ca="1"/>
        <v/>
      </c>
    </row>
    <row r="417" spans="9:15" x14ac:dyDescent="0.2">
      <c r="I417" s="50" t="str">
        <v/>
      </c>
      <c r="J417" s="50" t="str">
        <v/>
      </c>
      <c r="K417" s="50" t="str">
        <f ca="1"/>
        <v/>
      </c>
      <c r="L417" s="19" t="str">
        <v/>
      </c>
      <c r="M417" t="str">
        <f ca="1"/>
        <v/>
      </c>
      <c r="O417" s="50" t="str">
        <f ca="1"/>
        <v/>
      </c>
    </row>
    <row r="418" spans="9:15" x14ac:dyDescent="0.2">
      <c r="I418" s="50" t="str">
        <v/>
      </c>
      <c r="J418" s="50" t="str">
        <v/>
      </c>
      <c r="K418" s="50" t="str">
        <f ca="1"/>
        <v/>
      </c>
      <c r="L418" s="19" t="str">
        <v/>
      </c>
      <c r="M418" t="str">
        <f ca="1"/>
        <v/>
      </c>
      <c r="O418" s="50" t="str">
        <f ca="1"/>
        <v/>
      </c>
    </row>
    <row r="419" spans="9:15" x14ac:dyDescent="0.2">
      <c r="I419" s="50" t="str">
        <v/>
      </c>
      <c r="J419" s="50" t="str">
        <v/>
      </c>
      <c r="K419" s="50" t="str">
        <f ca="1"/>
        <v/>
      </c>
      <c r="L419" s="19" t="str">
        <v/>
      </c>
      <c r="M419" t="str">
        <f ca="1"/>
        <v/>
      </c>
      <c r="O419" s="50" t="str">
        <f ca="1"/>
        <v/>
      </c>
    </row>
    <row r="420" spans="9:15" x14ac:dyDescent="0.2">
      <c r="I420" s="50" t="str">
        <v/>
      </c>
      <c r="J420" s="50" t="str">
        <v/>
      </c>
      <c r="K420" s="50" t="str">
        <f ca="1"/>
        <v/>
      </c>
      <c r="L420" s="19" t="str">
        <v/>
      </c>
      <c r="M420" t="str">
        <f ca="1"/>
        <v/>
      </c>
      <c r="O420" s="50" t="str">
        <f ca="1"/>
        <v/>
      </c>
    </row>
    <row r="421" spans="9:15" x14ac:dyDescent="0.2">
      <c r="I421" s="50" t="str">
        <v/>
      </c>
      <c r="J421" s="50" t="str">
        <v/>
      </c>
      <c r="K421" s="50" t="str">
        <f ca="1"/>
        <v/>
      </c>
      <c r="L421" s="19" t="str">
        <v/>
      </c>
      <c r="M421" t="str">
        <f ca="1"/>
        <v/>
      </c>
      <c r="O421" s="50" t="str">
        <f ca="1"/>
        <v/>
      </c>
    </row>
    <row r="422" spans="9:15" x14ac:dyDescent="0.2">
      <c r="I422" s="50" t="str">
        <v/>
      </c>
      <c r="J422" s="50" t="str">
        <v/>
      </c>
      <c r="K422" s="50" t="str">
        <f ca="1"/>
        <v/>
      </c>
      <c r="L422" s="19" t="str">
        <v/>
      </c>
      <c r="M422" t="str">
        <f ca="1"/>
        <v/>
      </c>
      <c r="O422" s="50" t="str">
        <f ca="1"/>
        <v/>
      </c>
    </row>
    <row r="423" spans="9:15" x14ac:dyDescent="0.2">
      <c r="I423" s="50" t="str">
        <v/>
      </c>
      <c r="J423" s="50" t="str">
        <v/>
      </c>
      <c r="K423" s="50" t="str">
        <f ca="1"/>
        <v/>
      </c>
      <c r="L423" s="19" t="str">
        <v/>
      </c>
      <c r="M423" t="str">
        <f ca="1"/>
        <v/>
      </c>
      <c r="O423" s="50" t="str">
        <f ca="1"/>
        <v/>
      </c>
    </row>
    <row r="424" spans="9:15" x14ac:dyDescent="0.2">
      <c r="I424" s="50" t="str">
        <v/>
      </c>
      <c r="J424" s="50" t="str">
        <v/>
      </c>
      <c r="K424" s="50" t="str">
        <f ca="1"/>
        <v/>
      </c>
      <c r="L424" s="19" t="str">
        <v/>
      </c>
      <c r="M424" t="str">
        <f ca="1"/>
        <v/>
      </c>
      <c r="O424" s="50" t="str">
        <f ca="1"/>
        <v/>
      </c>
    </row>
    <row r="425" spans="9:15" x14ac:dyDescent="0.2">
      <c r="I425" s="50" t="str">
        <v/>
      </c>
      <c r="J425" s="50" t="str">
        <v/>
      </c>
      <c r="K425" s="50" t="str">
        <f ca="1"/>
        <v/>
      </c>
      <c r="L425" s="19" t="str">
        <v/>
      </c>
      <c r="M425" t="str">
        <f ca="1"/>
        <v/>
      </c>
      <c r="O425" s="50" t="str">
        <f ca="1"/>
        <v/>
      </c>
    </row>
    <row r="426" spans="9:15" x14ac:dyDescent="0.2">
      <c r="I426" s="50" t="str">
        <v/>
      </c>
      <c r="J426" s="50" t="str">
        <v/>
      </c>
      <c r="K426" s="50" t="str">
        <f ca="1"/>
        <v/>
      </c>
      <c r="L426" s="19" t="str">
        <v/>
      </c>
      <c r="M426" t="str">
        <f ca="1"/>
        <v/>
      </c>
      <c r="O426" s="50" t="str">
        <f ca="1"/>
        <v/>
      </c>
    </row>
    <row r="427" spans="9:15" x14ac:dyDescent="0.2">
      <c r="I427" s="50" t="str">
        <v/>
      </c>
      <c r="J427" s="50" t="str">
        <v/>
      </c>
      <c r="K427" s="50" t="str">
        <f ca="1"/>
        <v/>
      </c>
      <c r="L427" s="19" t="str">
        <v/>
      </c>
      <c r="M427" t="str">
        <f ca="1"/>
        <v/>
      </c>
      <c r="O427" s="50" t="str">
        <f ca="1"/>
        <v/>
      </c>
    </row>
    <row r="428" spans="9:15" x14ac:dyDescent="0.2">
      <c r="I428" s="50" t="str">
        <v/>
      </c>
      <c r="J428" s="50" t="str">
        <v/>
      </c>
      <c r="K428" s="50" t="str">
        <f ca="1"/>
        <v/>
      </c>
      <c r="L428" s="19" t="str">
        <v/>
      </c>
      <c r="M428" t="str">
        <f ca="1"/>
        <v/>
      </c>
      <c r="O428" s="50" t="str">
        <f ca="1"/>
        <v/>
      </c>
    </row>
    <row r="429" spans="9:15" x14ac:dyDescent="0.2">
      <c r="I429" s="50" t="str">
        <v/>
      </c>
      <c r="J429" s="50" t="str">
        <v/>
      </c>
      <c r="K429" s="50" t="str">
        <f ca="1"/>
        <v/>
      </c>
      <c r="L429" s="19" t="str">
        <v/>
      </c>
      <c r="M429" t="str">
        <f ca="1"/>
        <v/>
      </c>
      <c r="O429" s="50" t="str">
        <f ca="1"/>
        <v/>
      </c>
    </row>
    <row r="430" spans="9:15" x14ac:dyDescent="0.2">
      <c r="I430" s="50" t="str">
        <v/>
      </c>
      <c r="J430" s="50" t="str">
        <v/>
      </c>
      <c r="K430" s="50" t="str">
        <f ca="1"/>
        <v/>
      </c>
      <c r="L430" s="19" t="str">
        <v/>
      </c>
      <c r="M430" t="str">
        <f ca="1"/>
        <v/>
      </c>
      <c r="O430" s="50" t="str">
        <f ca="1"/>
        <v/>
      </c>
    </row>
    <row r="431" spans="9:15" x14ac:dyDescent="0.2">
      <c r="I431" s="50" t="str">
        <v/>
      </c>
      <c r="J431" s="50" t="str">
        <v/>
      </c>
      <c r="K431" s="50" t="str">
        <f ca="1"/>
        <v/>
      </c>
      <c r="L431" s="19" t="str">
        <v/>
      </c>
      <c r="M431" t="str">
        <f ca="1"/>
        <v/>
      </c>
      <c r="O431" s="50" t="str">
        <f ca="1"/>
        <v/>
      </c>
    </row>
    <row r="432" spans="9:15" x14ac:dyDescent="0.2">
      <c r="I432" s="50" t="str">
        <v/>
      </c>
      <c r="J432" s="50" t="str">
        <v/>
      </c>
      <c r="K432" s="50" t="str">
        <f ca="1"/>
        <v/>
      </c>
      <c r="L432" s="19" t="str">
        <v/>
      </c>
      <c r="M432" t="str">
        <f ca="1"/>
        <v/>
      </c>
      <c r="O432" s="50" t="str">
        <f ca="1"/>
        <v/>
      </c>
    </row>
    <row r="433" spans="9:15" x14ac:dyDescent="0.2">
      <c r="I433" s="50" t="str">
        <v/>
      </c>
      <c r="J433" s="50" t="str">
        <v/>
      </c>
      <c r="K433" s="50" t="str">
        <f ca="1"/>
        <v/>
      </c>
      <c r="L433" s="19" t="str">
        <v/>
      </c>
      <c r="M433" t="str">
        <f ca="1"/>
        <v/>
      </c>
      <c r="O433" s="50" t="str">
        <f ca="1"/>
        <v/>
      </c>
    </row>
    <row r="434" spans="9:15" x14ac:dyDescent="0.2">
      <c r="I434" s="50" t="str">
        <v/>
      </c>
      <c r="J434" s="50" t="str">
        <v/>
      </c>
      <c r="K434" s="50" t="str">
        <f ca="1"/>
        <v/>
      </c>
      <c r="L434" s="19" t="str">
        <v/>
      </c>
      <c r="M434" t="str">
        <f ca="1"/>
        <v/>
      </c>
      <c r="O434" s="50" t="str">
        <f ca="1"/>
        <v/>
      </c>
    </row>
    <row r="435" spans="9:15" x14ac:dyDescent="0.2">
      <c r="I435" s="50" t="str">
        <v/>
      </c>
      <c r="J435" s="50" t="str">
        <v/>
      </c>
      <c r="K435" s="50" t="str">
        <f ca="1"/>
        <v/>
      </c>
      <c r="L435" s="19" t="str">
        <v/>
      </c>
      <c r="M435" t="str">
        <f ca="1"/>
        <v/>
      </c>
      <c r="O435" s="50" t="str">
        <f ca="1"/>
        <v/>
      </c>
    </row>
    <row r="436" spans="9:15" x14ac:dyDescent="0.2">
      <c r="I436" s="50" t="str">
        <v/>
      </c>
      <c r="J436" s="50" t="str">
        <v/>
      </c>
      <c r="K436" s="50" t="str">
        <f ca="1"/>
        <v/>
      </c>
      <c r="L436" s="19" t="str">
        <v/>
      </c>
      <c r="M436" t="str">
        <f ca="1"/>
        <v/>
      </c>
      <c r="O436" s="50" t="str">
        <f ca="1"/>
        <v/>
      </c>
    </row>
    <row r="437" spans="9:15" x14ac:dyDescent="0.2">
      <c r="I437" s="50" t="str">
        <v/>
      </c>
      <c r="J437" s="50" t="str">
        <v/>
      </c>
      <c r="K437" s="50" t="str">
        <f ca="1"/>
        <v/>
      </c>
      <c r="L437" s="19" t="str">
        <v/>
      </c>
      <c r="M437" t="str">
        <f ca="1"/>
        <v/>
      </c>
      <c r="O437" s="50" t="str">
        <f ca="1"/>
        <v/>
      </c>
    </row>
    <row r="438" spans="9:15" x14ac:dyDescent="0.2">
      <c r="I438" s="50" t="str">
        <v/>
      </c>
      <c r="J438" s="50" t="str">
        <v/>
      </c>
      <c r="K438" s="50" t="str">
        <f ca="1"/>
        <v/>
      </c>
      <c r="L438" s="19" t="str">
        <v/>
      </c>
      <c r="M438" t="str">
        <f ca="1"/>
        <v/>
      </c>
      <c r="O438" s="50" t="str">
        <f ca="1"/>
        <v/>
      </c>
    </row>
    <row r="439" spans="9:15" x14ac:dyDescent="0.2">
      <c r="I439" s="50" t="str">
        <v/>
      </c>
      <c r="J439" s="50" t="str">
        <v/>
      </c>
      <c r="K439" s="50" t="str">
        <f ca="1"/>
        <v/>
      </c>
      <c r="L439" s="19" t="str">
        <v/>
      </c>
      <c r="M439" t="str">
        <f ca="1"/>
        <v/>
      </c>
      <c r="O439" s="50" t="str">
        <f ca="1"/>
        <v/>
      </c>
    </row>
    <row r="440" spans="9:15" x14ac:dyDescent="0.2">
      <c r="I440" s="50" t="str">
        <v/>
      </c>
      <c r="J440" s="50" t="str">
        <v/>
      </c>
      <c r="K440" s="50" t="str">
        <f ca="1"/>
        <v/>
      </c>
      <c r="L440" s="19" t="str">
        <v/>
      </c>
      <c r="M440" t="str">
        <f ca="1"/>
        <v/>
      </c>
      <c r="O440" s="50" t="str">
        <f ca="1"/>
        <v/>
      </c>
    </row>
    <row r="441" spans="9:15" x14ac:dyDescent="0.2">
      <c r="I441" s="50" t="str">
        <v/>
      </c>
      <c r="J441" s="50" t="str">
        <v/>
      </c>
      <c r="K441" s="50" t="str">
        <f ca="1"/>
        <v/>
      </c>
      <c r="L441" s="19" t="str">
        <v/>
      </c>
      <c r="M441" t="str">
        <f ca="1"/>
        <v/>
      </c>
      <c r="O441" s="50" t="str">
        <f ca="1"/>
        <v/>
      </c>
    </row>
    <row r="442" spans="9:15" x14ac:dyDescent="0.2">
      <c r="I442" s="50" t="str">
        <v/>
      </c>
      <c r="J442" s="50" t="str">
        <v/>
      </c>
      <c r="K442" s="50" t="str">
        <f ca="1"/>
        <v/>
      </c>
      <c r="L442" s="19" t="str">
        <v/>
      </c>
      <c r="M442" t="str">
        <f ca="1"/>
        <v/>
      </c>
      <c r="O442" s="50" t="str">
        <f ca="1"/>
        <v/>
      </c>
    </row>
    <row r="443" spans="9:15" x14ac:dyDescent="0.2">
      <c r="I443" s="50" t="str">
        <v/>
      </c>
      <c r="J443" s="50" t="str">
        <v/>
      </c>
      <c r="K443" s="50" t="str">
        <f ca="1"/>
        <v/>
      </c>
      <c r="L443" s="19" t="str">
        <v/>
      </c>
      <c r="M443" t="str">
        <f ca="1"/>
        <v/>
      </c>
      <c r="O443" s="50" t="str">
        <f ca="1"/>
        <v/>
      </c>
    </row>
    <row r="444" spans="9:15" x14ac:dyDescent="0.2">
      <c r="I444" s="50" t="str">
        <v/>
      </c>
      <c r="J444" s="50" t="str">
        <v/>
      </c>
      <c r="K444" s="50" t="str">
        <f ca="1"/>
        <v/>
      </c>
      <c r="L444" s="19" t="str">
        <v/>
      </c>
      <c r="M444" t="str">
        <f ca="1"/>
        <v/>
      </c>
      <c r="O444" s="50" t="str">
        <f ca="1"/>
        <v/>
      </c>
    </row>
    <row r="445" spans="9:15" x14ac:dyDescent="0.2">
      <c r="I445" s="50" t="str">
        <v/>
      </c>
      <c r="J445" s="50" t="str">
        <v/>
      </c>
      <c r="K445" s="50" t="str">
        <f ca="1"/>
        <v/>
      </c>
      <c r="L445" s="19" t="str">
        <v/>
      </c>
      <c r="M445" t="str">
        <f ca="1"/>
        <v/>
      </c>
      <c r="O445" s="50" t="str">
        <f ca="1"/>
        <v/>
      </c>
    </row>
    <row r="446" spans="9:15" x14ac:dyDescent="0.2">
      <c r="I446" s="50" t="str">
        <v/>
      </c>
      <c r="J446" s="50" t="str">
        <v/>
      </c>
      <c r="K446" s="50" t="str">
        <f ca="1"/>
        <v/>
      </c>
      <c r="L446" s="19" t="str">
        <v/>
      </c>
      <c r="M446" t="str">
        <f ca="1"/>
        <v/>
      </c>
      <c r="O446" s="50" t="str">
        <f ca="1"/>
        <v/>
      </c>
    </row>
    <row r="447" spans="9:15" x14ac:dyDescent="0.2">
      <c r="I447" s="50" t="str">
        <v/>
      </c>
      <c r="J447" s="50" t="str">
        <v/>
      </c>
      <c r="K447" s="50" t="str">
        <f ca="1"/>
        <v/>
      </c>
      <c r="L447" s="19" t="str">
        <v/>
      </c>
      <c r="M447" t="str">
        <f ca="1"/>
        <v/>
      </c>
      <c r="O447" s="50" t="str">
        <f ca="1"/>
        <v/>
      </c>
    </row>
    <row r="448" spans="9:15" x14ac:dyDescent="0.2">
      <c r="I448" s="50" t="str">
        <v/>
      </c>
      <c r="J448" s="50" t="str">
        <v/>
      </c>
      <c r="K448" s="50" t="str">
        <f ca="1"/>
        <v/>
      </c>
      <c r="L448" s="19" t="str">
        <v/>
      </c>
      <c r="M448" t="str">
        <f ca="1"/>
        <v/>
      </c>
      <c r="O448" s="50" t="str">
        <f ca="1"/>
        <v/>
      </c>
    </row>
    <row r="449" spans="9:15" x14ac:dyDescent="0.2">
      <c r="I449" s="50" t="str">
        <v/>
      </c>
      <c r="J449" s="50" t="str">
        <v/>
      </c>
      <c r="K449" s="50" t="str">
        <f ca="1"/>
        <v/>
      </c>
      <c r="L449" s="19" t="str">
        <v/>
      </c>
      <c r="M449" t="str">
        <f ca="1"/>
        <v/>
      </c>
      <c r="O449" s="50" t="str">
        <f ca="1"/>
        <v/>
      </c>
    </row>
    <row r="450" spans="9:15" x14ac:dyDescent="0.2">
      <c r="I450" s="50" t="str">
        <v/>
      </c>
      <c r="J450" s="50" t="str">
        <v/>
      </c>
      <c r="K450" s="50" t="str">
        <f ca="1"/>
        <v/>
      </c>
      <c r="L450" s="19" t="str">
        <v/>
      </c>
      <c r="M450" t="str">
        <f ca="1"/>
        <v/>
      </c>
      <c r="O450" s="50" t="str">
        <f ca="1"/>
        <v/>
      </c>
    </row>
    <row r="451" spans="9:15" x14ac:dyDescent="0.2">
      <c r="I451" s="50" t="str">
        <v/>
      </c>
      <c r="J451" s="50" t="str">
        <v/>
      </c>
      <c r="K451" s="50" t="str">
        <f ca="1"/>
        <v/>
      </c>
      <c r="L451" s="19" t="str">
        <v/>
      </c>
      <c r="M451" t="str">
        <f ca="1"/>
        <v/>
      </c>
      <c r="O451" s="50" t="str">
        <f ca="1"/>
        <v/>
      </c>
    </row>
    <row r="452" spans="9:15" x14ac:dyDescent="0.2">
      <c r="I452" s="50" t="str">
        <v/>
      </c>
      <c r="J452" s="50" t="str">
        <v/>
      </c>
      <c r="K452" s="50" t="str">
        <f ca="1"/>
        <v/>
      </c>
      <c r="L452" s="19" t="str">
        <v/>
      </c>
      <c r="M452" t="str">
        <f ca="1"/>
        <v/>
      </c>
      <c r="O452" s="50" t="str">
        <f ca="1"/>
        <v/>
      </c>
    </row>
    <row r="453" spans="9:15" x14ac:dyDescent="0.2">
      <c r="I453" s="50" t="str">
        <v/>
      </c>
      <c r="J453" s="50" t="str">
        <v/>
      </c>
      <c r="K453" s="50" t="str">
        <f ca="1"/>
        <v/>
      </c>
      <c r="L453" s="19" t="str">
        <v/>
      </c>
      <c r="M453" t="str">
        <f ca="1"/>
        <v/>
      </c>
      <c r="O453" s="50" t="str">
        <f ca="1"/>
        <v/>
      </c>
    </row>
    <row r="454" spans="9:15" x14ac:dyDescent="0.2">
      <c r="I454" s="50" t="str">
        <v/>
      </c>
      <c r="J454" s="50" t="str">
        <v/>
      </c>
      <c r="K454" s="50" t="str">
        <f ca="1"/>
        <v/>
      </c>
      <c r="L454" s="19" t="str">
        <v/>
      </c>
      <c r="M454" t="str">
        <f ca="1"/>
        <v/>
      </c>
      <c r="O454" s="50" t="str">
        <f ca="1"/>
        <v/>
      </c>
    </row>
    <row r="455" spans="9:15" x14ac:dyDescent="0.2">
      <c r="I455" s="50" t="str">
        <v/>
      </c>
      <c r="J455" s="50" t="str">
        <v/>
      </c>
      <c r="K455" s="50" t="str">
        <f ca="1"/>
        <v/>
      </c>
      <c r="L455" s="19" t="str">
        <v/>
      </c>
      <c r="M455" t="str">
        <f ca="1"/>
        <v/>
      </c>
      <c r="O455" s="50" t="str">
        <f ca="1"/>
        <v/>
      </c>
    </row>
    <row r="456" spans="9:15" x14ac:dyDescent="0.2">
      <c r="I456" s="50" t="str">
        <v/>
      </c>
      <c r="J456" s="50" t="str">
        <v/>
      </c>
      <c r="K456" s="50" t="str">
        <f ca="1"/>
        <v/>
      </c>
      <c r="L456" s="19" t="str">
        <v/>
      </c>
      <c r="M456" t="str">
        <f ca="1"/>
        <v/>
      </c>
      <c r="O456" s="50" t="str">
        <f ca="1"/>
        <v/>
      </c>
    </row>
    <row r="457" spans="9:15" x14ac:dyDescent="0.2">
      <c r="I457" s="50" t="str">
        <v/>
      </c>
      <c r="J457" s="50" t="str">
        <v/>
      </c>
      <c r="K457" s="50" t="str">
        <f ca="1"/>
        <v/>
      </c>
      <c r="L457" s="19" t="str">
        <v/>
      </c>
      <c r="M457" t="str">
        <f ca="1"/>
        <v/>
      </c>
      <c r="O457" s="50" t="str">
        <f ca="1"/>
        <v/>
      </c>
    </row>
    <row r="458" spans="9:15" x14ac:dyDescent="0.2">
      <c r="I458" s="50" t="str">
        <v/>
      </c>
      <c r="J458" s="50" t="str">
        <v/>
      </c>
      <c r="K458" s="50" t="str">
        <f ca="1"/>
        <v/>
      </c>
      <c r="L458" s="19" t="str">
        <v/>
      </c>
      <c r="M458" t="str">
        <f ca="1"/>
        <v/>
      </c>
      <c r="O458" s="50" t="str">
        <f ca="1"/>
        <v/>
      </c>
    </row>
    <row r="459" spans="9:15" x14ac:dyDescent="0.2">
      <c r="I459" s="50" t="str">
        <v/>
      </c>
      <c r="J459" s="50" t="str">
        <v/>
      </c>
      <c r="K459" s="50" t="str">
        <f ca="1"/>
        <v/>
      </c>
      <c r="L459" s="19" t="str">
        <v/>
      </c>
      <c r="M459" t="str">
        <f ca="1"/>
        <v/>
      </c>
      <c r="O459" s="50" t="str">
        <f ca="1"/>
        <v/>
      </c>
    </row>
    <row r="460" spans="9:15" x14ac:dyDescent="0.2">
      <c r="I460" s="50" t="str">
        <v/>
      </c>
      <c r="J460" s="50" t="str">
        <v/>
      </c>
      <c r="K460" s="50" t="str">
        <f ca="1"/>
        <v/>
      </c>
      <c r="L460" s="19" t="str">
        <v/>
      </c>
      <c r="M460" t="str">
        <f ca="1"/>
        <v/>
      </c>
      <c r="O460" s="50" t="str">
        <f ca="1"/>
        <v/>
      </c>
    </row>
    <row r="461" spans="9:15" x14ac:dyDescent="0.2">
      <c r="I461" s="50" t="str">
        <v/>
      </c>
      <c r="J461" s="50" t="str">
        <v/>
      </c>
      <c r="K461" s="50" t="str">
        <f ca="1"/>
        <v/>
      </c>
      <c r="L461" s="19" t="str">
        <v/>
      </c>
      <c r="M461" t="str">
        <f ca="1"/>
        <v/>
      </c>
      <c r="O461" s="50" t="str">
        <f ca="1"/>
        <v/>
      </c>
    </row>
    <row r="462" spans="9:15" x14ac:dyDescent="0.2">
      <c r="I462" s="50" t="str">
        <v/>
      </c>
      <c r="J462" s="50" t="str">
        <v/>
      </c>
      <c r="K462" s="50" t="str">
        <f ca="1"/>
        <v/>
      </c>
      <c r="L462" s="19" t="str">
        <v/>
      </c>
      <c r="M462" t="str">
        <f ca="1"/>
        <v/>
      </c>
      <c r="O462" s="50" t="str">
        <f ca="1"/>
        <v/>
      </c>
    </row>
    <row r="463" spans="9:15" x14ac:dyDescent="0.2">
      <c r="I463" s="50" t="str">
        <v/>
      </c>
      <c r="J463" s="50" t="str">
        <v/>
      </c>
      <c r="K463" s="50" t="str">
        <f ca="1"/>
        <v/>
      </c>
      <c r="L463" s="19" t="str">
        <v/>
      </c>
      <c r="M463" t="str">
        <f ca="1"/>
        <v/>
      </c>
      <c r="O463" s="50" t="str">
        <f ca="1"/>
        <v/>
      </c>
    </row>
    <row r="464" spans="9:15" x14ac:dyDescent="0.2">
      <c r="I464" s="50" t="str">
        <v/>
      </c>
      <c r="J464" s="50" t="str">
        <v/>
      </c>
      <c r="K464" s="50" t="str">
        <f ca="1"/>
        <v/>
      </c>
      <c r="L464" s="19" t="str">
        <v/>
      </c>
      <c r="M464" t="str">
        <f ca="1"/>
        <v/>
      </c>
      <c r="O464" s="50" t="str">
        <f ca="1"/>
        <v/>
      </c>
    </row>
    <row r="465" spans="9:15" x14ac:dyDescent="0.2">
      <c r="I465" s="50" t="str">
        <v/>
      </c>
      <c r="J465" s="50" t="str">
        <v/>
      </c>
      <c r="K465" s="50" t="str">
        <f ca="1"/>
        <v/>
      </c>
      <c r="L465" s="19" t="str">
        <v/>
      </c>
      <c r="M465" t="str">
        <f ca="1"/>
        <v/>
      </c>
      <c r="O465" s="50" t="str">
        <f ca="1"/>
        <v/>
      </c>
    </row>
    <row r="466" spans="9:15" x14ac:dyDescent="0.2">
      <c r="I466" s="50" t="str">
        <v/>
      </c>
      <c r="J466" s="50" t="str">
        <v/>
      </c>
      <c r="K466" s="50" t="str">
        <f ca="1"/>
        <v/>
      </c>
      <c r="L466" s="19" t="str">
        <v/>
      </c>
      <c r="M466" t="str">
        <f ca="1"/>
        <v/>
      </c>
      <c r="O466" s="50" t="str">
        <f ca="1"/>
        <v/>
      </c>
    </row>
    <row r="467" spans="9:15" x14ac:dyDescent="0.2">
      <c r="I467" s="50" t="str">
        <v/>
      </c>
      <c r="J467" s="50" t="str">
        <v/>
      </c>
      <c r="K467" s="50" t="str">
        <f ca="1"/>
        <v/>
      </c>
      <c r="L467" s="19" t="str">
        <v/>
      </c>
      <c r="M467" t="str">
        <f ca="1"/>
        <v/>
      </c>
      <c r="O467" s="50" t="str">
        <f ca="1"/>
        <v/>
      </c>
    </row>
    <row r="468" spans="9:15" x14ac:dyDescent="0.2">
      <c r="I468" s="50" t="str">
        <v/>
      </c>
      <c r="J468" s="50" t="str">
        <v/>
      </c>
      <c r="K468" s="50" t="str">
        <f ca="1"/>
        <v/>
      </c>
      <c r="L468" s="19" t="str">
        <v/>
      </c>
      <c r="M468" t="str">
        <f ca="1"/>
        <v/>
      </c>
      <c r="O468" s="50" t="str">
        <f ca="1"/>
        <v/>
      </c>
    </row>
    <row r="469" spans="9:15" x14ac:dyDescent="0.2">
      <c r="I469" s="50" t="str">
        <v/>
      </c>
      <c r="J469" s="50" t="str">
        <v/>
      </c>
      <c r="K469" s="50" t="str">
        <f ca="1"/>
        <v/>
      </c>
      <c r="L469" s="19" t="str">
        <v/>
      </c>
      <c r="M469" t="str">
        <f ca="1"/>
        <v/>
      </c>
      <c r="O469" s="50" t="str">
        <f ca="1"/>
        <v/>
      </c>
    </row>
    <row r="470" spans="9:15" x14ac:dyDescent="0.2">
      <c r="I470" s="50" t="str">
        <v/>
      </c>
      <c r="J470" s="50" t="str">
        <v/>
      </c>
      <c r="K470" s="50" t="str">
        <f ca="1"/>
        <v/>
      </c>
      <c r="L470" s="19" t="str">
        <v/>
      </c>
      <c r="M470" t="str">
        <f ca="1"/>
        <v/>
      </c>
      <c r="O470" s="50" t="str">
        <f ca="1"/>
        <v/>
      </c>
    </row>
    <row r="471" spans="9:15" x14ac:dyDescent="0.2">
      <c r="I471" s="50" t="str">
        <v/>
      </c>
      <c r="J471" s="50" t="str">
        <v/>
      </c>
      <c r="K471" s="50" t="str">
        <f ca="1"/>
        <v/>
      </c>
      <c r="L471" s="19" t="str">
        <v/>
      </c>
      <c r="M471" t="str">
        <f ca="1"/>
        <v/>
      </c>
      <c r="O471" s="50" t="str">
        <f ca="1"/>
        <v/>
      </c>
    </row>
    <row r="472" spans="9:15" x14ac:dyDescent="0.2">
      <c r="I472" s="50" t="str">
        <v/>
      </c>
      <c r="J472" s="50" t="str">
        <v/>
      </c>
      <c r="K472" s="50" t="str">
        <f ca="1"/>
        <v/>
      </c>
      <c r="L472" s="19" t="str">
        <v/>
      </c>
      <c r="M472" t="str">
        <f ca="1"/>
        <v/>
      </c>
      <c r="O472" s="50" t="str">
        <f ca="1"/>
        <v/>
      </c>
    </row>
    <row r="473" spans="9:15" x14ac:dyDescent="0.2">
      <c r="I473" s="50" t="str">
        <v/>
      </c>
      <c r="J473" s="50" t="str">
        <v/>
      </c>
      <c r="K473" s="50" t="str">
        <f ca="1"/>
        <v/>
      </c>
      <c r="L473" s="19" t="str">
        <v/>
      </c>
      <c r="M473" t="str">
        <f ca="1"/>
        <v/>
      </c>
      <c r="O473" s="50" t="str">
        <f ca="1"/>
        <v/>
      </c>
    </row>
    <row r="474" spans="9:15" x14ac:dyDescent="0.2">
      <c r="I474" s="50" t="str">
        <v/>
      </c>
      <c r="J474" s="50" t="str">
        <v/>
      </c>
      <c r="K474" s="50" t="str">
        <f ca="1"/>
        <v/>
      </c>
      <c r="L474" s="19" t="str">
        <v/>
      </c>
      <c r="M474" t="str">
        <f ca="1"/>
        <v/>
      </c>
      <c r="O474" s="50" t="str">
        <f ca="1"/>
        <v/>
      </c>
    </row>
    <row r="475" spans="9:15" x14ac:dyDescent="0.2">
      <c r="I475" s="50" t="str">
        <v/>
      </c>
      <c r="J475" s="50" t="str">
        <v/>
      </c>
      <c r="K475" s="50" t="str">
        <f ca="1"/>
        <v/>
      </c>
      <c r="L475" s="19" t="str">
        <v/>
      </c>
      <c r="M475" t="str">
        <f ca="1"/>
        <v/>
      </c>
      <c r="O475" s="50" t="str">
        <f ca="1"/>
        <v/>
      </c>
    </row>
    <row r="476" spans="9:15" x14ac:dyDescent="0.2">
      <c r="I476" s="50" t="str">
        <v/>
      </c>
      <c r="J476" s="50" t="str">
        <v/>
      </c>
      <c r="K476" s="50" t="str">
        <f ca="1"/>
        <v/>
      </c>
      <c r="L476" s="19" t="str">
        <v/>
      </c>
      <c r="M476" t="str">
        <f ca="1"/>
        <v/>
      </c>
      <c r="O476" s="50" t="str">
        <f ca="1"/>
        <v/>
      </c>
    </row>
    <row r="477" spans="9:15" x14ac:dyDescent="0.2">
      <c r="I477" s="50" t="str">
        <v/>
      </c>
      <c r="J477" s="50" t="str">
        <v/>
      </c>
      <c r="K477" s="50" t="str">
        <f ca="1"/>
        <v/>
      </c>
      <c r="L477" s="19" t="str">
        <v/>
      </c>
      <c r="M477" t="str">
        <f ca="1"/>
        <v/>
      </c>
      <c r="O477" s="50" t="str">
        <f ca="1"/>
        <v/>
      </c>
    </row>
    <row r="478" spans="9:15" x14ac:dyDescent="0.2">
      <c r="I478" s="50" t="str">
        <v/>
      </c>
      <c r="J478" s="50" t="str">
        <v/>
      </c>
      <c r="K478" s="50" t="str">
        <f ca="1"/>
        <v/>
      </c>
      <c r="L478" s="19" t="str">
        <v/>
      </c>
      <c r="M478" t="str">
        <f ca="1"/>
        <v/>
      </c>
      <c r="O478" s="50" t="str">
        <f ca="1"/>
        <v/>
      </c>
    </row>
    <row r="479" spans="9:15" x14ac:dyDescent="0.2">
      <c r="I479" s="50" t="str">
        <v/>
      </c>
      <c r="J479" s="50" t="str">
        <v/>
      </c>
      <c r="K479" s="50" t="str">
        <f ca="1"/>
        <v/>
      </c>
      <c r="L479" s="19" t="str">
        <v/>
      </c>
      <c r="M479" t="str">
        <f ca="1"/>
        <v/>
      </c>
      <c r="O479" s="50" t="str">
        <f ca="1"/>
        <v/>
      </c>
    </row>
    <row r="480" spans="9:15" x14ac:dyDescent="0.2">
      <c r="I480" s="50" t="str">
        <v/>
      </c>
      <c r="J480" s="50" t="str">
        <v/>
      </c>
      <c r="K480" s="50" t="str">
        <f ca="1"/>
        <v/>
      </c>
      <c r="L480" s="19" t="str">
        <v/>
      </c>
      <c r="M480" t="str">
        <f ca="1"/>
        <v/>
      </c>
      <c r="O480" s="50" t="str">
        <f ca="1"/>
        <v/>
      </c>
    </row>
    <row r="481" spans="9:15" x14ac:dyDescent="0.2">
      <c r="I481" s="50" t="str">
        <v/>
      </c>
      <c r="J481" s="50" t="str">
        <v/>
      </c>
      <c r="K481" s="50" t="str">
        <f ca="1"/>
        <v/>
      </c>
      <c r="L481" s="19" t="str">
        <v/>
      </c>
      <c r="M481" t="str">
        <f ca="1"/>
        <v/>
      </c>
      <c r="O481" s="50" t="str">
        <f ca="1"/>
        <v/>
      </c>
    </row>
    <row r="482" spans="9:15" x14ac:dyDescent="0.2">
      <c r="I482" s="50" t="str">
        <v/>
      </c>
      <c r="J482" s="50" t="str">
        <v/>
      </c>
      <c r="K482" s="50" t="str">
        <f ca="1"/>
        <v/>
      </c>
      <c r="L482" s="19" t="str">
        <v/>
      </c>
      <c r="M482" t="str">
        <f ca="1"/>
        <v/>
      </c>
      <c r="O482" s="50" t="str">
        <f ca="1"/>
        <v/>
      </c>
    </row>
    <row r="483" spans="9:15" x14ac:dyDescent="0.2">
      <c r="I483" s="50" t="str">
        <v/>
      </c>
      <c r="J483" s="50" t="str">
        <v/>
      </c>
      <c r="K483" s="50" t="str">
        <f ca="1"/>
        <v/>
      </c>
      <c r="L483" s="19" t="str">
        <v/>
      </c>
      <c r="M483" t="str">
        <f ca="1"/>
        <v/>
      </c>
      <c r="O483" s="50" t="str">
        <f ca="1"/>
        <v/>
      </c>
    </row>
    <row r="484" spans="9:15" x14ac:dyDescent="0.2">
      <c r="I484" s="50" t="str">
        <v/>
      </c>
      <c r="J484" s="50" t="str">
        <v/>
      </c>
      <c r="K484" s="50" t="str">
        <f ca="1"/>
        <v/>
      </c>
      <c r="L484" s="19" t="str">
        <v/>
      </c>
      <c r="M484" t="str">
        <f ca="1"/>
        <v/>
      </c>
      <c r="O484" s="50" t="str">
        <f ca="1"/>
        <v/>
      </c>
    </row>
    <row r="485" spans="9:15" x14ac:dyDescent="0.2">
      <c r="I485" s="50" t="str">
        <v/>
      </c>
      <c r="J485" s="50" t="str">
        <v/>
      </c>
      <c r="K485" s="50" t="str">
        <f ca="1"/>
        <v/>
      </c>
      <c r="L485" s="19" t="str">
        <v/>
      </c>
      <c r="M485" t="str">
        <f ca="1"/>
        <v/>
      </c>
      <c r="O485" s="50" t="str">
        <f ca="1"/>
        <v/>
      </c>
    </row>
    <row r="486" spans="9:15" x14ac:dyDescent="0.2">
      <c r="I486" s="50" t="str">
        <v/>
      </c>
      <c r="J486" s="50" t="str">
        <v/>
      </c>
      <c r="K486" s="50" t="str">
        <f ca="1"/>
        <v/>
      </c>
      <c r="L486" s="19" t="str">
        <v/>
      </c>
      <c r="M486" t="str">
        <f ca="1"/>
        <v/>
      </c>
      <c r="O486" s="50" t="str">
        <f ca="1"/>
        <v/>
      </c>
    </row>
    <row r="487" spans="9:15" x14ac:dyDescent="0.2">
      <c r="I487" s="50" t="str">
        <v/>
      </c>
      <c r="J487" s="50" t="str">
        <v/>
      </c>
      <c r="K487" s="50" t="str">
        <f ca="1"/>
        <v/>
      </c>
      <c r="L487" s="19" t="str">
        <v/>
      </c>
      <c r="M487" t="str">
        <f ca="1"/>
        <v/>
      </c>
      <c r="O487" s="50" t="str">
        <f ca="1"/>
        <v/>
      </c>
    </row>
    <row r="488" spans="9:15" x14ac:dyDescent="0.2">
      <c r="I488" s="50" t="str">
        <v/>
      </c>
      <c r="J488" s="50" t="str">
        <v/>
      </c>
      <c r="K488" s="50" t="str">
        <f ca="1"/>
        <v/>
      </c>
      <c r="L488" s="19" t="str">
        <v/>
      </c>
      <c r="M488" t="str">
        <f ca="1"/>
        <v/>
      </c>
      <c r="O488" s="50" t="str">
        <f ca="1"/>
        <v/>
      </c>
    </row>
    <row r="489" spans="9:15" x14ac:dyDescent="0.2">
      <c r="I489" s="50" t="str">
        <v/>
      </c>
      <c r="J489" s="50" t="str">
        <v/>
      </c>
      <c r="K489" s="50" t="str">
        <f ca="1"/>
        <v/>
      </c>
      <c r="L489" s="19" t="str">
        <v/>
      </c>
      <c r="M489" t="str">
        <f ca="1"/>
        <v/>
      </c>
      <c r="O489" s="50" t="str">
        <f ca="1"/>
        <v/>
      </c>
    </row>
    <row r="490" spans="9:15" x14ac:dyDescent="0.2">
      <c r="I490" s="50" t="str">
        <v/>
      </c>
      <c r="J490" s="50" t="str">
        <v/>
      </c>
      <c r="K490" s="50" t="str">
        <f ca="1"/>
        <v/>
      </c>
      <c r="L490" s="19" t="str">
        <v/>
      </c>
      <c r="M490" t="str">
        <f ca="1"/>
        <v/>
      </c>
      <c r="O490" s="50" t="str">
        <f ca="1"/>
        <v/>
      </c>
    </row>
    <row r="491" spans="9:15" x14ac:dyDescent="0.2">
      <c r="I491" s="50" t="str">
        <v/>
      </c>
      <c r="J491" s="50" t="str">
        <v/>
      </c>
      <c r="K491" s="50" t="str">
        <f ca="1"/>
        <v/>
      </c>
      <c r="L491" s="19" t="str">
        <v/>
      </c>
      <c r="M491" t="str">
        <f ca="1"/>
        <v/>
      </c>
      <c r="O491" s="50" t="str">
        <f ca="1"/>
        <v/>
      </c>
    </row>
    <row r="492" spans="9:15" x14ac:dyDescent="0.2">
      <c r="I492" s="50" t="str">
        <v/>
      </c>
      <c r="J492" s="50" t="str">
        <v/>
      </c>
      <c r="K492" s="50" t="str">
        <f ca="1"/>
        <v/>
      </c>
      <c r="L492" s="19" t="str">
        <v/>
      </c>
      <c r="M492" t="str">
        <f ca="1"/>
        <v/>
      </c>
      <c r="O492" s="50" t="str">
        <f ca="1"/>
        <v/>
      </c>
    </row>
    <row r="493" spans="9:15" x14ac:dyDescent="0.2">
      <c r="I493" s="50" t="str">
        <v/>
      </c>
      <c r="J493" s="50" t="str">
        <v/>
      </c>
      <c r="K493" s="50" t="str">
        <f ca="1"/>
        <v/>
      </c>
      <c r="L493" s="19" t="str">
        <v/>
      </c>
      <c r="M493" t="str">
        <f ca="1"/>
        <v/>
      </c>
      <c r="O493" s="50" t="str">
        <f ca="1"/>
        <v/>
      </c>
    </row>
    <row r="494" spans="9:15" x14ac:dyDescent="0.2">
      <c r="I494" s="50" t="str">
        <v/>
      </c>
      <c r="J494" s="50" t="str">
        <v/>
      </c>
      <c r="K494" s="50" t="str">
        <f ca="1"/>
        <v/>
      </c>
      <c r="L494" s="19" t="str">
        <v/>
      </c>
      <c r="M494" t="str">
        <f ca="1"/>
        <v/>
      </c>
      <c r="O494" s="50" t="str">
        <f ca="1"/>
        <v/>
      </c>
    </row>
    <row r="495" spans="9:15" x14ac:dyDescent="0.2">
      <c r="I495" s="50" t="str">
        <v/>
      </c>
      <c r="J495" s="50" t="str">
        <v/>
      </c>
      <c r="K495" s="50" t="str">
        <f ca="1"/>
        <v/>
      </c>
      <c r="L495" s="19" t="str">
        <v/>
      </c>
      <c r="M495" t="str">
        <f ca="1"/>
        <v/>
      </c>
      <c r="O495" s="50" t="str">
        <f ca="1"/>
        <v/>
      </c>
    </row>
    <row r="496" spans="9:15" x14ac:dyDescent="0.2">
      <c r="I496" s="50" t="str">
        <v/>
      </c>
      <c r="J496" s="50" t="str">
        <v/>
      </c>
      <c r="K496" s="50" t="str">
        <f ca="1"/>
        <v/>
      </c>
      <c r="L496" s="19" t="str">
        <v/>
      </c>
      <c r="M496" t="str">
        <f ca="1"/>
        <v/>
      </c>
      <c r="O496" s="50" t="str">
        <f ca="1"/>
        <v/>
      </c>
    </row>
    <row r="497" spans="9:15" x14ac:dyDescent="0.2">
      <c r="I497" s="50" t="str">
        <v/>
      </c>
      <c r="J497" s="50" t="str">
        <v/>
      </c>
      <c r="K497" s="50" t="str">
        <f ca="1"/>
        <v/>
      </c>
      <c r="L497" s="19" t="str">
        <v/>
      </c>
      <c r="M497" t="str">
        <f ca="1"/>
        <v/>
      </c>
      <c r="O497" s="50" t="str">
        <f ca="1"/>
        <v/>
      </c>
    </row>
    <row r="498" spans="9:15" x14ac:dyDescent="0.2">
      <c r="I498" s="50" t="str">
        <v/>
      </c>
      <c r="J498" s="50" t="str">
        <v/>
      </c>
      <c r="K498" s="50" t="str">
        <f ca="1"/>
        <v/>
      </c>
      <c r="L498" s="19" t="str">
        <v/>
      </c>
      <c r="M498" t="str">
        <f ca="1"/>
        <v/>
      </c>
      <c r="O498" s="50" t="str">
        <f ca="1"/>
        <v/>
      </c>
    </row>
    <row r="499" spans="9:15" x14ac:dyDescent="0.2">
      <c r="I499" s="50" t="str">
        <v/>
      </c>
      <c r="J499" s="50" t="str">
        <v/>
      </c>
      <c r="K499" s="50" t="str">
        <f ca="1"/>
        <v/>
      </c>
      <c r="L499" s="19" t="str">
        <v/>
      </c>
      <c r="M499" t="str">
        <f ca="1"/>
        <v/>
      </c>
      <c r="O499" s="50" t="str">
        <f ca="1"/>
        <v/>
      </c>
    </row>
    <row r="500" spans="9:15" x14ac:dyDescent="0.2">
      <c r="I500" s="50" t="str">
        <v/>
      </c>
      <c r="J500" s="50" t="str">
        <v/>
      </c>
      <c r="K500" s="50" t="str">
        <f ca="1"/>
        <v/>
      </c>
      <c r="L500" s="19" t="str">
        <v/>
      </c>
      <c r="M500" t="str">
        <f ca="1"/>
        <v/>
      </c>
      <c r="O500" s="50" t="str">
        <f ca="1"/>
        <v/>
      </c>
    </row>
    <row r="501" spans="9:15" x14ac:dyDescent="0.2">
      <c r="I501" s="50" t="str">
        <v/>
      </c>
      <c r="J501" s="50" t="str">
        <v/>
      </c>
      <c r="K501" s="50" t="str">
        <f ca="1"/>
        <v/>
      </c>
      <c r="L501" s="19" t="str">
        <v/>
      </c>
      <c r="M501" t="str">
        <f ca="1"/>
        <v/>
      </c>
      <c r="O501" s="50" t="str">
        <f ca="1"/>
        <v/>
      </c>
    </row>
    <row r="502" spans="9:15" x14ac:dyDescent="0.2">
      <c r="I502" s="50" t="str">
        <v/>
      </c>
      <c r="J502" s="50" t="str">
        <v/>
      </c>
      <c r="K502" s="50" t="str">
        <f ca="1"/>
        <v/>
      </c>
      <c r="L502" s="19" t="str">
        <v/>
      </c>
      <c r="M502" t="str">
        <f ca="1"/>
        <v/>
      </c>
      <c r="O502" s="50" t="str">
        <f ca="1"/>
        <v/>
      </c>
    </row>
    <row r="503" spans="9:15" x14ac:dyDescent="0.2">
      <c r="I503" s="50" t="str">
        <v/>
      </c>
      <c r="J503" s="50" t="str">
        <v/>
      </c>
      <c r="K503" s="50" t="str">
        <f ca="1"/>
        <v/>
      </c>
      <c r="L503" s="19" t="str">
        <v/>
      </c>
      <c r="M503" t="str">
        <f ca="1"/>
        <v/>
      </c>
      <c r="O503" s="50" t="str">
        <f ca="1"/>
        <v/>
      </c>
    </row>
    <row r="504" spans="9:15" x14ac:dyDescent="0.2">
      <c r="I504" s="50" t="str">
        <v/>
      </c>
      <c r="J504" s="50" t="str">
        <v/>
      </c>
      <c r="K504" s="50" t="str">
        <f ca="1"/>
        <v/>
      </c>
      <c r="L504" s="19" t="str">
        <v/>
      </c>
      <c r="M504" t="str">
        <f ca="1"/>
        <v/>
      </c>
      <c r="O504" s="50" t="str">
        <f ca="1"/>
        <v/>
      </c>
    </row>
    <row r="505" spans="9:15" x14ac:dyDescent="0.2">
      <c r="I505" s="50" t="str">
        <v/>
      </c>
      <c r="J505" s="50" t="str">
        <v/>
      </c>
      <c r="K505" s="50" t="str">
        <f ca="1"/>
        <v/>
      </c>
      <c r="L505" s="19" t="str">
        <v/>
      </c>
      <c r="M505" t="str">
        <f ca="1"/>
        <v/>
      </c>
      <c r="O505" s="50" t="str">
        <f ca="1"/>
        <v/>
      </c>
    </row>
    <row r="506" spans="9:15" x14ac:dyDescent="0.2">
      <c r="I506" s="50" t="str">
        <v/>
      </c>
      <c r="J506" s="50" t="str">
        <v/>
      </c>
      <c r="K506" s="50" t="str">
        <f ca="1"/>
        <v/>
      </c>
      <c r="L506" s="19" t="str">
        <v/>
      </c>
      <c r="M506" t="str">
        <f ca="1"/>
        <v/>
      </c>
      <c r="O506" s="50" t="str">
        <f ca="1"/>
        <v/>
      </c>
    </row>
    <row r="507" spans="9:15" x14ac:dyDescent="0.2">
      <c r="I507" s="50" t="str">
        <v/>
      </c>
      <c r="J507" s="50" t="str">
        <v/>
      </c>
      <c r="K507" s="50" t="str">
        <f ca="1"/>
        <v/>
      </c>
      <c r="L507" s="19" t="str">
        <v/>
      </c>
      <c r="M507" t="str">
        <f ca="1"/>
        <v/>
      </c>
      <c r="O507" s="50" t="str">
        <f ca="1"/>
        <v/>
      </c>
    </row>
    <row r="508" spans="9:15" x14ac:dyDescent="0.2">
      <c r="I508" s="50" t="str">
        <v/>
      </c>
      <c r="J508" s="50" t="str">
        <v/>
      </c>
      <c r="K508" s="50" t="str">
        <f ca="1"/>
        <v/>
      </c>
      <c r="L508" s="19" t="str">
        <v/>
      </c>
      <c r="M508" t="str">
        <f ca="1"/>
        <v/>
      </c>
      <c r="O508" s="50" t="str">
        <f ca="1"/>
        <v/>
      </c>
    </row>
    <row r="509" spans="9:15" x14ac:dyDescent="0.2">
      <c r="I509" s="50" t="str">
        <v/>
      </c>
      <c r="J509" s="50" t="str">
        <v/>
      </c>
      <c r="K509" s="50" t="str">
        <f ca="1"/>
        <v/>
      </c>
      <c r="L509" s="19" t="str">
        <v/>
      </c>
      <c r="M509" t="str">
        <f ca="1"/>
        <v/>
      </c>
      <c r="O509" s="50" t="str">
        <f ca="1"/>
        <v/>
      </c>
    </row>
    <row r="510" spans="9:15" x14ac:dyDescent="0.2">
      <c r="I510" s="50" t="str">
        <v/>
      </c>
      <c r="J510" s="50" t="str">
        <v/>
      </c>
      <c r="K510" s="50" t="str">
        <f ca="1"/>
        <v/>
      </c>
      <c r="L510" s="19" t="str">
        <v/>
      </c>
      <c r="M510" t="str">
        <f ca="1"/>
        <v/>
      </c>
      <c r="O510" s="50" t="str">
        <f ca="1"/>
        <v/>
      </c>
    </row>
    <row r="511" spans="9:15" x14ac:dyDescent="0.2">
      <c r="I511" s="50" t="str">
        <v/>
      </c>
      <c r="J511" s="50" t="str">
        <v/>
      </c>
      <c r="K511" s="50" t="str">
        <f ca="1"/>
        <v/>
      </c>
      <c r="L511" s="19" t="str">
        <v/>
      </c>
      <c r="M511" t="str">
        <f ca="1"/>
        <v/>
      </c>
      <c r="O511" s="50" t="str">
        <f ca="1"/>
        <v/>
      </c>
    </row>
    <row r="512" spans="9:15" x14ac:dyDescent="0.2">
      <c r="I512" s="50" t="str">
        <v/>
      </c>
      <c r="J512" s="50" t="str">
        <v/>
      </c>
      <c r="K512" s="50" t="str">
        <f ca="1"/>
        <v/>
      </c>
      <c r="L512" s="19" t="str">
        <v/>
      </c>
      <c r="M512" t="str">
        <f ca="1"/>
        <v/>
      </c>
      <c r="O512" s="50" t="str">
        <f ca="1"/>
        <v/>
      </c>
    </row>
    <row r="513" spans="9:15" x14ac:dyDescent="0.2">
      <c r="I513" s="50" t="str">
        <v/>
      </c>
      <c r="J513" s="50" t="str">
        <v/>
      </c>
      <c r="K513" s="50" t="str">
        <f ca="1"/>
        <v/>
      </c>
      <c r="L513" s="19" t="str">
        <v/>
      </c>
      <c r="M513" t="str">
        <f ca="1"/>
        <v/>
      </c>
      <c r="O513" s="50" t="str">
        <f ca="1"/>
        <v/>
      </c>
    </row>
    <row r="514" spans="9:15" x14ac:dyDescent="0.2">
      <c r="I514" s="50" t="str">
        <v/>
      </c>
      <c r="J514" s="50" t="str">
        <v/>
      </c>
      <c r="K514" s="50" t="str">
        <f ca="1"/>
        <v/>
      </c>
      <c r="L514" s="19" t="str">
        <v/>
      </c>
      <c r="M514" t="str">
        <f ca="1"/>
        <v/>
      </c>
      <c r="O514" s="50" t="str">
        <f ca="1"/>
        <v/>
      </c>
    </row>
    <row r="515" spans="9:15" x14ac:dyDescent="0.2">
      <c r="I515" s="50" t="str">
        <v/>
      </c>
      <c r="J515" s="50" t="str">
        <v/>
      </c>
      <c r="K515" s="50" t="str">
        <f ca="1"/>
        <v/>
      </c>
      <c r="L515" s="19" t="str">
        <v/>
      </c>
      <c r="M515" t="str">
        <f ca="1"/>
        <v/>
      </c>
      <c r="O515" s="50" t="str">
        <f ca="1"/>
        <v/>
      </c>
    </row>
    <row r="516" spans="9:15" x14ac:dyDescent="0.2">
      <c r="I516" s="50" t="str">
        <v/>
      </c>
      <c r="J516" s="50" t="str">
        <v/>
      </c>
      <c r="K516" s="50" t="str">
        <f ca="1"/>
        <v/>
      </c>
      <c r="L516" s="19" t="str">
        <v/>
      </c>
      <c r="M516" t="str">
        <f ca="1"/>
        <v/>
      </c>
      <c r="O516" s="50" t="str">
        <f ca="1"/>
        <v/>
      </c>
    </row>
    <row r="517" spans="9:15" x14ac:dyDescent="0.2">
      <c r="I517" s="50" t="str">
        <v/>
      </c>
      <c r="J517" s="50" t="str">
        <v/>
      </c>
      <c r="K517" s="50" t="str">
        <f ca="1"/>
        <v/>
      </c>
      <c r="L517" s="19" t="str">
        <v/>
      </c>
      <c r="M517" t="str">
        <f ca="1"/>
        <v/>
      </c>
      <c r="O517" s="50" t="str">
        <f ca="1"/>
        <v/>
      </c>
    </row>
    <row r="518" spans="9:15" x14ac:dyDescent="0.2">
      <c r="I518" s="50" t="str">
        <v/>
      </c>
      <c r="J518" s="50" t="str">
        <v/>
      </c>
      <c r="K518" s="50" t="str">
        <f ca="1"/>
        <v/>
      </c>
      <c r="L518" s="19" t="str">
        <v/>
      </c>
      <c r="M518" t="str">
        <f ca="1"/>
        <v/>
      </c>
      <c r="O518" s="50" t="str">
        <f ca="1"/>
        <v/>
      </c>
    </row>
    <row r="519" spans="9:15" x14ac:dyDescent="0.2">
      <c r="I519" s="50" t="str">
        <v/>
      </c>
      <c r="J519" s="50" t="str">
        <v/>
      </c>
      <c r="K519" s="50" t="str">
        <f ca="1"/>
        <v/>
      </c>
      <c r="L519" s="19" t="str">
        <v/>
      </c>
      <c r="M519" t="str">
        <f ca="1"/>
        <v/>
      </c>
      <c r="O519" s="50" t="str">
        <f ca="1"/>
        <v/>
      </c>
    </row>
    <row r="520" spans="9:15" x14ac:dyDescent="0.2">
      <c r="I520" s="50" t="str">
        <v/>
      </c>
      <c r="J520" s="50" t="str">
        <v/>
      </c>
      <c r="K520" s="50" t="str">
        <f ca="1"/>
        <v/>
      </c>
      <c r="L520" s="19" t="str">
        <v/>
      </c>
      <c r="M520" t="str">
        <f ca="1"/>
        <v/>
      </c>
      <c r="O520" s="50" t="str">
        <f ca="1"/>
        <v/>
      </c>
    </row>
    <row r="521" spans="9:15" x14ac:dyDescent="0.2">
      <c r="I521" s="50" t="str">
        <v/>
      </c>
      <c r="J521" s="50" t="str">
        <v/>
      </c>
      <c r="K521" s="50" t="str">
        <f ca="1"/>
        <v/>
      </c>
      <c r="L521" s="19" t="str">
        <v/>
      </c>
      <c r="M521" t="str">
        <f ca="1"/>
        <v/>
      </c>
      <c r="O521" s="50" t="str">
        <f ca="1"/>
        <v/>
      </c>
    </row>
    <row r="522" spans="9:15" x14ac:dyDescent="0.2">
      <c r="I522" s="50" t="str">
        <v/>
      </c>
      <c r="J522" s="50" t="str">
        <v/>
      </c>
      <c r="K522" s="50" t="str">
        <f ca="1"/>
        <v/>
      </c>
      <c r="L522" s="19" t="str">
        <v/>
      </c>
      <c r="M522" t="str">
        <f ca="1"/>
        <v/>
      </c>
      <c r="O522" s="50" t="str">
        <f ca="1"/>
        <v/>
      </c>
    </row>
    <row r="523" spans="9:15" x14ac:dyDescent="0.2">
      <c r="I523" s="50" t="str">
        <v/>
      </c>
      <c r="J523" s="50" t="str">
        <v/>
      </c>
      <c r="K523" s="50" t="str">
        <f ca="1"/>
        <v/>
      </c>
      <c r="L523" s="19" t="str">
        <v/>
      </c>
      <c r="M523" t="str">
        <f ca="1"/>
        <v/>
      </c>
      <c r="O523" s="50" t="str">
        <f ca="1"/>
        <v/>
      </c>
    </row>
    <row r="524" spans="9:15" x14ac:dyDescent="0.2">
      <c r="I524" s="50" t="str">
        <v/>
      </c>
      <c r="J524" s="50" t="str">
        <v/>
      </c>
      <c r="K524" s="50" t="str">
        <f ca="1"/>
        <v/>
      </c>
      <c r="L524" s="19" t="str">
        <v/>
      </c>
      <c r="M524" t="str">
        <f ca="1"/>
        <v/>
      </c>
      <c r="O524" s="50" t="str">
        <f ca="1"/>
        <v/>
      </c>
    </row>
    <row r="525" spans="9:15" x14ac:dyDescent="0.2">
      <c r="I525" s="50" t="str">
        <v/>
      </c>
      <c r="J525" s="50" t="str">
        <v/>
      </c>
      <c r="K525" s="50" t="str">
        <f ca="1"/>
        <v/>
      </c>
      <c r="L525" s="19" t="str">
        <v/>
      </c>
      <c r="M525" t="str">
        <f ca="1"/>
        <v/>
      </c>
      <c r="O525" s="50" t="str">
        <f ca="1"/>
        <v/>
      </c>
    </row>
    <row r="526" spans="9:15" x14ac:dyDescent="0.2">
      <c r="I526" s="50" t="str">
        <v/>
      </c>
      <c r="J526" s="50" t="str">
        <v/>
      </c>
      <c r="K526" s="50" t="str">
        <f ca="1"/>
        <v/>
      </c>
      <c r="L526" s="19" t="str">
        <v/>
      </c>
      <c r="M526" t="str">
        <f ca="1"/>
        <v/>
      </c>
      <c r="O526" s="50" t="str">
        <f ca="1"/>
        <v/>
      </c>
    </row>
    <row r="527" spans="9:15" x14ac:dyDescent="0.2">
      <c r="I527" s="50" t="str">
        <v/>
      </c>
      <c r="J527" s="50" t="str">
        <v/>
      </c>
      <c r="K527" s="50" t="str">
        <f ca="1"/>
        <v/>
      </c>
      <c r="L527" s="19" t="str">
        <v/>
      </c>
      <c r="M527" t="str">
        <f ca="1"/>
        <v/>
      </c>
      <c r="O527" s="50" t="str">
        <f ca="1"/>
        <v/>
      </c>
    </row>
    <row r="528" spans="9:15" x14ac:dyDescent="0.2">
      <c r="I528" s="50" t="str">
        <v/>
      </c>
      <c r="J528" s="50" t="str">
        <v/>
      </c>
      <c r="K528" s="50" t="str">
        <f ca="1"/>
        <v/>
      </c>
      <c r="L528" s="19" t="str">
        <v/>
      </c>
      <c r="M528" t="str">
        <f ca="1"/>
        <v/>
      </c>
      <c r="O528" s="50" t="str">
        <f ca="1"/>
        <v/>
      </c>
    </row>
    <row r="529" spans="9:15" x14ac:dyDescent="0.2">
      <c r="I529" s="50" t="str">
        <v/>
      </c>
      <c r="J529" s="50" t="str">
        <v/>
      </c>
      <c r="K529" s="50" t="str">
        <f ca="1"/>
        <v/>
      </c>
      <c r="L529" s="19" t="str">
        <v/>
      </c>
      <c r="M529" t="str">
        <f ca="1"/>
        <v/>
      </c>
      <c r="O529" s="50" t="str">
        <f ca="1"/>
        <v/>
      </c>
    </row>
    <row r="530" spans="9:15" x14ac:dyDescent="0.2">
      <c r="I530" s="50" t="str">
        <v/>
      </c>
      <c r="J530" s="50" t="str">
        <v/>
      </c>
      <c r="K530" s="50" t="str">
        <f ca="1"/>
        <v/>
      </c>
      <c r="L530" s="19" t="str">
        <v/>
      </c>
      <c r="M530" t="str">
        <f ca="1"/>
        <v/>
      </c>
      <c r="O530" s="50" t="str">
        <f ca="1"/>
        <v/>
      </c>
    </row>
    <row r="531" spans="9:15" x14ac:dyDescent="0.2">
      <c r="I531" s="50" t="str">
        <v/>
      </c>
      <c r="J531" s="50" t="str">
        <v/>
      </c>
      <c r="K531" s="50" t="str">
        <f ca="1"/>
        <v/>
      </c>
      <c r="L531" s="19" t="str">
        <v/>
      </c>
      <c r="M531" t="str">
        <f ca="1"/>
        <v/>
      </c>
      <c r="O531" s="50" t="str">
        <f ca="1"/>
        <v/>
      </c>
    </row>
    <row r="532" spans="9:15" x14ac:dyDescent="0.2">
      <c r="I532" s="50" t="str">
        <v/>
      </c>
      <c r="J532" s="50" t="str">
        <v/>
      </c>
      <c r="K532" s="50" t="str">
        <f ca="1"/>
        <v/>
      </c>
      <c r="L532" s="19" t="str">
        <v/>
      </c>
      <c r="M532" t="str">
        <f ca="1"/>
        <v/>
      </c>
      <c r="O532" s="50" t="str">
        <f ca="1"/>
        <v/>
      </c>
    </row>
    <row r="533" spans="9:15" x14ac:dyDescent="0.2">
      <c r="I533" s="50" t="str">
        <v/>
      </c>
      <c r="J533" s="50" t="str">
        <v/>
      </c>
      <c r="K533" s="50" t="str">
        <f ca="1"/>
        <v/>
      </c>
      <c r="L533" s="19" t="str">
        <v/>
      </c>
      <c r="M533" t="str">
        <f ca="1"/>
        <v/>
      </c>
      <c r="O533" s="50" t="str">
        <f ca="1"/>
        <v/>
      </c>
    </row>
    <row r="534" spans="9:15" x14ac:dyDescent="0.2">
      <c r="I534" s="50" t="str">
        <v/>
      </c>
      <c r="J534" s="50" t="str">
        <v/>
      </c>
      <c r="K534" s="50" t="str">
        <f ca="1"/>
        <v/>
      </c>
      <c r="L534" s="19" t="str">
        <v/>
      </c>
      <c r="M534" t="str">
        <f ca="1"/>
        <v/>
      </c>
      <c r="O534" s="50" t="str">
        <f ca="1"/>
        <v/>
      </c>
    </row>
    <row r="535" spans="9:15" x14ac:dyDescent="0.2">
      <c r="I535" s="50" t="str">
        <v/>
      </c>
      <c r="J535" s="50" t="str">
        <v/>
      </c>
      <c r="K535" s="50" t="str">
        <f ca="1"/>
        <v/>
      </c>
      <c r="L535" s="19" t="str">
        <v/>
      </c>
      <c r="M535" t="str">
        <f ca="1"/>
        <v/>
      </c>
      <c r="O535" s="50" t="str">
        <f ca="1"/>
        <v/>
      </c>
    </row>
    <row r="536" spans="9:15" x14ac:dyDescent="0.2">
      <c r="I536" s="50" t="str">
        <v/>
      </c>
      <c r="J536" s="50" t="str">
        <v/>
      </c>
      <c r="K536" s="50" t="str">
        <f ca="1"/>
        <v/>
      </c>
      <c r="L536" s="19" t="str">
        <v/>
      </c>
      <c r="M536" t="str">
        <f ca="1"/>
        <v/>
      </c>
      <c r="O536" s="50" t="str">
        <f ca="1"/>
        <v/>
      </c>
    </row>
    <row r="537" spans="9:15" x14ac:dyDescent="0.2">
      <c r="I537" s="50" t="str">
        <v/>
      </c>
      <c r="J537" s="50" t="str">
        <v/>
      </c>
      <c r="K537" s="50" t="str">
        <f ca="1"/>
        <v/>
      </c>
      <c r="L537" s="19" t="str">
        <v/>
      </c>
      <c r="M537" t="str">
        <f ca="1"/>
        <v/>
      </c>
      <c r="O537" s="50" t="str">
        <f ca="1"/>
        <v/>
      </c>
    </row>
    <row r="538" spans="9:15" x14ac:dyDescent="0.2">
      <c r="I538" s="50" t="str">
        <v/>
      </c>
      <c r="J538" s="50" t="str">
        <v/>
      </c>
      <c r="K538" s="50" t="str">
        <f ca="1"/>
        <v/>
      </c>
      <c r="L538" s="19" t="str">
        <v/>
      </c>
      <c r="M538" t="str">
        <f ca="1"/>
        <v/>
      </c>
      <c r="O538" s="50" t="str">
        <f ca="1"/>
        <v/>
      </c>
    </row>
    <row r="539" spans="9:15" x14ac:dyDescent="0.2">
      <c r="I539" s="50" t="str">
        <v/>
      </c>
      <c r="J539" s="50" t="str">
        <v/>
      </c>
      <c r="K539" s="50" t="str">
        <f ca="1"/>
        <v/>
      </c>
      <c r="L539" s="19" t="str">
        <v/>
      </c>
      <c r="M539" t="str">
        <f ca="1"/>
        <v/>
      </c>
      <c r="O539" s="50" t="str">
        <f ca="1"/>
        <v/>
      </c>
    </row>
    <row r="540" spans="9:15" x14ac:dyDescent="0.2">
      <c r="I540" s="50" t="str">
        <v/>
      </c>
      <c r="J540" s="50" t="str">
        <v/>
      </c>
      <c r="K540" s="50" t="str">
        <f ca="1"/>
        <v/>
      </c>
      <c r="L540" s="19" t="str">
        <v/>
      </c>
      <c r="M540" t="str">
        <f ca="1"/>
        <v/>
      </c>
      <c r="O540" s="50" t="str">
        <f ca="1"/>
        <v/>
      </c>
    </row>
    <row r="541" spans="9:15" x14ac:dyDescent="0.2">
      <c r="I541" s="50" t="str">
        <v/>
      </c>
      <c r="J541" s="50" t="str">
        <v/>
      </c>
      <c r="K541" s="50" t="str">
        <f ca="1"/>
        <v/>
      </c>
      <c r="L541" s="19" t="str">
        <v/>
      </c>
      <c r="M541" t="str">
        <f ca="1"/>
        <v/>
      </c>
      <c r="O541" s="50" t="str">
        <f ca="1"/>
        <v/>
      </c>
    </row>
    <row r="542" spans="9:15" x14ac:dyDescent="0.2">
      <c r="I542" s="50" t="str">
        <v/>
      </c>
      <c r="J542" s="50" t="str">
        <v/>
      </c>
      <c r="K542" s="50" t="str">
        <f ca="1"/>
        <v/>
      </c>
      <c r="L542" s="19" t="str">
        <v/>
      </c>
      <c r="M542" t="str">
        <f ca="1"/>
        <v/>
      </c>
      <c r="O542" s="50" t="str">
        <f ca="1"/>
        <v/>
      </c>
    </row>
    <row r="543" spans="9:15" x14ac:dyDescent="0.2">
      <c r="I543" s="50" t="str">
        <v/>
      </c>
      <c r="J543" s="50" t="str">
        <v/>
      </c>
      <c r="K543" s="50" t="str">
        <f ca="1"/>
        <v/>
      </c>
      <c r="L543" s="19" t="str">
        <v/>
      </c>
      <c r="M543" t="str">
        <f ca="1"/>
        <v/>
      </c>
      <c r="O543" s="50" t="str">
        <f ca="1"/>
        <v/>
      </c>
    </row>
    <row r="544" spans="9:15" x14ac:dyDescent="0.2">
      <c r="I544" s="50" t="str">
        <v/>
      </c>
      <c r="J544" s="50" t="str">
        <v/>
      </c>
      <c r="K544" s="50" t="str">
        <f ca="1"/>
        <v/>
      </c>
      <c r="L544" s="19" t="str">
        <v/>
      </c>
      <c r="M544" t="str">
        <f ca="1"/>
        <v/>
      </c>
      <c r="O544" s="50" t="str">
        <f ca="1"/>
        <v/>
      </c>
    </row>
    <row r="545" spans="9:15" x14ac:dyDescent="0.2">
      <c r="I545" s="50" t="str">
        <v/>
      </c>
      <c r="J545" s="50" t="str">
        <v/>
      </c>
      <c r="K545" s="50" t="str">
        <f ca="1"/>
        <v/>
      </c>
      <c r="L545" s="19" t="str">
        <v/>
      </c>
      <c r="M545" t="str">
        <f ca="1"/>
        <v/>
      </c>
      <c r="O545" s="50" t="str">
        <f ca="1"/>
        <v/>
      </c>
    </row>
    <row r="546" spans="9:15" x14ac:dyDescent="0.2">
      <c r="I546" s="50" t="str">
        <v/>
      </c>
      <c r="J546" s="50" t="str">
        <v/>
      </c>
      <c r="K546" s="50" t="str">
        <f ca="1"/>
        <v/>
      </c>
      <c r="L546" s="19" t="str">
        <v/>
      </c>
      <c r="M546" t="str">
        <f ca="1"/>
        <v/>
      </c>
      <c r="O546" s="50" t="str">
        <f ca="1"/>
        <v/>
      </c>
    </row>
    <row r="547" spans="9:15" x14ac:dyDescent="0.2">
      <c r="I547" s="50" t="str">
        <v/>
      </c>
      <c r="J547" s="50" t="str">
        <v/>
      </c>
      <c r="K547" s="50" t="str">
        <f ca="1"/>
        <v/>
      </c>
      <c r="L547" s="19" t="str">
        <v/>
      </c>
      <c r="M547" t="str">
        <f ca="1"/>
        <v/>
      </c>
      <c r="O547" s="50" t="str">
        <f ca="1"/>
        <v/>
      </c>
    </row>
    <row r="548" spans="9:15" x14ac:dyDescent="0.2">
      <c r="I548" s="50" t="str">
        <v/>
      </c>
      <c r="J548" s="50" t="str">
        <v/>
      </c>
      <c r="K548" s="50" t="str">
        <f ca="1"/>
        <v/>
      </c>
      <c r="L548" s="19" t="str">
        <v/>
      </c>
      <c r="M548" t="str">
        <f ca="1"/>
        <v/>
      </c>
      <c r="O548" s="50" t="str">
        <f ca="1"/>
        <v/>
      </c>
    </row>
    <row r="549" spans="9:15" x14ac:dyDescent="0.2">
      <c r="I549" s="50" t="str">
        <v/>
      </c>
      <c r="J549" s="50" t="str">
        <v/>
      </c>
      <c r="K549" s="50" t="str">
        <f ca="1"/>
        <v/>
      </c>
      <c r="L549" s="19" t="str">
        <v/>
      </c>
      <c r="M549" t="str">
        <f ca="1"/>
        <v/>
      </c>
      <c r="O549" s="50" t="str">
        <f ca="1"/>
        <v/>
      </c>
    </row>
    <row r="550" spans="9:15" x14ac:dyDescent="0.2">
      <c r="I550" s="50" t="str">
        <v/>
      </c>
      <c r="J550" s="50" t="str">
        <v/>
      </c>
      <c r="K550" s="50" t="str">
        <f ca="1"/>
        <v/>
      </c>
      <c r="L550" s="19" t="str">
        <v/>
      </c>
      <c r="M550" t="str">
        <f ca="1"/>
        <v/>
      </c>
      <c r="O550" s="50" t="str">
        <f ca="1"/>
        <v/>
      </c>
    </row>
    <row r="551" spans="9:15" x14ac:dyDescent="0.2">
      <c r="I551" s="50" t="str">
        <v/>
      </c>
      <c r="J551" s="50" t="str">
        <v/>
      </c>
      <c r="K551" s="50" t="str">
        <f ca="1"/>
        <v/>
      </c>
      <c r="L551" s="19" t="str">
        <v/>
      </c>
      <c r="M551" t="str">
        <f ca="1"/>
        <v/>
      </c>
      <c r="O551" s="50" t="str">
        <f ca="1"/>
        <v/>
      </c>
    </row>
    <row r="552" spans="9:15" x14ac:dyDescent="0.2">
      <c r="I552" s="50" t="str">
        <v/>
      </c>
      <c r="J552" s="50" t="str">
        <v/>
      </c>
      <c r="K552" s="50" t="str">
        <f ca="1"/>
        <v/>
      </c>
      <c r="L552" s="19" t="str">
        <v/>
      </c>
      <c r="M552" t="str">
        <f ca="1"/>
        <v/>
      </c>
      <c r="O552" s="50" t="str">
        <f ca="1"/>
        <v/>
      </c>
    </row>
    <row r="553" spans="9:15" x14ac:dyDescent="0.2">
      <c r="I553" s="50" t="str">
        <v/>
      </c>
      <c r="J553" s="50" t="str">
        <v/>
      </c>
      <c r="K553" s="50" t="str">
        <f ca="1"/>
        <v/>
      </c>
      <c r="L553" s="19" t="str">
        <v/>
      </c>
      <c r="M553" t="str">
        <f ca="1"/>
        <v/>
      </c>
      <c r="O553" s="50" t="str">
        <f ca="1"/>
        <v/>
      </c>
    </row>
    <row r="554" spans="9:15" x14ac:dyDescent="0.2">
      <c r="I554" s="50" t="str">
        <v/>
      </c>
      <c r="J554" s="50" t="str">
        <v/>
      </c>
      <c r="K554" s="50" t="str">
        <f ca="1"/>
        <v/>
      </c>
      <c r="L554" s="19" t="str">
        <v/>
      </c>
      <c r="M554" t="str">
        <f ca="1"/>
        <v/>
      </c>
      <c r="O554" s="50" t="str">
        <f ca="1"/>
        <v/>
      </c>
    </row>
    <row r="555" spans="9:15" x14ac:dyDescent="0.2">
      <c r="I555" s="50" t="str">
        <v/>
      </c>
      <c r="J555" s="50" t="str">
        <v/>
      </c>
      <c r="K555" s="50" t="str">
        <f ca="1"/>
        <v/>
      </c>
      <c r="L555" s="19" t="str">
        <v/>
      </c>
      <c r="M555" t="str">
        <f ca="1"/>
        <v/>
      </c>
      <c r="O555" s="50" t="str">
        <f ca="1"/>
        <v/>
      </c>
    </row>
    <row r="556" spans="9:15" x14ac:dyDescent="0.2">
      <c r="I556" s="50" t="str">
        <v/>
      </c>
      <c r="J556" s="50" t="str">
        <v/>
      </c>
      <c r="K556" s="50" t="str">
        <f ca="1"/>
        <v/>
      </c>
      <c r="L556" s="19" t="str">
        <v/>
      </c>
      <c r="M556" t="str">
        <f ca="1"/>
        <v/>
      </c>
      <c r="O556" s="50" t="str">
        <f ca="1"/>
        <v/>
      </c>
    </row>
    <row r="557" spans="9:15" x14ac:dyDescent="0.2">
      <c r="I557" s="50" t="str">
        <v/>
      </c>
      <c r="J557" s="50" t="str">
        <v/>
      </c>
      <c r="K557" s="50" t="str">
        <f ca="1"/>
        <v/>
      </c>
      <c r="L557" s="19" t="str">
        <v/>
      </c>
      <c r="M557" t="str">
        <f ca="1"/>
        <v/>
      </c>
      <c r="O557" s="50" t="str">
        <f ca="1"/>
        <v/>
      </c>
    </row>
    <row r="558" spans="9:15" x14ac:dyDescent="0.2">
      <c r="I558" s="50" t="str">
        <v/>
      </c>
      <c r="J558" s="50" t="str">
        <v/>
      </c>
      <c r="K558" s="50" t="str">
        <f ca="1"/>
        <v/>
      </c>
      <c r="L558" s="19" t="str">
        <v/>
      </c>
      <c r="M558" t="str">
        <f ca="1"/>
        <v/>
      </c>
      <c r="O558" s="50" t="str">
        <f ca="1"/>
        <v/>
      </c>
    </row>
    <row r="559" spans="9:15" x14ac:dyDescent="0.2">
      <c r="I559" s="50" t="str">
        <v/>
      </c>
      <c r="J559" s="50" t="str">
        <v/>
      </c>
      <c r="K559" s="50" t="str">
        <f ca="1"/>
        <v/>
      </c>
      <c r="L559" s="19" t="str">
        <v/>
      </c>
      <c r="M559" t="str">
        <f ca="1"/>
        <v/>
      </c>
      <c r="O559" s="50" t="str">
        <f ca="1"/>
        <v/>
      </c>
    </row>
    <row r="560" spans="9:15" x14ac:dyDescent="0.2">
      <c r="I560" s="50" t="str">
        <v/>
      </c>
      <c r="J560" s="50" t="str">
        <v/>
      </c>
      <c r="K560" s="50" t="str">
        <f ca="1"/>
        <v/>
      </c>
      <c r="L560" s="19" t="str">
        <v/>
      </c>
      <c r="M560" t="str">
        <f ca="1"/>
        <v/>
      </c>
      <c r="O560" s="50" t="str">
        <f ca="1"/>
        <v/>
      </c>
    </row>
    <row r="561" spans="9:15" x14ac:dyDescent="0.2">
      <c r="I561" s="50" t="str">
        <v/>
      </c>
      <c r="J561" s="50" t="str">
        <v/>
      </c>
      <c r="K561" s="50" t="str">
        <f ca="1"/>
        <v/>
      </c>
      <c r="L561" s="19" t="str">
        <v/>
      </c>
      <c r="M561" t="str">
        <f ca="1"/>
        <v/>
      </c>
      <c r="O561" s="50" t="str">
        <f ca="1"/>
        <v/>
      </c>
    </row>
    <row r="562" spans="9:15" x14ac:dyDescent="0.2">
      <c r="I562" s="50" t="str">
        <v/>
      </c>
      <c r="J562" s="50" t="str">
        <v/>
      </c>
      <c r="K562" s="50" t="str">
        <f ca="1"/>
        <v/>
      </c>
      <c r="L562" s="19" t="str">
        <v/>
      </c>
      <c r="M562" t="str">
        <f ca="1"/>
        <v/>
      </c>
      <c r="O562" s="50" t="str">
        <f ca="1"/>
        <v/>
      </c>
    </row>
    <row r="563" spans="9:15" x14ac:dyDescent="0.2">
      <c r="I563" s="50" t="str">
        <v/>
      </c>
      <c r="J563" s="50" t="str">
        <v/>
      </c>
      <c r="K563" s="50" t="str">
        <f ca="1"/>
        <v/>
      </c>
      <c r="L563" s="19" t="str">
        <v/>
      </c>
      <c r="M563" t="str">
        <f ca="1"/>
        <v/>
      </c>
      <c r="O563" s="50" t="str">
        <f ca="1"/>
        <v/>
      </c>
    </row>
    <row r="564" spans="9:15" x14ac:dyDescent="0.2">
      <c r="I564" s="50" t="str">
        <v/>
      </c>
      <c r="J564" s="50" t="str">
        <v/>
      </c>
      <c r="K564" s="50" t="str">
        <f ca="1"/>
        <v/>
      </c>
      <c r="L564" s="19" t="str">
        <v/>
      </c>
      <c r="M564" t="str">
        <f ca="1"/>
        <v/>
      </c>
      <c r="O564" s="50" t="str">
        <f ca="1"/>
        <v/>
      </c>
    </row>
    <row r="565" spans="9:15" x14ac:dyDescent="0.2">
      <c r="I565" s="50" t="str">
        <v/>
      </c>
      <c r="J565" s="50" t="str">
        <v/>
      </c>
      <c r="K565" s="50" t="str">
        <f ca="1"/>
        <v/>
      </c>
      <c r="L565" s="19" t="str">
        <v/>
      </c>
      <c r="M565" t="str">
        <f ca="1"/>
        <v/>
      </c>
      <c r="O565" s="50" t="str">
        <f ca="1"/>
        <v/>
      </c>
    </row>
    <row r="566" spans="9:15" x14ac:dyDescent="0.2">
      <c r="I566" s="50" t="str">
        <v/>
      </c>
      <c r="J566" s="50" t="str">
        <v/>
      </c>
      <c r="K566" s="50" t="str">
        <f ca="1"/>
        <v/>
      </c>
      <c r="L566" s="19" t="str">
        <v/>
      </c>
      <c r="M566" t="str">
        <f ca="1"/>
        <v/>
      </c>
      <c r="O566" s="50" t="str">
        <f ca="1"/>
        <v/>
      </c>
    </row>
    <row r="567" spans="9:15" x14ac:dyDescent="0.2">
      <c r="I567" s="50" t="str">
        <v/>
      </c>
      <c r="J567" s="50" t="str">
        <v/>
      </c>
      <c r="K567" s="50" t="str">
        <f ca="1"/>
        <v/>
      </c>
      <c r="L567" s="19" t="str">
        <v/>
      </c>
      <c r="M567" t="str">
        <f ca="1"/>
        <v/>
      </c>
      <c r="O567" s="50" t="str">
        <f ca="1"/>
        <v/>
      </c>
    </row>
    <row r="568" spans="9:15" x14ac:dyDescent="0.2">
      <c r="I568" s="50" t="str">
        <v/>
      </c>
      <c r="J568" s="50" t="str">
        <v/>
      </c>
      <c r="K568" s="50" t="str">
        <f ca="1"/>
        <v/>
      </c>
      <c r="L568" s="19" t="str">
        <v/>
      </c>
      <c r="M568" t="str">
        <f ca="1"/>
        <v/>
      </c>
      <c r="O568" s="50" t="str">
        <f ca="1"/>
        <v/>
      </c>
    </row>
    <row r="569" spans="9:15" x14ac:dyDescent="0.2">
      <c r="I569" s="50" t="str">
        <v/>
      </c>
      <c r="J569" s="50" t="str">
        <v/>
      </c>
      <c r="K569" s="50" t="str">
        <f ca="1"/>
        <v/>
      </c>
      <c r="L569" s="19" t="str">
        <v/>
      </c>
      <c r="M569" t="str">
        <f ca="1"/>
        <v/>
      </c>
      <c r="O569" s="50" t="str">
        <f ca="1"/>
        <v/>
      </c>
    </row>
    <row r="570" spans="9:15" x14ac:dyDescent="0.2">
      <c r="I570" s="50" t="str">
        <v/>
      </c>
      <c r="J570" s="50" t="str">
        <v/>
      </c>
      <c r="K570" s="50" t="str">
        <f ca="1"/>
        <v/>
      </c>
      <c r="L570" s="19" t="str">
        <v/>
      </c>
      <c r="M570" t="str">
        <f ca="1"/>
        <v/>
      </c>
      <c r="O570" s="50" t="str">
        <f ca="1"/>
        <v/>
      </c>
    </row>
    <row r="571" spans="9:15" x14ac:dyDescent="0.2">
      <c r="I571" s="50" t="str">
        <v/>
      </c>
      <c r="J571" s="50" t="str">
        <v/>
      </c>
      <c r="K571" s="50" t="str">
        <f ca="1"/>
        <v/>
      </c>
      <c r="L571" s="19" t="str">
        <v/>
      </c>
      <c r="M571" t="str">
        <f ca="1"/>
        <v/>
      </c>
      <c r="O571" s="50" t="str">
        <f ca="1"/>
        <v/>
      </c>
    </row>
    <row r="572" spans="9:15" x14ac:dyDescent="0.2">
      <c r="I572" s="50" t="str">
        <v/>
      </c>
      <c r="J572" s="50" t="str">
        <v/>
      </c>
      <c r="K572" s="50" t="str">
        <f ca="1"/>
        <v/>
      </c>
      <c r="L572" s="19" t="str">
        <v/>
      </c>
      <c r="M572" t="str">
        <f ca="1"/>
        <v/>
      </c>
      <c r="O572" s="50" t="str">
        <f ca="1"/>
        <v/>
      </c>
    </row>
    <row r="573" spans="9:15" x14ac:dyDescent="0.2">
      <c r="I573" s="50" t="str">
        <v/>
      </c>
      <c r="J573" s="50" t="str">
        <v/>
      </c>
      <c r="K573" s="50" t="str">
        <f ca="1"/>
        <v/>
      </c>
      <c r="L573" s="19" t="str">
        <v/>
      </c>
      <c r="M573" t="str">
        <f ca="1"/>
        <v/>
      </c>
      <c r="O573" s="50" t="str">
        <f ca="1"/>
        <v/>
      </c>
    </row>
    <row r="574" spans="9:15" x14ac:dyDescent="0.2">
      <c r="I574" s="50" t="str">
        <v/>
      </c>
      <c r="J574" s="50" t="str">
        <v/>
      </c>
      <c r="K574" s="50" t="str">
        <f ca="1"/>
        <v/>
      </c>
      <c r="L574" s="19" t="str">
        <v/>
      </c>
      <c r="M574" t="str">
        <f ca="1"/>
        <v/>
      </c>
      <c r="O574" s="50" t="str">
        <f ca="1"/>
        <v/>
      </c>
    </row>
    <row r="575" spans="9:15" x14ac:dyDescent="0.2">
      <c r="I575" s="50" t="str">
        <v/>
      </c>
      <c r="J575" s="50" t="str">
        <v/>
      </c>
      <c r="K575" s="50" t="str">
        <f ca="1"/>
        <v/>
      </c>
      <c r="L575" s="19" t="str">
        <v/>
      </c>
      <c r="M575" t="str">
        <f ca="1"/>
        <v/>
      </c>
      <c r="O575" s="50" t="str">
        <f ca="1"/>
        <v/>
      </c>
    </row>
    <row r="576" spans="9:15" x14ac:dyDescent="0.2">
      <c r="I576" s="50" t="str">
        <v/>
      </c>
      <c r="J576" s="50" t="str">
        <v/>
      </c>
      <c r="K576" s="50" t="str">
        <f ca="1"/>
        <v/>
      </c>
      <c r="L576" s="19" t="str">
        <v/>
      </c>
      <c r="M576" t="str">
        <f ca="1"/>
        <v/>
      </c>
      <c r="O576" s="50" t="str">
        <f ca="1"/>
        <v/>
      </c>
    </row>
    <row r="577" spans="9:15" x14ac:dyDescent="0.2">
      <c r="I577" s="50" t="str">
        <v/>
      </c>
      <c r="J577" s="50" t="str">
        <v/>
      </c>
      <c r="K577" s="50" t="str">
        <f ca="1"/>
        <v/>
      </c>
      <c r="L577" s="19" t="str">
        <v/>
      </c>
      <c r="M577" t="str">
        <f ca="1"/>
        <v/>
      </c>
      <c r="O577" s="50" t="str">
        <f ca="1"/>
        <v/>
      </c>
    </row>
    <row r="578" spans="9:15" x14ac:dyDescent="0.2">
      <c r="I578" s="50" t="str">
        <v/>
      </c>
      <c r="J578" s="50" t="str">
        <v/>
      </c>
      <c r="K578" s="50" t="str">
        <f ca="1"/>
        <v/>
      </c>
      <c r="L578" s="19" t="str">
        <v/>
      </c>
      <c r="M578" t="str">
        <f ca="1"/>
        <v/>
      </c>
      <c r="O578" s="50" t="str">
        <f ca="1"/>
        <v/>
      </c>
    </row>
    <row r="579" spans="9:15" x14ac:dyDescent="0.2">
      <c r="I579" s="50" t="str">
        <v/>
      </c>
      <c r="J579" s="50" t="str">
        <v/>
      </c>
      <c r="K579" s="50" t="str">
        <f ca="1"/>
        <v/>
      </c>
      <c r="L579" s="19" t="str">
        <v/>
      </c>
      <c r="M579" t="str">
        <f ca="1"/>
        <v/>
      </c>
      <c r="O579" s="50" t="str">
        <f ca="1"/>
        <v/>
      </c>
    </row>
    <row r="580" spans="9:15" x14ac:dyDescent="0.2">
      <c r="I580" s="50" t="str">
        <v/>
      </c>
      <c r="J580" s="50" t="str">
        <v/>
      </c>
      <c r="K580" s="50" t="str">
        <f ca="1"/>
        <v/>
      </c>
      <c r="L580" s="19" t="str">
        <v/>
      </c>
      <c r="M580" t="str">
        <f ca="1"/>
        <v/>
      </c>
      <c r="O580" s="50" t="str">
        <f ca="1"/>
        <v/>
      </c>
    </row>
    <row r="581" spans="9:15" x14ac:dyDescent="0.2">
      <c r="I581" s="50" t="str">
        <v/>
      </c>
      <c r="J581" s="50" t="str">
        <v/>
      </c>
      <c r="K581" s="50" t="str">
        <f ca="1"/>
        <v/>
      </c>
      <c r="L581" s="19" t="str">
        <v/>
      </c>
      <c r="M581" t="str">
        <f ca="1"/>
        <v/>
      </c>
      <c r="O581" s="50" t="str">
        <f ca="1"/>
        <v/>
      </c>
    </row>
    <row r="582" spans="9:15" x14ac:dyDescent="0.2">
      <c r="I582" s="50" t="str">
        <v/>
      </c>
      <c r="J582" s="50" t="str">
        <v/>
      </c>
      <c r="K582" s="50" t="str">
        <f ca="1"/>
        <v/>
      </c>
      <c r="L582" s="19" t="str">
        <v/>
      </c>
      <c r="M582" t="str">
        <f ca="1"/>
        <v/>
      </c>
      <c r="O582" s="50" t="str">
        <f ca="1"/>
        <v/>
      </c>
    </row>
    <row r="583" spans="9:15" x14ac:dyDescent="0.2">
      <c r="I583" s="50" t="str">
        <v/>
      </c>
      <c r="J583" s="50" t="str">
        <v/>
      </c>
      <c r="K583" s="50" t="str">
        <f ca="1"/>
        <v/>
      </c>
      <c r="L583" s="19" t="str">
        <v/>
      </c>
      <c r="M583" t="str">
        <f ca="1"/>
        <v/>
      </c>
      <c r="O583" s="50" t="str">
        <f ca="1"/>
        <v/>
      </c>
    </row>
    <row r="584" spans="9:15" x14ac:dyDescent="0.2">
      <c r="I584" s="50" t="str">
        <v/>
      </c>
      <c r="J584" s="50" t="str">
        <v/>
      </c>
      <c r="K584" s="50" t="str">
        <f ca="1"/>
        <v/>
      </c>
      <c r="L584" s="19" t="str">
        <v/>
      </c>
      <c r="M584" t="str">
        <f ca="1"/>
        <v/>
      </c>
      <c r="O584" s="50" t="str">
        <f ca="1"/>
        <v/>
      </c>
    </row>
    <row r="585" spans="9:15" x14ac:dyDescent="0.2">
      <c r="I585" s="50" t="str">
        <v/>
      </c>
      <c r="J585" s="50" t="str">
        <v/>
      </c>
      <c r="K585" s="50" t="str">
        <f ca="1"/>
        <v/>
      </c>
      <c r="L585" s="19" t="str">
        <v/>
      </c>
      <c r="M585" t="str">
        <f ca="1"/>
        <v/>
      </c>
      <c r="O585" s="50" t="str">
        <f ca="1"/>
        <v/>
      </c>
    </row>
    <row r="586" spans="9:15" x14ac:dyDescent="0.2">
      <c r="I586" s="50" t="str">
        <v/>
      </c>
      <c r="J586" s="50" t="str">
        <v/>
      </c>
      <c r="K586" s="50" t="str">
        <f ca="1"/>
        <v/>
      </c>
      <c r="L586" s="19" t="str">
        <v/>
      </c>
      <c r="M586" t="str">
        <f ca="1"/>
        <v/>
      </c>
      <c r="O586" s="50" t="str">
        <f ca="1"/>
        <v/>
      </c>
    </row>
    <row r="587" spans="9:15" x14ac:dyDescent="0.2">
      <c r="I587" s="50" t="str">
        <v/>
      </c>
      <c r="J587" s="50" t="str">
        <v/>
      </c>
      <c r="K587" s="50" t="str">
        <f ca="1"/>
        <v/>
      </c>
      <c r="L587" s="19" t="str">
        <v/>
      </c>
      <c r="M587" t="str">
        <f ca="1"/>
        <v/>
      </c>
      <c r="O587" s="50" t="str">
        <f ca="1"/>
        <v/>
      </c>
    </row>
    <row r="588" spans="9:15" x14ac:dyDescent="0.2">
      <c r="I588" s="50" t="str">
        <v/>
      </c>
      <c r="J588" s="50" t="str">
        <v/>
      </c>
      <c r="K588" s="50" t="str">
        <f ca="1"/>
        <v/>
      </c>
      <c r="L588" s="19" t="str">
        <v/>
      </c>
      <c r="M588" t="str">
        <f ca="1"/>
        <v/>
      </c>
      <c r="O588" s="50" t="str">
        <f ca="1"/>
        <v/>
      </c>
    </row>
    <row r="589" spans="9:15" x14ac:dyDescent="0.2">
      <c r="I589" s="50" t="str">
        <v/>
      </c>
      <c r="J589" s="50" t="str">
        <v/>
      </c>
      <c r="K589" s="50" t="str">
        <f ca="1"/>
        <v/>
      </c>
      <c r="L589" s="19" t="str">
        <v/>
      </c>
      <c r="M589" t="str">
        <f ca="1"/>
        <v/>
      </c>
      <c r="O589" s="50" t="str">
        <f ca="1"/>
        <v/>
      </c>
    </row>
    <row r="590" spans="9:15" x14ac:dyDescent="0.2">
      <c r="I590" s="50" t="str">
        <v/>
      </c>
      <c r="J590" s="50" t="str">
        <v/>
      </c>
      <c r="K590" s="50" t="str">
        <f ca="1"/>
        <v/>
      </c>
      <c r="L590" s="19" t="str">
        <v/>
      </c>
      <c r="M590" t="str">
        <f ca="1"/>
        <v/>
      </c>
      <c r="O590" s="50" t="str">
        <f ca="1"/>
        <v/>
      </c>
    </row>
    <row r="591" spans="9:15" x14ac:dyDescent="0.2">
      <c r="I591" s="50" t="str">
        <v/>
      </c>
      <c r="J591" s="50" t="str">
        <v/>
      </c>
      <c r="K591" s="50" t="str">
        <f ca="1"/>
        <v/>
      </c>
      <c r="L591" s="19" t="str">
        <v/>
      </c>
      <c r="M591" t="str">
        <f ca="1"/>
        <v/>
      </c>
      <c r="O591" s="50" t="str">
        <f ca="1"/>
        <v/>
      </c>
    </row>
    <row r="592" spans="9:15" x14ac:dyDescent="0.2">
      <c r="I592" s="50" t="str">
        <v/>
      </c>
      <c r="J592" s="50" t="str">
        <v/>
      </c>
      <c r="K592" s="50" t="str">
        <f ca="1"/>
        <v/>
      </c>
      <c r="L592" s="19" t="str">
        <v/>
      </c>
      <c r="M592" t="str">
        <f ca="1"/>
        <v/>
      </c>
      <c r="O592" s="50" t="str">
        <f ca="1"/>
        <v/>
      </c>
    </row>
    <row r="593" spans="9:15" x14ac:dyDescent="0.2">
      <c r="I593" s="50" t="str">
        <v/>
      </c>
      <c r="J593" s="50" t="str">
        <v/>
      </c>
      <c r="K593" s="50" t="str">
        <f ca="1"/>
        <v/>
      </c>
      <c r="L593" s="19" t="str">
        <v/>
      </c>
      <c r="M593" t="str">
        <f ca="1"/>
        <v/>
      </c>
      <c r="O593" s="50" t="str">
        <f ca="1"/>
        <v/>
      </c>
    </row>
    <row r="594" spans="9:15" x14ac:dyDescent="0.2">
      <c r="I594" s="50" t="str">
        <v/>
      </c>
      <c r="J594" s="50" t="str">
        <v/>
      </c>
      <c r="K594" s="50" t="str">
        <f ca="1"/>
        <v/>
      </c>
      <c r="L594" s="19" t="str">
        <v/>
      </c>
      <c r="M594" t="str">
        <f ca="1"/>
        <v/>
      </c>
      <c r="O594" s="50" t="str">
        <f ca="1"/>
        <v/>
      </c>
    </row>
    <row r="595" spans="9:15" x14ac:dyDescent="0.2">
      <c r="I595" s="50" t="str">
        <v/>
      </c>
      <c r="J595" s="50" t="str">
        <v/>
      </c>
      <c r="K595" s="50" t="str">
        <f ca="1"/>
        <v/>
      </c>
      <c r="L595" s="19" t="str">
        <v/>
      </c>
      <c r="M595" t="str">
        <f ca="1"/>
        <v/>
      </c>
      <c r="O595" s="50" t="str">
        <f ca="1"/>
        <v/>
      </c>
    </row>
    <row r="596" spans="9:15" x14ac:dyDescent="0.2">
      <c r="I596" s="50" t="str">
        <v/>
      </c>
      <c r="J596" s="50" t="str">
        <v/>
      </c>
      <c r="K596" s="50" t="str">
        <f ca="1"/>
        <v/>
      </c>
      <c r="L596" s="19" t="str">
        <v/>
      </c>
      <c r="M596" t="str">
        <f ca="1"/>
        <v/>
      </c>
      <c r="O596" s="50" t="str">
        <f ca="1"/>
        <v/>
      </c>
    </row>
    <row r="597" spans="9:15" x14ac:dyDescent="0.2">
      <c r="I597" s="50" t="str">
        <v/>
      </c>
      <c r="J597" s="50" t="str">
        <v/>
      </c>
      <c r="K597" s="50" t="str">
        <f ca="1"/>
        <v/>
      </c>
      <c r="L597" s="19" t="str">
        <v/>
      </c>
      <c r="M597" t="str">
        <f ca="1"/>
        <v/>
      </c>
      <c r="O597" s="50" t="str">
        <f ca="1"/>
        <v/>
      </c>
    </row>
    <row r="598" spans="9:15" x14ac:dyDescent="0.2">
      <c r="I598" s="50" t="str">
        <v/>
      </c>
      <c r="J598" s="50" t="str">
        <v/>
      </c>
      <c r="K598" s="50" t="str">
        <f ca="1"/>
        <v/>
      </c>
      <c r="L598" s="19" t="str">
        <v/>
      </c>
      <c r="M598" t="str">
        <f ca="1"/>
        <v/>
      </c>
      <c r="O598" s="50" t="str">
        <f ca="1"/>
        <v/>
      </c>
    </row>
    <row r="599" spans="9:15" x14ac:dyDescent="0.2">
      <c r="I599" s="50" t="str">
        <v/>
      </c>
      <c r="J599" s="50" t="str">
        <v/>
      </c>
      <c r="K599" s="50" t="str">
        <f ca="1"/>
        <v/>
      </c>
      <c r="L599" s="19" t="str">
        <v/>
      </c>
      <c r="M599" t="str">
        <f ca="1"/>
        <v/>
      </c>
      <c r="O599" s="50" t="str">
        <f ca="1"/>
        <v/>
      </c>
    </row>
    <row r="600" spans="9:15" x14ac:dyDescent="0.2">
      <c r="I600" s="50" t="str">
        <v/>
      </c>
      <c r="J600" s="50" t="str">
        <v/>
      </c>
      <c r="K600" s="50" t="str">
        <f ca="1"/>
        <v/>
      </c>
      <c r="L600" s="19" t="str">
        <v/>
      </c>
      <c r="M600" t="str">
        <f ca="1"/>
        <v/>
      </c>
      <c r="O600" s="50" t="str">
        <f ca="1"/>
        <v/>
      </c>
    </row>
    <row r="601" spans="9:15" x14ac:dyDescent="0.2">
      <c r="I601" s="50" t="str">
        <v/>
      </c>
      <c r="J601" s="50" t="str">
        <v/>
      </c>
      <c r="K601" s="50" t="str">
        <f ca="1"/>
        <v/>
      </c>
      <c r="L601" s="19" t="str">
        <v/>
      </c>
      <c r="M601" t="str">
        <f ca="1"/>
        <v/>
      </c>
      <c r="O601" s="50" t="str">
        <f ca="1"/>
        <v/>
      </c>
    </row>
    <row r="602" spans="9:15" x14ac:dyDescent="0.2">
      <c r="I602" s="50" t="str">
        <v/>
      </c>
      <c r="J602" s="50" t="str">
        <v/>
      </c>
      <c r="K602" s="50" t="str">
        <f ca="1"/>
        <v/>
      </c>
      <c r="L602" s="19" t="str">
        <v/>
      </c>
      <c r="M602" t="str">
        <f ca="1"/>
        <v/>
      </c>
      <c r="O602" s="50" t="str">
        <f ca="1"/>
        <v/>
      </c>
    </row>
    <row r="603" spans="9:15" x14ac:dyDescent="0.2">
      <c r="I603" s="50" t="str">
        <v/>
      </c>
      <c r="J603" s="50" t="str">
        <v/>
      </c>
      <c r="K603" s="50" t="str">
        <f ca="1"/>
        <v/>
      </c>
      <c r="L603" s="19" t="str">
        <v/>
      </c>
      <c r="M603" t="str">
        <f ca="1"/>
        <v/>
      </c>
      <c r="O603" s="50" t="str">
        <f ca="1"/>
        <v/>
      </c>
    </row>
    <row r="604" spans="9:15" x14ac:dyDescent="0.2">
      <c r="I604" s="50" t="str">
        <v/>
      </c>
      <c r="J604" s="50" t="str">
        <v/>
      </c>
      <c r="K604" s="50" t="str">
        <f ca="1"/>
        <v/>
      </c>
      <c r="L604" s="19" t="str">
        <v/>
      </c>
      <c r="M604" t="str">
        <f ca="1"/>
        <v/>
      </c>
      <c r="O604" s="50" t="str">
        <f ca="1"/>
        <v/>
      </c>
    </row>
    <row r="605" spans="9:15" x14ac:dyDescent="0.2">
      <c r="I605" s="50" t="str">
        <v/>
      </c>
      <c r="J605" s="50" t="str">
        <v/>
      </c>
      <c r="K605" s="50" t="str">
        <f ca="1"/>
        <v/>
      </c>
      <c r="L605" s="19" t="str">
        <v/>
      </c>
      <c r="M605" t="str">
        <f ca="1"/>
        <v/>
      </c>
      <c r="O605" s="50" t="str">
        <f ca="1"/>
        <v/>
      </c>
    </row>
    <row r="606" spans="9:15" x14ac:dyDescent="0.2">
      <c r="I606" s="50" t="str">
        <v/>
      </c>
      <c r="J606" s="50" t="str">
        <v/>
      </c>
      <c r="K606" s="50" t="str">
        <f ca="1"/>
        <v/>
      </c>
      <c r="L606" s="19" t="str">
        <v/>
      </c>
      <c r="M606" t="str">
        <f ca="1"/>
        <v/>
      </c>
      <c r="O606" s="50" t="str">
        <f ca="1"/>
        <v/>
      </c>
    </row>
    <row r="607" spans="9:15" x14ac:dyDescent="0.2">
      <c r="I607" s="50" t="str">
        <v/>
      </c>
      <c r="J607" s="50" t="str">
        <v/>
      </c>
      <c r="K607" s="50" t="str">
        <f ca="1"/>
        <v/>
      </c>
      <c r="L607" s="19" t="str">
        <v/>
      </c>
      <c r="M607" t="str">
        <f ca="1"/>
        <v/>
      </c>
      <c r="O607" s="50" t="str">
        <f ca="1"/>
        <v/>
      </c>
    </row>
    <row r="608" spans="9:15" x14ac:dyDescent="0.2">
      <c r="I608" s="50" t="str">
        <v/>
      </c>
      <c r="J608" s="50" t="str">
        <v/>
      </c>
      <c r="K608" s="50" t="str">
        <f ca="1"/>
        <v/>
      </c>
      <c r="L608" s="19" t="str">
        <v/>
      </c>
      <c r="M608" t="str">
        <f ca="1"/>
        <v/>
      </c>
      <c r="O608" s="50" t="str">
        <f ca="1"/>
        <v/>
      </c>
    </row>
    <row r="609" spans="9:15" x14ac:dyDescent="0.2">
      <c r="I609" s="50" t="str">
        <v/>
      </c>
      <c r="J609" s="50" t="str">
        <v/>
      </c>
      <c r="K609" s="50" t="str">
        <f ca="1"/>
        <v/>
      </c>
      <c r="L609" s="19" t="str">
        <v/>
      </c>
      <c r="M609" t="str">
        <f ca="1"/>
        <v/>
      </c>
      <c r="O609" s="50" t="str">
        <f ca="1"/>
        <v/>
      </c>
    </row>
    <row r="610" spans="9:15" x14ac:dyDescent="0.2">
      <c r="I610" s="50" t="str">
        <v/>
      </c>
      <c r="J610" s="50" t="str">
        <v/>
      </c>
      <c r="K610" s="50" t="str">
        <f ca="1"/>
        <v/>
      </c>
      <c r="L610" s="19" t="str">
        <v/>
      </c>
      <c r="M610" t="str">
        <f ca="1"/>
        <v/>
      </c>
      <c r="O610" s="50" t="str">
        <f ca="1"/>
        <v/>
      </c>
    </row>
    <row r="611" spans="9:15" x14ac:dyDescent="0.2">
      <c r="I611" s="50" t="str">
        <v/>
      </c>
      <c r="J611" s="50" t="str">
        <v/>
      </c>
      <c r="K611" s="50" t="str">
        <f ca="1"/>
        <v/>
      </c>
      <c r="L611" s="19" t="str">
        <v/>
      </c>
      <c r="M611" t="str">
        <f ca="1"/>
        <v/>
      </c>
      <c r="O611" s="50" t="str">
        <f ca="1"/>
        <v/>
      </c>
    </row>
    <row r="612" spans="9:15" x14ac:dyDescent="0.2">
      <c r="I612" s="50" t="str">
        <v/>
      </c>
      <c r="J612" s="50" t="str">
        <v/>
      </c>
      <c r="K612" s="50" t="str">
        <f ca="1"/>
        <v/>
      </c>
      <c r="L612" s="19" t="str">
        <v/>
      </c>
      <c r="M612" t="str">
        <f ca="1"/>
        <v/>
      </c>
      <c r="O612" s="50" t="str">
        <f ca="1"/>
        <v/>
      </c>
    </row>
    <row r="613" spans="9:15" x14ac:dyDescent="0.2">
      <c r="I613" s="50" t="str">
        <v/>
      </c>
      <c r="J613" s="50" t="str">
        <v/>
      </c>
      <c r="K613" s="50" t="str">
        <f ca="1"/>
        <v/>
      </c>
      <c r="L613" s="19" t="str">
        <v/>
      </c>
      <c r="M613" t="str">
        <f ca="1"/>
        <v/>
      </c>
      <c r="O613" s="50" t="str">
        <f ca="1"/>
        <v/>
      </c>
    </row>
    <row r="614" spans="9:15" x14ac:dyDescent="0.2">
      <c r="I614" s="50" t="str">
        <v/>
      </c>
      <c r="J614" s="50" t="str">
        <v/>
      </c>
      <c r="K614" s="50" t="str">
        <f ca="1"/>
        <v/>
      </c>
      <c r="L614" s="19" t="str">
        <v/>
      </c>
      <c r="M614" t="str">
        <f ca="1"/>
        <v/>
      </c>
      <c r="O614" s="50" t="str">
        <f ca="1"/>
        <v/>
      </c>
    </row>
    <row r="615" spans="9:15" x14ac:dyDescent="0.2">
      <c r="I615" s="50" t="str">
        <v/>
      </c>
      <c r="J615" s="50" t="str">
        <v/>
      </c>
      <c r="K615" s="50" t="str">
        <f ca="1"/>
        <v/>
      </c>
      <c r="L615" s="19" t="str">
        <v/>
      </c>
      <c r="M615" t="str">
        <f ca="1"/>
        <v/>
      </c>
      <c r="O615" s="50" t="str">
        <f ca="1"/>
        <v/>
      </c>
    </row>
    <row r="616" spans="9:15" x14ac:dyDescent="0.2">
      <c r="I616" s="50" t="str">
        <v/>
      </c>
      <c r="J616" s="50" t="str">
        <v/>
      </c>
      <c r="K616" s="50" t="str">
        <f ca="1"/>
        <v/>
      </c>
      <c r="L616" s="19" t="str">
        <v/>
      </c>
      <c r="M616" t="str">
        <f ca="1"/>
        <v/>
      </c>
      <c r="O616" s="50" t="str">
        <f ca="1"/>
        <v/>
      </c>
    </row>
    <row r="617" spans="9:15" x14ac:dyDescent="0.2">
      <c r="I617" s="50" t="str">
        <v/>
      </c>
      <c r="J617" s="50" t="str">
        <v/>
      </c>
      <c r="K617" s="50" t="str">
        <f ca="1"/>
        <v/>
      </c>
      <c r="L617" s="19" t="str">
        <v/>
      </c>
      <c r="M617" t="str">
        <f ca="1"/>
        <v/>
      </c>
      <c r="O617" s="50" t="str">
        <f ca="1"/>
        <v/>
      </c>
    </row>
    <row r="618" spans="9:15" x14ac:dyDescent="0.2">
      <c r="I618" s="50" t="str">
        <v/>
      </c>
      <c r="J618" s="50" t="str">
        <v/>
      </c>
      <c r="K618" s="50" t="str">
        <f ca="1"/>
        <v/>
      </c>
      <c r="L618" s="19" t="str">
        <v/>
      </c>
      <c r="M618" t="str">
        <f ca="1"/>
        <v/>
      </c>
      <c r="O618" s="50" t="str">
        <f ca="1"/>
        <v/>
      </c>
    </row>
    <row r="619" spans="9:15" x14ac:dyDescent="0.2">
      <c r="I619" s="50" t="str">
        <v/>
      </c>
      <c r="J619" s="50" t="str">
        <v/>
      </c>
      <c r="K619" s="50" t="str">
        <f ca="1"/>
        <v/>
      </c>
      <c r="L619" s="19" t="str">
        <v/>
      </c>
      <c r="M619" t="str">
        <f ca="1"/>
        <v/>
      </c>
      <c r="O619" s="50" t="str">
        <f ca="1"/>
        <v/>
      </c>
    </row>
    <row r="620" spans="9:15" x14ac:dyDescent="0.2">
      <c r="I620" s="50" t="str">
        <v/>
      </c>
      <c r="J620" s="50" t="str">
        <v/>
      </c>
      <c r="K620" s="50" t="str">
        <f ca="1"/>
        <v/>
      </c>
      <c r="L620" s="19" t="str">
        <v/>
      </c>
      <c r="M620" t="str">
        <f ca="1"/>
        <v/>
      </c>
      <c r="O620" s="50" t="str">
        <f ca="1"/>
        <v/>
      </c>
    </row>
    <row r="621" spans="9:15" x14ac:dyDescent="0.2">
      <c r="I621" s="50" t="str">
        <v/>
      </c>
      <c r="J621" s="50" t="str">
        <v/>
      </c>
      <c r="K621" s="50" t="str">
        <f ca="1"/>
        <v/>
      </c>
      <c r="L621" s="19" t="str">
        <v/>
      </c>
      <c r="M621" t="str">
        <f ca="1"/>
        <v/>
      </c>
      <c r="O621" s="50" t="str">
        <f ca="1"/>
        <v/>
      </c>
    </row>
    <row r="622" spans="9:15" x14ac:dyDescent="0.2">
      <c r="I622" s="50" t="str">
        <v/>
      </c>
      <c r="J622" s="50" t="str">
        <v/>
      </c>
      <c r="K622" s="50" t="str">
        <f ca="1"/>
        <v/>
      </c>
      <c r="L622" s="19" t="str">
        <v/>
      </c>
      <c r="M622" t="str">
        <f ca="1"/>
        <v/>
      </c>
      <c r="O622" s="50" t="str">
        <f ca="1"/>
        <v/>
      </c>
    </row>
    <row r="623" spans="9:15" x14ac:dyDescent="0.2">
      <c r="I623" s="50" t="str">
        <v/>
      </c>
      <c r="J623" s="50" t="str">
        <v/>
      </c>
      <c r="K623" s="50" t="str">
        <f ca="1"/>
        <v/>
      </c>
      <c r="L623" s="19" t="str">
        <v/>
      </c>
      <c r="M623" t="str">
        <f ca="1"/>
        <v/>
      </c>
      <c r="O623" s="50" t="str">
        <f ca="1"/>
        <v/>
      </c>
    </row>
    <row r="624" spans="9:15" x14ac:dyDescent="0.2">
      <c r="I624" s="50" t="str">
        <v/>
      </c>
      <c r="J624" s="50" t="str">
        <v/>
      </c>
      <c r="K624" s="50" t="str">
        <f ca="1"/>
        <v/>
      </c>
      <c r="L624" s="19" t="str">
        <v/>
      </c>
      <c r="M624" t="str">
        <f ca="1"/>
        <v/>
      </c>
      <c r="O624" s="50" t="str">
        <f ca="1"/>
        <v/>
      </c>
    </row>
    <row r="625" spans="9:15" x14ac:dyDescent="0.2">
      <c r="I625" s="50" t="str">
        <v/>
      </c>
      <c r="J625" s="50" t="str">
        <v/>
      </c>
      <c r="K625" s="50" t="str">
        <f ca="1"/>
        <v/>
      </c>
      <c r="L625" s="19" t="str">
        <v/>
      </c>
      <c r="M625" t="str">
        <f ca="1"/>
        <v/>
      </c>
      <c r="O625" s="50" t="str">
        <f ca="1"/>
        <v/>
      </c>
    </row>
    <row r="626" spans="9:15" x14ac:dyDescent="0.2">
      <c r="I626" s="50" t="str">
        <v/>
      </c>
      <c r="J626" s="50" t="str">
        <v/>
      </c>
      <c r="K626" s="50" t="str">
        <f ca="1"/>
        <v/>
      </c>
      <c r="L626" s="19" t="str">
        <v/>
      </c>
      <c r="M626" t="str">
        <f ca="1"/>
        <v/>
      </c>
      <c r="O626" s="50" t="str">
        <f ca="1"/>
        <v/>
      </c>
    </row>
    <row r="627" spans="9:15" x14ac:dyDescent="0.2">
      <c r="I627" s="50" t="str">
        <v/>
      </c>
      <c r="J627" s="50" t="str">
        <v/>
      </c>
      <c r="K627" s="50" t="str">
        <f ca="1"/>
        <v/>
      </c>
      <c r="L627" s="19" t="str">
        <v/>
      </c>
      <c r="M627" t="str">
        <f ca="1"/>
        <v/>
      </c>
      <c r="O627" s="50" t="str">
        <f ca="1"/>
        <v/>
      </c>
    </row>
    <row r="628" spans="9:15" x14ac:dyDescent="0.2">
      <c r="I628" s="50" t="str">
        <v/>
      </c>
      <c r="J628" s="50" t="str">
        <v/>
      </c>
      <c r="K628" s="50" t="str">
        <f ca="1"/>
        <v/>
      </c>
      <c r="L628" s="19" t="str">
        <v/>
      </c>
      <c r="M628" t="str">
        <f ca="1"/>
        <v/>
      </c>
      <c r="O628" s="50" t="str">
        <f ca="1"/>
        <v/>
      </c>
    </row>
    <row r="629" spans="9:15" x14ac:dyDescent="0.2">
      <c r="I629" s="50" t="str">
        <v/>
      </c>
      <c r="J629" s="50" t="str">
        <v/>
      </c>
      <c r="K629" s="50" t="str">
        <f ca="1"/>
        <v/>
      </c>
      <c r="L629" s="19" t="str">
        <v/>
      </c>
      <c r="M629" t="str">
        <f ca="1"/>
        <v/>
      </c>
      <c r="O629" s="50" t="str">
        <f ca="1"/>
        <v/>
      </c>
    </row>
    <row r="630" spans="9:15" x14ac:dyDescent="0.2">
      <c r="I630" s="50" t="str">
        <v/>
      </c>
      <c r="J630" s="50" t="str">
        <v/>
      </c>
      <c r="K630" s="50" t="str">
        <f ca="1"/>
        <v/>
      </c>
      <c r="L630" s="19" t="str">
        <v/>
      </c>
      <c r="M630" t="str">
        <f ca="1"/>
        <v/>
      </c>
      <c r="O630" s="50" t="str">
        <f ca="1"/>
        <v/>
      </c>
    </row>
    <row r="631" spans="9:15" x14ac:dyDescent="0.2">
      <c r="I631" s="50" t="str">
        <v/>
      </c>
      <c r="J631" s="50" t="str">
        <v/>
      </c>
      <c r="K631" s="50" t="str">
        <f ca="1"/>
        <v/>
      </c>
      <c r="L631" s="19" t="str">
        <v/>
      </c>
      <c r="M631" t="str">
        <f ca="1"/>
        <v/>
      </c>
      <c r="O631" s="50" t="str">
        <f ca="1"/>
        <v/>
      </c>
    </row>
    <row r="632" spans="9:15" x14ac:dyDescent="0.2">
      <c r="I632" s="50" t="str">
        <v/>
      </c>
      <c r="J632" s="50" t="str">
        <v/>
      </c>
      <c r="K632" s="50" t="str">
        <f ca="1"/>
        <v/>
      </c>
      <c r="L632" s="19" t="str">
        <v/>
      </c>
      <c r="M632" t="str">
        <f ca="1"/>
        <v/>
      </c>
      <c r="O632" s="50" t="str">
        <f ca="1"/>
        <v/>
      </c>
    </row>
    <row r="633" spans="9:15" x14ac:dyDescent="0.2">
      <c r="I633" s="50" t="str">
        <v/>
      </c>
      <c r="J633" s="50" t="str">
        <v/>
      </c>
      <c r="K633" s="50" t="str">
        <f ca="1"/>
        <v/>
      </c>
      <c r="L633" s="19" t="str">
        <v/>
      </c>
      <c r="M633" t="str">
        <f ca="1"/>
        <v/>
      </c>
      <c r="O633" s="50" t="str">
        <f ca="1"/>
        <v/>
      </c>
    </row>
    <row r="634" spans="9:15" x14ac:dyDescent="0.2">
      <c r="I634" s="50" t="str">
        <v/>
      </c>
      <c r="J634" s="50" t="str">
        <v/>
      </c>
      <c r="K634" s="50" t="str">
        <f ca="1"/>
        <v/>
      </c>
      <c r="L634" s="19" t="str">
        <v/>
      </c>
      <c r="M634" t="str">
        <f ca="1"/>
        <v/>
      </c>
      <c r="O634" s="50" t="str">
        <f ca="1"/>
        <v/>
      </c>
    </row>
    <row r="635" spans="9:15" x14ac:dyDescent="0.2">
      <c r="I635" s="50" t="str">
        <v/>
      </c>
      <c r="J635" s="50" t="str">
        <v/>
      </c>
      <c r="K635" s="50" t="str">
        <f ca="1"/>
        <v/>
      </c>
      <c r="L635" s="19" t="str">
        <v/>
      </c>
      <c r="M635" t="str">
        <f ca="1"/>
        <v/>
      </c>
      <c r="O635" s="50" t="str">
        <f ca="1"/>
        <v/>
      </c>
    </row>
    <row r="636" spans="9:15" x14ac:dyDescent="0.2">
      <c r="I636" s="50" t="str">
        <v/>
      </c>
      <c r="J636" s="50" t="str">
        <v/>
      </c>
      <c r="K636" s="50" t="str">
        <f ca="1"/>
        <v/>
      </c>
      <c r="L636" s="19" t="str">
        <v/>
      </c>
      <c r="M636" t="str">
        <f ca="1"/>
        <v/>
      </c>
      <c r="O636" s="50" t="str">
        <f ca="1"/>
        <v/>
      </c>
    </row>
    <row r="637" spans="9:15" x14ac:dyDescent="0.2">
      <c r="I637" s="50" t="str">
        <v/>
      </c>
      <c r="J637" s="50" t="str">
        <v/>
      </c>
      <c r="K637" s="50" t="str">
        <f ca="1"/>
        <v/>
      </c>
      <c r="L637" s="19" t="str">
        <v/>
      </c>
      <c r="M637" t="str">
        <f ca="1"/>
        <v/>
      </c>
      <c r="O637" s="50" t="str">
        <f ca="1"/>
        <v/>
      </c>
    </row>
    <row r="638" spans="9:15" x14ac:dyDescent="0.2">
      <c r="I638" s="50" t="str">
        <v/>
      </c>
      <c r="J638" s="50" t="str">
        <v/>
      </c>
      <c r="K638" s="50" t="str">
        <f ca="1"/>
        <v/>
      </c>
      <c r="L638" s="19" t="str">
        <v/>
      </c>
      <c r="M638" t="str">
        <f ca="1"/>
        <v/>
      </c>
      <c r="O638" s="50" t="str">
        <f ca="1"/>
        <v/>
      </c>
    </row>
    <row r="639" spans="9:15" x14ac:dyDescent="0.2">
      <c r="I639" s="50" t="str">
        <v/>
      </c>
      <c r="J639" s="50" t="str">
        <v/>
      </c>
      <c r="K639" s="50" t="str">
        <f ca="1"/>
        <v/>
      </c>
      <c r="L639" s="19" t="str">
        <v/>
      </c>
      <c r="M639" t="str">
        <f ca="1"/>
        <v/>
      </c>
      <c r="O639" s="50" t="str">
        <f ca="1"/>
        <v/>
      </c>
    </row>
    <row r="640" spans="9:15" x14ac:dyDescent="0.2">
      <c r="I640" s="50" t="str">
        <v/>
      </c>
      <c r="J640" s="50" t="str">
        <v/>
      </c>
      <c r="K640" s="50" t="str">
        <f ca="1"/>
        <v/>
      </c>
      <c r="L640" s="19" t="str">
        <v/>
      </c>
      <c r="M640" t="str">
        <f ca="1"/>
        <v/>
      </c>
      <c r="O640" s="50" t="str">
        <f ca="1"/>
        <v/>
      </c>
    </row>
    <row r="641" spans="9:15" x14ac:dyDescent="0.2">
      <c r="I641" s="50" t="str">
        <v/>
      </c>
      <c r="J641" s="50" t="str">
        <v/>
      </c>
      <c r="K641" s="50" t="str">
        <f ca="1"/>
        <v/>
      </c>
      <c r="L641" s="19" t="str">
        <v/>
      </c>
      <c r="M641" t="str">
        <f ca="1"/>
        <v/>
      </c>
      <c r="O641" s="50" t="str">
        <f ca="1"/>
        <v/>
      </c>
    </row>
    <row r="642" spans="9:15" x14ac:dyDescent="0.2">
      <c r="I642" s="50" t="str">
        <v/>
      </c>
      <c r="J642" s="50" t="str">
        <v/>
      </c>
      <c r="K642" s="50" t="str">
        <f ca="1"/>
        <v/>
      </c>
      <c r="L642" s="19" t="str">
        <v/>
      </c>
      <c r="M642" t="str">
        <f ca="1"/>
        <v/>
      </c>
      <c r="O642" s="50" t="str">
        <f ca="1"/>
        <v/>
      </c>
    </row>
    <row r="643" spans="9:15" x14ac:dyDescent="0.2">
      <c r="I643" s="50" t="str">
        <v/>
      </c>
      <c r="J643" s="50" t="str">
        <v/>
      </c>
      <c r="K643" s="50" t="str">
        <f ca="1"/>
        <v/>
      </c>
      <c r="L643" s="19" t="str">
        <v/>
      </c>
      <c r="M643" t="str">
        <f ca="1"/>
        <v/>
      </c>
      <c r="O643" s="50" t="str">
        <f ca="1"/>
        <v/>
      </c>
    </row>
    <row r="644" spans="9:15" x14ac:dyDescent="0.2">
      <c r="I644" s="50" t="str">
        <v/>
      </c>
      <c r="J644" s="50" t="str">
        <v/>
      </c>
      <c r="K644" s="50" t="str">
        <f ca="1"/>
        <v/>
      </c>
      <c r="L644" s="19" t="str">
        <v/>
      </c>
      <c r="M644" t="str">
        <f ca="1"/>
        <v/>
      </c>
      <c r="O644" s="50" t="str">
        <f ca="1"/>
        <v/>
      </c>
    </row>
    <row r="645" spans="9:15" x14ac:dyDescent="0.2">
      <c r="I645" s="50" t="str">
        <v/>
      </c>
      <c r="J645" s="50" t="str">
        <v/>
      </c>
      <c r="K645" s="50" t="str">
        <f ca="1"/>
        <v/>
      </c>
      <c r="L645" s="19" t="str">
        <v/>
      </c>
      <c r="M645" t="str">
        <f ca="1"/>
        <v/>
      </c>
      <c r="O645" s="50" t="str">
        <f ca="1"/>
        <v/>
      </c>
    </row>
    <row r="646" spans="9:15" x14ac:dyDescent="0.2">
      <c r="I646" s="50" t="str">
        <v/>
      </c>
      <c r="J646" s="50" t="str">
        <v/>
      </c>
      <c r="K646" s="50" t="str">
        <f ca="1"/>
        <v/>
      </c>
      <c r="L646" s="19" t="str">
        <v/>
      </c>
      <c r="M646" t="str">
        <f ca="1"/>
        <v/>
      </c>
      <c r="O646" s="50" t="str">
        <f ca="1"/>
        <v/>
      </c>
    </row>
    <row r="647" spans="9:15" x14ac:dyDescent="0.2">
      <c r="I647" s="50" t="str">
        <v/>
      </c>
      <c r="J647" s="50" t="str">
        <v/>
      </c>
      <c r="K647" s="50" t="str">
        <f ca="1"/>
        <v/>
      </c>
      <c r="L647" s="19" t="str">
        <v/>
      </c>
      <c r="M647" t="str">
        <f ca="1"/>
        <v/>
      </c>
      <c r="O647" s="50" t="str">
        <f ca="1"/>
        <v/>
      </c>
    </row>
    <row r="648" spans="9:15" x14ac:dyDescent="0.2">
      <c r="I648" s="50" t="str">
        <v/>
      </c>
      <c r="J648" s="50" t="str">
        <v/>
      </c>
      <c r="K648" s="50" t="str">
        <f ca="1"/>
        <v/>
      </c>
      <c r="L648" s="19" t="str">
        <v/>
      </c>
      <c r="M648" t="str">
        <f ca="1"/>
        <v/>
      </c>
      <c r="O648" s="50" t="str">
        <f ca="1"/>
        <v/>
      </c>
    </row>
    <row r="649" spans="9:15" x14ac:dyDescent="0.2">
      <c r="I649" s="50" t="str">
        <v/>
      </c>
      <c r="J649" s="50" t="str">
        <v/>
      </c>
      <c r="K649" s="50" t="str">
        <f ca="1"/>
        <v/>
      </c>
      <c r="L649" s="19" t="str">
        <v/>
      </c>
      <c r="M649" t="str">
        <f ca="1"/>
        <v/>
      </c>
      <c r="O649" s="50" t="str">
        <f ca="1"/>
        <v/>
      </c>
    </row>
    <row r="650" spans="9:15" x14ac:dyDescent="0.2">
      <c r="I650" s="50" t="str">
        <v/>
      </c>
      <c r="J650" s="50" t="str">
        <v/>
      </c>
      <c r="K650" s="50" t="str">
        <f ca="1"/>
        <v/>
      </c>
      <c r="L650" s="19" t="str">
        <v/>
      </c>
      <c r="M650" t="str">
        <f ca="1"/>
        <v/>
      </c>
      <c r="O650" s="50" t="str">
        <f ca="1"/>
        <v/>
      </c>
    </row>
    <row r="651" spans="9:15" x14ac:dyDescent="0.2">
      <c r="I651" s="50" t="str">
        <v/>
      </c>
      <c r="J651" s="50" t="str">
        <v/>
      </c>
      <c r="K651" s="50" t="str">
        <f ca="1"/>
        <v/>
      </c>
      <c r="L651" s="19" t="str">
        <v/>
      </c>
      <c r="M651" t="str">
        <f ca="1"/>
        <v/>
      </c>
      <c r="O651" s="50" t="str">
        <f ca="1"/>
        <v/>
      </c>
    </row>
    <row r="652" spans="9:15" x14ac:dyDescent="0.2">
      <c r="I652" s="50" t="str">
        <v/>
      </c>
      <c r="J652" s="50" t="str">
        <v/>
      </c>
      <c r="K652" s="50" t="str">
        <f ca="1"/>
        <v/>
      </c>
      <c r="L652" s="19" t="str">
        <v/>
      </c>
      <c r="M652" t="str">
        <f ca="1"/>
        <v/>
      </c>
      <c r="O652" s="50" t="str">
        <f ca="1"/>
        <v/>
      </c>
    </row>
    <row r="653" spans="9:15" x14ac:dyDescent="0.2">
      <c r="I653" s="50" t="str">
        <v/>
      </c>
      <c r="J653" s="50" t="str">
        <v/>
      </c>
      <c r="K653" s="50" t="str">
        <f ca="1"/>
        <v/>
      </c>
      <c r="L653" s="19" t="str">
        <v/>
      </c>
      <c r="M653" t="str">
        <f ca="1"/>
        <v/>
      </c>
      <c r="O653" s="50" t="str">
        <f ca="1"/>
        <v/>
      </c>
    </row>
    <row r="654" spans="9:15" x14ac:dyDescent="0.2">
      <c r="I654" s="50" t="str">
        <v/>
      </c>
      <c r="J654" s="50" t="str">
        <v/>
      </c>
      <c r="K654" s="50" t="str">
        <f ca="1"/>
        <v/>
      </c>
      <c r="L654" s="19" t="str">
        <v/>
      </c>
      <c r="M654" t="str">
        <f ca="1"/>
        <v/>
      </c>
      <c r="O654" s="50" t="str">
        <f ca="1"/>
        <v/>
      </c>
    </row>
    <row r="655" spans="9:15" x14ac:dyDescent="0.2">
      <c r="I655" s="50" t="str">
        <v/>
      </c>
      <c r="J655" s="50" t="str">
        <v/>
      </c>
      <c r="K655" s="50" t="str">
        <f ca="1"/>
        <v/>
      </c>
      <c r="L655" s="19" t="str">
        <v/>
      </c>
      <c r="M655" t="str">
        <f ca="1"/>
        <v/>
      </c>
      <c r="O655" s="50" t="str">
        <f ca="1"/>
        <v/>
      </c>
    </row>
    <row r="656" spans="9:15" x14ac:dyDescent="0.2">
      <c r="I656" s="50" t="str">
        <v/>
      </c>
      <c r="J656" s="50" t="str">
        <v/>
      </c>
      <c r="K656" s="50" t="str">
        <f ca="1"/>
        <v/>
      </c>
      <c r="L656" s="19" t="str">
        <v/>
      </c>
      <c r="M656" t="str">
        <f ca="1"/>
        <v/>
      </c>
      <c r="O656" s="50" t="str">
        <f ca="1"/>
        <v/>
      </c>
    </row>
    <row r="657" spans="9:15" x14ac:dyDescent="0.2">
      <c r="I657" s="50" t="str">
        <v/>
      </c>
      <c r="J657" s="50" t="str">
        <v/>
      </c>
      <c r="K657" s="50" t="str">
        <f ca="1"/>
        <v/>
      </c>
      <c r="L657" s="19" t="str">
        <v/>
      </c>
      <c r="M657" t="str">
        <f ca="1"/>
        <v/>
      </c>
      <c r="O657" s="50" t="str">
        <f ca="1"/>
        <v/>
      </c>
    </row>
    <row r="658" spans="9:15" x14ac:dyDescent="0.2">
      <c r="I658" s="50" t="str">
        <v/>
      </c>
      <c r="J658" s="50" t="str">
        <v/>
      </c>
      <c r="K658" s="50" t="str">
        <f ca="1"/>
        <v/>
      </c>
      <c r="L658" s="19" t="str">
        <v/>
      </c>
      <c r="M658" t="str">
        <f ca="1"/>
        <v/>
      </c>
      <c r="O658" s="50" t="str">
        <f ca="1"/>
        <v/>
      </c>
    </row>
    <row r="659" spans="9:15" x14ac:dyDescent="0.2">
      <c r="I659" s="50" t="str">
        <v/>
      </c>
      <c r="J659" s="50" t="str">
        <v/>
      </c>
      <c r="K659" s="50" t="str">
        <f ca="1"/>
        <v/>
      </c>
      <c r="L659" s="19" t="str">
        <v/>
      </c>
      <c r="M659" t="str">
        <f ca="1"/>
        <v/>
      </c>
      <c r="O659" s="50" t="str">
        <f ca="1"/>
        <v/>
      </c>
    </row>
    <row r="660" spans="9:15" x14ac:dyDescent="0.2">
      <c r="I660" s="50" t="str">
        <v/>
      </c>
      <c r="J660" s="50" t="str">
        <v/>
      </c>
      <c r="K660" s="50" t="str">
        <f ca="1"/>
        <v/>
      </c>
      <c r="L660" s="19" t="str">
        <v/>
      </c>
      <c r="M660" t="str">
        <f ca="1"/>
        <v/>
      </c>
      <c r="O660" s="50" t="str">
        <f ca="1"/>
        <v/>
      </c>
    </row>
    <row r="661" spans="9:15" x14ac:dyDescent="0.2">
      <c r="I661" s="50" t="str">
        <v/>
      </c>
      <c r="J661" s="50" t="str">
        <v/>
      </c>
      <c r="K661" s="50" t="str">
        <f ca="1"/>
        <v/>
      </c>
      <c r="L661" s="19" t="str">
        <v/>
      </c>
      <c r="M661" t="str">
        <f ca="1"/>
        <v/>
      </c>
      <c r="O661" s="50" t="str">
        <f ca="1"/>
        <v/>
      </c>
    </row>
    <row r="662" spans="9:15" x14ac:dyDescent="0.2">
      <c r="I662" s="50" t="str">
        <v/>
      </c>
      <c r="J662" s="50" t="str">
        <v/>
      </c>
      <c r="K662" s="50" t="str">
        <f ca="1"/>
        <v/>
      </c>
      <c r="L662" s="19" t="str">
        <v/>
      </c>
      <c r="M662" t="str">
        <f ca="1"/>
        <v/>
      </c>
      <c r="O662" s="50" t="str">
        <f ca="1"/>
        <v/>
      </c>
    </row>
    <row r="663" spans="9:15" x14ac:dyDescent="0.2">
      <c r="I663" s="50" t="str">
        <v/>
      </c>
      <c r="J663" s="50" t="str">
        <v/>
      </c>
      <c r="K663" s="50" t="str">
        <f ca="1"/>
        <v/>
      </c>
      <c r="L663" s="19" t="str">
        <v/>
      </c>
      <c r="M663" t="str">
        <f ca="1"/>
        <v/>
      </c>
      <c r="O663" s="50" t="str">
        <f ca="1"/>
        <v/>
      </c>
    </row>
    <row r="664" spans="9:15" x14ac:dyDescent="0.2">
      <c r="I664" s="50" t="str">
        <v/>
      </c>
      <c r="J664" s="50" t="str">
        <v/>
      </c>
      <c r="K664" s="50" t="str">
        <f ca="1"/>
        <v/>
      </c>
      <c r="L664" s="19" t="str">
        <v/>
      </c>
      <c r="M664" t="str">
        <f ca="1"/>
        <v/>
      </c>
      <c r="O664" s="50" t="str">
        <f ca="1"/>
        <v/>
      </c>
    </row>
    <row r="665" spans="9:15" x14ac:dyDescent="0.2">
      <c r="I665" s="50" t="str">
        <v/>
      </c>
      <c r="J665" s="50" t="str">
        <v/>
      </c>
      <c r="K665" s="50" t="str">
        <f ca="1"/>
        <v/>
      </c>
      <c r="L665" s="19" t="str">
        <v/>
      </c>
      <c r="M665" t="str">
        <f ca="1"/>
        <v/>
      </c>
      <c r="O665" s="50" t="str">
        <f ca="1"/>
        <v/>
      </c>
    </row>
    <row r="666" spans="9:15" x14ac:dyDescent="0.2">
      <c r="I666" s="50" t="str">
        <v/>
      </c>
      <c r="J666" s="50" t="str">
        <v/>
      </c>
      <c r="K666" s="50" t="str">
        <f ca="1"/>
        <v/>
      </c>
      <c r="L666" s="19" t="str">
        <v/>
      </c>
      <c r="M666" t="str">
        <f ca="1"/>
        <v/>
      </c>
      <c r="O666" s="50" t="str">
        <f ca="1"/>
        <v/>
      </c>
    </row>
    <row r="667" spans="9:15" x14ac:dyDescent="0.2">
      <c r="I667" s="50" t="str">
        <v/>
      </c>
      <c r="J667" s="50" t="str">
        <v/>
      </c>
      <c r="K667" s="50" t="str">
        <f ca="1"/>
        <v/>
      </c>
      <c r="L667" s="19" t="str">
        <v/>
      </c>
      <c r="M667" t="str">
        <f ca="1"/>
        <v/>
      </c>
      <c r="O667" s="50" t="str">
        <f ca="1"/>
        <v/>
      </c>
    </row>
    <row r="668" spans="9:15" x14ac:dyDescent="0.2">
      <c r="I668" s="50" t="str">
        <v/>
      </c>
      <c r="J668" s="50" t="str">
        <v/>
      </c>
      <c r="K668" s="50" t="str">
        <f ca="1"/>
        <v/>
      </c>
      <c r="L668" s="19" t="str">
        <v/>
      </c>
      <c r="M668" t="str">
        <f ca="1"/>
        <v/>
      </c>
      <c r="O668" s="50" t="str">
        <f ca="1"/>
        <v/>
      </c>
    </row>
    <row r="669" spans="9:15" x14ac:dyDescent="0.2">
      <c r="I669" s="50" t="str">
        <v/>
      </c>
      <c r="J669" s="50" t="str">
        <v/>
      </c>
      <c r="K669" s="50" t="str">
        <f ca="1"/>
        <v/>
      </c>
      <c r="L669" s="19" t="str">
        <v/>
      </c>
      <c r="M669" t="str">
        <f ca="1"/>
        <v/>
      </c>
      <c r="O669" s="50" t="str">
        <f ca="1"/>
        <v/>
      </c>
    </row>
    <row r="670" spans="9:15" x14ac:dyDescent="0.2">
      <c r="I670" s="50" t="str">
        <v/>
      </c>
      <c r="J670" s="50" t="str">
        <v/>
      </c>
      <c r="K670" s="50" t="str">
        <f ca="1"/>
        <v/>
      </c>
      <c r="L670" s="19" t="str">
        <v/>
      </c>
      <c r="M670" t="str">
        <f ca="1"/>
        <v/>
      </c>
      <c r="O670" s="50" t="str">
        <f ca="1"/>
        <v/>
      </c>
    </row>
    <row r="671" spans="9:15" x14ac:dyDescent="0.2">
      <c r="I671" s="50" t="str">
        <v/>
      </c>
      <c r="J671" s="50" t="str">
        <v/>
      </c>
      <c r="K671" s="50" t="str">
        <f ca="1"/>
        <v/>
      </c>
      <c r="L671" s="19" t="str">
        <v/>
      </c>
      <c r="M671" t="str">
        <f ca="1"/>
        <v/>
      </c>
      <c r="O671" s="50" t="str">
        <f ca="1"/>
        <v/>
      </c>
    </row>
    <row r="672" spans="9:15" x14ac:dyDescent="0.2">
      <c r="I672" s="50" t="str">
        <v/>
      </c>
      <c r="J672" s="50" t="str">
        <v/>
      </c>
      <c r="K672" s="50" t="str">
        <f ca="1"/>
        <v/>
      </c>
      <c r="L672" s="19" t="str">
        <v/>
      </c>
      <c r="M672" t="str">
        <f ca="1"/>
        <v/>
      </c>
      <c r="O672" s="50" t="str">
        <f ca="1"/>
        <v/>
      </c>
    </row>
    <row r="673" spans="9:15" x14ac:dyDescent="0.2">
      <c r="I673" s="50" t="str">
        <v/>
      </c>
      <c r="J673" s="50" t="str">
        <v/>
      </c>
      <c r="K673" s="50" t="str">
        <f ca="1"/>
        <v/>
      </c>
      <c r="L673" s="19" t="str">
        <v/>
      </c>
      <c r="M673" t="str">
        <f ca="1"/>
        <v/>
      </c>
      <c r="O673" s="50" t="str">
        <f ca="1"/>
        <v/>
      </c>
    </row>
    <row r="674" spans="9:15" x14ac:dyDescent="0.2">
      <c r="I674" s="50" t="str">
        <v/>
      </c>
      <c r="J674" s="50" t="str">
        <v/>
      </c>
      <c r="K674" s="50" t="str">
        <f ca="1"/>
        <v/>
      </c>
      <c r="L674" s="19" t="str">
        <v/>
      </c>
      <c r="M674" t="str">
        <f ca="1"/>
        <v/>
      </c>
      <c r="O674" s="50" t="str">
        <f ca="1"/>
        <v/>
      </c>
    </row>
    <row r="675" spans="9:15" x14ac:dyDescent="0.2">
      <c r="I675" s="50" t="str">
        <v/>
      </c>
      <c r="J675" s="50" t="str">
        <v/>
      </c>
      <c r="K675" s="50" t="str">
        <f ca="1"/>
        <v/>
      </c>
      <c r="L675" s="19" t="str">
        <v/>
      </c>
      <c r="M675" t="str">
        <f ca="1"/>
        <v/>
      </c>
      <c r="O675" s="50" t="str">
        <f ca="1"/>
        <v/>
      </c>
    </row>
    <row r="676" spans="9:15" x14ac:dyDescent="0.2">
      <c r="I676" s="50" t="str">
        <v/>
      </c>
      <c r="J676" s="50" t="str">
        <v/>
      </c>
      <c r="K676" s="50" t="str">
        <f ca="1"/>
        <v/>
      </c>
      <c r="L676" s="19" t="str">
        <v/>
      </c>
      <c r="M676" t="str">
        <f ca="1"/>
        <v/>
      </c>
      <c r="O676" s="50" t="str">
        <f ca="1"/>
        <v/>
      </c>
    </row>
    <row r="677" spans="9:15" x14ac:dyDescent="0.2">
      <c r="I677" s="50" t="str">
        <v/>
      </c>
      <c r="J677" s="50" t="str">
        <v/>
      </c>
      <c r="K677" s="50" t="str">
        <f ca="1"/>
        <v/>
      </c>
      <c r="L677" s="19" t="str">
        <v/>
      </c>
      <c r="M677" t="str">
        <f ca="1"/>
        <v/>
      </c>
      <c r="O677" s="50" t="str">
        <f ca="1"/>
        <v/>
      </c>
    </row>
    <row r="678" spans="9:15" x14ac:dyDescent="0.2">
      <c r="I678" s="50" t="str">
        <v/>
      </c>
      <c r="J678" s="50" t="str">
        <v/>
      </c>
      <c r="K678" s="50" t="str">
        <f ca="1"/>
        <v/>
      </c>
      <c r="L678" s="19" t="str">
        <v/>
      </c>
      <c r="M678" t="str">
        <f ca="1"/>
        <v/>
      </c>
      <c r="O678" s="50" t="str">
        <f ca="1"/>
        <v/>
      </c>
    </row>
    <row r="679" spans="9:15" x14ac:dyDescent="0.2">
      <c r="I679" s="50" t="str">
        <v/>
      </c>
      <c r="J679" s="50" t="str">
        <v/>
      </c>
      <c r="K679" s="50" t="str">
        <f ca="1"/>
        <v/>
      </c>
      <c r="L679" s="19" t="str">
        <v/>
      </c>
      <c r="M679" t="str">
        <f ca="1"/>
        <v/>
      </c>
      <c r="O679" s="50" t="str">
        <f ca="1"/>
        <v/>
      </c>
    </row>
    <row r="680" spans="9:15" x14ac:dyDescent="0.2">
      <c r="I680" s="50" t="str">
        <v/>
      </c>
      <c r="J680" s="50" t="str">
        <v/>
      </c>
      <c r="K680" s="50" t="str">
        <f ca="1"/>
        <v/>
      </c>
      <c r="L680" s="19" t="str">
        <v/>
      </c>
      <c r="M680" t="str">
        <f ca="1"/>
        <v/>
      </c>
      <c r="O680" s="50" t="str">
        <f ca="1"/>
        <v/>
      </c>
    </row>
    <row r="681" spans="9:15" x14ac:dyDescent="0.2">
      <c r="I681" s="50" t="str">
        <v/>
      </c>
      <c r="J681" s="50" t="str">
        <v/>
      </c>
      <c r="K681" s="50" t="str">
        <f ca="1"/>
        <v/>
      </c>
      <c r="L681" s="19" t="str">
        <v/>
      </c>
      <c r="M681" t="str">
        <f ca="1"/>
        <v/>
      </c>
      <c r="O681" s="50" t="str">
        <f ca="1"/>
        <v/>
      </c>
    </row>
    <row r="682" spans="9:15" x14ac:dyDescent="0.2">
      <c r="I682" s="50" t="str">
        <v/>
      </c>
      <c r="J682" s="50" t="str">
        <v/>
      </c>
      <c r="K682" s="50" t="str">
        <f ca="1"/>
        <v/>
      </c>
      <c r="L682" s="19" t="str">
        <v/>
      </c>
      <c r="M682" t="str">
        <f ca="1"/>
        <v/>
      </c>
      <c r="O682" s="50" t="str">
        <f ca="1"/>
        <v/>
      </c>
    </row>
    <row r="683" spans="9:15" x14ac:dyDescent="0.2">
      <c r="I683" s="50" t="str">
        <v/>
      </c>
      <c r="J683" s="50" t="str">
        <v/>
      </c>
      <c r="K683" s="50" t="str">
        <f ca="1"/>
        <v/>
      </c>
      <c r="L683" s="19" t="str">
        <v/>
      </c>
      <c r="M683" t="str">
        <f ca="1"/>
        <v/>
      </c>
      <c r="O683" s="50" t="str">
        <f ca="1"/>
        <v/>
      </c>
    </row>
    <row r="684" spans="9:15" x14ac:dyDescent="0.2">
      <c r="I684" s="50" t="str">
        <v/>
      </c>
      <c r="J684" s="50" t="str">
        <v/>
      </c>
      <c r="K684" s="50" t="str">
        <f ca="1"/>
        <v/>
      </c>
      <c r="L684" s="19" t="str">
        <v/>
      </c>
      <c r="M684" t="str">
        <f ca="1"/>
        <v/>
      </c>
      <c r="O684" s="50" t="str">
        <f ca="1"/>
        <v/>
      </c>
    </row>
    <row r="685" spans="9:15" x14ac:dyDescent="0.2">
      <c r="I685" s="50" t="str">
        <v/>
      </c>
      <c r="J685" s="50" t="str">
        <v/>
      </c>
      <c r="K685" s="50" t="str">
        <f ca="1"/>
        <v/>
      </c>
      <c r="L685" s="19" t="str">
        <v/>
      </c>
      <c r="M685" t="str">
        <f ca="1"/>
        <v/>
      </c>
      <c r="O685" s="50" t="str">
        <f ca="1"/>
        <v/>
      </c>
    </row>
    <row r="686" spans="9:15" x14ac:dyDescent="0.2">
      <c r="I686" s="50" t="str">
        <v/>
      </c>
      <c r="J686" s="50" t="str">
        <v/>
      </c>
      <c r="K686" s="50" t="str">
        <f ca="1"/>
        <v/>
      </c>
      <c r="L686" s="19" t="str">
        <v/>
      </c>
      <c r="M686" t="str">
        <f ca="1"/>
        <v/>
      </c>
      <c r="O686" s="50" t="str">
        <f ca="1"/>
        <v/>
      </c>
    </row>
    <row r="687" spans="9:15" x14ac:dyDescent="0.2">
      <c r="I687" s="50" t="str">
        <v/>
      </c>
      <c r="J687" s="50" t="str">
        <v/>
      </c>
      <c r="K687" s="50" t="str">
        <f ca="1"/>
        <v/>
      </c>
      <c r="L687" s="19" t="str">
        <v/>
      </c>
      <c r="M687" t="str">
        <f ca="1"/>
        <v/>
      </c>
      <c r="O687" s="50" t="str">
        <f ca="1"/>
        <v/>
      </c>
    </row>
    <row r="688" spans="9:15" x14ac:dyDescent="0.2">
      <c r="I688" s="50" t="str">
        <v/>
      </c>
      <c r="J688" s="50" t="str">
        <v/>
      </c>
      <c r="K688" s="50" t="str">
        <f ca="1"/>
        <v/>
      </c>
      <c r="L688" s="19" t="str">
        <v/>
      </c>
      <c r="M688" t="str">
        <f ca="1"/>
        <v/>
      </c>
      <c r="O688" s="50" t="str">
        <f ca="1"/>
        <v/>
      </c>
    </row>
    <row r="689" spans="9:15" x14ac:dyDescent="0.2">
      <c r="I689" s="50" t="str">
        <v/>
      </c>
      <c r="J689" s="50" t="str">
        <v/>
      </c>
      <c r="K689" s="50" t="str">
        <f ca="1"/>
        <v/>
      </c>
      <c r="L689" s="19" t="str">
        <v/>
      </c>
      <c r="M689" t="str">
        <f ca="1"/>
        <v/>
      </c>
      <c r="O689" s="50" t="str">
        <f ca="1"/>
        <v/>
      </c>
    </row>
    <row r="690" spans="9:15" x14ac:dyDescent="0.2">
      <c r="I690" s="50" t="str">
        <v/>
      </c>
      <c r="J690" s="50" t="str">
        <v/>
      </c>
      <c r="K690" s="50" t="str">
        <f ca="1"/>
        <v/>
      </c>
      <c r="L690" s="19" t="str">
        <v/>
      </c>
      <c r="M690" t="str">
        <f ca="1"/>
        <v/>
      </c>
      <c r="O690" s="50" t="str">
        <f ca="1"/>
        <v/>
      </c>
    </row>
    <row r="691" spans="9:15" x14ac:dyDescent="0.2">
      <c r="I691" s="50" t="str">
        <v/>
      </c>
      <c r="J691" s="50" t="str">
        <v/>
      </c>
      <c r="K691" s="50" t="str">
        <f ca="1"/>
        <v/>
      </c>
      <c r="L691" s="19" t="str">
        <v/>
      </c>
      <c r="M691" t="str">
        <f ca="1"/>
        <v/>
      </c>
      <c r="O691" s="50" t="str">
        <f ca="1"/>
        <v/>
      </c>
    </row>
    <row r="692" spans="9:15" x14ac:dyDescent="0.2">
      <c r="I692" s="50" t="str">
        <v/>
      </c>
      <c r="J692" s="50" t="str">
        <v/>
      </c>
      <c r="K692" s="50" t="str">
        <f ca="1"/>
        <v/>
      </c>
      <c r="L692" s="19" t="str">
        <v/>
      </c>
      <c r="M692" t="str">
        <f ca="1"/>
        <v/>
      </c>
      <c r="O692" s="50" t="str">
        <f ca="1"/>
        <v/>
      </c>
    </row>
    <row r="693" spans="9:15" x14ac:dyDescent="0.2">
      <c r="I693" s="50" t="str">
        <v/>
      </c>
      <c r="J693" s="50" t="str">
        <v/>
      </c>
      <c r="K693" s="50" t="str">
        <f ca="1"/>
        <v/>
      </c>
      <c r="L693" s="19" t="str">
        <v/>
      </c>
      <c r="M693" t="str">
        <f ca="1"/>
        <v/>
      </c>
      <c r="O693" s="50" t="str">
        <f ca="1"/>
        <v/>
      </c>
    </row>
    <row r="694" spans="9:15" x14ac:dyDescent="0.2">
      <c r="I694" s="50" t="str">
        <v/>
      </c>
      <c r="J694" s="50" t="str">
        <v/>
      </c>
      <c r="K694" s="50" t="str">
        <f ca="1"/>
        <v/>
      </c>
      <c r="L694" s="19" t="str">
        <v/>
      </c>
      <c r="M694" t="str">
        <f ca="1"/>
        <v/>
      </c>
      <c r="O694" s="50" t="str">
        <f ca="1"/>
        <v/>
      </c>
    </row>
    <row r="695" spans="9:15" x14ac:dyDescent="0.2">
      <c r="I695" s="50" t="str">
        <v/>
      </c>
      <c r="J695" s="50" t="str">
        <v/>
      </c>
      <c r="K695" s="50" t="str">
        <f ca="1"/>
        <v/>
      </c>
      <c r="L695" s="19" t="str">
        <v/>
      </c>
      <c r="M695" t="str">
        <f ca="1"/>
        <v/>
      </c>
      <c r="O695" s="50" t="str">
        <f ca="1"/>
        <v/>
      </c>
    </row>
    <row r="696" spans="9:15" x14ac:dyDescent="0.2">
      <c r="I696" s="50" t="str">
        <v/>
      </c>
      <c r="J696" s="50" t="str">
        <v/>
      </c>
      <c r="K696" s="50" t="str">
        <f ca="1"/>
        <v/>
      </c>
      <c r="L696" s="19" t="str">
        <v/>
      </c>
      <c r="M696" t="str">
        <f ca="1"/>
        <v/>
      </c>
      <c r="O696" s="50" t="str">
        <f ca="1"/>
        <v/>
      </c>
    </row>
    <row r="697" spans="9:15" x14ac:dyDescent="0.2">
      <c r="I697" s="50" t="str">
        <v/>
      </c>
      <c r="J697" s="50" t="str">
        <v/>
      </c>
      <c r="K697" s="50" t="str">
        <f ca="1"/>
        <v/>
      </c>
      <c r="L697" s="19" t="str">
        <v/>
      </c>
      <c r="M697" t="str">
        <f ca="1"/>
        <v/>
      </c>
      <c r="O697" s="50" t="str">
        <f ca="1"/>
        <v/>
      </c>
    </row>
    <row r="698" spans="9:15" x14ac:dyDescent="0.2">
      <c r="I698" s="50" t="str">
        <v/>
      </c>
      <c r="J698" s="50" t="str">
        <v/>
      </c>
      <c r="K698" s="50" t="str">
        <f ca="1"/>
        <v/>
      </c>
      <c r="L698" s="19" t="str">
        <v/>
      </c>
      <c r="M698" t="str">
        <f ca="1"/>
        <v/>
      </c>
      <c r="O698" s="50" t="str">
        <f ca="1"/>
        <v/>
      </c>
    </row>
    <row r="699" spans="9:15" x14ac:dyDescent="0.2">
      <c r="I699" s="50" t="str">
        <v/>
      </c>
      <c r="J699" s="50" t="str">
        <v/>
      </c>
      <c r="K699" s="50" t="str">
        <f ca="1"/>
        <v/>
      </c>
      <c r="L699" s="19" t="str">
        <v/>
      </c>
      <c r="M699" t="str">
        <f ca="1"/>
        <v/>
      </c>
      <c r="O699" s="50" t="str">
        <f ca="1"/>
        <v/>
      </c>
    </row>
    <row r="700" spans="9:15" x14ac:dyDescent="0.2">
      <c r="I700" s="50" t="str">
        <v/>
      </c>
      <c r="J700" s="50" t="str">
        <v/>
      </c>
      <c r="K700" s="50" t="str">
        <f ca="1"/>
        <v/>
      </c>
      <c r="L700" s="19" t="str">
        <v/>
      </c>
      <c r="M700" t="str">
        <f ca="1"/>
        <v/>
      </c>
      <c r="O700" s="50" t="str">
        <f ca="1"/>
        <v/>
      </c>
    </row>
    <row r="701" spans="9:15" x14ac:dyDescent="0.2">
      <c r="I701" s="50" t="str">
        <v/>
      </c>
      <c r="J701" s="50" t="str">
        <v/>
      </c>
      <c r="K701" s="50" t="str">
        <f ca="1"/>
        <v/>
      </c>
      <c r="L701" s="19" t="str">
        <v/>
      </c>
      <c r="M701" t="str">
        <f ca="1"/>
        <v/>
      </c>
      <c r="O701" s="50" t="str">
        <f ca="1"/>
        <v/>
      </c>
    </row>
    <row r="702" spans="9:15" x14ac:dyDescent="0.2">
      <c r="I702" s="50" t="str">
        <v/>
      </c>
      <c r="J702" s="50" t="str">
        <v/>
      </c>
      <c r="K702" s="50" t="str">
        <f ca="1"/>
        <v/>
      </c>
      <c r="L702" s="19" t="str">
        <v/>
      </c>
      <c r="M702" t="str">
        <f ca="1"/>
        <v/>
      </c>
      <c r="O702" s="50" t="str">
        <f ca="1"/>
        <v/>
      </c>
    </row>
    <row r="703" spans="9:15" x14ac:dyDescent="0.2">
      <c r="I703" s="50" t="str">
        <v/>
      </c>
      <c r="J703" s="50" t="str">
        <v/>
      </c>
      <c r="K703" s="50" t="str">
        <f ca="1"/>
        <v/>
      </c>
      <c r="L703" s="19" t="str">
        <v/>
      </c>
      <c r="M703" t="str">
        <f ca="1"/>
        <v/>
      </c>
      <c r="O703" s="50" t="str">
        <f ca="1"/>
        <v/>
      </c>
    </row>
    <row r="704" spans="9:15" x14ac:dyDescent="0.2">
      <c r="I704" s="50" t="str">
        <v/>
      </c>
      <c r="J704" s="50" t="str">
        <v/>
      </c>
      <c r="K704" s="50" t="str">
        <f ca="1"/>
        <v/>
      </c>
      <c r="L704" s="19" t="str">
        <v/>
      </c>
      <c r="M704" t="str">
        <f ca="1"/>
        <v/>
      </c>
      <c r="O704" s="50" t="str">
        <f ca="1"/>
        <v/>
      </c>
    </row>
    <row r="705" spans="9:15" x14ac:dyDescent="0.2">
      <c r="I705" s="50" t="str">
        <v/>
      </c>
      <c r="J705" s="50" t="str">
        <v/>
      </c>
      <c r="K705" s="50" t="str">
        <f ca="1"/>
        <v/>
      </c>
      <c r="L705" s="19" t="str">
        <v/>
      </c>
      <c r="M705" t="str">
        <f ca="1"/>
        <v/>
      </c>
      <c r="O705" s="50" t="str">
        <f ca="1"/>
        <v/>
      </c>
    </row>
    <row r="706" spans="9:15" x14ac:dyDescent="0.2">
      <c r="I706" s="50" t="str">
        <v/>
      </c>
      <c r="J706" s="50" t="str">
        <v/>
      </c>
      <c r="K706" s="50" t="str">
        <f ca="1"/>
        <v/>
      </c>
      <c r="L706" s="19" t="str">
        <v/>
      </c>
      <c r="M706" t="str">
        <f ca="1"/>
        <v/>
      </c>
      <c r="O706" s="50" t="str">
        <f ca="1"/>
        <v/>
      </c>
    </row>
    <row r="707" spans="9:15" x14ac:dyDescent="0.2">
      <c r="I707" s="50" t="str">
        <v/>
      </c>
      <c r="J707" s="50" t="str">
        <v/>
      </c>
      <c r="K707" s="50" t="str">
        <f ca="1"/>
        <v/>
      </c>
      <c r="L707" s="19" t="str">
        <v/>
      </c>
      <c r="M707" t="str">
        <f ca="1"/>
        <v/>
      </c>
      <c r="O707" s="50" t="str">
        <f ca="1"/>
        <v/>
      </c>
    </row>
    <row r="708" spans="9:15" x14ac:dyDescent="0.2">
      <c r="I708" s="50" t="str">
        <v/>
      </c>
      <c r="J708" s="50" t="str">
        <v/>
      </c>
      <c r="K708" s="50" t="str">
        <f ca="1"/>
        <v/>
      </c>
      <c r="L708" s="19" t="str">
        <v/>
      </c>
      <c r="M708" t="str">
        <f ca="1"/>
        <v/>
      </c>
      <c r="O708" s="50" t="str">
        <f ca="1"/>
        <v/>
      </c>
    </row>
    <row r="709" spans="9:15" x14ac:dyDescent="0.2">
      <c r="I709" s="50" t="str">
        <v/>
      </c>
      <c r="J709" s="50" t="str">
        <v/>
      </c>
      <c r="K709" s="50" t="str">
        <f ca="1"/>
        <v/>
      </c>
      <c r="L709" s="19" t="str">
        <v/>
      </c>
      <c r="M709" t="str">
        <f ca="1"/>
        <v/>
      </c>
      <c r="O709" s="50" t="str">
        <f ca="1"/>
        <v/>
      </c>
    </row>
    <row r="710" spans="9:15" x14ac:dyDescent="0.2">
      <c r="I710" s="50" t="str">
        <v/>
      </c>
      <c r="J710" s="50" t="str">
        <v/>
      </c>
      <c r="K710" s="50" t="str">
        <f ca="1"/>
        <v/>
      </c>
      <c r="L710" s="19" t="str">
        <v/>
      </c>
      <c r="M710" t="str">
        <f ca="1"/>
        <v/>
      </c>
      <c r="O710" s="50" t="str">
        <f ca="1"/>
        <v/>
      </c>
    </row>
    <row r="711" spans="9:15" x14ac:dyDescent="0.2">
      <c r="I711" s="50" t="str">
        <v/>
      </c>
      <c r="J711" s="50" t="str">
        <v/>
      </c>
      <c r="K711" s="50" t="str">
        <f ca="1"/>
        <v/>
      </c>
      <c r="L711" s="19" t="str">
        <v/>
      </c>
      <c r="M711" t="str">
        <f ca="1"/>
        <v/>
      </c>
      <c r="O711" s="50" t="str">
        <f ca="1"/>
        <v/>
      </c>
    </row>
    <row r="712" spans="9:15" x14ac:dyDescent="0.2">
      <c r="I712" s="50" t="str">
        <v/>
      </c>
      <c r="J712" s="50" t="str">
        <v/>
      </c>
      <c r="K712" s="50" t="str">
        <f ca="1"/>
        <v/>
      </c>
      <c r="L712" s="19" t="str">
        <v/>
      </c>
      <c r="M712" t="str">
        <f ca="1"/>
        <v/>
      </c>
      <c r="O712" s="50" t="str">
        <f ca="1"/>
        <v/>
      </c>
    </row>
    <row r="713" spans="9:15" x14ac:dyDescent="0.2">
      <c r="I713" s="50" t="str">
        <v/>
      </c>
      <c r="J713" s="50" t="str">
        <v/>
      </c>
      <c r="K713" s="50" t="str">
        <f ca="1"/>
        <v/>
      </c>
      <c r="L713" s="19" t="str">
        <v/>
      </c>
      <c r="M713" t="str">
        <f ca="1"/>
        <v/>
      </c>
      <c r="O713" s="50" t="str">
        <f ca="1"/>
        <v/>
      </c>
    </row>
    <row r="714" spans="9:15" x14ac:dyDescent="0.2">
      <c r="I714" s="50" t="str">
        <v/>
      </c>
      <c r="J714" s="50" t="str">
        <v/>
      </c>
      <c r="K714" s="50" t="str">
        <f ca="1"/>
        <v/>
      </c>
      <c r="L714" s="19" t="str">
        <v/>
      </c>
      <c r="M714" t="str">
        <f ca="1"/>
        <v/>
      </c>
      <c r="O714" s="50" t="str">
        <f ca="1"/>
        <v/>
      </c>
    </row>
    <row r="715" spans="9:15" x14ac:dyDescent="0.2">
      <c r="I715" s="50" t="str">
        <v/>
      </c>
      <c r="J715" s="50" t="str">
        <v/>
      </c>
      <c r="K715" s="50" t="str">
        <f ca="1"/>
        <v/>
      </c>
      <c r="L715" s="19" t="str">
        <v/>
      </c>
      <c r="M715" t="str">
        <f ca="1"/>
        <v/>
      </c>
      <c r="O715" s="50" t="str">
        <f ca="1"/>
        <v/>
      </c>
    </row>
    <row r="716" spans="9:15" x14ac:dyDescent="0.2">
      <c r="I716" s="50" t="str">
        <v/>
      </c>
      <c r="J716" s="50" t="str">
        <v/>
      </c>
      <c r="K716" s="50" t="str">
        <f ca="1"/>
        <v/>
      </c>
      <c r="L716" s="19" t="str">
        <v/>
      </c>
      <c r="M716" t="str">
        <f ca="1"/>
        <v/>
      </c>
      <c r="O716" s="50" t="str">
        <f ca="1"/>
        <v/>
      </c>
    </row>
    <row r="717" spans="9:15" x14ac:dyDescent="0.2">
      <c r="I717" s="50" t="str">
        <v/>
      </c>
      <c r="J717" s="50" t="str">
        <v/>
      </c>
      <c r="K717" s="50" t="str">
        <f ca="1"/>
        <v/>
      </c>
      <c r="L717" s="19" t="str">
        <v/>
      </c>
      <c r="M717" t="str">
        <f ca="1"/>
        <v/>
      </c>
      <c r="O717" s="50" t="str">
        <f ca="1"/>
        <v/>
      </c>
    </row>
    <row r="718" spans="9:15" x14ac:dyDescent="0.2">
      <c r="I718" s="50" t="str">
        <v/>
      </c>
      <c r="J718" s="50" t="str">
        <v/>
      </c>
      <c r="K718" s="50" t="str">
        <f ca="1"/>
        <v/>
      </c>
      <c r="L718" s="19" t="str">
        <v/>
      </c>
      <c r="M718" t="str">
        <f ca="1"/>
        <v/>
      </c>
      <c r="O718" s="50" t="str">
        <f ca="1"/>
        <v/>
      </c>
    </row>
    <row r="719" spans="9:15" x14ac:dyDescent="0.2">
      <c r="I719" s="50" t="str">
        <v/>
      </c>
      <c r="J719" s="50" t="str">
        <v/>
      </c>
      <c r="K719" s="50" t="str">
        <f ca="1"/>
        <v/>
      </c>
      <c r="L719" s="19" t="str">
        <v/>
      </c>
      <c r="M719" t="str">
        <f ca="1"/>
        <v/>
      </c>
      <c r="O719" s="50" t="str">
        <f ca="1"/>
        <v/>
      </c>
    </row>
    <row r="720" spans="9:15" x14ac:dyDescent="0.2">
      <c r="I720" s="50" t="str">
        <v/>
      </c>
      <c r="J720" s="50" t="str">
        <v/>
      </c>
      <c r="K720" s="50" t="str">
        <f ca="1"/>
        <v/>
      </c>
      <c r="L720" s="19" t="str">
        <v/>
      </c>
      <c r="M720" t="str">
        <f ca="1"/>
        <v/>
      </c>
      <c r="O720" s="50" t="str">
        <f ca="1"/>
        <v/>
      </c>
    </row>
    <row r="721" spans="9:15" x14ac:dyDescent="0.2">
      <c r="I721" s="50" t="str">
        <v/>
      </c>
      <c r="J721" s="50" t="str">
        <v/>
      </c>
      <c r="K721" s="50" t="str">
        <f ca="1"/>
        <v/>
      </c>
      <c r="L721" s="19" t="str">
        <v/>
      </c>
      <c r="M721" t="str">
        <f ca="1"/>
        <v/>
      </c>
      <c r="O721" s="50" t="str">
        <f ca="1"/>
        <v/>
      </c>
    </row>
    <row r="722" spans="9:15" x14ac:dyDescent="0.2">
      <c r="I722" s="50" t="str">
        <v/>
      </c>
      <c r="J722" s="50" t="str">
        <v/>
      </c>
      <c r="K722" s="50" t="str">
        <f ca="1"/>
        <v/>
      </c>
      <c r="L722" s="19" t="str">
        <v/>
      </c>
      <c r="M722" t="str">
        <f ca="1"/>
        <v/>
      </c>
      <c r="O722" s="50" t="str">
        <f ca="1"/>
        <v/>
      </c>
    </row>
    <row r="723" spans="9:15" x14ac:dyDescent="0.2">
      <c r="I723" s="50" t="str">
        <v/>
      </c>
      <c r="J723" s="50" t="str">
        <v/>
      </c>
      <c r="K723" s="50" t="str">
        <f ca="1"/>
        <v/>
      </c>
      <c r="L723" s="19" t="str">
        <v/>
      </c>
      <c r="M723" t="str">
        <f ca="1"/>
        <v/>
      </c>
      <c r="O723" s="50" t="str">
        <f ca="1"/>
        <v/>
      </c>
    </row>
    <row r="724" spans="9:15" x14ac:dyDescent="0.2">
      <c r="I724" s="50" t="str">
        <v/>
      </c>
      <c r="J724" s="50" t="str">
        <v/>
      </c>
      <c r="K724" s="50" t="str">
        <f ca="1"/>
        <v/>
      </c>
      <c r="L724" s="19" t="str">
        <v/>
      </c>
      <c r="M724" t="str">
        <f ca="1"/>
        <v/>
      </c>
      <c r="O724" s="50" t="str">
        <f ca="1"/>
        <v/>
      </c>
    </row>
    <row r="725" spans="9:15" x14ac:dyDescent="0.2">
      <c r="I725" s="50" t="str">
        <v/>
      </c>
      <c r="J725" s="50" t="str">
        <v/>
      </c>
      <c r="K725" s="50" t="str">
        <f ca="1"/>
        <v/>
      </c>
      <c r="L725" s="19" t="str">
        <v/>
      </c>
      <c r="M725" t="str">
        <f ca="1"/>
        <v/>
      </c>
      <c r="O725" s="50" t="str">
        <f ca="1"/>
        <v/>
      </c>
    </row>
    <row r="726" spans="9:15" x14ac:dyDescent="0.2">
      <c r="I726" s="50" t="str">
        <v/>
      </c>
      <c r="J726" s="50" t="str">
        <v/>
      </c>
      <c r="K726" s="50" t="str">
        <f ca="1"/>
        <v/>
      </c>
      <c r="L726" s="19" t="str">
        <v/>
      </c>
      <c r="M726" t="str">
        <f ca="1"/>
        <v/>
      </c>
      <c r="O726" s="50" t="str">
        <f ca="1"/>
        <v/>
      </c>
    </row>
    <row r="727" spans="9:15" x14ac:dyDescent="0.2">
      <c r="I727" s="50" t="str">
        <v/>
      </c>
      <c r="J727" s="50" t="str">
        <v/>
      </c>
      <c r="K727" s="50" t="str">
        <f ca="1"/>
        <v/>
      </c>
      <c r="L727" s="19" t="str">
        <v/>
      </c>
      <c r="M727" t="str">
        <f ca="1"/>
        <v/>
      </c>
      <c r="O727" s="50" t="str">
        <f ca="1"/>
        <v/>
      </c>
    </row>
    <row r="728" spans="9:15" x14ac:dyDescent="0.2">
      <c r="I728" s="50" t="str">
        <v/>
      </c>
      <c r="J728" s="50" t="str">
        <v/>
      </c>
      <c r="K728" s="50" t="str">
        <f ca="1"/>
        <v/>
      </c>
      <c r="L728" s="19" t="str">
        <v/>
      </c>
      <c r="M728" t="str">
        <f ca="1"/>
        <v/>
      </c>
      <c r="O728" s="50" t="str">
        <f ca="1"/>
        <v/>
      </c>
    </row>
    <row r="729" spans="9:15" x14ac:dyDescent="0.2">
      <c r="I729" s="50" t="str">
        <v/>
      </c>
      <c r="J729" s="50" t="str">
        <v/>
      </c>
      <c r="K729" s="50" t="str">
        <f ca="1"/>
        <v/>
      </c>
      <c r="L729" s="19" t="str">
        <v/>
      </c>
      <c r="M729" t="str">
        <f ca="1"/>
        <v/>
      </c>
      <c r="O729" s="50" t="str">
        <f ca="1"/>
        <v/>
      </c>
    </row>
    <row r="730" spans="9:15" x14ac:dyDescent="0.2">
      <c r="I730" s="50" t="str">
        <v/>
      </c>
      <c r="J730" s="50" t="str">
        <v/>
      </c>
      <c r="K730" s="50" t="str">
        <f ca="1"/>
        <v/>
      </c>
      <c r="L730" s="19" t="str">
        <v/>
      </c>
      <c r="M730" t="str">
        <f ca="1"/>
        <v/>
      </c>
      <c r="O730" s="50" t="str">
        <f ca="1"/>
        <v/>
      </c>
    </row>
    <row r="731" spans="9:15" x14ac:dyDescent="0.2">
      <c r="I731" s="50" t="str">
        <v/>
      </c>
      <c r="J731" s="50" t="str">
        <v/>
      </c>
      <c r="K731" s="50" t="str">
        <f ca="1"/>
        <v/>
      </c>
      <c r="L731" s="19" t="str">
        <v/>
      </c>
      <c r="M731" t="str">
        <f ca="1"/>
        <v/>
      </c>
      <c r="O731" s="50" t="str">
        <f ca="1"/>
        <v/>
      </c>
    </row>
    <row r="732" spans="9:15" x14ac:dyDescent="0.2">
      <c r="I732" s="50" t="str">
        <v/>
      </c>
      <c r="J732" s="50" t="str">
        <v/>
      </c>
      <c r="K732" s="50" t="str">
        <f ca="1"/>
        <v/>
      </c>
      <c r="L732" s="19" t="str">
        <v/>
      </c>
      <c r="M732" t="str">
        <f ca="1"/>
        <v/>
      </c>
      <c r="O732" s="50" t="str">
        <f ca="1"/>
        <v/>
      </c>
    </row>
    <row r="733" spans="9:15" x14ac:dyDescent="0.2">
      <c r="I733" s="50" t="str">
        <v/>
      </c>
      <c r="J733" s="50" t="str">
        <v/>
      </c>
      <c r="K733" s="50" t="str">
        <f ca="1"/>
        <v/>
      </c>
      <c r="L733" s="19" t="str">
        <v/>
      </c>
      <c r="M733" t="str">
        <f ca="1"/>
        <v/>
      </c>
      <c r="O733" s="50" t="str">
        <f ca="1"/>
        <v/>
      </c>
    </row>
    <row r="734" spans="9:15" x14ac:dyDescent="0.2">
      <c r="I734" s="50" t="str">
        <v/>
      </c>
      <c r="J734" s="50" t="str">
        <v/>
      </c>
      <c r="K734" s="50" t="str">
        <f ca="1"/>
        <v/>
      </c>
      <c r="L734" s="19" t="str">
        <v/>
      </c>
      <c r="M734" t="str">
        <f ca="1"/>
        <v/>
      </c>
      <c r="O734" s="50" t="str">
        <f ca="1"/>
        <v/>
      </c>
    </row>
    <row r="735" spans="9:15" x14ac:dyDescent="0.2">
      <c r="I735" s="50" t="str">
        <v/>
      </c>
      <c r="J735" s="50" t="str">
        <v/>
      </c>
      <c r="K735" s="50" t="str">
        <f ca="1"/>
        <v/>
      </c>
      <c r="L735" s="19" t="str">
        <v/>
      </c>
      <c r="M735" t="str">
        <f ca="1"/>
        <v/>
      </c>
      <c r="O735" s="50" t="str">
        <f ca="1"/>
        <v/>
      </c>
    </row>
    <row r="736" spans="9:15" x14ac:dyDescent="0.2">
      <c r="I736" s="50" t="str">
        <v/>
      </c>
      <c r="J736" s="50" t="str">
        <v/>
      </c>
      <c r="K736" s="50" t="str">
        <f ca="1"/>
        <v/>
      </c>
      <c r="L736" s="19" t="str">
        <v/>
      </c>
      <c r="M736" t="str">
        <f ca="1"/>
        <v/>
      </c>
      <c r="O736" s="50" t="str">
        <f ca="1"/>
        <v/>
      </c>
    </row>
    <row r="737" spans="9:15" x14ac:dyDescent="0.2">
      <c r="I737" s="50" t="str">
        <v/>
      </c>
      <c r="J737" s="50" t="str">
        <v/>
      </c>
      <c r="K737" s="50" t="str">
        <f ca="1"/>
        <v/>
      </c>
      <c r="L737" s="19" t="str">
        <v/>
      </c>
      <c r="M737" t="str">
        <f ca="1"/>
        <v/>
      </c>
      <c r="O737" s="50" t="str">
        <f ca="1"/>
        <v/>
      </c>
    </row>
    <row r="738" spans="9:15" x14ac:dyDescent="0.2">
      <c r="I738" s="50" t="str">
        <v/>
      </c>
      <c r="J738" s="50" t="str">
        <v/>
      </c>
      <c r="K738" s="50" t="str">
        <f ca="1"/>
        <v/>
      </c>
      <c r="L738" s="19" t="str">
        <v/>
      </c>
      <c r="M738" t="str">
        <f ca="1"/>
        <v/>
      </c>
      <c r="O738" s="50" t="str">
        <f ca="1"/>
        <v/>
      </c>
    </row>
    <row r="739" spans="9:15" x14ac:dyDescent="0.2">
      <c r="I739" s="50" t="str">
        <v/>
      </c>
      <c r="J739" s="50" t="str">
        <v/>
      </c>
      <c r="K739" s="50" t="str">
        <f ca="1"/>
        <v/>
      </c>
      <c r="L739" s="19" t="str">
        <v/>
      </c>
      <c r="M739" t="str">
        <f ca="1"/>
        <v/>
      </c>
      <c r="O739" s="50" t="str">
        <f ca="1"/>
        <v/>
      </c>
    </row>
    <row r="740" spans="9:15" x14ac:dyDescent="0.2">
      <c r="I740" s="50" t="str">
        <v/>
      </c>
      <c r="J740" s="50" t="str">
        <v/>
      </c>
      <c r="K740" s="50" t="str">
        <f ca="1"/>
        <v/>
      </c>
      <c r="L740" s="19" t="str">
        <v/>
      </c>
      <c r="M740" t="str">
        <f ca="1"/>
        <v/>
      </c>
      <c r="O740" s="50" t="str">
        <f ca="1"/>
        <v/>
      </c>
    </row>
    <row r="741" spans="9:15" x14ac:dyDescent="0.2">
      <c r="I741" s="50" t="str">
        <v/>
      </c>
      <c r="J741" s="50" t="str">
        <v/>
      </c>
      <c r="K741" s="50" t="str">
        <f ca="1"/>
        <v/>
      </c>
      <c r="L741" s="19" t="str">
        <v/>
      </c>
      <c r="M741" t="str">
        <f ca="1"/>
        <v/>
      </c>
      <c r="O741" s="50" t="str">
        <f ca="1"/>
        <v/>
      </c>
    </row>
    <row r="742" spans="9:15" x14ac:dyDescent="0.2">
      <c r="I742" s="50" t="str">
        <v/>
      </c>
      <c r="J742" s="50" t="str">
        <v/>
      </c>
      <c r="K742" s="50" t="str">
        <f ca="1"/>
        <v/>
      </c>
      <c r="L742" s="19" t="str">
        <v/>
      </c>
      <c r="M742" t="str">
        <f ca="1"/>
        <v/>
      </c>
      <c r="O742" s="50" t="str">
        <f ca="1"/>
        <v/>
      </c>
    </row>
    <row r="743" spans="9:15" x14ac:dyDescent="0.2">
      <c r="I743" s="50" t="str">
        <v/>
      </c>
      <c r="J743" s="50" t="str">
        <v/>
      </c>
      <c r="K743" s="50" t="str">
        <f ca="1"/>
        <v/>
      </c>
      <c r="L743" s="19" t="str">
        <v/>
      </c>
      <c r="M743" t="str">
        <f ca="1"/>
        <v/>
      </c>
      <c r="O743" s="50" t="str">
        <f ca="1"/>
        <v/>
      </c>
    </row>
    <row r="744" spans="9:15" x14ac:dyDescent="0.2">
      <c r="I744" s="50" t="str">
        <v/>
      </c>
      <c r="J744" s="50" t="str">
        <v/>
      </c>
      <c r="K744" s="50" t="str">
        <f ca="1"/>
        <v/>
      </c>
      <c r="L744" s="19" t="str">
        <v/>
      </c>
      <c r="M744" t="str">
        <f ca="1"/>
        <v/>
      </c>
      <c r="O744" s="50" t="str">
        <f ca="1"/>
        <v/>
      </c>
    </row>
    <row r="745" spans="9:15" x14ac:dyDescent="0.2">
      <c r="I745" s="50" t="str">
        <v/>
      </c>
      <c r="J745" s="50" t="str">
        <v/>
      </c>
      <c r="K745" s="50" t="str">
        <f ca="1"/>
        <v/>
      </c>
      <c r="L745" s="19" t="str">
        <v/>
      </c>
      <c r="M745" t="str">
        <f ca="1"/>
        <v/>
      </c>
      <c r="O745" s="50" t="str">
        <f ca="1"/>
        <v/>
      </c>
    </row>
    <row r="746" spans="9:15" x14ac:dyDescent="0.2">
      <c r="I746" s="50" t="str">
        <v/>
      </c>
      <c r="J746" s="50" t="str">
        <v/>
      </c>
      <c r="K746" s="50" t="str">
        <f ca="1"/>
        <v/>
      </c>
      <c r="L746" s="19" t="str">
        <v/>
      </c>
      <c r="M746" t="str">
        <f ca="1"/>
        <v/>
      </c>
      <c r="O746" s="50" t="str">
        <f ca="1"/>
        <v/>
      </c>
    </row>
    <row r="747" spans="9:15" x14ac:dyDescent="0.2">
      <c r="I747" s="50" t="str">
        <v/>
      </c>
      <c r="J747" s="50" t="str">
        <v/>
      </c>
      <c r="K747" s="50" t="str">
        <f ca="1"/>
        <v/>
      </c>
      <c r="L747" s="19" t="str">
        <v/>
      </c>
      <c r="M747" t="str">
        <f ca="1"/>
        <v/>
      </c>
      <c r="O747" s="50" t="str">
        <f ca="1"/>
        <v/>
      </c>
    </row>
    <row r="748" spans="9:15" x14ac:dyDescent="0.2">
      <c r="I748" s="50" t="str">
        <v/>
      </c>
      <c r="J748" s="50" t="str">
        <v/>
      </c>
      <c r="K748" s="50" t="str">
        <f ca="1"/>
        <v/>
      </c>
      <c r="L748" s="19" t="str">
        <v/>
      </c>
      <c r="M748" t="str">
        <f ca="1"/>
        <v/>
      </c>
      <c r="O748" s="50" t="str">
        <f ca="1"/>
        <v/>
      </c>
    </row>
    <row r="749" spans="9:15" x14ac:dyDescent="0.2">
      <c r="I749" s="50" t="str">
        <v/>
      </c>
      <c r="J749" s="50" t="str">
        <v/>
      </c>
      <c r="K749" s="50" t="str">
        <f ca="1"/>
        <v/>
      </c>
      <c r="L749" s="19" t="str">
        <v/>
      </c>
      <c r="M749" t="str">
        <f ca="1"/>
        <v/>
      </c>
      <c r="O749" s="50" t="str">
        <f ca="1"/>
        <v/>
      </c>
    </row>
    <row r="750" spans="9:15" x14ac:dyDescent="0.2">
      <c r="I750" s="50" t="str">
        <v/>
      </c>
      <c r="J750" s="50" t="str">
        <v/>
      </c>
      <c r="K750" s="50" t="str">
        <f ca="1"/>
        <v/>
      </c>
      <c r="L750" s="19" t="str">
        <v/>
      </c>
      <c r="M750" t="str">
        <f ca="1"/>
        <v/>
      </c>
      <c r="O750" s="50" t="str">
        <f ca="1"/>
        <v/>
      </c>
    </row>
    <row r="751" spans="9:15" x14ac:dyDescent="0.2">
      <c r="I751" s="50" t="str">
        <v/>
      </c>
      <c r="J751" s="50" t="str">
        <v/>
      </c>
      <c r="K751" s="50" t="str">
        <f ca="1"/>
        <v/>
      </c>
      <c r="L751" s="19" t="str">
        <v/>
      </c>
      <c r="M751" t="str">
        <f ca="1"/>
        <v/>
      </c>
      <c r="O751" s="50" t="str">
        <f ca="1"/>
        <v/>
      </c>
    </row>
    <row r="752" spans="9:15" x14ac:dyDescent="0.2">
      <c r="I752" s="50" t="str">
        <v/>
      </c>
      <c r="J752" s="50" t="str">
        <v/>
      </c>
      <c r="K752" s="50" t="str">
        <f ca="1"/>
        <v/>
      </c>
      <c r="L752" s="19" t="str">
        <v/>
      </c>
      <c r="M752" t="str">
        <f ca="1"/>
        <v/>
      </c>
      <c r="O752" s="50" t="str">
        <f ca="1"/>
        <v/>
      </c>
    </row>
    <row r="753" spans="9:15" x14ac:dyDescent="0.2">
      <c r="I753" s="50" t="str">
        <v/>
      </c>
      <c r="J753" s="50" t="str">
        <v/>
      </c>
      <c r="K753" s="50" t="str">
        <f ca="1"/>
        <v/>
      </c>
      <c r="L753" s="19" t="str">
        <v/>
      </c>
      <c r="M753" t="str">
        <f ca="1"/>
        <v/>
      </c>
      <c r="O753" s="50" t="str">
        <f ca="1"/>
        <v/>
      </c>
    </row>
    <row r="754" spans="9:15" x14ac:dyDescent="0.2">
      <c r="I754" s="50" t="str">
        <v/>
      </c>
      <c r="J754" s="50" t="str">
        <v/>
      </c>
      <c r="K754" s="50" t="str">
        <f ca="1"/>
        <v/>
      </c>
      <c r="L754" s="19" t="str">
        <v/>
      </c>
      <c r="M754" t="str">
        <f ca="1"/>
        <v/>
      </c>
      <c r="O754" s="50" t="str">
        <f ca="1"/>
        <v/>
      </c>
    </row>
    <row r="755" spans="9:15" x14ac:dyDescent="0.2">
      <c r="I755" s="50" t="str">
        <v/>
      </c>
      <c r="J755" s="50" t="str">
        <v/>
      </c>
      <c r="K755" s="50" t="str">
        <f ca="1"/>
        <v/>
      </c>
      <c r="L755" s="19" t="str">
        <v/>
      </c>
      <c r="M755" t="str">
        <f ca="1"/>
        <v/>
      </c>
      <c r="O755" s="50" t="str">
        <f ca="1"/>
        <v/>
      </c>
    </row>
    <row r="756" spans="9:15" x14ac:dyDescent="0.2">
      <c r="I756" s="50" t="str">
        <v/>
      </c>
      <c r="J756" s="50" t="str">
        <v/>
      </c>
      <c r="K756" s="50" t="str">
        <f ca="1"/>
        <v/>
      </c>
      <c r="L756" s="19" t="str">
        <v/>
      </c>
      <c r="M756" t="str">
        <f ca="1"/>
        <v/>
      </c>
      <c r="O756" s="50" t="str">
        <f ca="1"/>
        <v/>
      </c>
    </row>
    <row r="757" spans="9:15" x14ac:dyDescent="0.2">
      <c r="I757" s="50" t="str">
        <v/>
      </c>
      <c r="J757" s="50" t="str">
        <v/>
      </c>
      <c r="K757" s="50" t="str">
        <f ca="1"/>
        <v/>
      </c>
      <c r="L757" s="19" t="str">
        <v/>
      </c>
      <c r="M757" t="str">
        <f ca="1"/>
        <v/>
      </c>
      <c r="O757" s="50" t="str">
        <f ca="1"/>
        <v/>
      </c>
    </row>
    <row r="758" spans="9:15" x14ac:dyDescent="0.2">
      <c r="I758" s="50" t="str">
        <v/>
      </c>
      <c r="J758" s="50" t="str">
        <v/>
      </c>
      <c r="K758" s="50" t="str">
        <f ca="1"/>
        <v/>
      </c>
      <c r="L758" s="19" t="str">
        <v/>
      </c>
      <c r="M758" t="str">
        <f ca="1"/>
        <v/>
      </c>
      <c r="O758" s="50" t="str">
        <f ca="1"/>
        <v/>
      </c>
    </row>
    <row r="759" spans="9:15" x14ac:dyDescent="0.2">
      <c r="I759" s="50" t="str">
        <v/>
      </c>
      <c r="J759" s="50" t="str">
        <v/>
      </c>
      <c r="K759" s="50" t="str">
        <f ca="1"/>
        <v/>
      </c>
      <c r="L759" s="19" t="str">
        <v/>
      </c>
      <c r="M759" t="str">
        <f ca="1"/>
        <v/>
      </c>
      <c r="O759" s="50" t="str">
        <f ca="1"/>
        <v/>
      </c>
    </row>
    <row r="760" spans="9:15" x14ac:dyDescent="0.2">
      <c r="I760" s="50" t="str">
        <v/>
      </c>
      <c r="J760" s="50" t="str">
        <v/>
      </c>
      <c r="K760" s="50" t="str">
        <f ca="1"/>
        <v/>
      </c>
      <c r="L760" s="19" t="str">
        <v/>
      </c>
      <c r="M760" t="str">
        <f ca="1"/>
        <v/>
      </c>
      <c r="O760" s="50" t="str">
        <f ca="1"/>
        <v/>
      </c>
    </row>
    <row r="761" spans="9:15" x14ac:dyDescent="0.2">
      <c r="I761" s="50" t="str">
        <v/>
      </c>
      <c r="J761" s="50" t="str">
        <v/>
      </c>
      <c r="K761" s="50" t="str">
        <f ca="1"/>
        <v/>
      </c>
      <c r="L761" s="19" t="str">
        <v/>
      </c>
      <c r="M761" t="str">
        <f ca="1"/>
        <v/>
      </c>
      <c r="O761" s="50" t="str">
        <f ca="1"/>
        <v/>
      </c>
    </row>
    <row r="762" spans="9:15" x14ac:dyDescent="0.2">
      <c r="I762" s="50" t="str">
        <v/>
      </c>
      <c r="J762" s="50" t="str">
        <v/>
      </c>
      <c r="K762" s="50" t="str">
        <f ca="1"/>
        <v/>
      </c>
      <c r="L762" s="19" t="str">
        <v/>
      </c>
      <c r="M762" t="str">
        <f ca="1"/>
        <v/>
      </c>
      <c r="O762" s="50" t="str">
        <f ca="1"/>
        <v/>
      </c>
    </row>
    <row r="763" spans="9:15" x14ac:dyDescent="0.2">
      <c r="I763" s="50" t="str">
        <v/>
      </c>
      <c r="J763" s="50" t="str">
        <v/>
      </c>
      <c r="K763" s="50" t="str">
        <f ca="1"/>
        <v/>
      </c>
      <c r="L763" s="19" t="str">
        <v/>
      </c>
      <c r="M763" t="str">
        <f ca="1"/>
        <v/>
      </c>
      <c r="O763" s="50" t="str">
        <f ca="1"/>
        <v/>
      </c>
    </row>
    <row r="764" spans="9:15" x14ac:dyDescent="0.2">
      <c r="I764" s="50" t="str">
        <v/>
      </c>
      <c r="J764" s="50" t="str">
        <v/>
      </c>
      <c r="K764" s="50" t="str">
        <f ca="1"/>
        <v/>
      </c>
      <c r="L764" s="19" t="str">
        <v/>
      </c>
      <c r="M764" t="str">
        <f ca="1"/>
        <v/>
      </c>
      <c r="O764" s="50" t="str">
        <f ca="1"/>
        <v/>
      </c>
    </row>
    <row r="765" spans="9:15" x14ac:dyDescent="0.2">
      <c r="I765" s="50" t="str">
        <v/>
      </c>
      <c r="J765" s="50" t="str">
        <v/>
      </c>
      <c r="K765" s="50" t="str">
        <f ca="1"/>
        <v/>
      </c>
      <c r="L765" s="19" t="str">
        <v/>
      </c>
      <c r="M765" t="str">
        <f ca="1"/>
        <v/>
      </c>
      <c r="O765" s="50" t="str">
        <f ca="1"/>
        <v/>
      </c>
    </row>
    <row r="766" spans="9:15" x14ac:dyDescent="0.2">
      <c r="I766" s="50" t="str">
        <v/>
      </c>
      <c r="J766" s="50" t="str">
        <v/>
      </c>
      <c r="K766" s="50" t="str">
        <f ca="1"/>
        <v/>
      </c>
      <c r="L766" s="19" t="str">
        <v/>
      </c>
      <c r="M766" t="str">
        <f ca="1"/>
        <v/>
      </c>
      <c r="O766" s="50" t="str">
        <f ca="1"/>
        <v/>
      </c>
    </row>
    <row r="767" spans="9:15" x14ac:dyDescent="0.2">
      <c r="I767" s="50" t="str">
        <v/>
      </c>
      <c r="J767" s="50" t="str">
        <v/>
      </c>
      <c r="K767" s="50" t="str">
        <f ca="1"/>
        <v/>
      </c>
      <c r="L767" s="19" t="str">
        <v/>
      </c>
      <c r="M767" t="str">
        <f ca="1"/>
        <v/>
      </c>
      <c r="O767" s="50" t="str">
        <f ca="1"/>
        <v/>
      </c>
    </row>
    <row r="768" spans="9:15" x14ac:dyDescent="0.2">
      <c r="I768" s="50" t="str">
        <v/>
      </c>
      <c r="J768" s="50" t="str">
        <v/>
      </c>
      <c r="K768" s="50" t="str">
        <f ca="1"/>
        <v/>
      </c>
      <c r="L768" s="19" t="str">
        <v/>
      </c>
      <c r="M768" t="str">
        <f ca="1"/>
        <v/>
      </c>
      <c r="O768" s="50" t="str">
        <f ca="1"/>
        <v/>
      </c>
    </row>
    <row r="769" spans="9:15" x14ac:dyDescent="0.2">
      <c r="I769" s="50" t="str">
        <v/>
      </c>
      <c r="J769" s="50" t="str">
        <v/>
      </c>
      <c r="K769" s="50" t="str">
        <f ca="1"/>
        <v/>
      </c>
      <c r="L769" s="19" t="str">
        <v/>
      </c>
      <c r="M769" t="str">
        <f ca="1"/>
        <v/>
      </c>
      <c r="O769" s="50" t="str">
        <f ca="1"/>
        <v/>
      </c>
    </row>
    <row r="770" spans="9:15" x14ac:dyDescent="0.2">
      <c r="I770" s="50" t="str">
        <v/>
      </c>
      <c r="J770" s="50" t="str">
        <v/>
      </c>
      <c r="K770" s="50" t="str">
        <f ca="1"/>
        <v/>
      </c>
      <c r="L770" s="19" t="str">
        <v/>
      </c>
      <c r="M770" t="str">
        <f ca="1"/>
        <v/>
      </c>
      <c r="O770" s="50" t="str">
        <f ca="1"/>
        <v/>
      </c>
    </row>
    <row r="771" spans="9:15" x14ac:dyDescent="0.2">
      <c r="I771" s="50" t="str">
        <v/>
      </c>
      <c r="J771" s="50" t="str">
        <v/>
      </c>
      <c r="K771" s="50" t="str">
        <f ca="1"/>
        <v/>
      </c>
      <c r="L771" s="19" t="str">
        <v/>
      </c>
      <c r="M771" t="str">
        <f ca="1"/>
        <v/>
      </c>
      <c r="O771" s="50" t="str">
        <f ca="1"/>
        <v/>
      </c>
    </row>
    <row r="772" spans="9:15" x14ac:dyDescent="0.2">
      <c r="I772" s="50" t="str">
        <v/>
      </c>
      <c r="J772" s="50" t="str">
        <v/>
      </c>
      <c r="K772" s="50" t="str">
        <f ca="1"/>
        <v/>
      </c>
      <c r="L772" s="19" t="str">
        <v/>
      </c>
      <c r="M772" t="str">
        <f ca="1"/>
        <v/>
      </c>
      <c r="O772" s="50" t="str">
        <f ca="1"/>
        <v/>
      </c>
    </row>
    <row r="773" spans="9:15" x14ac:dyDescent="0.2">
      <c r="I773" s="50" t="str">
        <v/>
      </c>
      <c r="J773" s="50" t="str">
        <v/>
      </c>
      <c r="K773" s="50" t="str">
        <f ca="1"/>
        <v/>
      </c>
      <c r="L773" s="19" t="str">
        <v/>
      </c>
      <c r="M773" t="str">
        <f ca="1"/>
        <v/>
      </c>
      <c r="O773" s="50" t="str">
        <f ca="1"/>
        <v/>
      </c>
    </row>
    <row r="774" spans="9:15" x14ac:dyDescent="0.2">
      <c r="I774" s="50" t="str">
        <v/>
      </c>
      <c r="J774" s="50" t="str">
        <v/>
      </c>
      <c r="K774" s="50" t="str">
        <f ca="1"/>
        <v/>
      </c>
      <c r="L774" s="19" t="str">
        <v/>
      </c>
      <c r="M774" t="str">
        <f ca="1"/>
        <v/>
      </c>
      <c r="O774" s="50" t="str">
        <f ca="1"/>
        <v/>
      </c>
    </row>
    <row r="775" spans="9:15" x14ac:dyDescent="0.2">
      <c r="I775" s="50" t="str">
        <v/>
      </c>
      <c r="J775" s="50" t="str">
        <v/>
      </c>
      <c r="K775" s="50" t="str">
        <f ca="1"/>
        <v/>
      </c>
      <c r="L775" s="19" t="str">
        <v/>
      </c>
      <c r="M775" t="str">
        <f ca="1"/>
        <v/>
      </c>
      <c r="O775" s="50" t="str">
        <f ca="1"/>
        <v/>
      </c>
    </row>
    <row r="776" spans="9:15" x14ac:dyDescent="0.2">
      <c r="I776" s="50" t="str">
        <v/>
      </c>
      <c r="J776" s="50" t="str">
        <v/>
      </c>
      <c r="K776" s="50" t="str">
        <f ca="1"/>
        <v/>
      </c>
      <c r="L776" s="19" t="str">
        <v/>
      </c>
      <c r="M776" t="str">
        <f ca="1"/>
        <v/>
      </c>
      <c r="O776" s="50" t="str">
        <f ca="1"/>
        <v/>
      </c>
    </row>
    <row r="777" spans="9:15" x14ac:dyDescent="0.2">
      <c r="I777" s="50" t="str">
        <v/>
      </c>
      <c r="J777" s="50" t="str">
        <v/>
      </c>
      <c r="K777" s="50" t="str">
        <f ca="1"/>
        <v/>
      </c>
      <c r="L777" s="19" t="str">
        <v/>
      </c>
      <c r="M777" t="str">
        <f ca="1"/>
        <v/>
      </c>
      <c r="O777" s="50" t="str">
        <f ca="1"/>
        <v/>
      </c>
    </row>
    <row r="778" spans="9:15" x14ac:dyDescent="0.2">
      <c r="I778" s="50" t="str">
        <v/>
      </c>
      <c r="J778" s="50" t="str">
        <v/>
      </c>
      <c r="K778" s="50" t="str">
        <f ca="1"/>
        <v/>
      </c>
      <c r="L778" s="19" t="str">
        <v/>
      </c>
      <c r="M778" t="str">
        <f ca="1"/>
        <v/>
      </c>
      <c r="O778" s="50" t="str">
        <f ca="1"/>
        <v/>
      </c>
    </row>
    <row r="779" spans="9:15" x14ac:dyDescent="0.2">
      <c r="I779" s="50" t="str">
        <v/>
      </c>
      <c r="J779" s="50" t="str">
        <v/>
      </c>
      <c r="K779" s="50" t="str">
        <f ca="1"/>
        <v/>
      </c>
      <c r="L779" s="19" t="str">
        <v/>
      </c>
      <c r="M779" t="str">
        <f ca="1"/>
        <v/>
      </c>
      <c r="O779" s="50" t="str">
        <f ca="1"/>
        <v/>
      </c>
    </row>
    <row r="780" spans="9:15" x14ac:dyDescent="0.2">
      <c r="I780" s="50" t="str">
        <v/>
      </c>
      <c r="J780" s="50" t="str">
        <v/>
      </c>
      <c r="K780" s="50" t="str">
        <f ca="1"/>
        <v/>
      </c>
      <c r="L780" s="19" t="str">
        <v/>
      </c>
      <c r="M780" t="str">
        <f ca="1"/>
        <v/>
      </c>
      <c r="O780" s="50" t="str">
        <f ca="1"/>
        <v/>
      </c>
    </row>
    <row r="781" spans="9:15" x14ac:dyDescent="0.2">
      <c r="I781" s="50" t="str">
        <v/>
      </c>
      <c r="J781" s="50" t="str">
        <v/>
      </c>
      <c r="K781" s="50" t="str">
        <f ca="1"/>
        <v/>
      </c>
      <c r="L781" s="19" t="str">
        <v/>
      </c>
      <c r="M781" t="str">
        <f ca="1"/>
        <v/>
      </c>
      <c r="O781" s="50" t="str">
        <f ca="1"/>
        <v/>
      </c>
    </row>
    <row r="782" spans="9:15" x14ac:dyDescent="0.2">
      <c r="I782" s="50" t="str">
        <v/>
      </c>
      <c r="J782" s="50" t="str">
        <v/>
      </c>
      <c r="K782" s="50" t="str">
        <f ca="1"/>
        <v/>
      </c>
      <c r="L782" s="19" t="str">
        <v/>
      </c>
      <c r="M782" t="str">
        <f ca="1"/>
        <v/>
      </c>
      <c r="O782" s="50" t="str">
        <f ca="1"/>
        <v/>
      </c>
    </row>
    <row r="783" spans="9:15" x14ac:dyDescent="0.2">
      <c r="I783" s="50" t="str">
        <v/>
      </c>
      <c r="J783" s="50" t="str">
        <v/>
      </c>
      <c r="K783" s="50" t="str">
        <f ca="1"/>
        <v/>
      </c>
      <c r="L783" s="19" t="str">
        <v/>
      </c>
      <c r="M783" t="str">
        <f ca="1"/>
        <v/>
      </c>
      <c r="O783" s="50" t="str">
        <f ca="1"/>
        <v/>
      </c>
    </row>
    <row r="784" spans="9:15" x14ac:dyDescent="0.2">
      <c r="I784" s="50" t="str">
        <v/>
      </c>
      <c r="J784" s="50" t="str">
        <v/>
      </c>
      <c r="K784" s="50" t="str">
        <f ca="1"/>
        <v/>
      </c>
      <c r="L784" s="19" t="str">
        <v/>
      </c>
      <c r="M784" t="str">
        <f ca="1"/>
        <v/>
      </c>
      <c r="O784" s="50" t="str">
        <f ca="1"/>
        <v/>
      </c>
    </row>
    <row r="785" spans="9:15" x14ac:dyDescent="0.2">
      <c r="I785" s="50" t="str">
        <v/>
      </c>
      <c r="J785" s="50" t="str">
        <v/>
      </c>
      <c r="K785" s="50" t="str">
        <f ca="1"/>
        <v/>
      </c>
      <c r="L785" s="19" t="str">
        <v/>
      </c>
      <c r="M785" t="str">
        <f ca="1"/>
        <v/>
      </c>
      <c r="O785" s="50" t="str">
        <f ca="1"/>
        <v/>
      </c>
    </row>
    <row r="786" spans="9:15" x14ac:dyDescent="0.2">
      <c r="I786" s="50" t="str">
        <v/>
      </c>
      <c r="J786" s="50" t="str">
        <v/>
      </c>
      <c r="K786" s="50" t="str">
        <f ca="1"/>
        <v/>
      </c>
      <c r="L786" s="19" t="str">
        <v/>
      </c>
      <c r="M786" t="str">
        <f ca="1"/>
        <v/>
      </c>
      <c r="O786" s="50" t="str">
        <f ca="1"/>
        <v/>
      </c>
    </row>
    <row r="787" spans="9:15" x14ac:dyDescent="0.2">
      <c r="I787" s="50" t="str">
        <v/>
      </c>
      <c r="J787" s="50" t="str">
        <v/>
      </c>
      <c r="K787" s="50" t="str">
        <f ca="1"/>
        <v/>
      </c>
      <c r="L787" s="19" t="str">
        <v/>
      </c>
      <c r="M787" t="str">
        <f ca="1"/>
        <v/>
      </c>
      <c r="O787" s="50" t="str">
        <f ca="1"/>
        <v/>
      </c>
    </row>
    <row r="788" spans="9:15" x14ac:dyDescent="0.2">
      <c r="I788" s="50" t="str">
        <v/>
      </c>
      <c r="J788" s="50" t="str">
        <v/>
      </c>
      <c r="K788" s="50" t="str">
        <f ca="1"/>
        <v/>
      </c>
      <c r="L788" s="19" t="str">
        <v/>
      </c>
      <c r="M788" t="str">
        <f ca="1"/>
        <v/>
      </c>
      <c r="O788" s="50" t="str">
        <f ca="1"/>
        <v/>
      </c>
    </row>
    <row r="789" spans="9:15" x14ac:dyDescent="0.2">
      <c r="I789" s="50" t="str">
        <v/>
      </c>
      <c r="J789" s="50" t="str">
        <v/>
      </c>
      <c r="K789" s="50" t="str">
        <f ca="1"/>
        <v/>
      </c>
      <c r="L789" s="19" t="str">
        <v/>
      </c>
      <c r="M789" t="str">
        <f ca="1"/>
        <v/>
      </c>
      <c r="O789" s="50" t="str">
        <f ca="1"/>
        <v/>
      </c>
    </row>
    <row r="790" spans="9:15" x14ac:dyDescent="0.2">
      <c r="I790" s="50" t="str">
        <v/>
      </c>
      <c r="J790" s="50" t="str">
        <v/>
      </c>
      <c r="K790" s="50" t="str">
        <f ca="1"/>
        <v/>
      </c>
      <c r="L790" s="19" t="str">
        <v/>
      </c>
      <c r="M790" t="str">
        <f ca="1"/>
        <v/>
      </c>
      <c r="O790" s="50" t="str">
        <f ca="1"/>
        <v/>
      </c>
    </row>
    <row r="791" spans="9:15" x14ac:dyDescent="0.2">
      <c r="I791" s="50" t="str">
        <v/>
      </c>
      <c r="J791" s="50" t="str">
        <v/>
      </c>
      <c r="K791" s="50" t="str">
        <f ca="1"/>
        <v/>
      </c>
      <c r="L791" s="19" t="str">
        <v/>
      </c>
      <c r="M791" t="str">
        <f ca="1"/>
        <v/>
      </c>
      <c r="O791" s="50" t="str">
        <f ca="1"/>
        <v/>
      </c>
    </row>
    <row r="792" spans="9:15" x14ac:dyDescent="0.2">
      <c r="I792" s="50" t="str">
        <v/>
      </c>
      <c r="J792" s="50" t="str">
        <v/>
      </c>
      <c r="K792" s="50" t="str">
        <f ca="1"/>
        <v/>
      </c>
      <c r="L792" s="19" t="str">
        <v/>
      </c>
      <c r="M792" t="str">
        <f ca="1"/>
        <v/>
      </c>
      <c r="O792" s="50" t="str">
        <f ca="1"/>
        <v/>
      </c>
    </row>
    <row r="793" spans="9:15" x14ac:dyDescent="0.2">
      <c r="I793" s="50" t="str">
        <v/>
      </c>
      <c r="J793" s="50" t="str">
        <v/>
      </c>
      <c r="K793" s="50" t="str">
        <f ca="1"/>
        <v/>
      </c>
      <c r="L793" s="19" t="str">
        <v/>
      </c>
      <c r="M793" t="str">
        <f ca="1"/>
        <v/>
      </c>
      <c r="O793" s="50" t="str">
        <f ca="1"/>
        <v/>
      </c>
    </row>
    <row r="794" spans="9:15" x14ac:dyDescent="0.2">
      <c r="I794" s="50" t="str">
        <v/>
      </c>
      <c r="J794" s="50" t="str">
        <v/>
      </c>
      <c r="K794" s="50" t="str">
        <f ca="1"/>
        <v/>
      </c>
      <c r="L794" s="19" t="str">
        <v/>
      </c>
      <c r="M794" t="str">
        <f ca="1"/>
        <v/>
      </c>
      <c r="O794" s="50" t="str">
        <f ca="1"/>
        <v/>
      </c>
    </row>
    <row r="795" spans="9:15" x14ac:dyDescent="0.2">
      <c r="I795" s="50" t="str">
        <v/>
      </c>
      <c r="J795" s="50" t="str">
        <v/>
      </c>
      <c r="K795" s="50" t="str">
        <f ca="1"/>
        <v/>
      </c>
      <c r="L795" s="19" t="str">
        <v/>
      </c>
      <c r="M795" t="str">
        <f ca="1"/>
        <v/>
      </c>
      <c r="O795" s="50" t="str">
        <f ca="1"/>
        <v/>
      </c>
    </row>
    <row r="796" spans="9:15" x14ac:dyDescent="0.2">
      <c r="I796" s="50" t="str">
        <v/>
      </c>
      <c r="J796" s="50" t="str">
        <v/>
      </c>
      <c r="K796" s="50" t="str">
        <f ca="1"/>
        <v/>
      </c>
      <c r="L796" s="19" t="str">
        <v/>
      </c>
      <c r="M796" t="str">
        <f ca="1"/>
        <v/>
      </c>
      <c r="O796" s="50" t="str">
        <f ca="1"/>
        <v/>
      </c>
    </row>
    <row r="797" spans="9:15" x14ac:dyDescent="0.2">
      <c r="I797" s="50" t="str">
        <v/>
      </c>
      <c r="J797" s="50" t="str">
        <v/>
      </c>
      <c r="K797" s="50" t="str">
        <f ca="1"/>
        <v/>
      </c>
      <c r="L797" s="19" t="str">
        <v/>
      </c>
      <c r="M797" t="str">
        <f ca="1"/>
        <v/>
      </c>
      <c r="O797" s="50" t="str">
        <f ca="1"/>
        <v/>
      </c>
    </row>
    <row r="798" spans="9:15" x14ac:dyDescent="0.2">
      <c r="I798" s="50" t="str">
        <v/>
      </c>
      <c r="J798" s="50" t="str">
        <v/>
      </c>
      <c r="K798" s="50" t="str">
        <f ca="1"/>
        <v/>
      </c>
      <c r="L798" s="19" t="str">
        <v/>
      </c>
      <c r="M798" t="str">
        <f ca="1"/>
        <v/>
      </c>
      <c r="O798" s="50" t="str">
        <f ca="1"/>
        <v/>
      </c>
    </row>
    <row r="799" spans="9:15" x14ac:dyDescent="0.2">
      <c r="I799" s="50" t="str">
        <v/>
      </c>
      <c r="J799" s="50" t="str">
        <v/>
      </c>
      <c r="K799" s="50" t="str">
        <f ca="1"/>
        <v/>
      </c>
      <c r="L799" s="19" t="str">
        <v/>
      </c>
      <c r="M799" t="str">
        <f ca="1"/>
        <v/>
      </c>
      <c r="O799" s="50" t="str">
        <f ca="1"/>
        <v/>
      </c>
    </row>
    <row r="800" spans="9:15" x14ac:dyDescent="0.2">
      <c r="I800" s="50" t="str">
        <v/>
      </c>
      <c r="J800" s="50" t="str">
        <v/>
      </c>
      <c r="K800" s="50" t="str">
        <f ca="1"/>
        <v/>
      </c>
      <c r="L800" s="19" t="str">
        <v/>
      </c>
      <c r="M800" t="str">
        <f ca="1"/>
        <v/>
      </c>
      <c r="O800" s="50" t="str">
        <f ca="1"/>
        <v/>
      </c>
    </row>
    <row r="801" spans="9:15" x14ac:dyDescent="0.2">
      <c r="I801" s="50" t="str">
        <v/>
      </c>
      <c r="J801" s="50" t="str">
        <v/>
      </c>
      <c r="K801" s="50" t="str">
        <f ca="1"/>
        <v/>
      </c>
      <c r="L801" s="19" t="str">
        <v/>
      </c>
      <c r="M801" t="str">
        <f ca="1"/>
        <v/>
      </c>
      <c r="O801" s="50" t="str">
        <f ca="1"/>
        <v/>
      </c>
    </row>
    <row r="802" spans="9:15" x14ac:dyDescent="0.2">
      <c r="I802" s="50" t="str">
        <v/>
      </c>
      <c r="J802" s="50" t="str">
        <v/>
      </c>
      <c r="K802" s="50" t="str">
        <f ca="1"/>
        <v/>
      </c>
      <c r="L802" s="19" t="str">
        <v/>
      </c>
      <c r="M802" t="str">
        <f ca="1"/>
        <v/>
      </c>
      <c r="O802" s="50" t="str">
        <f ca="1"/>
        <v/>
      </c>
    </row>
    <row r="803" spans="9:15" x14ac:dyDescent="0.2">
      <c r="I803" s="50" t="str">
        <v/>
      </c>
      <c r="J803" s="50" t="str">
        <v/>
      </c>
      <c r="K803" s="50" t="str">
        <f ca="1"/>
        <v/>
      </c>
      <c r="L803" s="19" t="str">
        <v/>
      </c>
      <c r="M803" t="str">
        <f ca="1"/>
        <v/>
      </c>
      <c r="O803" s="50" t="str">
        <f ca="1"/>
        <v/>
      </c>
    </row>
    <row r="804" spans="9:15" x14ac:dyDescent="0.2">
      <c r="I804" s="50" t="str">
        <v/>
      </c>
      <c r="J804" s="50" t="str">
        <v/>
      </c>
      <c r="K804" s="50" t="str">
        <f ca="1"/>
        <v/>
      </c>
      <c r="L804" s="19" t="str">
        <v/>
      </c>
      <c r="M804" t="str">
        <f ca="1"/>
        <v/>
      </c>
      <c r="O804" s="50" t="str">
        <f ca="1"/>
        <v/>
      </c>
    </row>
    <row r="805" spans="9:15" x14ac:dyDescent="0.2">
      <c r="I805" s="50" t="str">
        <v/>
      </c>
      <c r="J805" s="50" t="str">
        <v/>
      </c>
      <c r="K805" s="50" t="str">
        <f ca="1"/>
        <v/>
      </c>
      <c r="L805" s="19" t="str">
        <v/>
      </c>
      <c r="M805" t="str">
        <f ca="1"/>
        <v/>
      </c>
      <c r="O805" s="50" t="str">
        <f ca="1"/>
        <v/>
      </c>
    </row>
    <row r="806" spans="9:15" x14ac:dyDescent="0.2">
      <c r="I806" s="50" t="str">
        <v/>
      </c>
      <c r="J806" s="50" t="str">
        <v/>
      </c>
      <c r="K806" s="50" t="str">
        <f ca="1"/>
        <v/>
      </c>
      <c r="L806" s="19" t="str">
        <v/>
      </c>
      <c r="M806" t="str">
        <f ca="1"/>
        <v/>
      </c>
      <c r="O806" s="50" t="str">
        <f ca="1"/>
        <v/>
      </c>
    </row>
    <row r="807" spans="9:15" x14ac:dyDescent="0.2">
      <c r="I807" s="50" t="str">
        <v/>
      </c>
      <c r="J807" s="50" t="str">
        <v/>
      </c>
      <c r="K807" s="50" t="str">
        <f ca="1"/>
        <v/>
      </c>
      <c r="L807" s="19" t="str">
        <v/>
      </c>
      <c r="M807" t="str">
        <f ca="1"/>
        <v/>
      </c>
      <c r="O807" s="50" t="str">
        <f ca="1"/>
        <v/>
      </c>
    </row>
    <row r="808" spans="9:15" x14ac:dyDescent="0.2">
      <c r="I808" s="50" t="str">
        <v/>
      </c>
      <c r="J808" s="50" t="str">
        <v/>
      </c>
      <c r="K808" s="50" t="str">
        <f ca="1"/>
        <v/>
      </c>
      <c r="L808" s="19" t="str">
        <v/>
      </c>
      <c r="M808" t="str">
        <f ca="1"/>
        <v/>
      </c>
      <c r="O808" s="50" t="str">
        <f ca="1"/>
        <v/>
      </c>
    </row>
    <row r="809" spans="9:15" x14ac:dyDescent="0.2">
      <c r="I809" s="50" t="str">
        <v/>
      </c>
      <c r="J809" s="50" t="str">
        <v/>
      </c>
      <c r="K809" s="50" t="str">
        <f ca="1"/>
        <v/>
      </c>
      <c r="L809" s="19" t="str">
        <v/>
      </c>
      <c r="M809" t="str">
        <f ca="1"/>
        <v/>
      </c>
      <c r="O809" s="50" t="str">
        <f ca="1"/>
        <v/>
      </c>
    </row>
    <row r="810" spans="9:15" x14ac:dyDescent="0.2">
      <c r="I810" s="50" t="str">
        <v/>
      </c>
      <c r="J810" s="50" t="str">
        <v/>
      </c>
      <c r="K810" s="50" t="str">
        <f ca="1"/>
        <v/>
      </c>
      <c r="L810" s="19" t="str">
        <v/>
      </c>
      <c r="M810" t="str">
        <f ca="1"/>
        <v/>
      </c>
      <c r="O810" s="50" t="str">
        <f ca="1"/>
        <v/>
      </c>
    </row>
    <row r="811" spans="9:15" x14ac:dyDescent="0.2">
      <c r="I811" s="50" t="str">
        <v/>
      </c>
      <c r="J811" s="50" t="str">
        <v/>
      </c>
      <c r="K811" s="50" t="str">
        <f ca="1"/>
        <v/>
      </c>
      <c r="L811" s="19" t="str">
        <v/>
      </c>
      <c r="M811" t="str">
        <f ca="1"/>
        <v/>
      </c>
      <c r="O811" s="50" t="str">
        <f ca="1"/>
        <v/>
      </c>
    </row>
    <row r="812" spans="9:15" x14ac:dyDescent="0.2">
      <c r="I812" s="50" t="str">
        <v/>
      </c>
      <c r="J812" s="50" t="str">
        <v/>
      </c>
      <c r="K812" s="50" t="str">
        <f ca="1"/>
        <v/>
      </c>
      <c r="L812" s="19" t="str">
        <v/>
      </c>
      <c r="M812" t="str">
        <f ca="1"/>
        <v/>
      </c>
      <c r="O812" s="50" t="str">
        <f ca="1"/>
        <v/>
      </c>
    </row>
    <row r="813" spans="9:15" x14ac:dyDescent="0.2">
      <c r="I813" s="50" t="str">
        <v/>
      </c>
      <c r="J813" s="50" t="str">
        <v/>
      </c>
      <c r="K813" s="50" t="str">
        <f ca="1"/>
        <v/>
      </c>
      <c r="L813" s="19" t="str">
        <v/>
      </c>
      <c r="M813" t="str">
        <f ca="1"/>
        <v/>
      </c>
      <c r="O813" s="50" t="str">
        <f ca="1"/>
        <v/>
      </c>
    </row>
    <row r="814" spans="9:15" x14ac:dyDescent="0.2">
      <c r="I814" s="50" t="str">
        <v/>
      </c>
      <c r="J814" s="50" t="str">
        <v/>
      </c>
      <c r="K814" s="50" t="str">
        <f ca="1"/>
        <v/>
      </c>
      <c r="L814" s="19" t="str">
        <v/>
      </c>
      <c r="M814" t="str">
        <f ca="1"/>
        <v/>
      </c>
      <c r="O814" s="50" t="str">
        <f ca="1"/>
        <v/>
      </c>
    </row>
    <row r="815" spans="9:15" x14ac:dyDescent="0.2">
      <c r="I815" s="50" t="str">
        <v/>
      </c>
      <c r="J815" s="50" t="str">
        <v/>
      </c>
      <c r="K815" s="50" t="str">
        <f ca="1"/>
        <v/>
      </c>
      <c r="L815" s="19" t="str">
        <v/>
      </c>
      <c r="M815" t="str">
        <f ca="1"/>
        <v/>
      </c>
      <c r="O815" s="50" t="str">
        <f ca="1"/>
        <v/>
      </c>
    </row>
    <row r="816" spans="9:15" x14ac:dyDescent="0.2">
      <c r="I816" s="50" t="str">
        <v/>
      </c>
      <c r="J816" s="50" t="str">
        <v/>
      </c>
      <c r="K816" s="50" t="str">
        <f ca="1"/>
        <v/>
      </c>
      <c r="L816" s="19" t="str">
        <v/>
      </c>
      <c r="M816" t="str">
        <f ca="1"/>
        <v/>
      </c>
      <c r="O816" s="50" t="str">
        <f ca="1"/>
        <v/>
      </c>
    </row>
    <row r="817" spans="9:15" x14ac:dyDescent="0.2">
      <c r="I817" s="50" t="str">
        <v/>
      </c>
      <c r="J817" s="50" t="str">
        <v/>
      </c>
      <c r="K817" s="50" t="str">
        <f ca="1"/>
        <v/>
      </c>
      <c r="L817" s="19" t="str">
        <v/>
      </c>
      <c r="M817" t="str">
        <f ca="1"/>
        <v/>
      </c>
      <c r="O817" s="50" t="str">
        <f ca="1"/>
        <v/>
      </c>
    </row>
    <row r="818" spans="9:15" x14ac:dyDescent="0.2">
      <c r="I818" s="50" t="str">
        <v/>
      </c>
      <c r="J818" s="50" t="str">
        <v/>
      </c>
      <c r="K818" s="50" t="str">
        <f ca="1"/>
        <v/>
      </c>
      <c r="L818" s="19" t="str">
        <v/>
      </c>
      <c r="M818" t="str">
        <f ca="1"/>
        <v/>
      </c>
      <c r="O818" s="50" t="str">
        <f ca="1"/>
        <v/>
      </c>
    </row>
    <row r="819" spans="9:15" x14ac:dyDescent="0.2">
      <c r="I819" s="50" t="str">
        <v/>
      </c>
      <c r="J819" s="50" t="str">
        <v/>
      </c>
      <c r="K819" s="50" t="str">
        <f ca="1"/>
        <v/>
      </c>
      <c r="L819" s="19" t="str">
        <v/>
      </c>
      <c r="M819" t="str">
        <f ca="1"/>
        <v/>
      </c>
      <c r="O819" s="50" t="str">
        <f ca="1"/>
        <v/>
      </c>
    </row>
    <row r="820" spans="9:15" x14ac:dyDescent="0.2">
      <c r="I820" s="50" t="str">
        <v/>
      </c>
      <c r="J820" s="50" t="str">
        <v/>
      </c>
      <c r="K820" s="50" t="str">
        <f ca="1"/>
        <v/>
      </c>
      <c r="L820" s="19" t="str">
        <v/>
      </c>
      <c r="M820" t="str">
        <f ca="1"/>
        <v/>
      </c>
      <c r="O820" s="50" t="str">
        <f ca="1"/>
        <v/>
      </c>
    </row>
    <row r="821" spans="9:15" x14ac:dyDescent="0.2">
      <c r="I821" s="50" t="str">
        <v/>
      </c>
      <c r="J821" s="50" t="str">
        <v/>
      </c>
      <c r="K821" s="50" t="str">
        <f ca="1"/>
        <v/>
      </c>
      <c r="L821" s="19" t="str">
        <v/>
      </c>
      <c r="M821" t="str">
        <f ca="1"/>
        <v/>
      </c>
      <c r="O821" s="50" t="str">
        <f ca="1"/>
        <v/>
      </c>
    </row>
    <row r="822" spans="9:15" x14ac:dyDescent="0.2">
      <c r="I822" s="50" t="str">
        <v/>
      </c>
      <c r="J822" s="50" t="str">
        <v/>
      </c>
      <c r="K822" s="50" t="str">
        <f ca="1"/>
        <v/>
      </c>
      <c r="L822" s="19" t="str">
        <v/>
      </c>
      <c r="M822" t="str">
        <f ca="1"/>
        <v/>
      </c>
      <c r="O822" s="50" t="str">
        <f ca="1"/>
        <v/>
      </c>
    </row>
    <row r="823" spans="9:15" x14ac:dyDescent="0.2">
      <c r="I823" s="50" t="str">
        <v/>
      </c>
      <c r="J823" s="50" t="str">
        <v/>
      </c>
      <c r="K823" s="50" t="str">
        <f ca="1"/>
        <v/>
      </c>
      <c r="L823" s="19" t="str">
        <v/>
      </c>
      <c r="M823" t="str">
        <f ca="1"/>
        <v/>
      </c>
      <c r="O823" s="50" t="str">
        <f ca="1"/>
        <v/>
      </c>
    </row>
    <row r="824" spans="9:15" x14ac:dyDescent="0.2">
      <c r="I824" s="50" t="str">
        <v/>
      </c>
      <c r="J824" s="50" t="str">
        <v/>
      </c>
      <c r="K824" s="50" t="str">
        <f ca="1"/>
        <v/>
      </c>
      <c r="L824" s="19" t="str">
        <v/>
      </c>
      <c r="M824" t="str">
        <f ca="1"/>
        <v/>
      </c>
      <c r="O824" s="50" t="str">
        <f ca="1"/>
        <v/>
      </c>
    </row>
    <row r="825" spans="9:15" x14ac:dyDescent="0.2">
      <c r="I825" s="50" t="str">
        <v/>
      </c>
      <c r="J825" s="50" t="str">
        <v/>
      </c>
      <c r="K825" s="50" t="str">
        <f ca="1"/>
        <v/>
      </c>
      <c r="L825" s="19" t="str">
        <v/>
      </c>
      <c r="M825" t="str">
        <f ca="1"/>
        <v/>
      </c>
      <c r="O825" s="50" t="str">
        <f ca="1"/>
        <v/>
      </c>
    </row>
    <row r="826" spans="9:15" x14ac:dyDescent="0.2">
      <c r="I826" s="50" t="str">
        <v/>
      </c>
      <c r="J826" s="50" t="str">
        <v/>
      </c>
      <c r="K826" s="50" t="str">
        <f ca="1"/>
        <v/>
      </c>
      <c r="L826" s="19" t="str">
        <v/>
      </c>
      <c r="M826" t="str">
        <f ca="1"/>
        <v/>
      </c>
      <c r="O826" s="50" t="str">
        <f ca="1"/>
        <v/>
      </c>
    </row>
    <row r="827" spans="9:15" x14ac:dyDescent="0.2">
      <c r="I827" s="50" t="str">
        <v/>
      </c>
      <c r="J827" s="50" t="str">
        <v/>
      </c>
      <c r="K827" s="50" t="str">
        <f ca="1"/>
        <v/>
      </c>
      <c r="L827" s="19" t="str">
        <v/>
      </c>
      <c r="M827" t="str">
        <f ca="1"/>
        <v/>
      </c>
      <c r="O827" s="50" t="str">
        <f ca="1"/>
        <v/>
      </c>
    </row>
    <row r="828" spans="9:15" x14ac:dyDescent="0.2">
      <c r="I828" s="50" t="str">
        <v/>
      </c>
      <c r="J828" s="50" t="str">
        <v/>
      </c>
      <c r="K828" s="50" t="str">
        <f ca="1"/>
        <v/>
      </c>
      <c r="L828" s="19" t="str">
        <v/>
      </c>
      <c r="M828" t="str">
        <f ca="1"/>
        <v/>
      </c>
      <c r="O828" s="50" t="str">
        <f ca="1"/>
        <v/>
      </c>
    </row>
    <row r="829" spans="9:15" x14ac:dyDescent="0.2">
      <c r="I829" s="50" t="str">
        <v/>
      </c>
      <c r="J829" s="50" t="str">
        <v/>
      </c>
      <c r="K829" s="50" t="str">
        <f ca="1"/>
        <v/>
      </c>
      <c r="L829" s="19" t="str">
        <v/>
      </c>
      <c r="M829" t="str">
        <f ca="1"/>
        <v/>
      </c>
      <c r="O829" s="50" t="str">
        <f ca="1"/>
        <v/>
      </c>
    </row>
    <row r="830" spans="9:15" x14ac:dyDescent="0.2">
      <c r="I830" s="50" t="str">
        <v/>
      </c>
      <c r="J830" s="50" t="str">
        <v/>
      </c>
      <c r="K830" s="50" t="str">
        <f ca="1"/>
        <v/>
      </c>
      <c r="L830" s="19" t="str">
        <v/>
      </c>
      <c r="M830" t="str">
        <f ca="1"/>
        <v/>
      </c>
      <c r="O830" s="50" t="str">
        <f ca="1"/>
        <v/>
      </c>
    </row>
    <row r="831" spans="9:15" x14ac:dyDescent="0.2">
      <c r="I831" s="50" t="str">
        <v/>
      </c>
      <c r="J831" s="50" t="str">
        <v/>
      </c>
      <c r="K831" s="50" t="str">
        <f ca="1"/>
        <v/>
      </c>
      <c r="L831" s="19" t="str">
        <v/>
      </c>
      <c r="M831" t="str">
        <f ca="1"/>
        <v/>
      </c>
      <c r="O831" s="50" t="str">
        <f ca="1"/>
        <v/>
      </c>
    </row>
    <row r="832" spans="9:15" x14ac:dyDescent="0.2">
      <c r="I832" s="50" t="str">
        <v/>
      </c>
      <c r="J832" s="50" t="str">
        <v/>
      </c>
      <c r="K832" s="50" t="str">
        <f ca="1"/>
        <v/>
      </c>
      <c r="L832" s="19" t="str">
        <v/>
      </c>
      <c r="M832" t="str">
        <f ca="1"/>
        <v/>
      </c>
      <c r="O832" s="50" t="str">
        <f ca="1"/>
        <v/>
      </c>
    </row>
    <row r="833" spans="9:15" x14ac:dyDescent="0.2">
      <c r="I833" s="50" t="str">
        <v/>
      </c>
      <c r="J833" s="50" t="str">
        <v/>
      </c>
      <c r="K833" s="50" t="str">
        <f ca="1"/>
        <v/>
      </c>
      <c r="L833" s="19" t="str">
        <v/>
      </c>
      <c r="M833" t="str">
        <f ca="1"/>
        <v/>
      </c>
      <c r="O833" s="50" t="str">
        <f ca="1"/>
        <v/>
      </c>
    </row>
    <row r="834" spans="9:15" x14ac:dyDescent="0.2">
      <c r="I834" s="50" t="str">
        <v/>
      </c>
      <c r="J834" s="50" t="str">
        <v/>
      </c>
      <c r="K834" s="50" t="str">
        <f ca="1"/>
        <v/>
      </c>
      <c r="L834" s="19" t="str">
        <v/>
      </c>
      <c r="M834" t="str">
        <f ca="1"/>
        <v/>
      </c>
      <c r="O834" s="50" t="str">
        <f ca="1"/>
        <v/>
      </c>
    </row>
    <row r="835" spans="9:15" x14ac:dyDescent="0.2">
      <c r="I835" s="50" t="str">
        <v/>
      </c>
      <c r="J835" s="50" t="str">
        <v/>
      </c>
      <c r="K835" s="50" t="str">
        <f ca="1"/>
        <v/>
      </c>
      <c r="L835" s="19" t="str">
        <v/>
      </c>
      <c r="M835" t="str">
        <f ca="1"/>
        <v/>
      </c>
      <c r="O835" s="50" t="str">
        <f ca="1"/>
        <v/>
      </c>
    </row>
    <row r="836" spans="9:15" x14ac:dyDescent="0.2">
      <c r="I836" s="50" t="str">
        <v/>
      </c>
      <c r="J836" s="50" t="str">
        <v/>
      </c>
      <c r="K836" s="50" t="str">
        <f ca="1"/>
        <v/>
      </c>
      <c r="L836" s="19" t="str">
        <v/>
      </c>
      <c r="M836" t="str">
        <f ca="1"/>
        <v/>
      </c>
      <c r="O836" s="50" t="str">
        <f ca="1"/>
        <v/>
      </c>
    </row>
    <row r="837" spans="9:15" x14ac:dyDescent="0.2">
      <c r="I837" s="50" t="str">
        <v/>
      </c>
      <c r="J837" s="50" t="str">
        <v/>
      </c>
      <c r="K837" s="50" t="str">
        <f ca="1"/>
        <v/>
      </c>
      <c r="L837" s="19" t="str">
        <v/>
      </c>
      <c r="M837" t="str">
        <f ca="1"/>
        <v/>
      </c>
      <c r="O837" s="50" t="str">
        <f ca="1"/>
        <v/>
      </c>
    </row>
    <row r="838" spans="9:15" x14ac:dyDescent="0.2">
      <c r="I838" s="50" t="str">
        <v/>
      </c>
      <c r="J838" s="50" t="str">
        <v/>
      </c>
      <c r="K838" s="50" t="str">
        <f ca="1"/>
        <v/>
      </c>
      <c r="L838" s="19" t="str">
        <v/>
      </c>
      <c r="M838" t="str">
        <f ca="1"/>
        <v/>
      </c>
      <c r="O838" s="50" t="str">
        <f ca="1"/>
        <v/>
      </c>
    </row>
    <row r="839" spans="9:15" x14ac:dyDescent="0.2">
      <c r="I839" s="50" t="str">
        <v/>
      </c>
      <c r="J839" s="50" t="str">
        <v/>
      </c>
      <c r="K839" s="50" t="str">
        <f ca="1"/>
        <v/>
      </c>
      <c r="L839" s="19" t="str">
        <v/>
      </c>
      <c r="M839" t="str">
        <f ca="1"/>
        <v/>
      </c>
      <c r="O839" s="50" t="str">
        <f ca="1"/>
        <v/>
      </c>
    </row>
    <row r="840" spans="9:15" x14ac:dyDescent="0.2">
      <c r="I840" s="50" t="str">
        <v/>
      </c>
      <c r="J840" s="50" t="str">
        <v/>
      </c>
      <c r="K840" s="50" t="str">
        <f ca="1"/>
        <v/>
      </c>
      <c r="L840" s="19" t="str">
        <v/>
      </c>
      <c r="M840" t="str">
        <f ca="1"/>
        <v/>
      </c>
      <c r="O840" s="50" t="str">
        <f ca="1"/>
        <v/>
      </c>
    </row>
    <row r="841" spans="9:15" x14ac:dyDescent="0.2">
      <c r="I841" s="50" t="str">
        <v/>
      </c>
      <c r="J841" s="50" t="str">
        <v/>
      </c>
      <c r="K841" s="50" t="str">
        <f ca="1"/>
        <v/>
      </c>
      <c r="L841" s="19" t="str">
        <v/>
      </c>
      <c r="M841" t="str">
        <f ca="1"/>
        <v/>
      </c>
      <c r="O841" s="50" t="str">
        <f ca="1"/>
        <v/>
      </c>
    </row>
    <row r="842" spans="9:15" x14ac:dyDescent="0.2">
      <c r="I842" s="50" t="str">
        <v/>
      </c>
      <c r="J842" s="50" t="str">
        <v/>
      </c>
      <c r="K842" s="50" t="str">
        <f ca="1"/>
        <v/>
      </c>
      <c r="L842" s="19" t="str">
        <v/>
      </c>
      <c r="M842" t="str">
        <f ca="1"/>
        <v/>
      </c>
      <c r="O842" s="50" t="str">
        <f ca="1"/>
        <v/>
      </c>
    </row>
    <row r="843" spans="9:15" x14ac:dyDescent="0.2">
      <c r="I843" s="50" t="str">
        <v/>
      </c>
      <c r="J843" s="50" t="str">
        <v/>
      </c>
      <c r="K843" s="50" t="str">
        <f ca="1"/>
        <v/>
      </c>
      <c r="L843" s="19" t="str">
        <v/>
      </c>
      <c r="M843" t="str">
        <f ca="1"/>
        <v/>
      </c>
      <c r="O843" s="50" t="str">
        <f ca="1"/>
        <v/>
      </c>
    </row>
    <row r="844" spans="9:15" x14ac:dyDescent="0.2">
      <c r="I844" s="50" t="str">
        <v/>
      </c>
      <c r="J844" s="50" t="str">
        <v/>
      </c>
      <c r="K844" s="50" t="str">
        <f ca="1"/>
        <v/>
      </c>
      <c r="L844" s="19" t="str">
        <v/>
      </c>
      <c r="M844" t="str">
        <f ca="1"/>
        <v/>
      </c>
      <c r="O844" s="50" t="str">
        <f ca="1"/>
        <v/>
      </c>
    </row>
    <row r="845" spans="9:15" x14ac:dyDescent="0.2">
      <c r="I845" s="50" t="str">
        <v/>
      </c>
      <c r="J845" s="50" t="str">
        <v/>
      </c>
      <c r="K845" s="50" t="str">
        <f ca="1"/>
        <v/>
      </c>
      <c r="L845" s="19" t="str">
        <v/>
      </c>
      <c r="M845" t="str">
        <f ca="1"/>
        <v/>
      </c>
      <c r="O845" s="50" t="str">
        <f ca="1"/>
        <v/>
      </c>
    </row>
    <row r="846" spans="9:15" x14ac:dyDescent="0.2">
      <c r="I846" s="50" t="str">
        <v/>
      </c>
      <c r="J846" s="50" t="str">
        <v/>
      </c>
      <c r="K846" s="50" t="str">
        <f ca="1"/>
        <v/>
      </c>
      <c r="L846" s="19" t="str">
        <v/>
      </c>
      <c r="M846" t="str">
        <f ca="1"/>
        <v/>
      </c>
      <c r="O846" s="50" t="str">
        <f ca="1"/>
        <v/>
      </c>
    </row>
    <row r="847" spans="9:15" x14ac:dyDescent="0.2">
      <c r="I847" s="50" t="str">
        <v/>
      </c>
      <c r="J847" s="50" t="str">
        <v/>
      </c>
      <c r="K847" s="50" t="str">
        <f ca="1"/>
        <v/>
      </c>
      <c r="L847" s="19" t="str">
        <v/>
      </c>
      <c r="M847" t="str">
        <f ca="1"/>
        <v/>
      </c>
      <c r="O847" s="50" t="str">
        <f ca="1"/>
        <v/>
      </c>
    </row>
    <row r="848" spans="9:15" x14ac:dyDescent="0.2">
      <c r="I848" s="50" t="str">
        <v/>
      </c>
      <c r="J848" s="50" t="str">
        <v/>
      </c>
      <c r="K848" s="50" t="str">
        <f ca="1"/>
        <v/>
      </c>
      <c r="L848" s="19" t="str">
        <v/>
      </c>
      <c r="M848" t="str">
        <f ca="1"/>
        <v/>
      </c>
      <c r="O848" s="50" t="str">
        <f ca="1"/>
        <v/>
      </c>
    </row>
    <row r="849" spans="9:15" x14ac:dyDescent="0.2">
      <c r="I849" s="50" t="str">
        <v/>
      </c>
      <c r="J849" s="50" t="str">
        <v/>
      </c>
      <c r="K849" s="50" t="str">
        <f ca="1"/>
        <v/>
      </c>
      <c r="L849" s="19" t="str">
        <v/>
      </c>
      <c r="M849" t="str">
        <f ca="1"/>
        <v/>
      </c>
      <c r="O849" s="50" t="str">
        <f ca="1"/>
        <v/>
      </c>
    </row>
    <row r="850" spans="9:15" x14ac:dyDescent="0.2">
      <c r="I850" s="50" t="str">
        <v/>
      </c>
      <c r="J850" s="50" t="str">
        <v/>
      </c>
      <c r="K850" s="50" t="str">
        <f ca="1"/>
        <v/>
      </c>
      <c r="L850" s="19" t="str">
        <v/>
      </c>
      <c r="M850" t="str">
        <f ca="1"/>
        <v/>
      </c>
      <c r="O850" s="50" t="str">
        <f ca="1"/>
        <v/>
      </c>
    </row>
    <row r="851" spans="9:15" x14ac:dyDescent="0.2">
      <c r="I851" s="50" t="str">
        <v/>
      </c>
      <c r="J851" s="50" t="str">
        <v/>
      </c>
      <c r="K851" s="50" t="str">
        <f ca="1"/>
        <v/>
      </c>
      <c r="L851" s="19" t="str">
        <v/>
      </c>
      <c r="M851" t="str">
        <f ca="1"/>
        <v/>
      </c>
      <c r="O851" s="50" t="str">
        <f ca="1"/>
        <v/>
      </c>
    </row>
    <row r="852" spans="9:15" x14ac:dyDescent="0.2">
      <c r="I852" s="50" t="str">
        <v/>
      </c>
      <c r="J852" s="50" t="str">
        <v/>
      </c>
      <c r="K852" s="50" t="str">
        <f ca="1"/>
        <v/>
      </c>
      <c r="L852" s="19" t="str">
        <v/>
      </c>
      <c r="M852" t="str">
        <f ca="1"/>
        <v/>
      </c>
      <c r="O852" s="50" t="str">
        <f ca="1"/>
        <v/>
      </c>
    </row>
    <row r="853" spans="9:15" x14ac:dyDescent="0.2">
      <c r="I853" s="50" t="str">
        <v/>
      </c>
      <c r="J853" s="50" t="str">
        <v/>
      </c>
      <c r="K853" s="50" t="str">
        <f ca="1"/>
        <v/>
      </c>
      <c r="L853" s="19" t="str">
        <v/>
      </c>
      <c r="M853" t="str">
        <f ca="1"/>
        <v/>
      </c>
      <c r="O853" s="50" t="str">
        <f ca="1"/>
        <v/>
      </c>
    </row>
    <row r="854" spans="9:15" x14ac:dyDescent="0.2">
      <c r="I854" s="50" t="str">
        <v/>
      </c>
      <c r="J854" s="50" t="str">
        <v/>
      </c>
      <c r="K854" s="50" t="str">
        <f ca="1"/>
        <v/>
      </c>
      <c r="L854" s="19" t="str">
        <v/>
      </c>
      <c r="M854" t="str">
        <f ca="1"/>
        <v/>
      </c>
      <c r="O854" s="50" t="str">
        <f ca="1"/>
        <v/>
      </c>
    </row>
    <row r="855" spans="9:15" x14ac:dyDescent="0.2">
      <c r="I855" s="50" t="str">
        <v/>
      </c>
      <c r="J855" s="50" t="str">
        <v/>
      </c>
      <c r="K855" s="50" t="str">
        <f ca="1"/>
        <v/>
      </c>
      <c r="L855" s="19" t="str">
        <v/>
      </c>
      <c r="M855" t="str">
        <f ca="1"/>
        <v/>
      </c>
      <c r="O855" s="50" t="str">
        <f ca="1"/>
        <v/>
      </c>
    </row>
    <row r="856" spans="9:15" x14ac:dyDescent="0.2">
      <c r="I856" s="50" t="str">
        <v/>
      </c>
      <c r="J856" s="50" t="str">
        <v/>
      </c>
      <c r="K856" s="50" t="str">
        <f ca="1"/>
        <v/>
      </c>
      <c r="L856" s="19" t="str">
        <v/>
      </c>
      <c r="M856" t="str">
        <f ca="1"/>
        <v/>
      </c>
      <c r="O856" s="50" t="str">
        <f ca="1"/>
        <v/>
      </c>
    </row>
    <row r="857" spans="9:15" x14ac:dyDescent="0.2">
      <c r="I857" s="50" t="str">
        <v/>
      </c>
      <c r="J857" s="50" t="str">
        <v/>
      </c>
      <c r="K857" s="50" t="str">
        <f ca="1"/>
        <v/>
      </c>
      <c r="L857" s="19" t="str">
        <v/>
      </c>
      <c r="M857" t="str">
        <f ca="1"/>
        <v/>
      </c>
      <c r="O857" s="50" t="str">
        <f ca="1"/>
        <v/>
      </c>
    </row>
    <row r="858" spans="9:15" x14ac:dyDescent="0.2">
      <c r="I858" s="50" t="str">
        <v/>
      </c>
      <c r="J858" s="50" t="str">
        <v/>
      </c>
      <c r="K858" s="50" t="str">
        <f ca="1"/>
        <v/>
      </c>
      <c r="L858" s="19" t="str">
        <v/>
      </c>
      <c r="M858" t="str">
        <f ca="1"/>
        <v/>
      </c>
      <c r="O858" s="50" t="str">
        <f ca="1"/>
        <v/>
      </c>
    </row>
    <row r="859" spans="9:15" x14ac:dyDescent="0.2">
      <c r="I859" s="50" t="str">
        <v/>
      </c>
      <c r="J859" s="50" t="str">
        <v/>
      </c>
      <c r="K859" s="50" t="str">
        <f ca="1"/>
        <v/>
      </c>
      <c r="L859" s="19" t="str">
        <v/>
      </c>
      <c r="M859" t="str">
        <f ca="1"/>
        <v/>
      </c>
      <c r="O859" s="50" t="str">
        <f ca="1"/>
        <v/>
      </c>
    </row>
    <row r="860" spans="9:15" x14ac:dyDescent="0.2">
      <c r="I860" s="50" t="str">
        <v/>
      </c>
      <c r="J860" s="50" t="str">
        <v/>
      </c>
      <c r="K860" s="50" t="str">
        <f ca="1"/>
        <v/>
      </c>
      <c r="L860" s="19" t="str">
        <v/>
      </c>
      <c r="M860" t="str">
        <f ca="1"/>
        <v/>
      </c>
      <c r="O860" s="50" t="str">
        <f ca="1"/>
        <v/>
      </c>
    </row>
    <row r="861" spans="9:15" x14ac:dyDescent="0.2">
      <c r="I861" s="50" t="str">
        <v/>
      </c>
      <c r="J861" s="50" t="str">
        <v/>
      </c>
      <c r="K861" s="50" t="str">
        <f ca="1"/>
        <v/>
      </c>
      <c r="L861" s="19" t="str">
        <v/>
      </c>
      <c r="M861" t="str">
        <f ca="1"/>
        <v/>
      </c>
      <c r="O861" s="50" t="str">
        <f ca="1"/>
        <v/>
      </c>
    </row>
    <row r="862" spans="9:15" x14ac:dyDescent="0.2">
      <c r="I862" s="50" t="str">
        <v/>
      </c>
      <c r="J862" s="50" t="str">
        <v/>
      </c>
      <c r="K862" s="50" t="str">
        <f ca="1"/>
        <v/>
      </c>
      <c r="L862" s="19" t="str">
        <v/>
      </c>
      <c r="M862" t="str">
        <f ca="1"/>
        <v/>
      </c>
      <c r="O862" s="50" t="str">
        <f ca="1"/>
        <v/>
      </c>
    </row>
    <row r="863" spans="9:15" x14ac:dyDescent="0.2">
      <c r="I863" s="50" t="str">
        <v/>
      </c>
      <c r="J863" s="50" t="str">
        <v/>
      </c>
      <c r="K863" s="50" t="str">
        <f ca="1"/>
        <v/>
      </c>
      <c r="L863" s="19" t="str">
        <v/>
      </c>
      <c r="M863" t="str">
        <f ca="1"/>
        <v/>
      </c>
      <c r="O863" s="50" t="str">
        <f ca="1"/>
        <v/>
      </c>
    </row>
    <row r="864" spans="9:15" x14ac:dyDescent="0.2">
      <c r="I864" s="50" t="str">
        <v/>
      </c>
      <c r="J864" s="50" t="str">
        <v/>
      </c>
      <c r="K864" s="50" t="str">
        <f ca="1"/>
        <v/>
      </c>
      <c r="L864" s="19" t="str">
        <v/>
      </c>
      <c r="M864" t="str">
        <f ca="1"/>
        <v/>
      </c>
      <c r="O864" s="50" t="str">
        <f ca="1"/>
        <v/>
      </c>
    </row>
    <row r="865" spans="9:15" x14ac:dyDescent="0.2">
      <c r="I865" s="50" t="str">
        <v/>
      </c>
      <c r="J865" s="50" t="str">
        <v/>
      </c>
      <c r="K865" s="50" t="str">
        <f ca="1"/>
        <v/>
      </c>
      <c r="L865" s="19" t="str">
        <v/>
      </c>
      <c r="M865" t="str">
        <f ca="1"/>
        <v/>
      </c>
      <c r="O865" s="50" t="str">
        <f ca="1"/>
        <v/>
      </c>
    </row>
    <row r="866" spans="9:15" x14ac:dyDescent="0.2">
      <c r="I866" s="50" t="str">
        <v/>
      </c>
      <c r="J866" s="50" t="str">
        <v/>
      </c>
      <c r="K866" s="50" t="str">
        <f ca="1"/>
        <v/>
      </c>
      <c r="L866" s="19" t="str">
        <v/>
      </c>
      <c r="M866" t="str">
        <f ca="1"/>
        <v/>
      </c>
      <c r="O866" s="50" t="str">
        <f ca="1"/>
        <v/>
      </c>
    </row>
    <row r="867" spans="9:15" x14ac:dyDescent="0.2">
      <c r="I867" s="50" t="str">
        <v/>
      </c>
      <c r="J867" s="50" t="str">
        <v/>
      </c>
      <c r="K867" s="50" t="str">
        <f ca="1"/>
        <v/>
      </c>
      <c r="L867" s="19" t="str">
        <v/>
      </c>
      <c r="M867" t="str">
        <f ca="1"/>
        <v/>
      </c>
      <c r="O867" s="50" t="str">
        <f ca="1"/>
        <v/>
      </c>
    </row>
    <row r="868" spans="9:15" x14ac:dyDescent="0.2">
      <c r="I868" s="50" t="str">
        <v/>
      </c>
      <c r="J868" s="50" t="str">
        <v/>
      </c>
      <c r="K868" s="50" t="str">
        <f ca="1"/>
        <v/>
      </c>
      <c r="L868" s="19" t="str">
        <v/>
      </c>
      <c r="M868" t="str">
        <f ca="1"/>
        <v/>
      </c>
      <c r="O868" s="50" t="str">
        <f ca="1"/>
        <v/>
      </c>
    </row>
    <row r="869" spans="9:15" x14ac:dyDescent="0.2">
      <c r="I869" s="50" t="str">
        <v/>
      </c>
      <c r="J869" s="50" t="str">
        <v/>
      </c>
      <c r="K869" s="50" t="str">
        <f ca="1"/>
        <v/>
      </c>
      <c r="L869" s="19" t="str">
        <v/>
      </c>
      <c r="M869" t="str">
        <f ca="1"/>
        <v/>
      </c>
      <c r="O869" s="50" t="str">
        <f ca="1"/>
        <v/>
      </c>
    </row>
    <row r="870" spans="9:15" x14ac:dyDescent="0.2">
      <c r="I870" s="50" t="str">
        <v/>
      </c>
      <c r="J870" s="50" t="str">
        <v/>
      </c>
      <c r="K870" s="50" t="str">
        <f ca="1"/>
        <v/>
      </c>
      <c r="L870" s="19" t="str">
        <v/>
      </c>
      <c r="M870" t="str">
        <f ca="1"/>
        <v/>
      </c>
      <c r="O870" s="50" t="str">
        <f ca="1"/>
        <v/>
      </c>
    </row>
    <row r="871" spans="9:15" x14ac:dyDescent="0.2">
      <c r="I871" s="50" t="str">
        <v/>
      </c>
      <c r="J871" s="50" t="str">
        <v/>
      </c>
      <c r="K871" s="50" t="str">
        <f ca="1"/>
        <v/>
      </c>
      <c r="L871" s="19" t="str">
        <v/>
      </c>
      <c r="M871" t="str">
        <f ca="1"/>
        <v/>
      </c>
      <c r="O871" s="50" t="str">
        <f ca="1"/>
        <v/>
      </c>
    </row>
    <row r="872" spans="9:15" x14ac:dyDescent="0.2">
      <c r="I872" s="50" t="str">
        <v/>
      </c>
      <c r="J872" s="50" t="str">
        <v/>
      </c>
      <c r="K872" s="50" t="str">
        <f ca="1"/>
        <v/>
      </c>
      <c r="L872" s="19" t="str">
        <v/>
      </c>
      <c r="M872" t="str">
        <f ca="1"/>
        <v/>
      </c>
      <c r="O872" s="50" t="str">
        <f ca="1"/>
        <v/>
      </c>
    </row>
    <row r="873" spans="9:15" x14ac:dyDescent="0.2">
      <c r="I873" s="50" t="str">
        <v/>
      </c>
      <c r="J873" s="50" t="str">
        <v/>
      </c>
      <c r="K873" s="50" t="str">
        <f ca="1"/>
        <v/>
      </c>
      <c r="L873" s="19" t="str">
        <v/>
      </c>
      <c r="M873" t="str">
        <f ca="1"/>
        <v/>
      </c>
      <c r="O873" s="50" t="str">
        <f ca="1"/>
        <v/>
      </c>
    </row>
    <row r="874" spans="9:15" x14ac:dyDescent="0.2">
      <c r="I874" s="50" t="str">
        <v/>
      </c>
      <c r="J874" s="50" t="str">
        <v/>
      </c>
      <c r="K874" s="50" t="str">
        <f ca="1"/>
        <v/>
      </c>
      <c r="L874" s="19" t="str">
        <v/>
      </c>
      <c r="M874" t="str">
        <f ca="1"/>
        <v/>
      </c>
      <c r="O874" s="50" t="str">
        <f ca="1"/>
        <v/>
      </c>
    </row>
    <row r="875" spans="9:15" x14ac:dyDescent="0.2">
      <c r="I875" s="50" t="str">
        <v/>
      </c>
      <c r="J875" s="50" t="str">
        <v/>
      </c>
      <c r="K875" s="50" t="str">
        <f ca="1"/>
        <v/>
      </c>
      <c r="L875" s="19" t="str">
        <v/>
      </c>
      <c r="M875" t="str">
        <f ca="1"/>
        <v/>
      </c>
      <c r="O875" s="50" t="str">
        <f ca="1"/>
        <v/>
      </c>
    </row>
    <row r="876" spans="9:15" x14ac:dyDescent="0.2">
      <c r="I876" s="50" t="str">
        <v/>
      </c>
      <c r="J876" s="50" t="str">
        <v/>
      </c>
      <c r="K876" s="50" t="str">
        <f ca="1"/>
        <v/>
      </c>
      <c r="L876" s="19" t="str">
        <v/>
      </c>
      <c r="M876" t="str">
        <f ca="1"/>
        <v/>
      </c>
      <c r="O876" s="50" t="str">
        <f ca="1"/>
        <v/>
      </c>
    </row>
    <row r="877" spans="9:15" x14ac:dyDescent="0.2">
      <c r="I877" s="50" t="str">
        <v/>
      </c>
      <c r="J877" s="50" t="str">
        <v/>
      </c>
      <c r="K877" s="50" t="str">
        <f ca="1"/>
        <v/>
      </c>
      <c r="L877" s="19" t="str">
        <v/>
      </c>
      <c r="M877" t="str">
        <f ca="1"/>
        <v/>
      </c>
      <c r="O877" s="50" t="str">
        <f ca="1"/>
        <v/>
      </c>
    </row>
    <row r="878" spans="9:15" x14ac:dyDescent="0.2">
      <c r="I878" s="50" t="str">
        <v/>
      </c>
      <c r="J878" s="50" t="str">
        <v/>
      </c>
      <c r="K878" s="50" t="str">
        <f ca="1"/>
        <v/>
      </c>
      <c r="L878" s="19" t="str">
        <v/>
      </c>
      <c r="M878" t="str">
        <f ca="1"/>
        <v/>
      </c>
      <c r="O878" s="50" t="str">
        <f ca="1"/>
        <v/>
      </c>
    </row>
    <row r="879" spans="9:15" x14ac:dyDescent="0.2">
      <c r="I879" s="50" t="str">
        <v/>
      </c>
      <c r="J879" s="50" t="str">
        <v/>
      </c>
      <c r="K879" s="50" t="str">
        <f ca="1"/>
        <v/>
      </c>
      <c r="L879" s="19" t="str">
        <v/>
      </c>
      <c r="M879" t="str">
        <f ca="1"/>
        <v/>
      </c>
      <c r="O879" s="50" t="str">
        <f ca="1"/>
        <v/>
      </c>
    </row>
    <row r="880" spans="9:15" x14ac:dyDescent="0.2">
      <c r="I880" s="50" t="str">
        <v/>
      </c>
      <c r="J880" s="50" t="str">
        <v/>
      </c>
      <c r="K880" s="50" t="str">
        <f ca="1"/>
        <v/>
      </c>
      <c r="L880" s="19" t="str">
        <v/>
      </c>
      <c r="M880" t="str">
        <f ca="1"/>
        <v/>
      </c>
      <c r="O880" s="50" t="str">
        <f ca="1"/>
        <v/>
      </c>
    </row>
    <row r="881" spans="9:15" x14ac:dyDescent="0.2">
      <c r="I881" s="50" t="str">
        <v/>
      </c>
      <c r="J881" s="50" t="str">
        <v/>
      </c>
      <c r="K881" s="50" t="str">
        <f ca="1"/>
        <v/>
      </c>
      <c r="L881" s="19" t="str">
        <v/>
      </c>
      <c r="M881" t="str">
        <f ca="1"/>
        <v/>
      </c>
      <c r="O881" s="50" t="str">
        <f ca="1"/>
        <v/>
      </c>
    </row>
    <row r="882" spans="9:15" x14ac:dyDescent="0.2">
      <c r="I882" s="50" t="str">
        <v/>
      </c>
      <c r="J882" s="50" t="str">
        <v/>
      </c>
      <c r="K882" s="50" t="str">
        <f ca="1"/>
        <v/>
      </c>
      <c r="L882" s="19" t="str">
        <v/>
      </c>
      <c r="M882" t="str">
        <f ca="1"/>
        <v/>
      </c>
      <c r="O882" s="50" t="str">
        <f ca="1"/>
        <v/>
      </c>
    </row>
    <row r="883" spans="9:15" x14ac:dyDescent="0.2">
      <c r="I883" s="50" t="str">
        <v/>
      </c>
      <c r="J883" s="50" t="str">
        <v/>
      </c>
      <c r="K883" s="50" t="str">
        <f ca="1"/>
        <v/>
      </c>
      <c r="L883" s="19" t="str">
        <v/>
      </c>
      <c r="M883" t="str">
        <f ca="1"/>
        <v/>
      </c>
      <c r="O883" s="50" t="str">
        <f ca="1"/>
        <v/>
      </c>
    </row>
    <row r="884" spans="9:15" x14ac:dyDescent="0.2">
      <c r="I884" s="50" t="str">
        <v/>
      </c>
      <c r="J884" s="50" t="str">
        <v/>
      </c>
      <c r="K884" s="50" t="str">
        <f ca="1"/>
        <v/>
      </c>
      <c r="L884" s="19" t="str">
        <v/>
      </c>
      <c r="M884" t="str">
        <f ca="1"/>
        <v/>
      </c>
      <c r="O884" s="50" t="str">
        <f ca="1"/>
        <v/>
      </c>
    </row>
    <row r="885" spans="9:15" x14ac:dyDescent="0.2">
      <c r="I885" s="50" t="str">
        <v/>
      </c>
      <c r="J885" s="50" t="str">
        <v/>
      </c>
      <c r="K885" s="50" t="str">
        <f ca="1"/>
        <v/>
      </c>
      <c r="L885" s="19" t="str">
        <v/>
      </c>
      <c r="M885" t="str">
        <f ca="1"/>
        <v/>
      </c>
      <c r="O885" s="50" t="str">
        <f ca="1"/>
        <v/>
      </c>
    </row>
    <row r="886" spans="9:15" x14ac:dyDescent="0.2">
      <c r="I886" s="50" t="str">
        <v/>
      </c>
      <c r="J886" s="50" t="str">
        <v/>
      </c>
      <c r="K886" s="50" t="str">
        <f ca="1"/>
        <v/>
      </c>
      <c r="L886" s="19" t="str">
        <v/>
      </c>
      <c r="M886" t="str">
        <f ca="1"/>
        <v/>
      </c>
      <c r="O886" s="50" t="str">
        <f ca="1"/>
        <v/>
      </c>
    </row>
    <row r="887" spans="9:15" x14ac:dyDescent="0.2">
      <c r="I887" s="50" t="str">
        <v/>
      </c>
      <c r="J887" s="50" t="str">
        <v/>
      </c>
      <c r="K887" s="50" t="str">
        <f ca="1"/>
        <v/>
      </c>
      <c r="L887" s="19" t="str">
        <v/>
      </c>
      <c r="M887" t="str">
        <f ca="1"/>
        <v/>
      </c>
      <c r="O887" s="50" t="str">
        <f ca="1"/>
        <v/>
      </c>
    </row>
    <row r="888" spans="9:15" x14ac:dyDescent="0.2">
      <c r="I888" s="50" t="str">
        <v/>
      </c>
      <c r="J888" s="50" t="str">
        <v/>
      </c>
      <c r="K888" s="50" t="str">
        <f ca="1"/>
        <v/>
      </c>
      <c r="L888" s="19" t="str">
        <v/>
      </c>
      <c r="M888" t="str">
        <f ca="1"/>
        <v/>
      </c>
      <c r="O888" s="50" t="str">
        <f ca="1"/>
        <v/>
      </c>
    </row>
    <row r="889" spans="9:15" x14ac:dyDescent="0.2">
      <c r="I889" s="50" t="str">
        <v/>
      </c>
      <c r="J889" s="50" t="str">
        <v/>
      </c>
      <c r="K889" s="50" t="str">
        <f ca="1"/>
        <v/>
      </c>
      <c r="L889" s="19" t="str">
        <v/>
      </c>
      <c r="M889" t="str">
        <f ca="1"/>
        <v/>
      </c>
      <c r="O889" s="50" t="str">
        <f ca="1"/>
        <v/>
      </c>
    </row>
    <row r="890" spans="9:15" x14ac:dyDescent="0.2">
      <c r="I890" s="50" t="str">
        <v/>
      </c>
      <c r="J890" s="50" t="str">
        <v/>
      </c>
      <c r="K890" s="50" t="str">
        <f ca="1"/>
        <v/>
      </c>
      <c r="L890" s="19" t="str">
        <v/>
      </c>
      <c r="M890" t="str">
        <f ca="1"/>
        <v/>
      </c>
      <c r="O890" s="50" t="str">
        <f ca="1"/>
        <v/>
      </c>
    </row>
    <row r="891" spans="9:15" x14ac:dyDescent="0.2">
      <c r="I891" s="50" t="str">
        <v/>
      </c>
      <c r="J891" s="50" t="str">
        <v/>
      </c>
      <c r="K891" s="50" t="str">
        <f ca="1"/>
        <v/>
      </c>
      <c r="L891" s="19" t="str">
        <v/>
      </c>
      <c r="M891" t="str">
        <f ca="1"/>
        <v/>
      </c>
      <c r="O891" s="50" t="str">
        <f ca="1"/>
        <v/>
      </c>
    </row>
    <row r="892" spans="9:15" x14ac:dyDescent="0.2">
      <c r="I892" s="50" t="str">
        <v/>
      </c>
      <c r="J892" s="50" t="str">
        <v/>
      </c>
      <c r="K892" s="50" t="str">
        <f ca="1"/>
        <v/>
      </c>
      <c r="L892" s="19" t="str">
        <v/>
      </c>
      <c r="M892" t="str">
        <f ca="1"/>
        <v/>
      </c>
      <c r="O892" s="50" t="str">
        <f ca="1"/>
        <v/>
      </c>
    </row>
    <row r="893" spans="9:15" x14ac:dyDescent="0.2">
      <c r="I893" s="50" t="str">
        <v/>
      </c>
      <c r="J893" s="50" t="str">
        <v/>
      </c>
      <c r="K893" s="50" t="str">
        <f ca="1"/>
        <v/>
      </c>
      <c r="L893" s="19" t="str">
        <v/>
      </c>
      <c r="M893" t="str">
        <f ca="1"/>
        <v/>
      </c>
      <c r="O893" s="50" t="str">
        <f ca="1"/>
        <v/>
      </c>
    </row>
    <row r="894" spans="9:15" x14ac:dyDescent="0.2">
      <c r="I894" s="50" t="str">
        <v/>
      </c>
      <c r="J894" s="50" t="str">
        <v/>
      </c>
      <c r="K894" s="50" t="str">
        <f ca="1"/>
        <v/>
      </c>
      <c r="L894" s="19" t="str">
        <v/>
      </c>
      <c r="M894" t="str">
        <f ca="1"/>
        <v/>
      </c>
      <c r="O894" s="50" t="str">
        <f ca="1"/>
        <v/>
      </c>
    </row>
    <row r="895" spans="9:15" x14ac:dyDescent="0.2">
      <c r="I895" s="50" t="str">
        <v/>
      </c>
      <c r="J895" s="50" t="str">
        <v/>
      </c>
      <c r="K895" s="50" t="str">
        <f ca="1"/>
        <v/>
      </c>
      <c r="L895" s="19" t="str">
        <v/>
      </c>
      <c r="M895" t="str">
        <f ca="1"/>
        <v/>
      </c>
      <c r="O895" s="50" t="str">
        <f ca="1"/>
        <v/>
      </c>
    </row>
    <row r="896" spans="9:15" x14ac:dyDescent="0.2">
      <c r="I896" s="50" t="str">
        <v/>
      </c>
      <c r="J896" s="50" t="str">
        <v/>
      </c>
      <c r="K896" s="50" t="str">
        <f ca="1"/>
        <v/>
      </c>
      <c r="L896" s="19" t="str">
        <v/>
      </c>
      <c r="M896" t="str">
        <f ca="1"/>
        <v/>
      </c>
      <c r="O896" s="50" t="str">
        <f ca="1"/>
        <v/>
      </c>
    </row>
    <row r="897" spans="9:15" x14ac:dyDescent="0.2">
      <c r="I897" s="50" t="str">
        <v/>
      </c>
      <c r="J897" s="50" t="str">
        <v/>
      </c>
      <c r="K897" s="50" t="str">
        <f ca="1"/>
        <v/>
      </c>
      <c r="L897" s="19" t="str">
        <v/>
      </c>
      <c r="M897" t="str">
        <f ca="1"/>
        <v/>
      </c>
      <c r="O897" s="50" t="str">
        <f ca="1"/>
        <v/>
      </c>
    </row>
    <row r="898" spans="9:15" x14ac:dyDescent="0.2">
      <c r="I898" s="50" t="str">
        <v/>
      </c>
      <c r="J898" s="50" t="str">
        <v/>
      </c>
      <c r="K898" s="50" t="str">
        <f ca="1"/>
        <v/>
      </c>
      <c r="L898" s="19" t="str">
        <v/>
      </c>
      <c r="M898" t="str">
        <f ca="1"/>
        <v/>
      </c>
      <c r="O898" s="50" t="str">
        <f ca="1"/>
        <v/>
      </c>
    </row>
    <row r="899" spans="9:15" x14ac:dyDescent="0.2">
      <c r="I899" s="50" t="str">
        <v/>
      </c>
      <c r="J899" s="50" t="str">
        <v/>
      </c>
      <c r="K899" s="50" t="str">
        <f ca="1"/>
        <v/>
      </c>
      <c r="L899" s="19" t="str">
        <v/>
      </c>
      <c r="M899" t="str">
        <f ca="1"/>
        <v/>
      </c>
      <c r="O899" s="50" t="str">
        <f ca="1"/>
        <v/>
      </c>
    </row>
    <row r="900" spans="9:15" x14ac:dyDescent="0.2">
      <c r="I900" s="50" t="str">
        <v/>
      </c>
      <c r="J900" s="50" t="str">
        <v/>
      </c>
      <c r="K900" s="50" t="str">
        <f ca="1"/>
        <v/>
      </c>
      <c r="L900" s="19" t="str">
        <v/>
      </c>
      <c r="M900" t="str">
        <f ca="1"/>
        <v/>
      </c>
      <c r="O900" s="50" t="str">
        <f ca="1"/>
        <v/>
      </c>
    </row>
    <row r="901" spans="9:15" x14ac:dyDescent="0.2">
      <c r="I901" s="50" t="str">
        <v/>
      </c>
      <c r="J901" s="50" t="str">
        <v/>
      </c>
      <c r="K901" s="50" t="str">
        <f ca="1"/>
        <v/>
      </c>
      <c r="L901" s="19" t="str">
        <v/>
      </c>
      <c r="M901" t="str">
        <f ca="1"/>
        <v/>
      </c>
      <c r="O901" s="50" t="str">
        <f ca="1"/>
        <v/>
      </c>
    </row>
    <row r="902" spans="9:15" x14ac:dyDescent="0.2">
      <c r="I902" s="50" t="str">
        <v/>
      </c>
      <c r="J902" s="50" t="str">
        <v/>
      </c>
      <c r="K902" s="50" t="str">
        <f ca="1"/>
        <v/>
      </c>
      <c r="L902" s="19" t="str">
        <v/>
      </c>
      <c r="M902" t="str">
        <f ca="1"/>
        <v/>
      </c>
      <c r="O902" s="50" t="str">
        <f ca="1"/>
        <v/>
      </c>
    </row>
    <row r="903" spans="9:15" x14ac:dyDescent="0.2">
      <c r="I903" s="50" t="str">
        <v/>
      </c>
      <c r="J903" s="50" t="str">
        <v/>
      </c>
      <c r="K903" s="50" t="str">
        <f ca="1"/>
        <v/>
      </c>
      <c r="L903" s="19" t="str">
        <v/>
      </c>
      <c r="M903" t="str">
        <f ca="1"/>
        <v/>
      </c>
      <c r="O903" s="50" t="str">
        <f ca="1"/>
        <v/>
      </c>
    </row>
    <row r="904" spans="9:15" x14ac:dyDescent="0.2">
      <c r="I904" s="50" t="str">
        <v/>
      </c>
      <c r="J904" s="50" t="str">
        <v/>
      </c>
      <c r="K904" s="50" t="str">
        <f ca="1"/>
        <v/>
      </c>
      <c r="L904" s="19" t="str">
        <v/>
      </c>
      <c r="M904" t="str">
        <f ca="1"/>
        <v/>
      </c>
      <c r="O904" s="50" t="str">
        <f ca="1"/>
        <v/>
      </c>
    </row>
    <row r="905" spans="9:15" x14ac:dyDescent="0.2">
      <c r="I905" s="50" t="str">
        <v/>
      </c>
      <c r="J905" s="50" t="str">
        <v/>
      </c>
      <c r="K905" s="50" t="str">
        <f ca="1"/>
        <v/>
      </c>
      <c r="L905" s="19" t="str">
        <v/>
      </c>
      <c r="M905" t="str">
        <f ca="1"/>
        <v/>
      </c>
      <c r="O905" s="50" t="str">
        <f ca="1"/>
        <v/>
      </c>
    </row>
    <row r="906" spans="9:15" x14ac:dyDescent="0.2">
      <c r="I906" s="50" t="str">
        <v/>
      </c>
      <c r="J906" s="50" t="str">
        <v/>
      </c>
      <c r="K906" s="50" t="str">
        <f ca="1"/>
        <v/>
      </c>
      <c r="L906" s="19" t="str">
        <v/>
      </c>
      <c r="M906" t="str">
        <f ca="1"/>
        <v/>
      </c>
      <c r="O906" s="50" t="str">
        <f ca="1"/>
        <v/>
      </c>
    </row>
    <row r="907" spans="9:15" x14ac:dyDescent="0.2">
      <c r="I907" s="50" t="str">
        <v/>
      </c>
      <c r="J907" s="50" t="str">
        <v/>
      </c>
      <c r="K907" s="50" t="str">
        <f ca="1"/>
        <v/>
      </c>
      <c r="L907" s="19" t="str">
        <v/>
      </c>
      <c r="M907" t="str">
        <f ca="1"/>
        <v/>
      </c>
      <c r="O907" s="50" t="str">
        <f ca="1"/>
        <v/>
      </c>
    </row>
    <row r="908" spans="9:15" x14ac:dyDescent="0.2">
      <c r="I908" s="50" t="str">
        <v/>
      </c>
      <c r="J908" s="50" t="str">
        <v/>
      </c>
      <c r="K908" s="50" t="str">
        <f ca="1"/>
        <v/>
      </c>
      <c r="L908" s="19" t="str">
        <v/>
      </c>
      <c r="M908" t="str">
        <f ca="1"/>
        <v/>
      </c>
      <c r="O908" s="50" t="str">
        <f ca="1"/>
        <v/>
      </c>
    </row>
    <row r="909" spans="9:15" x14ac:dyDescent="0.2">
      <c r="I909" s="50" t="str">
        <v/>
      </c>
      <c r="J909" s="50" t="str">
        <v/>
      </c>
      <c r="K909" s="50" t="str">
        <f ca="1"/>
        <v/>
      </c>
      <c r="L909" s="19" t="str">
        <v/>
      </c>
      <c r="M909" t="str">
        <f ca="1"/>
        <v/>
      </c>
      <c r="O909" s="50" t="str">
        <f ca="1"/>
        <v/>
      </c>
    </row>
    <row r="910" spans="9:15" x14ac:dyDescent="0.2">
      <c r="I910" s="50" t="str">
        <v/>
      </c>
      <c r="J910" s="50" t="str">
        <v/>
      </c>
      <c r="K910" s="50" t="str">
        <f ca="1"/>
        <v/>
      </c>
      <c r="L910" s="19" t="str">
        <v/>
      </c>
      <c r="M910" t="str">
        <f ca="1"/>
        <v/>
      </c>
      <c r="O910" s="50" t="str">
        <f ca="1"/>
        <v/>
      </c>
    </row>
    <row r="911" spans="9:15" x14ac:dyDescent="0.2">
      <c r="I911" s="50" t="str">
        <v/>
      </c>
      <c r="J911" s="50" t="str">
        <v/>
      </c>
      <c r="K911" s="50" t="str">
        <f ca="1"/>
        <v/>
      </c>
      <c r="L911" s="19" t="str">
        <v/>
      </c>
      <c r="M911" t="str">
        <f ca="1"/>
        <v/>
      </c>
      <c r="O911" s="50" t="str">
        <f ca="1"/>
        <v/>
      </c>
    </row>
    <row r="912" spans="9:15" x14ac:dyDescent="0.2">
      <c r="I912" s="50" t="str">
        <v/>
      </c>
      <c r="J912" s="50" t="str">
        <v/>
      </c>
      <c r="K912" s="50" t="str">
        <f ca="1"/>
        <v/>
      </c>
      <c r="L912" s="19" t="str">
        <v/>
      </c>
      <c r="M912" t="str">
        <f ca="1"/>
        <v/>
      </c>
      <c r="O912" s="50" t="str">
        <f ca="1"/>
        <v/>
      </c>
    </row>
    <row r="913" spans="9:15" x14ac:dyDescent="0.2">
      <c r="I913" s="50" t="str">
        <v/>
      </c>
      <c r="J913" s="50" t="str">
        <v/>
      </c>
      <c r="K913" s="50" t="str">
        <f ca="1"/>
        <v/>
      </c>
      <c r="L913" s="19" t="str">
        <v/>
      </c>
      <c r="M913" t="str">
        <f ca="1"/>
        <v/>
      </c>
      <c r="O913" s="50" t="str">
        <f ca="1"/>
        <v/>
      </c>
    </row>
    <row r="914" spans="9:15" x14ac:dyDescent="0.2">
      <c r="I914" s="50" t="str">
        <v/>
      </c>
      <c r="J914" s="50" t="str">
        <v/>
      </c>
      <c r="K914" s="50" t="str">
        <f ca="1"/>
        <v/>
      </c>
      <c r="L914" s="19" t="str">
        <v/>
      </c>
      <c r="M914" t="str">
        <f ca="1"/>
        <v/>
      </c>
      <c r="O914" s="50" t="str">
        <f ca="1"/>
        <v/>
      </c>
    </row>
    <row r="915" spans="9:15" x14ac:dyDescent="0.2">
      <c r="I915" s="50" t="str">
        <v/>
      </c>
      <c r="J915" s="50" t="str">
        <v/>
      </c>
      <c r="K915" s="50" t="str">
        <f ca="1"/>
        <v/>
      </c>
      <c r="L915" s="19" t="str">
        <v/>
      </c>
      <c r="M915" t="str">
        <f ca="1"/>
        <v/>
      </c>
      <c r="O915" s="50" t="str">
        <f ca="1"/>
        <v/>
      </c>
    </row>
    <row r="916" spans="9:15" x14ac:dyDescent="0.2">
      <c r="I916" s="50" t="str">
        <v/>
      </c>
      <c r="J916" s="50" t="str">
        <v/>
      </c>
      <c r="K916" s="50" t="str">
        <f ca="1"/>
        <v/>
      </c>
      <c r="L916" s="19" t="str">
        <v/>
      </c>
      <c r="M916" t="str">
        <f ca="1"/>
        <v/>
      </c>
      <c r="O916" s="50" t="str">
        <f ca="1"/>
        <v/>
      </c>
    </row>
    <row r="917" spans="9:15" x14ac:dyDescent="0.2">
      <c r="I917" s="50" t="str">
        <v/>
      </c>
      <c r="J917" s="50" t="str">
        <v/>
      </c>
      <c r="K917" s="50" t="str">
        <f ca="1"/>
        <v/>
      </c>
      <c r="L917" s="19" t="str">
        <v/>
      </c>
      <c r="M917" t="str">
        <f ca="1"/>
        <v/>
      </c>
      <c r="O917" s="50" t="str">
        <f ca="1"/>
        <v/>
      </c>
    </row>
    <row r="918" spans="9:15" x14ac:dyDescent="0.2">
      <c r="I918" s="50" t="str">
        <v/>
      </c>
      <c r="J918" s="50" t="str">
        <v/>
      </c>
      <c r="K918" s="50" t="str">
        <f ca="1"/>
        <v/>
      </c>
      <c r="L918" s="19" t="str">
        <v/>
      </c>
      <c r="M918" t="str">
        <f ca="1"/>
        <v/>
      </c>
      <c r="O918" s="50" t="str">
        <f ca="1"/>
        <v/>
      </c>
    </row>
    <row r="919" spans="9:15" x14ac:dyDescent="0.2">
      <c r="I919" s="50" t="str">
        <v/>
      </c>
      <c r="J919" s="50" t="str">
        <v/>
      </c>
      <c r="K919" s="50" t="str">
        <f ca="1"/>
        <v/>
      </c>
      <c r="L919" s="19" t="str">
        <v/>
      </c>
      <c r="M919" t="str">
        <f ca="1"/>
        <v/>
      </c>
      <c r="O919" s="50" t="str">
        <f ca="1"/>
        <v/>
      </c>
    </row>
    <row r="920" spans="9:15" x14ac:dyDescent="0.2">
      <c r="I920" s="50" t="str">
        <v/>
      </c>
      <c r="J920" s="50" t="str">
        <v/>
      </c>
      <c r="K920" s="50" t="str">
        <f ca="1"/>
        <v/>
      </c>
      <c r="L920" s="19" t="str">
        <v/>
      </c>
      <c r="M920" t="str">
        <f ca="1"/>
        <v/>
      </c>
      <c r="O920" s="50" t="str">
        <f ca="1"/>
        <v/>
      </c>
    </row>
    <row r="921" spans="9:15" x14ac:dyDescent="0.2">
      <c r="I921" s="50" t="str">
        <v/>
      </c>
      <c r="J921" s="50" t="str">
        <v/>
      </c>
      <c r="K921" s="50" t="str">
        <f ca="1"/>
        <v/>
      </c>
      <c r="L921" s="19" t="str">
        <v/>
      </c>
      <c r="M921" t="str">
        <f ca="1"/>
        <v/>
      </c>
      <c r="O921" s="50" t="str">
        <f ca="1"/>
        <v/>
      </c>
    </row>
    <row r="922" spans="9:15" x14ac:dyDescent="0.2">
      <c r="I922" s="50" t="str">
        <v/>
      </c>
      <c r="J922" s="50" t="str">
        <v/>
      </c>
      <c r="K922" s="50" t="str">
        <f ca="1"/>
        <v/>
      </c>
      <c r="L922" s="19" t="str">
        <v/>
      </c>
      <c r="M922" t="str">
        <f ca="1"/>
        <v/>
      </c>
      <c r="O922" s="50" t="str">
        <f ca="1"/>
        <v/>
      </c>
    </row>
    <row r="923" spans="9:15" x14ac:dyDescent="0.2">
      <c r="I923" s="50" t="str">
        <v/>
      </c>
      <c r="J923" s="50" t="str">
        <v/>
      </c>
      <c r="K923" s="50" t="str">
        <f ca="1"/>
        <v/>
      </c>
      <c r="L923" s="19" t="str">
        <v/>
      </c>
      <c r="M923" t="str">
        <f ca="1"/>
        <v/>
      </c>
      <c r="O923" s="50" t="str">
        <f ca="1"/>
        <v/>
      </c>
    </row>
    <row r="924" spans="9:15" x14ac:dyDescent="0.2">
      <c r="I924" s="50" t="str">
        <v/>
      </c>
      <c r="J924" s="50" t="str">
        <v/>
      </c>
      <c r="K924" s="50" t="str">
        <f ca="1"/>
        <v/>
      </c>
      <c r="L924" s="19" t="str">
        <v/>
      </c>
      <c r="M924" t="str">
        <f ca="1"/>
        <v/>
      </c>
      <c r="O924" s="50" t="str">
        <f ca="1"/>
        <v/>
      </c>
    </row>
    <row r="925" spans="9:15" x14ac:dyDescent="0.2">
      <c r="I925" s="50" t="str">
        <v/>
      </c>
      <c r="J925" s="50" t="str">
        <v/>
      </c>
      <c r="K925" s="50" t="str">
        <f ca="1"/>
        <v/>
      </c>
      <c r="L925" s="19" t="str">
        <v/>
      </c>
      <c r="M925" t="str">
        <f ca="1"/>
        <v/>
      </c>
      <c r="O925" s="50" t="str">
        <f ca="1"/>
        <v/>
      </c>
    </row>
    <row r="926" spans="9:15" x14ac:dyDescent="0.2">
      <c r="I926" s="50" t="str">
        <v/>
      </c>
      <c r="J926" s="50" t="str">
        <v/>
      </c>
      <c r="K926" s="50" t="str">
        <f ca="1"/>
        <v/>
      </c>
      <c r="L926" s="19" t="str">
        <v/>
      </c>
      <c r="M926" t="str">
        <f ca="1"/>
        <v/>
      </c>
      <c r="O926" s="50" t="str">
        <f ca="1"/>
        <v/>
      </c>
    </row>
    <row r="927" spans="9:15" x14ac:dyDescent="0.2">
      <c r="I927" s="50" t="str">
        <v/>
      </c>
      <c r="J927" s="50" t="str">
        <v/>
      </c>
      <c r="K927" s="50" t="str">
        <f ca="1"/>
        <v/>
      </c>
      <c r="L927" s="19" t="str">
        <v/>
      </c>
      <c r="M927" t="str">
        <f ca="1"/>
        <v/>
      </c>
      <c r="O927" s="50" t="str">
        <f ca="1"/>
        <v/>
      </c>
    </row>
    <row r="928" spans="9:15" x14ac:dyDescent="0.2">
      <c r="I928" s="50" t="str">
        <v/>
      </c>
      <c r="J928" s="50" t="str">
        <v/>
      </c>
      <c r="K928" s="50" t="str">
        <f ca="1"/>
        <v/>
      </c>
      <c r="L928" s="19" t="str">
        <v/>
      </c>
      <c r="M928" t="str">
        <f ca="1"/>
        <v/>
      </c>
      <c r="O928" s="50" t="str">
        <f ca="1"/>
        <v/>
      </c>
    </row>
    <row r="929" spans="9:15" x14ac:dyDescent="0.2">
      <c r="I929" s="50" t="str">
        <v/>
      </c>
      <c r="J929" s="50" t="str">
        <v/>
      </c>
      <c r="K929" s="50" t="str">
        <f ca="1"/>
        <v/>
      </c>
      <c r="L929" s="19" t="str">
        <v/>
      </c>
      <c r="M929" t="str">
        <f ca="1"/>
        <v/>
      </c>
      <c r="O929" s="50" t="str">
        <f ca="1"/>
        <v/>
      </c>
    </row>
    <row r="930" spans="9:15" x14ac:dyDescent="0.2">
      <c r="I930" s="50" t="str">
        <v/>
      </c>
      <c r="J930" s="50" t="str">
        <v/>
      </c>
      <c r="K930" s="50" t="str">
        <f ca="1"/>
        <v/>
      </c>
      <c r="L930" s="19" t="str">
        <v/>
      </c>
      <c r="M930" t="str">
        <f ca="1"/>
        <v/>
      </c>
      <c r="O930" s="50" t="str">
        <f ca="1"/>
        <v/>
      </c>
    </row>
    <row r="931" spans="9:15" x14ac:dyDescent="0.2">
      <c r="I931" s="50" t="str">
        <v/>
      </c>
      <c r="J931" s="50" t="str">
        <v/>
      </c>
      <c r="K931" s="50" t="str">
        <f ca="1"/>
        <v/>
      </c>
      <c r="L931" s="19" t="str">
        <v/>
      </c>
      <c r="M931" t="str">
        <f ca="1"/>
        <v/>
      </c>
      <c r="O931" s="50" t="str">
        <f ca="1"/>
        <v/>
      </c>
    </row>
    <row r="932" spans="9:15" x14ac:dyDescent="0.2">
      <c r="I932" s="50" t="str">
        <v/>
      </c>
      <c r="J932" s="50" t="str">
        <v/>
      </c>
      <c r="K932" s="50" t="str">
        <f ca="1"/>
        <v/>
      </c>
      <c r="L932" s="19" t="str">
        <v/>
      </c>
      <c r="M932" t="str">
        <f ca="1"/>
        <v/>
      </c>
      <c r="O932" s="50" t="str">
        <f ca="1"/>
        <v/>
      </c>
    </row>
    <row r="933" spans="9:15" x14ac:dyDescent="0.2">
      <c r="I933" s="50" t="str">
        <v/>
      </c>
      <c r="J933" s="50" t="str">
        <v/>
      </c>
      <c r="K933" s="50" t="str">
        <f ca="1"/>
        <v/>
      </c>
      <c r="L933" s="19" t="str">
        <v/>
      </c>
      <c r="M933" t="str">
        <f ca="1"/>
        <v/>
      </c>
      <c r="O933" s="50" t="str">
        <f ca="1"/>
        <v/>
      </c>
    </row>
    <row r="934" spans="9:15" x14ac:dyDescent="0.2">
      <c r="I934" s="50" t="str">
        <v/>
      </c>
      <c r="J934" s="50" t="str">
        <v/>
      </c>
      <c r="K934" s="50" t="str">
        <f ca="1"/>
        <v/>
      </c>
      <c r="L934" s="19" t="str">
        <v/>
      </c>
      <c r="M934" t="str">
        <f ca="1"/>
        <v/>
      </c>
      <c r="O934" s="50" t="str">
        <f ca="1"/>
        <v/>
      </c>
    </row>
    <row r="935" spans="9:15" x14ac:dyDescent="0.2">
      <c r="I935" s="50" t="str">
        <v/>
      </c>
      <c r="J935" s="50" t="str">
        <v/>
      </c>
      <c r="K935" s="50" t="str">
        <f ca="1"/>
        <v/>
      </c>
      <c r="L935" s="19" t="str">
        <v/>
      </c>
      <c r="M935" t="str">
        <f ca="1"/>
        <v/>
      </c>
      <c r="O935" s="50" t="str">
        <f ca="1"/>
        <v/>
      </c>
    </row>
    <row r="936" spans="9:15" x14ac:dyDescent="0.2">
      <c r="I936" s="50" t="str">
        <v/>
      </c>
      <c r="J936" s="50" t="str">
        <v/>
      </c>
      <c r="K936" s="50" t="str">
        <f ca="1"/>
        <v/>
      </c>
      <c r="L936" s="19" t="str">
        <v/>
      </c>
      <c r="M936" t="str">
        <f ca="1"/>
        <v/>
      </c>
      <c r="O936" s="50" t="str">
        <f ca="1"/>
        <v/>
      </c>
    </row>
    <row r="937" spans="9:15" x14ac:dyDescent="0.2">
      <c r="I937" s="50" t="str">
        <v/>
      </c>
      <c r="J937" s="50" t="str">
        <v/>
      </c>
      <c r="K937" s="50" t="str">
        <f ca="1"/>
        <v/>
      </c>
      <c r="L937" s="19" t="str">
        <v/>
      </c>
      <c r="M937" t="str">
        <f ca="1"/>
        <v/>
      </c>
      <c r="O937" s="50" t="str">
        <f ca="1"/>
        <v/>
      </c>
    </row>
    <row r="938" spans="9:15" x14ac:dyDescent="0.2">
      <c r="I938" s="50" t="str">
        <v/>
      </c>
      <c r="J938" s="50" t="str">
        <v/>
      </c>
      <c r="K938" s="50" t="str">
        <f ca="1"/>
        <v/>
      </c>
      <c r="L938" s="19" t="str">
        <v/>
      </c>
      <c r="M938" t="str">
        <f ca="1"/>
        <v/>
      </c>
      <c r="O938" s="50" t="str">
        <f ca="1"/>
        <v/>
      </c>
    </row>
    <row r="939" spans="9:15" x14ac:dyDescent="0.2">
      <c r="I939" s="50" t="str">
        <v/>
      </c>
      <c r="J939" s="50" t="str">
        <v/>
      </c>
      <c r="K939" s="50" t="str">
        <f ca="1"/>
        <v/>
      </c>
      <c r="L939" s="19" t="str">
        <v/>
      </c>
      <c r="M939" t="str">
        <f ca="1"/>
        <v/>
      </c>
      <c r="O939" s="50" t="str">
        <f ca="1"/>
        <v/>
      </c>
    </row>
    <row r="940" spans="9:15" x14ac:dyDescent="0.2">
      <c r="I940" s="50" t="str">
        <v/>
      </c>
      <c r="J940" s="50" t="str">
        <v/>
      </c>
      <c r="K940" s="50" t="str">
        <f ca="1"/>
        <v/>
      </c>
      <c r="L940" s="19" t="str">
        <v/>
      </c>
      <c r="M940" t="str">
        <f ca="1"/>
        <v/>
      </c>
      <c r="O940" s="50" t="str">
        <f ca="1"/>
        <v/>
      </c>
    </row>
    <row r="941" spans="9:15" x14ac:dyDescent="0.2">
      <c r="I941" s="50" t="str">
        <v/>
      </c>
      <c r="J941" s="50" t="str">
        <v/>
      </c>
      <c r="K941" s="50" t="str">
        <f ca="1"/>
        <v/>
      </c>
      <c r="L941" s="19" t="str">
        <v/>
      </c>
      <c r="M941" t="str">
        <f ca="1"/>
        <v/>
      </c>
      <c r="O941" s="50" t="str">
        <f ca="1"/>
        <v/>
      </c>
    </row>
    <row r="942" spans="9:15" x14ac:dyDescent="0.2">
      <c r="I942" s="50" t="str">
        <v/>
      </c>
      <c r="J942" s="50" t="str">
        <v/>
      </c>
      <c r="K942" s="50" t="str">
        <f ca="1"/>
        <v/>
      </c>
      <c r="L942" s="19" t="str">
        <v/>
      </c>
      <c r="M942" t="str">
        <f ca="1"/>
        <v/>
      </c>
      <c r="O942" s="50" t="str">
        <f ca="1"/>
        <v/>
      </c>
    </row>
    <row r="943" spans="9:15" x14ac:dyDescent="0.2">
      <c r="I943" s="50" t="str">
        <v/>
      </c>
      <c r="J943" s="50" t="str">
        <v/>
      </c>
      <c r="K943" s="50" t="str">
        <f ca="1"/>
        <v/>
      </c>
      <c r="L943" s="19" t="str">
        <v/>
      </c>
      <c r="M943" t="str">
        <f ca="1"/>
        <v/>
      </c>
      <c r="O943" s="50" t="str">
        <f ca="1"/>
        <v/>
      </c>
    </row>
    <row r="944" spans="9:15" x14ac:dyDescent="0.2">
      <c r="I944" s="50" t="str">
        <v/>
      </c>
      <c r="J944" s="50" t="str">
        <v/>
      </c>
      <c r="K944" s="50" t="str">
        <f ca="1"/>
        <v/>
      </c>
      <c r="L944" s="19" t="str">
        <v/>
      </c>
      <c r="M944" t="str">
        <f ca="1"/>
        <v/>
      </c>
      <c r="O944" s="50" t="str">
        <f ca="1"/>
        <v/>
      </c>
    </row>
    <row r="945" spans="9:15" x14ac:dyDescent="0.2">
      <c r="I945" s="50" t="str">
        <v/>
      </c>
      <c r="J945" s="50" t="str">
        <v/>
      </c>
      <c r="K945" s="50" t="str">
        <f ca="1"/>
        <v/>
      </c>
      <c r="L945" s="19" t="str">
        <v/>
      </c>
      <c r="M945" t="str">
        <f ca="1"/>
        <v/>
      </c>
      <c r="O945" s="50" t="str">
        <f ca="1"/>
        <v/>
      </c>
    </row>
    <row r="946" spans="9:15" x14ac:dyDescent="0.2">
      <c r="I946" s="50" t="str">
        <v/>
      </c>
      <c r="J946" s="50" t="str">
        <v/>
      </c>
      <c r="K946" s="50" t="str">
        <f ca="1"/>
        <v/>
      </c>
      <c r="L946" s="19" t="str">
        <v/>
      </c>
      <c r="M946" t="str">
        <f ca="1"/>
        <v/>
      </c>
      <c r="O946" s="50" t="str">
        <f ca="1"/>
        <v/>
      </c>
    </row>
    <row r="947" spans="9:15" x14ac:dyDescent="0.2">
      <c r="I947" s="50" t="str">
        <v/>
      </c>
      <c r="J947" s="50" t="str">
        <v/>
      </c>
      <c r="K947" s="50" t="str">
        <f ca="1"/>
        <v/>
      </c>
      <c r="L947" s="19" t="str">
        <v/>
      </c>
      <c r="M947" t="str">
        <f ca="1"/>
        <v/>
      </c>
      <c r="O947" s="50" t="str">
        <f ca="1"/>
        <v/>
      </c>
    </row>
    <row r="948" spans="9:15" x14ac:dyDescent="0.2">
      <c r="I948" s="50" t="str">
        <v/>
      </c>
      <c r="J948" s="50" t="str">
        <v/>
      </c>
      <c r="K948" s="50" t="str">
        <f ca="1"/>
        <v/>
      </c>
      <c r="L948" s="19" t="str">
        <v/>
      </c>
      <c r="M948" t="str">
        <f ca="1"/>
        <v/>
      </c>
      <c r="O948" s="50" t="str">
        <f ca="1"/>
        <v/>
      </c>
    </row>
    <row r="949" spans="9:15" x14ac:dyDescent="0.2">
      <c r="I949" s="50" t="str">
        <v/>
      </c>
      <c r="J949" s="50" t="str">
        <v/>
      </c>
      <c r="K949" s="50" t="str">
        <f ca="1"/>
        <v/>
      </c>
      <c r="L949" s="19" t="str">
        <v/>
      </c>
      <c r="M949" t="str">
        <f ca="1"/>
        <v/>
      </c>
      <c r="O949" s="50" t="str">
        <f ca="1"/>
        <v/>
      </c>
    </row>
    <row r="950" spans="9:15" x14ac:dyDescent="0.2">
      <c r="I950" s="50" t="str">
        <v/>
      </c>
      <c r="J950" s="50" t="str">
        <v/>
      </c>
      <c r="K950" s="50" t="str">
        <f ca="1"/>
        <v/>
      </c>
      <c r="L950" s="19" t="str">
        <v/>
      </c>
      <c r="M950" t="str">
        <f ca="1"/>
        <v/>
      </c>
      <c r="O950" s="50" t="str">
        <f ca="1"/>
        <v/>
      </c>
    </row>
    <row r="951" spans="9:15" x14ac:dyDescent="0.2">
      <c r="I951" s="50" t="str">
        <v/>
      </c>
      <c r="J951" s="50" t="str">
        <v/>
      </c>
      <c r="K951" s="50" t="str">
        <f ca="1"/>
        <v/>
      </c>
      <c r="L951" s="19" t="str">
        <v/>
      </c>
      <c r="M951" t="str">
        <f ca="1"/>
        <v/>
      </c>
      <c r="O951" s="50" t="str">
        <f ca="1"/>
        <v/>
      </c>
    </row>
    <row r="952" spans="9:15" x14ac:dyDescent="0.2">
      <c r="I952" s="50" t="str">
        <v/>
      </c>
      <c r="J952" s="50" t="str">
        <v/>
      </c>
      <c r="K952" s="50" t="str">
        <f ca="1"/>
        <v/>
      </c>
      <c r="L952" s="19" t="str">
        <v/>
      </c>
      <c r="M952" t="str">
        <f ca="1"/>
        <v/>
      </c>
      <c r="O952" s="50" t="str">
        <f ca="1"/>
        <v/>
      </c>
    </row>
    <row r="953" spans="9:15" x14ac:dyDescent="0.2">
      <c r="I953" s="50" t="str">
        <v/>
      </c>
      <c r="J953" s="50" t="str">
        <v/>
      </c>
      <c r="K953" s="50" t="str">
        <f ca="1"/>
        <v/>
      </c>
      <c r="L953" s="19" t="str">
        <v/>
      </c>
      <c r="M953" t="str">
        <f ca="1"/>
        <v/>
      </c>
      <c r="O953" s="50" t="str">
        <f ca="1"/>
        <v/>
      </c>
    </row>
    <row r="954" spans="9:15" x14ac:dyDescent="0.2">
      <c r="I954" s="50" t="str">
        <v/>
      </c>
      <c r="J954" s="50" t="str">
        <v/>
      </c>
      <c r="K954" s="50" t="str">
        <f ca="1"/>
        <v/>
      </c>
      <c r="L954" s="19" t="str">
        <v/>
      </c>
      <c r="M954" t="str">
        <f ca="1"/>
        <v/>
      </c>
      <c r="O954" s="50" t="str">
        <f ca="1"/>
        <v/>
      </c>
    </row>
    <row r="955" spans="9:15" x14ac:dyDescent="0.2">
      <c r="I955" s="50" t="str">
        <v/>
      </c>
      <c r="J955" s="50" t="str">
        <v/>
      </c>
      <c r="K955" s="50" t="str">
        <f ca="1"/>
        <v/>
      </c>
      <c r="L955" s="19" t="str">
        <v/>
      </c>
      <c r="M955" t="str">
        <f ca="1"/>
        <v/>
      </c>
      <c r="O955" s="50" t="str">
        <f ca="1"/>
        <v/>
      </c>
    </row>
    <row r="956" spans="9:15" x14ac:dyDescent="0.2">
      <c r="I956" s="50" t="str">
        <v/>
      </c>
      <c r="J956" s="50" t="str">
        <v/>
      </c>
      <c r="K956" s="50" t="str">
        <f ca="1"/>
        <v/>
      </c>
      <c r="L956" s="19" t="str">
        <v/>
      </c>
      <c r="M956" t="str">
        <f ca="1"/>
        <v/>
      </c>
      <c r="O956" s="50" t="str">
        <f ca="1"/>
        <v/>
      </c>
    </row>
    <row r="957" spans="9:15" x14ac:dyDescent="0.2">
      <c r="I957" s="50" t="str">
        <v/>
      </c>
      <c r="J957" s="50" t="str">
        <v/>
      </c>
      <c r="K957" s="50" t="str">
        <f ca="1"/>
        <v/>
      </c>
      <c r="L957" s="19" t="str">
        <v/>
      </c>
      <c r="M957" t="str">
        <f ca="1"/>
        <v/>
      </c>
      <c r="O957" s="50" t="str">
        <f ca="1"/>
        <v/>
      </c>
    </row>
    <row r="958" spans="9:15" x14ac:dyDescent="0.2">
      <c r="I958" s="50" t="str">
        <v/>
      </c>
      <c r="J958" s="50" t="str">
        <v/>
      </c>
      <c r="K958" s="50" t="str">
        <f ca="1"/>
        <v/>
      </c>
      <c r="L958" s="19" t="str">
        <v/>
      </c>
      <c r="M958" t="str">
        <f ca="1"/>
        <v/>
      </c>
      <c r="O958" s="50" t="str">
        <f ca="1"/>
        <v/>
      </c>
    </row>
    <row r="959" spans="9:15" x14ac:dyDescent="0.2">
      <c r="I959" s="50" t="str">
        <v/>
      </c>
      <c r="J959" s="50" t="str">
        <v/>
      </c>
      <c r="K959" s="50" t="str">
        <f ca="1"/>
        <v/>
      </c>
      <c r="L959" s="19" t="str">
        <v/>
      </c>
      <c r="M959" t="str">
        <f ca="1"/>
        <v/>
      </c>
      <c r="O959" s="50" t="str">
        <f ca="1"/>
        <v/>
      </c>
    </row>
    <row r="960" spans="9:15" x14ac:dyDescent="0.2">
      <c r="I960" s="50" t="str">
        <v/>
      </c>
      <c r="J960" s="50" t="str">
        <v/>
      </c>
      <c r="K960" s="50" t="str">
        <f ca="1"/>
        <v/>
      </c>
      <c r="L960" s="19" t="str">
        <v/>
      </c>
      <c r="M960" t="str">
        <f ca="1"/>
        <v/>
      </c>
      <c r="O960" s="50" t="str">
        <f ca="1"/>
        <v/>
      </c>
    </row>
    <row r="961" spans="9:15" x14ac:dyDescent="0.2">
      <c r="I961" s="50" t="str">
        <v/>
      </c>
      <c r="J961" s="50" t="str">
        <v/>
      </c>
      <c r="K961" s="50" t="str">
        <f ca="1"/>
        <v/>
      </c>
      <c r="L961" s="19" t="str">
        <v/>
      </c>
      <c r="M961" t="str">
        <f ca="1"/>
        <v/>
      </c>
      <c r="O961" s="50" t="str">
        <f ca="1"/>
        <v/>
      </c>
    </row>
    <row r="962" spans="9:15" x14ac:dyDescent="0.2">
      <c r="I962" s="50" t="str">
        <v/>
      </c>
      <c r="J962" s="50" t="str">
        <v/>
      </c>
      <c r="K962" s="50" t="str">
        <f ca="1"/>
        <v/>
      </c>
      <c r="L962" s="19" t="str">
        <v/>
      </c>
      <c r="M962" t="str">
        <f ca="1"/>
        <v/>
      </c>
      <c r="O962" s="50" t="str">
        <f ca="1"/>
        <v/>
      </c>
    </row>
    <row r="963" spans="9:15" x14ac:dyDescent="0.2">
      <c r="I963" s="50" t="str">
        <v/>
      </c>
      <c r="J963" s="50" t="str">
        <v/>
      </c>
      <c r="K963" s="50" t="str">
        <f ca="1"/>
        <v/>
      </c>
      <c r="L963" s="19" t="str">
        <v/>
      </c>
      <c r="M963" t="str">
        <f ca="1"/>
        <v/>
      </c>
      <c r="O963" s="50" t="str">
        <f ca="1"/>
        <v/>
      </c>
    </row>
    <row r="964" spans="9:15" x14ac:dyDescent="0.2">
      <c r="I964" s="50" t="str">
        <v/>
      </c>
      <c r="J964" s="50" t="str">
        <v/>
      </c>
      <c r="K964" s="50" t="str">
        <f ca="1"/>
        <v/>
      </c>
      <c r="L964" s="19" t="str">
        <v/>
      </c>
      <c r="M964" t="str">
        <f ca="1"/>
        <v/>
      </c>
      <c r="O964" s="50" t="str">
        <f ca="1"/>
        <v/>
      </c>
    </row>
    <row r="965" spans="9:15" x14ac:dyDescent="0.2">
      <c r="I965" s="50" t="str">
        <v/>
      </c>
      <c r="J965" s="50" t="str">
        <v/>
      </c>
      <c r="K965" s="50" t="str">
        <f ca="1"/>
        <v/>
      </c>
      <c r="L965" s="19" t="str">
        <v/>
      </c>
      <c r="M965" t="str">
        <f ca="1"/>
        <v/>
      </c>
      <c r="O965" s="50" t="str">
        <f ca="1"/>
        <v/>
      </c>
    </row>
    <row r="966" spans="9:15" x14ac:dyDescent="0.2">
      <c r="I966" s="50" t="str">
        <v/>
      </c>
      <c r="J966" s="50" t="str">
        <v/>
      </c>
      <c r="K966" s="50" t="str">
        <f ca="1"/>
        <v/>
      </c>
      <c r="L966" s="19" t="str">
        <v/>
      </c>
      <c r="M966" t="str">
        <f ca="1"/>
        <v/>
      </c>
      <c r="O966" s="50" t="str">
        <f ca="1"/>
        <v/>
      </c>
    </row>
    <row r="967" spans="9:15" x14ac:dyDescent="0.2">
      <c r="I967" s="50" t="str">
        <v/>
      </c>
      <c r="J967" s="50" t="str">
        <v/>
      </c>
      <c r="K967" s="50" t="str">
        <f ca="1"/>
        <v/>
      </c>
      <c r="L967" s="19" t="str">
        <v/>
      </c>
      <c r="M967" t="str">
        <f ca="1"/>
        <v/>
      </c>
      <c r="O967" s="50" t="str">
        <f ca="1"/>
        <v/>
      </c>
    </row>
    <row r="968" spans="9:15" x14ac:dyDescent="0.2">
      <c r="I968" s="50" t="str">
        <v/>
      </c>
      <c r="J968" s="50" t="str">
        <v/>
      </c>
      <c r="K968" s="50" t="str">
        <f ca="1"/>
        <v/>
      </c>
      <c r="L968" s="19" t="str">
        <v/>
      </c>
      <c r="M968" t="str">
        <f ca="1"/>
        <v/>
      </c>
      <c r="O968" s="50" t="str">
        <f ca="1"/>
        <v/>
      </c>
    </row>
    <row r="969" spans="9:15" x14ac:dyDescent="0.2">
      <c r="I969" s="50" t="str">
        <v/>
      </c>
      <c r="J969" s="50" t="str">
        <v/>
      </c>
      <c r="K969" s="50" t="str">
        <f ca="1"/>
        <v/>
      </c>
      <c r="L969" s="19" t="str">
        <v/>
      </c>
      <c r="M969" t="str">
        <f ca="1"/>
        <v/>
      </c>
      <c r="O969" s="50" t="str">
        <f ca="1"/>
        <v/>
      </c>
    </row>
    <row r="970" spans="9:15" x14ac:dyDescent="0.2">
      <c r="I970" s="50" t="str">
        <v/>
      </c>
      <c r="J970" s="50" t="str">
        <v/>
      </c>
      <c r="K970" s="50" t="str">
        <f ca="1"/>
        <v/>
      </c>
      <c r="L970" s="19" t="str">
        <v/>
      </c>
      <c r="M970" t="str">
        <f ca="1"/>
        <v/>
      </c>
      <c r="O970" s="50" t="str">
        <f ca="1"/>
        <v/>
      </c>
    </row>
    <row r="971" spans="9:15" x14ac:dyDescent="0.2">
      <c r="I971" s="50" t="str">
        <v/>
      </c>
      <c r="J971" s="50" t="str">
        <v/>
      </c>
      <c r="K971" s="50" t="str">
        <f ca="1"/>
        <v/>
      </c>
      <c r="L971" s="19" t="str">
        <v/>
      </c>
      <c r="M971" t="str">
        <f ca="1"/>
        <v/>
      </c>
      <c r="O971" s="50" t="str">
        <f ca="1"/>
        <v/>
      </c>
    </row>
    <row r="972" spans="9:15" x14ac:dyDescent="0.2">
      <c r="I972" s="50" t="str">
        <v/>
      </c>
      <c r="J972" s="50" t="str">
        <v/>
      </c>
      <c r="K972" s="50" t="str">
        <f ca="1"/>
        <v/>
      </c>
      <c r="L972" s="19" t="str">
        <v/>
      </c>
      <c r="M972" t="str">
        <f ca="1"/>
        <v/>
      </c>
      <c r="O972" s="50" t="str">
        <f ca="1"/>
        <v/>
      </c>
    </row>
    <row r="973" spans="9:15" x14ac:dyDescent="0.2">
      <c r="I973" s="50" t="str">
        <v/>
      </c>
      <c r="J973" s="50" t="str">
        <v/>
      </c>
      <c r="K973" s="50" t="str">
        <f ca="1"/>
        <v/>
      </c>
      <c r="L973" s="19" t="str">
        <v/>
      </c>
      <c r="M973" t="str">
        <f ca="1"/>
        <v/>
      </c>
      <c r="O973" s="50" t="str">
        <f ca="1"/>
        <v/>
      </c>
    </row>
    <row r="974" spans="9:15" x14ac:dyDescent="0.2">
      <c r="I974" s="50" t="str">
        <v/>
      </c>
      <c r="J974" s="50" t="str">
        <v/>
      </c>
      <c r="K974" s="50" t="str">
        <f ca="1"/>
        <v/>
      </c>
      <c r="L974" s="19" t="str">
        <v/>
      </c>
      <c r="M974" t="str">
        <f ca="1"/>
        <v/>
      </c>
      <c r="O974" s="50" t="str">
        <f ca="1"/>
        <v/>
      </c>
    </row>
    <row r="975" spans="9:15" x14ac:dyDescent="0.2">
      <c r="I975" s="50" t="str">
        <v/>
      </c>
      <c r="J975" s="50" t="str">
        <v/>
      </c>
      <c r="K975" s="50" t="str">
        <f ca="1"/>
        <v/>
      </c>
      <c r="L975" s="19" t="str">
        <v/>
      </c>
      <c r="M975" t="str">
        <f ca="1"/>
        <v/>
      </c>
      <c r="O975" s="50" t="str">
        <f ca="1"/>
        <v/>
      </c>
    </row>
    <row r="976" spans="9:15" x14ac:dyDescent="0.2">
      <c r="I976" s="50" t="str">
        <v/>
      </c>
      <c r="J976" s="50" t="str">
        <v/>
      </c>
      <c r="K976" s="50" t="str">
        <f ca="1"/>
        <v/>
      </c>
      <c r="L976" s="19" t="str">
        <v/>
      </c>
      <c r="M976" t="str">
        <f ca="1"/>
        <v/>
      </c>
      <c r="O976" s="50" t="str">
        <f ca="1"/>
        <v/>
      </c>
    </row>
    <row r="977" spans="9:15" x14ac:dyDescent="0.2">
      <c r="I977" s="50" t="str">
        <v/>
      </c>
      <c r="J977" s="50" t="str">
        <v/>
      </c>
      <c r="K977" s="50" t="str">
        <f ca="1"/>
        <v/>
      </c>
      <c r="L977" s="19" t="str">
        <v/>
      </c>
      <c r="M977" t="str">
        <f ca="1"/>
        <v/>
      </c>
      <c r="O977" s="50" t="str">
        <f ca="1"/>
        <v/>
      </c>
    </row>
    <row r="978" spans="9:15" x14ac:dyDescent="0.2">
      <c r="I978" s="50" t="str">
        <v/>
      </c>
      <c r="J978" s="50" t="str">
        <v/>
      </c>
      <c r="K978" s="50" t="str">
        <f ca="1"/>
        <v/>
      </c>
      <c r="L978" s="19" t="str">
        <v/>
      </c>
      <c r="M978" t="str">
        <f ca="1"/>
        <v/>
      </c>
      <c r="O978" s="50" t="str">
        <f ca="1"/>
        <v/>
      </c>
    </row>
    <row r="979" spans="9:15" x14ac:dyDescent="0.2">
      <c r="I979" s="50" t="str">
        <v/>
      </c>
      <c r="J979" s="50" t="str">
        <v/>
      </c>
      <c r="K979" s="50" t="str">
        <f ca="1"/>
        <v/>
      </c>
      <c r="L979" s="19" t="str">
        <v/>
      </c>
      <c r="M979" t="str">
        <f ca="1"/>
        <v/>
      </c>
      <c r="O979" s="50" t="str">
        <f ca="1"/>
        <v/>
      </c>
    </row>
    <row r="980" spans="9:15" x14ac:dyDescent="0.2">
      <c r="I980" s="50" t="str">
        <v/>
      </c>
      <c r="J980" s="50" t="str">
        <v/>
      </c>
      <c r="K980" s="50" t="str">
        <f ca="1"/>
        <v/>
      </c>
      <c r="L980" s="19" t="str">
        <v/>
      </c>
      <c r="M980" t="str">
        <f ca="1"/>
        <v/>
      </c>
      <c r="O980" s="50" t="str">
        <f ca="1"/>
        <v/>
      </c>
    </row>
    <row r="981" spans="9:15" x14ac:dyDescent="0.2">
      <c r="I981" s="50" t="str">
        <v/>
      </c>
      <c r="J981" s="50" t="str">
        <v/>
      </c>
      <c r="K981" s="50" t="str">
        <f ca="1"/>
        <v/>
      </c>
      <c r="L981" s="19" t="str">
        <v/>
      </c>
      <c r="M981" t="str">
        <f ca="1"/>
        <v/>
      </c>
      <c r="O981" s="50" t="str">
        <f ca="1"/>
        <v/>
      </c>
    </row>
    <row r="982" spans="9:15" x14ac:dyDescent="0.2">
      <c r="I982" s="50" t="str">
        <v/>
      </c>
      <c r="J982" s="50" t="str">
        <v/>
      </c>
      <c r="K982" s="50" t="str">
        <f ca="1"/>
        <v/>
      </c>
      <c r="L982" s="19" t="str">
        <v/>
      </c>
      <c r="M982" t="str">
        <f ca="1"/>
        <v/>
      </c>
      <c r="O982" s="50" t="str">
        <f ca="1"/>
        <v/>
      </c>
    </row>
    <row r="983" spans="9:15" x14ac:dyDescent="0.2">
      <c r="I983" s="50" t="str">
        <v/>
      </c>
      <c r="J983" s="50" t="str">
        <v/>
      </c>
      <c r="K983" s="50" t="str">
        <f ca="1"/>
        <v/>
      </c>
      <c r="L983" s="19" t="str">
        <v/>
      </c>
      <c r="M983" t="str">
        <f ca="1"/>
        <v/>
      </c>
      <c r="O983" s="50" t="str">
        <f ca="1"/>
        <v/>
      </c>
    </row>
    <row r="984" spans="9:15" x14ac:dyDescent="0.2">
      <c r="I984" s="50" t="str">
        <v/>
      </c>
      <c r="J984" s="50" t="str">
        <v/>
      </c>
      <c r="K984" s="50" t="str">
        <f ca="1"/>
        <v/>
      </c>
      <c r="L984" s="19" t="str">
        <v/>
      </c>
      <c r="M984" t="str">
        <f ca="1"/>
        <v/>
      </c>
      <c r="O984" s="50" t="str">
        <f ca="1"/>
        <v/>
      </c>
    </row>
    <row r="985" spans="9:15" x14ac:dyDescent="0.2">
      <c r="I985" s="50" t="str">
        <v/>
      </c>
      <c r="J985" s="50" t="str">
        <v/>
      </c>
      <c r="K985" s="50" t="str">
        <f ca="1"/>
        <v/>
      </c>
      <c r="L985" s="19" t="str">
        <v/>
      </c>
      <c r="M985" t="str">
        <f ca="1"/>
        <v/>
      </c>
      <c r="O985" s="50" t="str">
        <f ca="1"/>
        <v/>
      </c>
    </row>
    <row r="986" spans="9:15" x14ac:dyDescent="0.2">
      <c r="I986" s="50" t="str">
        <v/>
      </c>
      <c r="J986" s="50" t="str">
        <v/>
      </c>
      <c r="K986" s="50" t="str">
        <f ca="1"/>
        <v/>
      </c>
      <c r="L986" s="19" t="str">
        <v/>
      </c>
      <c r="M986" t="str">
        <f ca="1"/>
        <v/>
      </c>
      <c r="O986" s="50" t="str">
        <f ca="1"/>
        <v/>
      </c>
    </row>
    <row r="987" spans="9:15" x14ac:dyDescent="0.2">
      <c r="I987" s="50" t="str">
        <v/>
      </c>
      <c r="J987" s="50" t="str">
        <v/>
      </c>
      <c r="K987" s="50" t="str">
        <f ca="1"/>
        <v/>
      </c>
      <c r="L987" s="19" t="str">
        <v/>
      </c>
      <c r="M987" t="str">
        <f ca="1"/>
        <v/>
      </c>
      <c r="O987" s="50" t="str">
        <f ca="1"/>
        <v/>
      </c>
    </row>
    <row r="988" spans="9:15" x14ac:dyDescent="0.2">
      <c r="I988" s="50" t="str">
        <v/>
      </c>
      <c r="J988" s="50" t="str">
        <v/>
      </c>
      <c r="K988" s="50" t="str">
        <f ca="1"/>
        <v/>
      </c>
      <c r="L988" s="19" t="str">
        <v/>
      </c>
      <c r="M988" t="str">
        <f ca="1"/>
        <v/>
      </c>
      <c r="O988" s="50" t="str">
        <f ca="1"/>
        <v/>
      </c>
    </row>
    <row r="989" spans="9:15" x14ac:dyDescent="0.2">
      <c r="I989" s="50" t="str">
        <v/>
      </c>
      <c r="J989" s="50" t="str">
        <v/>
      </c>
      <c r="K989" s="50" t="str">
        <f ca="1"/>
        <v/>
      </c>
      <c r="L989" s="19" t="str">
        <v/>
      </c>
      <c r="M989" t="str">
        <f ca="1"/>
        <v/>
      </c>
      <c r="O989" s="50" t="str">
        <f ca="1"/>
        <v/>
      </c>
    </row>
    <row r="990" spans="9:15" x14ac:dyDescent="0.2">
      <c r="I990" s="50" t="str">
        <v/>
      </c>
      <c r="J990" s="50" t="str">
        <v/>
      </c>
      <c r="K990" s="50" t="str">
        <f ca="1"/>
        <v/>
      </c>
      <c r="L990" s="19" t="str">
        <v/>
      </c>
      <c r="M990" t="str">
        <f ca="1"/>
        <v/>
      </c>
      <c r="O990" s="50" t="str">
        <f ca="1"/>
        <v/>
      </c>
    </row>
    <row r="991" spans="9:15" x14ac:dyDescent="0.2">
      <c r="I991" s="50" t="str">
        <v/>
      </c>
      <c r="J991" s="50" t="str">
        <v/>
      </c>
      <c r="K991" s="50" t="str">
        <f ca="1"/>
        <v/>
      </c>
      <c r="L991" s="19" t="str">
        <v/>
      </c>
      <c r="M991" t="str">
        <f ca="1"/>
        <v/>
      </c>
      <c r="O991" s="50" t="str">
        <f ca="1"/>
        <v/>
      </c>
    </row>
    <row r="992" spans="9:15" x14ac:dyDescent="0.2">
      <c r="I992" s="50" t="str">
        <v/>
      </c>
      <c r="J992" s="50" t="str">
        <v/>
      </c>
      <c r="K992" s="50" t="str">
        <f ca="1"/>
        <v/>
      </c>
      <c r="L992" s="19" t="str">
        <v/>
      </c>
      <c r="M992" t="str">
        <f ca="1"/>
        <v/>
      </c>
      <c r="O992" s="50" t="str">
        <f ca="1"/>
        <v/>
      </c>
    </row>
    <row r="993" spans="9:15" x14ac:dyDescent="0.2">
      <c r="I993" s="50" t="str">
        <v/>
      </c>
      <c r="J993" s="50" t="str">
        <v/>
      </c>
      <c r="K993" s="50" t="str">
        <f ca="1"/>
        <v/>
      </c>
      <c r="L993" s="19" t="str">
        <v/>
      </c>
      <c r="M993" t="str">
        <f ca="1"/>
        <v/>
      </c>
      <c r="O993" s="50" t="str">
        <f ca="1"/>
        <v/>
      </c>
    </row>
    <row r="994" spans="9:15" x14ac:dyDescent="0.2">
      <c r="I994" s="50" t="str">
        <v/>
      </c>
      <c r="J994" s="50" t="str">
        <v/>
      </c>
      <c r="K994" s="50" t="str">
        <f ca="1"/>
        <v/>
      </c>
      <c r="L994" s="19" t="str">
        <v/>
      </c>
      <c r="M994" t="str">
        <f ca="1"/>
        <v/>
      </c>
      <c r="O994" s="50" t="str">
        <f ca="1"/>
        <v/>
      </c>
    </row>
    <row r="995" spans="9:15" x14ac:dyDescent="0.2">
      <c r="I995" s="50" t="str">
        <v/>
      </c>
      <c r="J995" s="50" t="str">
        <v/>
      </c>
      <c r="K995" s="50" t="str">
        <f ca="1"/>
        <v/>
      </c>
      <c r="L995" s="19" t="str">
        <v/>
      </c>
      <c r="M995" t="str">
        <f ca="1"/>
        <v/>
      </c>
      <c r="O995" s="50" t="str">
        <f ca="1"/>
        <v/>
      </c>
    </row>
    <row r="996" spans="9:15" x14ac:dyDescent="0.2">
      <c r="I996" s="50" t="str">
        <v/>
      </c>
      <c r="J996" s="50" t="str">
        <v/>
      </c>
      <c r="K996" s="50" t="str">
        <f ca="1"/>
        <v/>
      </c>
      <c r="L996" s="19" t="str">
        <v/>
      </c>
      <c r="M996" t="str">
        <f ca="1"/>
        <v/>
      </c>
      <c r="O996" s="50" t="str">
        <f ca="1"/>
        <v/>
      </c>
    </row>
    <row r="997" spans="9:15" x14ac:dyDescent="0.2">
      <c r="I997" s="50" t="str">
        <v/>
      </c>
      <c r="J997" s="50" t="str">
        <v/>
      </c>
      <c r="K997" s="50" t="str">
        <f ca="1"/>
        <v/>
      </c>
      <c r="L997" s="19" t="str">
        <v/>
      </c>
      <c r="M997" t="str">
        <f ca="1"/>
        <v/>
      </c>
      <c r="O997" s="50" t="str">
        <f ca="1"/>
        <v/>
      </c>
    </row>
    <row r="998" spans="9:15" x14ac:dyDescent="0.2">
      <c r="I998" s="50" t="str">
        <v/>
      </c>
      <c r="J998" s="50" t="str">
        <v/>
      </c>
      <c r="K998" s="50" t="str">
        <f ca="1"/>
        <v/>
      </c>
      <c r="L998" s="19" t="str">
        <v/>
      </c>
      <c r="M998" t="str">
        <f ca="1"/>
        <v/>
      </c>
      <c r="O998" s="50" t="str">
        <f ca="1"/>
        <v/>
      </c>
    </row>
    <row r="999" spans="9:15" x14ac:dyDescent="0.2">
      <c r="I999" s="50" t="str">
        <v/>
      </c>
      <c r="J999" s="50" t="str">
        <v/>
      </c>
      <c r="K999" s="50" t="str">
        <f ca="1"/>
        <v/>
      </c>
      <c r="L999" s="19" t="str">
        <v/>
      </c>
      <c r="M999" t="str">
        <f ca="1"/>
        <v/>
      </c>
      <c r="O999" s="50" t="str">
        <f ca="1"/>
        <v/>
      </c>
    </row>
    <row r="1000" spans="9:15" x14ac:dyDescent="0.2">
      <c r="I1000" s="50" t="str">
        <v/>
      </c>
      <c r="J1000" s="50" t="str">
        <v/>
      </c>
      <c r="K1000" s="50" t="str">
        <f ca="1"/>
        <v/>
      </c>
      <c r="L1000" s="19" t="str">
        <v/>
      </c>
      <c r="M1000" t="str">
        <f ca="1"/>
        <v/>
      </c>
      <c r="O1000" s="50" t="str">
        <f ca="1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FB352-8959-054F-83F1-DE64DEFF5DCF}">
  <dimension ref="A1:D3"/>
  <sheetViews>
    <sheetView tabSelected="1" workbookViewId="0">
      <selection activeCell="G4" sqref="G4"/>
    </sheetView>
  </sheetViews>
  <sheetFormatPr baseColWidth="10" defaultRowHeight="16" x14ac:dyDescent="0.2"/>
  <cols>
    <col min="2" max="2" width="16.6640625" customWidth="1"/>
    <col min="3" max="3" width="58.83203125" customWidth="1"/>
    <col min="4" max="4" width="14.6640625" style="19" customWidth="1"/>
  </cols>
  <sheetData>
    <row r="1" spans="1:4" x14ac:dyDescent="0.2">
      <c r="A1" s="23" t="s">
        <v>155</v>
      </c>
      <c r="B1" s="23" t="s">
        <v>169</v>
      </c>
      <c r="C1" s="23" t="s">
        <v>170</v>
      </c>
      <c r="D1" s="87" t="s">
        <v>171</v>
      </c>
    </row>
    <row r="2" spans="1:4" x14ac:dyDescent="0.2">
      <c r="A2" t="s">
        <v>168</v>
      </c>
      <c r="B2" t="s">
        <v>111</v>
      </c>
      <c r="C2" t="s">
        <v>113</v>
      </c>
      <c r="D2" s="19">
        <v>0.15</v>
      </c>
    </row>
    <row r="3" spans="1:4" x14ac:dyDescent="0.2">
      <c r="A3" t="s">
        <v>168</v>
      </c>
      <c r="B3" t="s">
        <v>137</v>
      </c>
      <c r="C3" t="s">
        <v>121</v>
      </c>
      <c r="D3" s="19">
        <v>0.25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0F20B-098D-4042-98BB-7BAA40D953D8}">
  <sheetPr codeName="Sheet6"/>
  <dimension ref="A1:F54"/>
  <sheetViews>
    <sheetView workbookViewId="0">
      <selection activeCell="H19" sqref="H19"/>
    </sheetView>
  </sheetViews>
  <sheetFormatPr baseColWidth="10" defaultRowHeight="16" x14ac:dyDescent="0.2"/>
  <cols>
    <col min="1" max="1" width="14.83203125" bestFit="1" customWidth="1"/>
    <col min="2" max="2" width="8.6640625" bestFit="1" customWidth="1"/>
    <col min="3" max="6" width="15.83203125" style="50" bestFit="1" customWidth="1"/>
    <col min="7" max="10" width="15.83203125" bestFit="1" customWidth="1"/>
    <col min="11" max="16" width="12.83203125" bestFit="1" customWidth="1"/>
    <col min="17" max="17" width="11.83203125" bestFit="1" customWidth="1"/>
    <col min="18" max="24" width="12.83203125" bestFit="1" customWidth="1"/>
    <col min="25" max="25" width="11.83203125" bestFit="1" customWidth="1"/>
    <col min="26" max="27" width="12.83203125" bestFit="1" customWidth="1"/>
    <col min="28" max="30" width="11.83203125" bestFit="1" customWidth="1"/>
    <col min="31" max="34" width="12.83203125" bestFit="1" customWidth="1"/>
    <col min="35" max="56" width="12.1640625" bestFit="1" customWidth="1"/>
    <col min="57" max="57" width="11.1640625" bestFit="1" customWidth="1"/>
    <col min="58" max="64" width="12.1640625" bestFit="1" customWidth="1"/>
    <col min="65" max="65" width="11.1640625" bestFit="1" customWidth="1"/>
    <col min="66" max="67" width="12.1640625" bestFit="1" customWidth="1"/>
    <col min="68" max="69" width="11.1640625" bestFit="1" customWidth="1"/>
    <col min="70" max="72" width="12.1640625" bestFit="1" customWidth="1"/>
    <col min="73" max="73" width="11.1640625" bestFit="1" customWidth="1"/>
    <col min="74" max="76" width="12.1640625" bestFit="1" customWidth="1"/>
    <col min="77" max="77" width="11.1640625" bestFit="1" customWidth="1"/>
    <col min="78" max="83" width="12.1640625" bestFit="1" customWidth="1"/>
    <col min="84" max="84" width="11.1640625" bestFit="1" customWidth="1"/>
    <col min="85" max="88" width="12.1640625" bestFit="1" customWidth="1"/>
    <col min="89" max="89" width="11.1640625" bestFit="1" customWidth="1"/>
    <col min="90" max="99" width="12.1640625" bestFit="1" customWidth="1"/>
    <col min="100" max="101" width="11.1640625" bestFit="1" customWidth="1"/>
    <col min="102" max="104" width="12.1640625" bestFit="1" customWidth="1"/>
    <col min="105" max="105" width="11.1640625" bestFit="1" customWidth="1"/>
    <col min="106" max="109" width="12.1640625" bestFit="1" customWidth="1"/>
    <col min="110" max="110" width="11.1640625" bestFit="1" customWidth="1"/>
    <col min="111" max="112" width="12.1640625" bestFit="1" customWidth="1"/>
    <col min="113" max="113" width="11.1640625" bestFit="1" customWidth="1"/>
    <col min="114" max="115" width="12.1640625" bestFit="1" customWidth="1"/>
    <col min="116" max="116" width="11.1640625" bestFit="1" customWidth="1"/>
    <col min="117" max="118" width="12.1640625" bestFit="1" customWidth="1"/>
    <col min="119" max="119" width="11.1640625" bestFit="1" customWidth="1"/>
    <col min="120" max="121" width="12.1640625" bestFit="1" customWidth="1"/>
    <col min="122" max="122" width="6.1640625" bestFit="1" customWidth="1"/>
    <col min="123" max="125" width="12.1640625" bestFit="1" customWidth="1"/>
    <col min="126" max="126" width="11.1640625" bestFit="1" customWidth="1"/>
    <col min="127" max="139" width="12.1640625" bestFit="1" customWidth="1"/>
    <col min="140" max="140" width="11.1640625" bestFit="1" customWidth="1"/>
    <col min="141" max="150" width="12.1640625" bestFit="1" customWidth="1"/>
    <col min="151" max="151" width="11.1640625" bestFit="1" customWidth="1"/>
    <col min="152" max="153" width="12.1640625" bestFit="1" customWidth="1"/>
    <col min="154" max="154" width="11.1640625" bestFit="1" customWidth="1"/>
    <col min="155" max="156" width="12.1640625" bestFit="1" customWidth="1"/>
    <col min="157" max="157" width="11.1640625" bestFit="1" customWidth="1"/>
    <col min="158" max="171" width="12.1640625" bestFit="1" customWidth="1"/>
    <col min="172" max="172" width="11.1640625" bestFit="1" customWidth="1"/>
    <col min="173" max="176" width="12.1640625" bestFit="1" customWidth="1"/>
    <col min="177" max="177" width="11.1640625" bestFit="1" customWidth="1"/>
    <col min="178" max="180" width="12.1640625" bestFit="1" customWidth="1"/>
    <col min="181" max="182" width="11.1640625" bestFit="1" customWidth="1"/>
    <col min="183" max="193" width="12.1640625" bestFit="1" customWidth="1"/>
    <col min="194" max="194" width="11.1640625" bestFit="1" customWidth="1"/>
    <col min="195" max="200" width="12.1640625" bestFit="1" customWidth="1"/>
    <col min="201" max="201" width="11.1640625" bestFit="1" customWidth="1"/>
    <col min="202" max="204" width="12.1640625" bestFit="1" customWidth="1"/>
    <col min="205" max="206" width="11.1640625" bestFit="1" customWidth="1"/>
    <col min="207" max="207" width="12.1640625" bestFit="1" customWidth="1"/>
    <col min="208" max="208" width="11.1640625" bestFit="1" customWidth="1"/>
    <col min="209" max="230" width="12.1640625" bestFit="1" customWidth="1"/>
    <col min="231" max="231" width="11.1640625" bestFit="1" customWidth="1"/>
    <col min="232" max="232" width="12.1640625" bestFit="1" customWidth="1"/>
    <col min="233" max="233" width="11.1640625" bestFit="1" customWidth="1"/>
    <col min="234" max="237" width="12.1640625" bestFit="1" customWidth="1"/>
    <col min="238" max="238" width="11.1640625" bestFit="1" customWidth="1"/>
    <col min="239" max="246" width="12.1640625" bestFit="1" customWidth="1"/>
    <col min="247" max="248" width="11.1640625" bestFit="1" customWidth="1"/>
    <col min="249" max="253" width="12.1640625" bestFit="1" customWidth="1"/>
    <col min="254" max="254" width="11.1640625" bestFit="1" customWidth="1"/>
    <col min="255" max="259" width="12.1640625" bestFit="1" customWidth="1"/>
    <col min="260" max="260" width="11.1640625" bestFit="1" customWidth="1"/>
    <col min="261" max="263" width="12.1640625" bestFit="1" customWidth="1"/>
    <col min="264" max="264" width="11.1640625" bestFit="1" customWidth="1"/>
    <col min="265" max="265" width="12.1640625" bestFit="1" customWidth="1"/>
    <col min="266" max="266" width="11.1640625" bestFit="1" customWidth="1"/>
    <col min="267" max="278" width="12.1640625" bestFit="1" customWidth="1"/>
    <col min="279" max="279" width="11.1640625" bestFit="1" customWidth="1"/>
    <col min="280" max="285" width="12.1640625" bestFit="1" customWidth="1"/>
    <col min="286" max="286" width="11.1640625" bestFit="1" customWidth="1"/>
    <col min="287" max="304" width="12.1640625" bestFit="1" customWidth="1"/>
    <col min="305" max="305" width="11.1640625" bestFit="1" customWidth="1"/>
    <col min="306" max="311" width="12.1640625" bestFit="1" customWidth="1"/>
    <col min="312" max="312" width="11.1640625" bestFit="1" customWidth="1"/>
    <col min="313" max="314" width="12.1640625" bestFit="1" customWidth="1"/>
    <col min="315" max="315" width="11.1640625" bestFit="1" customWidth="1"/>
    <col min="316" max="341" width="12.1640625" bestFit="1" customWidth="1"/>
    <col min="342" max="342" width="11.1640625" bestFit="1" customWidth="1"/>
    <col min="343" max="351" width="12.1640625" bestFit="1" customWidth="1"/>
    <col min="352" max="352" width="11.1640625" bestFit="1" customWidth="1"/>
    <col min="353" max="359" width="12.1640625" bestFit="1" customWidth="1"/>
    <col min="360" max="360" width="11.1640625" bestFit="1" customWidth="1"/>
    <col min="361" max="385" width="12.1640625" bestFit="1" customWidth="1"/>
    <col min="386" max="386" width="11.1640625" bestFit="1" customWidth="1"/>
    <col min="387" max="390" width="12.1640625" bestFit="1" customWidth="1"/>
    <col min="391" max="391" width="11.1640625" bestFit="1" customWidth="1"/>
    <col min="392" max="395" width="12.1640625" bestFit="1" customWidth="1"/>
    <col min="396" max="396" width="11.1640625" bestFit="1" customWidth="1"/>
    <col min="397" max="406" width="12.1640625" bestFit="1" customWidth="1"/>
    <col min="407" max="408" width="11.1640625" bestFit="1" customWidth="1"/>
    <col min="409" max="409" width="12.1640625" bestFit="1" customWidth="1"/>
    <col min="410" max="410" width="10.1640625" bestFit="1" customWidth="1"/>
    <col min="411" max="442" width="12.1640625" bestFit="1" customWidth="1"/>
    <col min="443" max="443" width="11.1640625" bestFit="1" customWidth="1"/>
    <col min="444" max="456" width="12.1640625" bestFit="1" customWidth="1"/>
    <col min="457" max="457" width="11.1640625" bestFit="1" customWidth="1"/>
    <col min="458" max="458" width="12.1640625" bestFit="1" customWidth="1"/>
    <col min="459" max="459" width="11.1640625" bestFit="1" customWidth="1"/>
    <col min="460" max="462" width="12.1640625" bestFit="1" customWidth="1"/>
    <col min="463" max="463" width="11.1640625" bestFit="1" customWidth="1"/>
    <col min="464" max="474" width="12.1640625" bestFit="1" customWidth="1"/>
    <col min="475" max="475" width="11.1640625" bestFit="1" customWidth="1"/>
    <col min="476" max="480" width="12.1640625" bestFit="1" customWidth="1"/>
    <col min="481" max="481" width="11.1640625" bestFit="1" customWidth="1"/>
    <col min="482" max="485" width="12.1640625" bestFit="1" customWidth="1"/>
    <col min="486" max="486" width="11.1640625" bestFit="1" customWidth="1"/>
    <col min="487" max="493" width="12.1640625" bestFit="1" customWidth="1"/>
    <col min="494" max="494" width="10.1640625" bestFit="1" customWidth="1"/>
    <col min="495" max="511" width="12.1640625" bestFit="1" customWidth="1"/>
    <col min="512" max="512" width="11.1640625" bestFit="1" customWidth="1"/>
    <col min="513" max="562" width="12.1640625" bestFit="1" customWidth="1"/>
    <col min="563" max="563" width="11.1640625" bestFit="1" customWidth="1"/>
    <col min="564" max="586" width="12.1640625" bestFit="1" customWidth="1"/>
    <col min="587" max="587" width="7" bestFit="1" customWidth="1"/>
    <col min="588" max="630" width="12.1640625" bestFit="1" customWidth="1"/>
    <col min="631" max="631" width="11.1640625" bestFit="1" customWidth="1"/>
    <col min="632" max="652" width="12.1640625" bestFit="1" customWidth="1"/>
    <col min="653" max="653" width="6.5" bestFit="1" customWidth="1"/>
    <col min="654" max="654" width="14.1640625" bestFit="1" customWidth="1"/>
    <col min="655" max="655" width="24" bestFit="1" customWidth="1"/>
    <col min="656" max="656" width="14.1640625" bestFit="1" customWidth="1"/>
    <col min="657" max="657" width="25" bestFit="1" customWidth="1"/>
    <col min="658" max="658" width="8.1640625" bestFit="1" customWidth="1"/>
    <col min="659" max="659" width="10" bestFit="1" customWidth="1"/>
    <col min="660" max="660" width="8.1640625" bestFit="1" customWidth="1"/>
    <col min="661" max="661" width="24.33203125" bestFit="1" customWidth="1"/>
    <col min="662" max="662" width="14.1640625" bestFit="1" customWidth="1"/>
    <col min="663" max="663" width="24.33203125" bestFit="1" customWidth="1"/>
    <col min="664" max="664" width="14.1640625" bestFit="1" customWidth="1"/>
    <col min="665" max="665" width="24.33203125" bestFit="1" customWidth="1"/>
    <col min="666" max="666" width="8.1640625" bestFit="1" customWidth="1"/>
    <col min="667" max="667" width="10" bestFit="1" customWidth="1"/>
    <col min="668" max="668" width="14.1640625" bestFit="1" customWidth="1"/>
    <col min="669" max="669" width="23.33203125" bestFit="1" customWidth="1"/>
    <col min="670" max="670" width="8.1640625" bestFit="1" customWidth="1"/>
    <col min="671" max="671" width="23.33203125" bestFit="1" customWidth="1"/>
    <col min="672" max="672" width="14.1640625" bestFit="1" customWidth="1"/>
    <col min="673" max="673" width="23.33203125" bestFit="1" customWidth="1"/>
    <col min="674" max="674" width="14.1640625" bestFit="1" customWidth="1"/>
    <col min="675" max="675" width="23.33203125" bestFit="1" customWidth="1"/>
    <col min="676" max="676" width="13.1640625" bestFit="1" customWidth="1"/>
    <col min="677" max="677" width="23.33203125" bestFit="1" customWidth="1"/>
    <col min="678" max="678" width="13.1640625" bestFit="1" customWidth="1"/>
    <col min="679" max="679" width="22.33203125" bestFit="1" customWidth="1"/>
    <col min="680" max="680" width="14.1640625" bestFit="1" customWidth="1"/>
    <col min="681" max="681" width="22.33203125" bestFit="1" customWidth="1"/>
    <col min="682" max="682" width="14.1640625" bestFit="1" customWidth="1"/>
    <col min="683" max="683" width="22.33203125" bestFit="1" customWidth="1"/>
    <col min="684" max="684" width="14.1640625" bestFit="1" customWidth="1"/>
    <col min="685" max="685" width="22.33203125" bestFit="1" customWidth="1"/>
    <col min="686" max="686" width="14.1640625" bestFit="1" customWidth="1"/>
    <col min="687" max="687" width="22.33203125" bestFit="1" customWidth="1"/>
    <col min="688" max="688" width="14.1640625" bestFit="1" customWidth="1"/>
    <col min="689" max="689" width="22.33203125" bestFit="1" customWidth="1"/>
    <col min="690" max="690" width="4.1640625" bestFit="1" customWidth="1"/>
    <col min="691" max="691" width="22.33203125" bestFit="1" customWidth="1"/>
    <col min="692" max="692" width="7.1640625" bestFit="1" customWidth="1"/>
    <col min="693" max="693" width="21.1640625" bestFit="1" customWidth="1"/>
    <col min="694" max="694" width="14.1640625" bestFit="1" customWidth="1"/>
    <col min="695" max="695" width="21.1640625" bestFit="1" customWidth="1"/>
    <col min="696" max="696" width="14.1640625" bestFit="1" customWidth="1"/>
    <col min="697" max="697" width="21.1640625" bestFit="1" customWidth="1"/>
    <col min="698" max="698" width="14.1640625" bestFit="1" customWidth="1"/>
    <col min="699" max="699" width="21.1640625" bestFit="1" customWidth="1"/>
    <col min="700" max="700" width="14.1640625" bestFit="1" customWidth="1"/>
    <col min="701" max="701" width="21.1640625" bestFit="1" customWidth="1"/>
    <col min="702" max="702" width="14.1640625" bestFit="1" customWidth="1"/>
    <col min="703" max="703" width="21.1640625" bestFit="1" customWidth="1"/>
    <col min="704" max="704" width="14.1640625" bestFit="1" customWidth="1"/>
    <col min="705" max="705" width="21.1640625" bestFit="1" customWidth="1"/>
    <col min="706" max="706" width="14.1640625" bestFit="1" customWidth="1"/>
    <col min="707" max="707" width="21.1640625" bestFit="1" customWidth="1"/>
    <col min="708" max="708" width="14.1640625" bestFit="1" customWidth="1"/>
    <col min="709" max="709" width="21.1640625" bestFit="1" customWidth="1"/>
    <col min="710" max="710" width="14.1640625" bestFit="1" customWidth="1"/>
    <col min="711" max="711" width="21.1640625" bestFit="1" customWidth="1"/>
    <col min="712" max="712" width="14.1640625" bestFit="1" customWidth="1"/>
    <col min="713" max="713" width="21.1640625" bestFit="1" customWidth="1"/>
    <col min="714" max="714" width="14.1640625" bestFit="1" customWidth="1"/>
    <col min="715" max="715" width="21.1640625" bestFit="1" customWidth="1"/>
    <col min="716" max="716" width="14.1640625" bestFit="1" customWidth="1"/>
    <col min="717" max="717" width="21.1640625" bestFit="1" customWidth="1"/>
    <col min="718" max="718" width="13.1640625" bestFit="1" customWidth="1"/>
    <col min="719" max="719" width="21.1640625" bestFit="1" customWidth="1"/>
    <col min="720" max="720" width="14.1640625" bestFit="1" customWidth="1"/>
    <col min="721" max="721" width="21.1640625" bestFit="1" customWidth="1"/>
    <col min="722" max="722" width="14.1640625" bestFit="1" customWidth="1"/>
    <col min="723" max="723" width="21.1640625" bestFit="1" customWidth="1"/>
    <col min="724" max="724" width="14.1640625" bestFit="1" customWidth="1"/>
    <col min="725" max="725" width="21.1640625" bestFit="1" customWidth="1"/>
    <col min="726" max="726" width="14.1640625" bestFit="1" customWidth="1"/>
    <col min="727" max="727" width="21.1640625" bestFit="1" customWidth="1"/>
    <col min="728" max="728" width="14.1640625" bestFit="1" customWidth="1"/>
    <col min="729" max="729" width="20.1640625" bestFit="1" customWidth="1"/>
    <col min="730" max="730" width="14.1640625" bestFit="1" customWidth="1"/>
    <col min="731" max="731" width="21.1640625" bestFit="1" customWidth="1"/>
    <col min="732" max="732" width="14.1640625" bestFit="1" customWidth="1"/>
    <col min="733" max="733" width="21.1640625" bestFit="1" customWidth="1"/>
    <col min="734" max="734" width="13.1640625" bestFit="1" customWidth="1"/>
    <col min="735" max="735" width="21.1640625" bestFit="1" customWidth="1"/>
    <col min="736" max="736" width="14.1640625" bestFit="1" customWidth="1"/>
    <col min="737" max="737" width="21.1640625" bestFit="1" customWidth="1"/>
    <col min="738" max="738" width="14.1640625" bestFit="1" customWidth="1"/>
    <col min="739" max="739" width="21.1640625" bestFit="1" customWidth="1"/>
    <col min="740" max="740" width="14.1640625" bestFit="1" customWidth="1"/>
    <col min="741" max="741" width="21.1640625" bestFit="1" customWidth="1"/>
    <col min="742" max="742" width="14.1640625" bestFit="1" customWidth="1"/>
    <col min="743" max="743" width="21.1640625" bestFit="1" customWidth="1"/>
    <col min="744" max="744" width="14.1640625" bestFit="1" customWidth="1"/>
    <col min="745" max="745" width="21.1640625" bestFit="1" customWidth="1"/>
    <col min="746" max="746" width="14.1640625" bestFit="1" customWidth="1"/>
    <col min="747" max="747" width="20.1640625" bestFit="1" customWidth="1"/>
    <col min="748" max="748" width="14.1640625" bestFit="1" customWidth="1"/>
    <col min="749" max="749" width="21.1640625" bestFit="1" customWidth="1"/>
    <col min="750" max="750" width="14.1640625" bestFit="1" customWidth="1"/>
    <col min="751" max="751" width="21.1640625" bestFit="1" customWidth="1"/>
    <col min="752" max="752" width="13.1640625" bestFit="1" customWidth="1"/>
    <col min="753" max="753" width="21.1640625" bestFit="1" customWidth="1"/>
    <col min="754" max="754" width="14.1640625" bestFit="1" customWidth="1"/>
    <col min="755" max="755" width="21.1640625" bestFit="1" customWidth="1"/>
    <col min="756" max="756" width="14.1640625" bestFit="1" customWidth="1"/>
    <col min="757" max="757" width="21.1640625" bestFit="1" customWidth="1"/>
    <col min="758" max="758" width="14.1640625" bestFit="1" customWidth="1"/>
    <col min="759" max="759" width="21.1640625" bestFit="1" customWidth="1"/>
    <col min="760" max="760" width="13.1640625" bestFit="1" customWidth="1"/>
    <col min="761" max="761" width="21.1640625" bestFit="1" customWidth="1"/>
    <col min="762" max="762" width="14.1640625" bestFit="1" customWidth="1"/>
    <col min="763" max="763" width="20.1640625" bestFit="1" customWidth="1"/>
    <col min="764" max="764" width="14.1640625" bestFit="1" customWidth="1"/>
    <col min="765" max="765" width="21.1640625" bestFit="1" customWidth="1"/>
    <col min="766" max="766" width="14.1640625" bestFit="1" customWidth="1"/>
    <col min="767" max="767" width="21.1640625" bestFit="1" customWidth="1"/>
    <col min="768" max="768" width="14.1640625" bestFit="1" customWidth="1"/>
    <col min="769" max="769" width="20.1640625" bestFit="1" customWidth="1"/>
    <col min="770" max="770" width="14.1640625" bestFit="1" customWidth="1"/>
    <col min="771" max="771" width="21.1640625" bestFit="1" customWidth="1"/>
    <col min="772" max="772" width="14.1640625" bestFit="1" customWidth="1"/>
    <col min="773" max="773" width="21.1640625" bestFit="1" customWidth="1"/>
    <col min="774" max="774" width="14.1640625" bestFit="1" customWidth="1"/>
    <col min="775" max="775" width="21.1640625" bestFit="1" customWidth="1"/>
    <col min="776" max="776" width="14.1640625" bestFit="1" customWidth="1"/>
    <col min="777" max="777" width="21.1640625" bestFit="1" customWidth="1"/>
    <col min="778" max="778" width="14.1640625" bestFit="1" customWidth="1"/>
    <col min="779" max="779" width="21.1640625" bestFit="1" customWidth="1"/>
    <col min="780" max="780" width="14.1640625" bestFit="1" customWidth="1"/>
    <col min="781" max="781" width="21.1640625" bestFit="1" customWidth="1"/>
    <col min="782" max="782" width="14.1640625" bestFit="1" customWidth="1"/>
    <col min="783" max="783" width="21.1640625" bestFit="1" customWidth="1"/>
    <col min="784" max="784" width="14.1640625" bestFit="1" customWidth="1"/>
    <col min="785" max="785" width="21.1640625" bestFit="1" customWidth="1"/>
    <col min="786" max="786" width="14.1640625" bestFit="1" customWidth="1"/>
    <col min="787" max="787" width="21.1640625" bestFit="1" customWidth="1"/>
    <col min="788" max="788" width="14.1640625" bestFit="1" customWidth="1"/>
    <col min="789" max="789" width="21.1640625" bestFit="1" customWidth="1"/>
    <col min="790" max="790" width="14.1640625" bestFit="1" customWidth="1"/>
    <col min="791" max="791" width="21.1640625" bestFit="1" customWidth="1"/>
    <col min="792" max="792" width="14.1640625" bestFit="1" customWidth="1"/>
    <col min="793" max="793" width="21.1640625" bestFit="1" customWidth="1"/>
    <col min="794" max="794" width="14.1640625" bestFit="1" customWidth="1"/>
    <col min="795" max="795" width="21.1640625" bestFit="1" customWidth="1"/>
    <col min="796" max="796" width="14.1640625" bestFit="1" customWidth="1"/>
    <col min="797" max="797" width="21.1640625" bestFit="1" customWidth="1"/>
    <col min="798" max="798" width="14.1640625" bestFit="1" customWidth="1"/>
    <col min="799" max="799" width="21.1640625" bestFit="1" customWidth="1"/>
    <col min="800" max="800" width="14.1640625" bestFit="1" customWidth="1"/>
    <col min="801" max="801" width="21.1640625" bestFit="1" customWidth="1"/>
    <col min="802" max="802" width="14.1640625" bestFit="1" customWidth="1"/>
    <col min="803" max="803" width="21.1640625" bestFit="1" customWidth="1"/>
    <col min="804" max="804" width="14.1640625" bestFit="1" customWidth="1"/>
    <col min="805" max="805" width="21.1640625" bestFit="1" customWidth="1"/>
    <col min="806" max="806" width="14.1640625" bestFit="1" customWidth="1"/>
    <col min="807" max="807" width="21.1640625" bestFit="1" customWidth="1"/>
    <col min="808" max="808" width="14.1640625" bestFit="1" customWidth="1"/>
    <col min="809" max="809" width="21.1640625" bestFit="1" customWidth="1"/>
    <col min="810" max="810" width="13.1640625" bestFit="1" customWidth="1"/>
    <col min="811" max="811" width="21.1640625" bestFit="1" customWidth="1"/>
    <col min="812" max="812" width="14.1640625" bestFit="1" customWidth="1"/>
    <col min="813" max="813" width="21.1640625" bestFit="1" customWidth="1"/>
    <col min="814" max="814" width="14.1640625" bestFit="1" customWidth="1"/>
    <col min="815" max="815" width="21.1640625" bestFit="1" customWidth="1"/>
    <col min="816" max="816" width="14.1640625" bestFit="1" customWidth="1"/>
    <col min="817" max="817" width="21.1640625" bestFit="1" customWidth="1"/>
    <col min="818" max="818" width="14.1640625" bestFit="1" customWidth="1"/>
    <col min="819" max="819" width="21.1640625" bestFit="1" customWidth="1"/>
    <col min="820" max="820" width="14.1640625" bestFit="1" customWidth="1"/>
    <col min="821" max="821" width="21.1640625" bestFit="1" customWidth="1"/>
    <col min="822" max="822" width="14.1640625" bestFit="1" customWidth="1"/>
    <col min="823" max="823" width="21.1640625" bestFit="1" customWidth="1"/>
    <col min="824" max="824" width="14.1640625" bestFit="1" customWidth="1"/>
    <col min="825" max="825" width="21.1640625" bestFit="1" customWidth="1"/>
    <col min="826" max="826" width="14.1640625" bestFit="1" customWidth="1"/>
    <col min="827" max="827" width="21.1640625" bestFit="1" customWidth="1"/>
    <col min="828" max="828" width="14.1640625" bestFit="1" customWidth="1"/>
    <col min="829" max="829" width="19.1640625" bestFit="1" customWidth="1"/>
    <col min="830" max="830" width="14.1640625" bestFit="1" customWidth="1"/>
    <col min="831" max="831" width="21.1640625" bestFit="1" customWidth="1"/>
    <col min="832" max="832" width="14.1640625" bestFit="1" customWidth="1"/>
    <col min="833" max="833" width="21.1640625" bestFit="1" customWidth="1"/>
    <col min="834" max="834" width="14.1640625" bestFit="1" customWidth="1"/>
    <col min="835" max="835" width="21.1640625" bestFit="1" customWidth="1"/>
    <col min="836" max="836" width="14.1640625" bestFit="1" customWidth="1"/>
    <col min="837" max="837" width="21.1640625" bestFit="1" customWidth="1"/>
    <col min="838" max="838" width="14.1640625" bestFit="1" customWidth="1"/>
    <col min="839" max="839" width="21.1640625" bestFit="1" customWidth="1"/>
    <col min="840" max="840" width="14.1640625" bestFit="1" customWidth="1"/>
    <col min="841" max="841" width="21.1640625" bestFit="1" customWidth="1"/>
    <col min="842" max="842" width="14.1640625" bestFit="1" customWidth="1"/>
    <col min="843" max="843" width="21.1640625" bestFit="1" customWidth="1"/>
    <col min="844" max="844" width="14.1640625" bestFit="1" customWidth="1"/>
    <col min="845" max="845" width="21.1640625" bestFit="1" customWidth="1"/>
    <col min="846" max="846" width="8.1640625" bestFit="1" customWidth="1"/>
    <col min="847" max="847" width="21.1640625" bestFit="1" customWidth="1"/>
    <col min="848" max="848" width="14.1640625" bestFit="1" customWidth="1"/>
    <col min="849" max="849" width="21.1640625" bestFit="1" customWidth="1"/>
    <col min="850" max="850" width="14.1640625" bestFit="1" customWidth="1"/>
    <col min="851" max="851" width="21.1640625" bestFit="1" customWidth="1"/>
    <col min="852" max="852" width="13.1640625" bestFit="1" customWidth="1"/>
    <col min="853" max="853" width="21.1640625" bestFit="1" customWidth="1"/>
    <col min="854" max="854" width="14.1640625" bestFit="1" customWidth="1"/>
    <col min="855" max="855" width="21.1640625" bestFit="1" customWidth="1"/>
    <col min="856" max="856" width="13.1640625" bestFit="1" customWidth="1"/>
    <col min="857" max="857" width="21.1640625" bestFit="1" customWidth="1"/>
    <col min="858" max="858" width="14.1640625" bestFit="1" customWidth="1"/>
    <col min="859" max="859" width="21.1640625" bestFit="1" customWidth="1"/>
    <col min="860" max="860" width="14.1640625" bestFit="1" customWidth="1"/>
    <col min="861" max="861" width="21.1640625" bestFit="1" customWidth="1"/>
    <col min="862" max="862" width="14.1640625" bestFit="1" customWidth="1"/>
    <col min="863" max="863" width="21.1640625" bestFit="1" customWidth="1"/>
    <col min="864" max="864" width="13.1640625" bestFit="1" customWidth="1"/>
    <col min="865" max="865" width="21.1640625" bestFit="1" customWidth="1"/>
    <col min="866" max="866" width="14.1640625" bestFit="1" customWidth="1"/>
    <col min="867" max="867" width="21.1640625" bestFit="1" customWidth="1"/>
    <col min="868" max="868" width="14.1640625" bestFit="1" customWidth="1"/>
    <col min="869" max="869" width="20.1640625" bestFit="1" customWidth="1"/>
    <col min="870" max="870" width="14.1640625" bestFit="1" customWidth="1"/>
    <col min="871" max="871" width="21.1640625" bestFit="1" customWidth="1"/>
    <col min="872" max="872" width="14.1640625" bestFit="1" customWidth="1"/>
    <col min="873" max="873" width="21.1640625" bestFit="1" customWidth="1"/>
    <col min="874" max="874" width="13.1640625" bestFit="1" customWidth="1"/>
    <col min="875" max="875" width="21.1640625" bestFit="1" customWidth="1"/>
    <col min="876" max="876" width="14.1640625" bestFit="1" customWidth="1"/>
    <col min="877" max="877" width="21.1640625" bestFit="1" customWidth="1"/>
    <col min="878" max="878" width="14.1640625" bestFit="1" customWidth="1"/>
    <col min="879" max="879" width="21.1640625" bestFit="1" customWidth="1"/>
    <col min="880" max="880" width="13.1640625" bestFit="1" customWidth="1"/>
    <col min="881" max="881" width="21.1640625" bestFit="1" customWidth="1"/>
    <col min="882" max="882" width="14.1640625" bestFit="1" customWidth="1"/>
    <col min="883" max="883" width="21.1640625" bestFit="1" customWidth="1"/>
    <col min="884" max="884" width="14.1640625" bestFit="1" customWidth="1"/>
    <col min="885" max="885" width="21.1640625" bestFit="1" customWidth="1"/>
    <col min="886" max="886" width="14.1640625" bestFit="1" customWidth="1"/>
    <col min="887" max="887" width="21.1640625" bestFit="1" customWidth="1"/>
    <col min="888" max="888" width="14.1640625" bestFit="1" customWidth="1"/>
    <col min="889" max="889" width="20.1640625" bestFit="1" customWidth="1"/>
    <col min="890" max="890" width="14.1640625" bestFit="1" customWidth="1"/>
    <col min="891" max="891" width="20.1640625" bestFit="1" customWidth="1"/>
    <col min="892" max="892" width="14.1640625" bestFit="1" customWidth="1"/>
    <col min="893" max="893" width="21.1640625" bestFit="1" customWidth="1"/>
    <col min="894" max="894" width="14.1640625" bestFit="1" customWidth="1"/>
    <col min="895" max="895" width="20.1640625" bestFit="1" customWidth="1"/>
    <col min="896" max="896" width="14.1640625" bestFit="1" customWidth="1"/>
    <col min="897" max="897" width="21.1640625" bestFit="1" customWidth="1"/>
    <col min="898" max="898" width="14.1640625" bestFit="1" customWidth="1"/>
    <col min="899" max="899" width="21.1640625" bestFit="1" customWidth="1"/>
    <col min="900" max="900" width="13.1640625" bestFit="1" customWidth="1"/>
    <col min="901" max="901" width="20.1640625" bestFit="1" customWidth="1"/>
    <col min="902" max="902" width="14.1640625" bestFit="1" customWidth="1"/>
    <col min="903" max="903" width="21.1640625" bestFit="1" customWidth="1"/>
    <col min="904" max="904" width="14.1640625" bestFit="1" customWidth="1"/>
    <col min="905" max="905" width="20.1640625" bestFit="1" customWidth="1"/>
    <col min="906" max="906" width="14.1640625" bestFit="1" customWidth="1"/>
    <col min="907" max="907" width="21.1640625" bestFit="1" customWidth="1"/>
    <col min="908" max="908" width="14.1640625" bestFit="1" customWidth="1"/>
    <col min="909" max="909" width="21.1640625" bestFit="1" customWidth="1"/>
    <col min="910" max="910" width="14.1640625" bestFit="1" customWidth="1"/>
    <col min="911" max="911" width="21.1640625" bestFit="1" customWidth="1"/>
    <col min="912" max="912" width="14.1640625" bestFit="1" customWidth="1"/>
    <col min="913" max="913" width="20.1640625" bestFit="1" customWidth="1"/>
    <col min="914" max="914" width="14.1640625" bestFit="1" customWidth="1"/>
    <col min="915" max="915" width="21.1640625" bestFit="1" customWidth="1"/>
    <col min="916" max="916" width="14.1640625" bestFit="1" customWidth="1"/>
    <col min="917" max="917" width="21.1640625" bestFit="1" customWidth="1"/>
    <col min="918" max="918" width="14.1640625" bestFit="1" customWidth="1"/>
    <col min="919" max="919" width="21.1640625" bestFit="1" customWidth="1"/>
    <col min="920" max="920" width="14.1640625" bestFit="1" customWidth="1"/>
    <col min="921" max="921" width="21.1640625" bestFit="1" customWidth="1"/>
    <col min="922" max="922" width="14.1640625" bestFit="1" customWidth="1"/>
    <col min="923" max="923" width="21.1640625" bestFit="1" customWidth="1"/>
    <col min="924" max="924" width="14.1640625" bestFit="1" customWidth="1"/>
    <col min="925" max="925" width="20.1640625" bestFit="1" customWidth="1"/>
    <col min="926" max="926" width="14.1640625" bestFit="1" customWidth="1"/>
    <col min="927" max="927" width="21.1640625" bestFit="1" customWidth="1"/>
    <col min="928" max="928" width="14.1640625" bestFit="1" customWidth="1"/>
    <col min="929" max="929" width="21.1640625" bestFit="1" customWidth="1"/>
    <col min="930" max="930" width="14.1640625" bestFit="1" customWidth="1"/>
    <col min="931" max="931" width="21.1640625" bestFit="1" customWidth="1"/>
    <col min="932" max="932" width="14.1640625" bestFit="1" customWidth="1"/>
    <col min="933" max="933" width="21.1640625" bestFit="1" customWidth="1"/>
    <col min="934" max="934" width="14.1640625" bestFit="1" customWidth="1"/>
    <col min="935" max="935" width="21.1640625" bestFit="1" customWidth="1"/>
    <col min="936" max="936" width="14.1640625" bestFit="1" customWidth="1"/>
    <col min="937" max="937" width="21.1640625" bestFit="1" customWidth="1"/>
    <col min="938" max="938" width="14.1640625" bestFit="1" customWidth="1"/>
    <col min="939" max="939" width="21.1640625" bestFit="1" customWidth="1"/>
    <col min="940" max="940" width="14.1640625" bestFit="1" customWidth="1"/>
    <col min="941" max="941" width="20.1640625" bestFit="1" customWidth="1"/>
    <col min="942" max="942" width="14.1640625" bestFit="1" customWidth="1"/>
    <col min="943" max="943" width="21.1640625" bestFit="1" customWidth="1"/>
    <col min="944" max="944" width="14.1640625" bestFit="1" customWidth="1"/>
    <col min="945" max="945" width="21.1640625" bestFit="1" customWidth="1"/>
    <col min="946" max="946" width="14.1640625" bestFit="1" customWidth="1"/>
    <col min="947" max="947" width="21.1640625" bestFit="1" customWidth="1"/>
    <col min="948" max="948" width="14.1640625" bestFit="1" customWidth="1"/>
    <col min="949" max="949" width="21.1640625" bestFit="1" customWidth="1"/>
    <col min="950" max="950" width="14.1640625" bestFit="1" customWidth="1"/>
    <col min="951" max="951" width="21.1640625" bestFit="1" customWidth="1"/>
    <col min="952" max="952" width="14.1640625" bestFit="1" customWidth="1"/>
    <col min="953" max="953" width="21.1640625" bestFit="1" customWidth="1"/>
    <col min="954" max="954" width="14.1640625" bestFit="1" customWidth="1"/>
    <col min="955" max="955" width="20.1640625" bestFit="1" customWidth="1"/>
    <col min="956" max="956" width="14.1640625" bestFit="1" customWidth="1"/>
    <col min="957" max="957" width="21.1640625" bestFit="1" customWidth="1"/>
    <col min="958" max="958" width="13.1640625" bestFit="1" customWidth="1"/>
    <col min="959" max="959" width="21.1640625" bestFit="1" customWidth="1"/>
    <col min="960" max="960" width="14.1640625" bestFit="1" customWidth="1"/>
    <col min="961" max="961" width="21.1640625" bestFit="1" customWidth="1"/>
    <col min="962" max="962" width="14.1640625" bestFit="1" customWidth="1"/>
    <col min="963" max="963" width="21.1640625" bestFit="1" customWidth="1"/>
    <col min="964" max="964" width="14.1640625" bestFit="1" customWidth="1"/>
    <col min="965" max="965" width="21.1640625" bestFit="1" customWidth="1"/>
    <col min="966" max="966" width="14.1640625" bestFit="1" customWidth="1"/>
    <col min="967" max="967" width="21.1640625" bestFit="1" customWidth="1"/>
    <col min="968" max="968" width="14.1640625" bestFit="1" customWidth="1"/>
    <col min="969" max="969" width="21.1640625" bestFit="1" customWidth="1"/>
    <col min="970" max="970" width="14.1640625" bestFit="1" customWidth="1"/>
    <col min="971" max="971" width="21.1640625" bestFit="1" customWidth="1"/>
    <col min="972" max="972" width="14.1640625" bestFit="1" customWidth="1"/>
    <col min="973" max="973" width="21.1640625" bestFit="1" customWidth="1"/>
    <col min="974" max="974" width="14.1640625" bestFit="1" customWidth="1"/>
    <col min="975" max="975" width="21.1640625" bestFit="1" customWidth="1"/>
    <col min="976" max="976" width="14.1640625" bestFit="1" customWidth="1"/>
    <col min="977" max="977" width="21.1640625" bestFit="1" customWidth="1"/>
    <col min="978" max="978" width="14.1640625" bestFit="1" customWidth="1"/>
    <col min="979" max="979" width="21.1640625" bestFit="1" customWidth="1"/>
    <col min="980" max="980" width="14.1640625" bestFit="1" customWidth="1"/>
    <col min="981" max="981" width="21.1640625" bestFit="1" customWidth="1"/>
    <col min="982" max="982" width="14.1640625" bestFit="1" customWidth="1"/>
    <col min="983" max="983" width="21.1640625" bestFit="1" customWidth="1"/>
    <col min="984" max="984" width="14.1640625" bestFit="1" customWidth="1"/>
    <col min="985" max="985" width="21.1640625" bestFit="1" customWidth="1"/>
    <col min="986" max="986" width="14.1640625" bestFit="1" customWidth="1"/>
    <col min="987" max="987" width="21.1640625" bestFit="1" customWidth="1"/>
    <col min="988" max="988" width="14.1640625" bestFit="1" customWidth="1"/>
    <col min="989" max="989" width="21.1640625" bestFit="1" customWidth="1"/>
    <col min="990" max="990" width="14.1640625" bestFit="1" customWidth="1"/>
    <col min="991" max="991" width="21.1640625" bestFit="1" customWidth="1"/>
    <col min="992" max="992" width="14.1640625" bestFit="1" customWidth="1"/>
    <col min="993" max="993" width="21.1640625" bestFit="1" customWidth="1"/>
    <col min="994" max="994" width="14.1640625" bestFit="1" customWidth="1"/>
    <col min="995" max="995" width="21.1640625" bestFit="1" customWidth="1"/>
    <col min="996" max="996" width="14.1640625" bestFit="1" customWidth="1"/>
    <col min="997" max="997" width="21.1640625" bestFit="1" customWidth="1"/>
    <col min="998" max="998" width="14.1640625" bestFit="1" customWidth="1"/>
    <col min="999" max="999" width="21.1640625" bestFit="1" customWidth="1"/>
    <col min="1000" max="1000" width="14.1640625" bestFit="1" customWidth="1"/>
    <col min="1001" max="1001" width="18.1640625" bestFit="1" customWidth="1"/>
    <col min="1002" max="1002" width="14.1640625" bestFit="1" customWidth="1"/>
    <col min="1003" max="1003" width="20.1640625" bestFit="1" customWidth="1"/>
    <col min="1004" max="1004" width="14.1640625" bestFit="1" customWidth="1"/>
    <col min="1005" max="1005" width="21.1640625" bestFit="1" customWidth="1"/>
    <col min="1006" max="1006" width="14.1640625" bestFit="1" customWidth="1"/>
    <col min="1007" max="1007" width="21.1640625" bestFit="1" customWidth="1"/>
    <col min="1008" max="1008" width="14.1640625" bestFit="1" customWidth="1"/>
    <col min="1009" max="1009" width="21.1640625" bestFit="1" customWidth="1"/>
    <col min="1010" max="1010" width="14.1640625" bestFit="1" customWidth="1"/>
    <col min="1011" max="1011" width="20.1640625" bestFit="1" customWidth="1"/>
    <col min="1012" max="1012" width="13.1640625" bestFit="1" customWidth="1"/>
    <col min="1013" max="1013" width="21.1640625" bestFit="1" customWidth="1"/>
    <col min="1014" max="1014" width="14.1640625" bestFit="1" customWidth="1"/>
    <col min="1015" max="1015" width="21.1640625" bestFit="1" customWidth="1"/>
    <col min="1016" max="1016" width="14.1640625" bestFit="1" customWidth="1"/>
    <col min="1017" max="1017" width="21.1640625" bestFit="1" customWidth="1"/>
    <col min="1018" max="1018" width="14.1640625" bestFit="1" customWidth="1"/>
    <col min="1019" max="1019" width="21.1640625" bestFit="1" customWidth="1"/>
    <col min="1020" max="1020" width="14.1640625" bestFit="1" customWidth="1"/>
    <col min="1021" max="1021" width="21.1640625" bestFit="1" customWidth="1"/>
    <col min="1022" max="1022" width="14.1640625" bestFit="1" customWidth="1"/>
    <col min="1023" max="1023" width="21.1640625" bestFit="1" customWidth="1"/>
    <col min="1024" max="1024" width="14.1640625" bestFit="1" customWidth="1"/>
    <col min="1025" max="1025" width="21.1640625" bestFit="1" customWidth="1"/>
    <col min="1026" max="1026" width="14.1640625" bestFit="1" customWidth="1"/>
    <col min="1027" max="1027" width="21.1640625" bestFit="1" customWidth="1"/>
    <col min="1028" max="1028" width="14.1640625" bestFit="1" customWidth="1"/>
    <col min="1029" max="1029" width="21.1640625" bestFit="1" customWidth="1"/>
    <col min="1030" max="1030" width="14.1640625" bestFit="1" customWidth="1"/>
    <col min="1031" max="1031" width="19.1640625" bestFit="1" customWidth="1"/>
    <col min="1032" max="1032" width="14.1640625" bestFit="1" customWidth="1"/>
    <col min="1033" max="1033" width="21.1640625" bestFit="1" customWidth="1"/>
    <col min="1034" max="1034" width="14.1640625" bestFit="1" customWidth="1"/>
    <col min="1035" max="1035" width="21.1640625" bestFit="1" customWidth="1"/>
    <col min="1036" max="1036" width="14.1640625" bestFit="1" customWidth="1"/>
    <col min="1037" max="1037" width="20.1640625" bestFit="1" customWidth="1"/>
    <col min="1038" max="1038" width="14.1640625" bestFit="1" customWidth="1"/>
    <col min="1039" max="1039" width="21.1640625" bestFit="1" customWidth="1"/>
    <col min="1040" max="1040" width="14.1640625" bestFit="1" customWidth="1"/>
    <col min="1041" max="1041" width="21.1640625" bestFit="1" customWidth="1"/>
    <col min="1042" max="1042" width="14.1640625" bestFit="1" customWidth="1"/>
    <col min="1043" max="1043" width="21.1640625" bestFit="1" customWidth="1"/>
    <col min="1044" max="1044" width="14.1640625" bestFit="1" customWidth="1"/>
    <col min="1045" max="1045" width="21.1640625" bestFit="1" customWidth="1"/>
    <col min="1046" max="1046" width="14.1640625" bestFit="1" customWidth="1"/>
    <col min="1047" max="1047" width="21.1640625" bestFit="1" customWidth="1"/>
    <col min="1048" max="1048" width="14.1640625" bestFit="1" customWidth="1"/>
    <col min="1049" max="1049" width="21.1640625" bestFit="1" customWidth="1"/>
    <col min="1050" max="1050" width="14.1640625" bestFit="1" customWidth="1"/>
    <col min="1051" max="1051" width="18.1640625" bestFit="1" customWidth="1"/>
    <col min="1052" max="1052" width="14.1640625" bestFit="1" customWidth="1"/>
    <col min="1053" max="1053" width="21.1640625" bestFit="1" customWidth="1"/>
    <col min="1054" max="1054" width="13.1640625" bestFit="1" customWidth="1"/>
    <col min="1055" max="1055" width="21.1640625" bestFit="1" customWidth="1"/>
    <col min="1056" max="1056" width="14.1640625" bestFit="1" customWidth="1"/>
    <col min="1057" max="1057" width="21.1640625" bestFit="1" customWidth="1"/>
    <col min="1058" max="1058" width="14.1640625" bestFit="1" customWidth="1"/>
    <col min="1059" max="1059" width="21.1640625" bestFit="1" customWidth="1"/>
    <col min="1060" max="1060" width="14.1640625" bestFit="1" customWidth="1"/>
    <col min="1061" max="1061" width="21.1640625" bestFit="1" customWidth="1"/>
    <col min="1062" max="1062" width="14.1640625" bestFit="1" customWidth="1"/>
    <col min="1063" max="1063" width="21.1640625" bestFit="1" customWidth="1"/>
    <col min="1064" max="1064" width="14.1640625" bestFit="1" customWidth="1"/>
    <col min="1065" max="1065" width="21.1640625" bestFit="1" customWidth="1"/>
    <col min="1066" max="1066" width="14.1640625" bestFit="1" customWidth="1"/>
    <col min="1067" max="1067" width="21.1640625" bestFit="1" customWidth="1"/>
    <col min="1068" max="1068" width="12.1640625" bestFit="1" customWidth="1"/>
    <col min="1069" max="1069" width="21.1640625" bestFit="1" customWidth="1"/>
    <col min="1070" max="1070" width="14.1640625" bestFit="1" customWidth="1"/>
    <col min="1071" max="1071" width="21.1640625" bestFit="1" customWidth="1"/>
    <col min="1072" max="1072" width="14.1640625" bestFit="1" customWidth="1"/>
    <col min="1073" max="1073" width="21.1640625" bestFit="1" customWidth="1"/>
    <col min="1074" max="1074" width="14.1640625" bestFit="1" customWidth="1"/>
    <col min="1075" max="1075" width="21.1640625" bestFit="1" customWidth="1"/>
    <col min="1076" max="1076" width="14.1640625" bestFit="1" customWidth="1"/>
    <col min="1077" max="1077" width="21.1640625" bestFit="1" customWidth="1"/>
    <col min="1078" max="1078" width="14.1640625" bestFit="1" customWidth="1"/>
    <col min="1079" max="1079" width="21.1640625" bestFit="1" customWidth="1"/>
    <col min="1080" max="1080" width="13.1640625" bestFit="1" customWidth="1"/>
    <col min="1081" max="1081" width="21.1640625" bestFit="1" customWidth="1"/>
    <col min="1082" max="1082" width="14.1640625" bestFit="1" customWidth="1"/>
    <col min="1083" max="1083" width="21.1640625" bestFit="1" customWidth="1"/>
    <col min="1084" max="1084" width="14.1640625" bestFit="1" customWidth="1"/>
    <col min="1085" max="1085" width="21.1640625" bestFit="1" customWidth="1"/>
    <col min="1086" max="1086" width="14.1640625" bestFit="1" customWidth="1"/>
    <col min="1087" max="1087" width="21.1640625" bestFit="1" customWidth="1"/>
    <col min="1088" max="1088" width="14.1640625" bestFit="1" customWidth="1"/>
    <col min="1089" max="1089" width="21.1640625" bestFit="1" customWidth="1"/>
    <col min="1090" max="1090" width="14.1640625" bestFit="1" customWidth="1"/>
    <col min="1091" max="1091" width="21.1640625" bestFit="1" customWidth="1"/>
    <col min="1092" max="1092" width="14.1640625" bestFit="1" customWidth="1"/>
    <col min="1093" max="1093" width="21.1640625" bestFit="1" customWidth="1"/>
    <col min="1094" max="1094" width="14.1640625" bestFit="1" customWidth="1"/>
    <col min="1095" max="1095" width="21.1640625" bestFit="1" customWidth="1"/>
    <col min="1096" max="1096" width="14.1640625" bestFit="1" customWidth="1"/>
    <col min="1097" max="1097" width="21.1640625" bestFit="1" customWidth="1"/>
    <col min="1098" max="1098" width="14.1640625" bestFit="1" customWidth="1"/>
    <col min="1099" max="1099" width="21.1640625" bestFit="1" customWidth="1"/>
    <col min="1100" max="1100" width="14.1640625" bestFit="1" customWidth="1"/>
    <col min="1101" max="1101" width="21.1640625" bestFit="1" customWidth="1"/>
    <col min="1102" max="1102" width="14.1640625" bestFit="1" customWidth="1"/>
    <col min="1103" max="1103" width="21.1640625" bestFit="1" customWidth="1"/>
    <col min="1104" max="1104" width="14.1640625" bestFit="1" customWidth="1"/>
    <col min="1105" max="1105" width="21.1640625" bestFit="1" customWidth="1"/>
    <col min="1106" max="1106" width="14.1640625" bestFit="1" customWidth="1"/>
    <col min="1107" max="1107" width="21.1640625" bestFit="1" customWidth="1"/>
    <col min="1108" max="1108" width="14.1640625" bestFit="1" customWidth="1"/>
    <col min="1109" max="1109" width="21.1640625" bestFit="1" customWidth="1"/>
    <col min="1110" max="1110" width="14.1640625" bestFit="1" customWidth="1"/>
    <col min="1111" max="1111" width="21.1640625" bestFit="1" customWidth="1"/>
    <col min="1112" max="1112" width="14.1640625" bestFit="1" customWidth="1"/>
    <col min="1113" max="1113" width="21.1640625" bestFit="1" customWidth="1"/>
    <col min="1114" max="1114" width="14.1640625" bestFit="1" customWidth="1"/>
    <col min="1115" max="1115" width="21.1640625" bestFit="1" customWidth="1"/>
    <col min="1116" max="1116" width="14.1640625" bestFit="1" customWidth="1"/>
    <col min="1117" max="1117" width="21.1640625" bestFit="1" customWidth="1"/>
    <col min="1118" max="1118" width="14.1640625" bestFit="1" customWidth="1"/>
    <col min="1119" max="1119" width="21.1640625" bestFit="1" customWidth="1"/>
    <col min="1120" max="1120" width="14.1640625" bestFit="1" customWidth="1"/>
    <col min="1121" max="1121" width="21.1640625" bestFit="1" customWidth="1"/>
    <col min="1122" max="1122" width="14.1640625" bestFit="1" customWidth="1"/>
    <col min="1123" max="1123" width="21.1640625" bestFit="1" customWidth="1"/>
    <col min="1124" max="1124" width="14.1640625" bestFit="1" customWidth="1"/>
    <col min="1125" max="1125" width="21.1640625" bestFit="1" customWidth="1"/>
    <col min="1126" max="1126" width="14.1640625" bestFit="1" customWidth="1"/>
    <col min="1127" max="1127" width="21.1640625" bestFit="1" customWidth="1"/>
    <col min="1128" max="1128" width="14.1640625" bestFit="1" customWidth="1"/>
    <col min="1129" max="1129" width="21.1640625" bestFit="1" customWidth="1"/>
    <col min="1130" max="1130" width="14.1640625" bestFit="1" customWidth="1"/>
    <col min="1131" max="1131" width="21.1640625" bestFit="1" customWidth="1"/>
    <col min="1132" max="1132" width="14.1640625" bestFit="1" customWidth="1"/>
    <col min="1133" max="1133" width="21.1640625" bestFit="1" customWidth="1"/>
    <col min="1134" max="1134" width="14.1640625" bestFit="1" customWidth="1"/>
    <col min="1135" max="1135" width="21.1640625" bestFit="1" customWidth="1"/>
    <col min="1136" max="1136" width="14.1640625" bestFit="1" customWidth="1"/>
    <col min="1137" max="1137" width="21.1640625" bestFit="1" customWidth="1"/>
    <col min="1138" max="1138" width="14.1640625" bestFit="1" customWidth="1"/>
    <col min="1139" max="1139" width="21.1640625" bestFit="1" customWidth="1"/>
    <col min="1140" max="1140" width="14.1640625" bestFit="1" customWidth="1"/>
    <col min="1141" max="1141" width="21.1640625" bestFit="1" customWidth="1"/>
    <col min="1142" max="1142" width="14.1640625" bestFit="1" customWidth="1"/>
    <col min="1143" max="1143" width="21.1640625" bestFit="1" customWidth="1"/>
    <col min="1144" max="1144" width="14.1640625" bestFit="1" customWidth="1"/>
    <col min="1145" max="1145" width="21.1640625" bestFit="1" customWidth="1"/>
    <col min="1146" max="1146" width="12.1640625" bestFit="1" customWidth="1"/>
    <col min="1147" max="1147" width="20.1640625" bestFit="1" customWidth="1"/>
    <col min="1148" max="1148" width="14.1640625" bestFit="1" customWidth="1"/>
    <col min="1149" max="1149" width="21.1640625" bestFit="1" customWidth="1"/>
    <col min="1150" max="1150" width="14.1640625" bestFit="1" customWidth="1"/>
    <col min="1151" max="1151" width="21.1640625" bestFit="1" customWidth="1"/>
    <col min="1152" max="1152" width="14.1640625" bestFit="1" customWidth="1"/>
    <col min="1153" max="1153" width="21.1640625" bestFit="1" customWidth="1"/>
    <col min="1154" max="1154" width="14.1640625" bestFit="1" customWidth="1"/>
    <col min="1155" max="1155" width="21.1640625" bestFit="1" customWidth="1"/>
    <col min="1156" max="1156" width="14.1640625" bestFit="1" customWidth="1"/>
    <col min="1157" max="1157" width="21.1640625" bestFit="1" customWidth="1"/>
    <col min="1158" max="1158" width="14.1640625" bestFit="1" customWidth="1"/>
    <col min="1159" max="1159" width="21.1640625" bestFit="1" customWidth="1"/>
    <col min="1160" max="1160" width="14.1640625" bestFit="1" customWidth="1"/>
    <col min="1161" max="1161" width="21.1640625" bestFit="1" customWidth="1"/>
    <col min="1162" max="1162" width="14.1640625" bestFit="1" customWidth="1"/>
    <col min="1163" max="1163" width="21.1640625" bestFit="1" customWidth="1"/>
    <col min="1164" max="1164" width="14.1640625" bestFit="1" customWidth="1"/>
    <col min="1165" max="1165" width="21.1640625" bestFit="1" customWidth="1"/>
    <col min="1166" max="1166" width="14.1640625" bestFit="1" customWidth="1"/>
    <col min="1167" max="1167" width="21.1640625" bestFit="1" customWidth="1"/>
    <col min="1168" max="1168" width="14.1640625" bestFit="1" customWidth="1"/>
    <col min="1169" max="1169" width="21.1640625" bestFit="1" customWidth="1"/>
    <col min="1170" max="1170" width="14.1640625" bestFit="1" customWidth="1"/>
    <col min="1171" max="1171" width="19.1640625" bestFit="1" customWidth="1"/>
    <col min="1172" max="1172" width="14.1640625" bestFit="1" customWidth="1"/>
    <col min="1173" max="1173" width="21.1640625" bestFit="1" customWidth="1"/>
    <col min="1174" max="1174" width="14.1640625" bestFit="1" customWidth="1"/>
    <col min="1175" max="1175" width="21.1640625" bestFit="1" customWidth="1"/>
    <col min="1176" max="1176" width="14.1640625" bestFit="1" customWidth="1"/>
    <col min="1177" max="1177" width="21.1640625" bestFit="1" customWidth="1"/>
    <col min="1178" max="1178" width="13.1640625" bestFit="1" customWidth="1"/>
    <col min="1179" max="1179" width="21.1640625" bestFit="1" customWidth="1"/>
    <col min="1180" max="1180" width="14.1640625" bestFit="1" customWidth="1"/>
    <col min="1181" max="1181" width="21.1640625" bestFit="1" customWidth="1"/>
    <col min="1182" max="1182" width="14.1640625" bestFit="1" customWidth="1"/>
    <col min="1183" max="1183" width="21.1640625" bestFit="1" customWidth="1"/>
    <col min="1184" max="1184" width="14.1640625" bestFit="1" customWidth="1"/>
    <col min="1185" max="1185" width="21.1640625" bestFit="1" customWidth="1"/>
    <col min="1186" max="1186" width="13.1640625" bestFit="1" customWidth="1"/>
    <col min="1187" max="1187" width="21.1640625" bestFit="1" customWidth="1"/>
    <col min="1188" max="1188" width="14.1640625" bestFit="1" customWidth="1"/>
    <col min="1189" max="1189" width="21.1640625" bestFit="1" customWidth="1"/>
    <col min="1190" max="1190" width="14.1640625" bestFit="1" customWidth="1"/>
    <col min="1191" max="1191" width="21.1640625" bestFit="1" customWidth="1"/>
    <col min="1192" max="1192" width="14.1640625" bestFit="1" customWidth="1"/>
    <col min="1193" max="1193" width="21.1640625" bestFit="1" customWidth="1"/>
    <col min="1194" max="1194" width="13.1640625" bestFit="1" customWidth="1"/>
    <col min="1195" max="1195" width="21.1640625" bestFit="1" customWidth="1"/>
    <col min="1196" max="1196" width="13.1640625" bestFit="1" customWidth="1"/>
    <col min="1197" max="1197" width="21.1640625" bestFit="1" customWidth="1"/>
    <col min="1198" max="1198" width="14.1640625" bestFit="1" customWidth="1"/>
    <col min="1199" max="1199" width="21.1640625" bestFit="1" customWidth="1"/>
    <col min="1200" max="1200" width="14.1640625" bestFit="1" customWidth="1"/>
    <col min="1201" max="1201" width="21.1640625" bestFit="1" customWidth="1"/>
    <col min="1202" max="1202" width="14.1640625" bestFit="1" customWidth="1"/>
    <col min="1203" max="1203" width="21.1640625" bestFit="1" customWidth="1"/>
    <col min="1204" max="1204" width="13.1640625" bestFit="1" customWidth="1"/>
    <col min="1205" max="1205" width="21.1640625" bestFit="1" customWidth="1"/>
    <col min="1206" max="1206" width="13.1640625" bestFit="1" customWidth="1"/>
    <col min="1207" max="1207" width="21.1640625" bestFit="1" customWidth="1"/>
    <col min="1208" max="1208" width="14.1640625" bestFit="1" customWidth="1"/>
    <col min="1209" max="1209" width="21.1640625" bestFit="1" customWidth="1"/>
    <col min="1210" max="1210" width="14.1640625" bestFit="1" customWidth="1"/>
    <col min="1211" max="1211" width="21.1640625" bestFit="1" customWidth="1"/>
    <col min="1212" max="1212" width="14.1640625" bestFit="1" customWidth="1"/>
    <col min="1213" max="1213" width="20.1640625" bestFit="1" customWidth="1"/>
    <col min="1214" max="1214" width="14.1640625" bestFit="1" customWidth="1"/>
    <col min="1215" max="1215" width="21.1640625" bestFit="1" customWidth="1"/>
    <col min="1216" max="1216" width="14.1640625" bestFit="1" customWidth="1"/>
    <col min="1217" max="1217" width="21.1640625" bestFit="1" customWidth="1"/>
    <col min="1218" max="1218" width="14.1640625" bestFit="1" customWidth="1"/>
    <col min="1219" max="1219" width="21.1640625" bestFit="1" customWidth="1"/>
    <col min="1220" max="1220" width="14.1640625" bestFit="1" customWidth="1"/>
    <col min="1221" max="1221" width="21.1640625" bestFit="1" customWidth="1"/>
    <col min="1222" max="1222" width="14.1640625" bestFit="1" customWidth="1"/>
    <col min="1223" max="1223" width="21.1640625" bestFit="1" customWidth="1"/>
    <col min="1224" max="1224" width="14.1640625" bestFit="1" customWidth="1"/>
    <col min="1225" max="1225" width="21.1640625" bestFit="1" customWidth="1"/>
    <col min="1226" max="1226" width="14.1640625" bestFit="1" customWidth="1"/>
    <col min="1227" max="1227" width="21.1640625" bestFit="1" customWidth="1"/>
    <col min="1228" max="1228" width="14.1640625" bestFit="1" customWidth="1"/>
    <col min="1229" max="1229" width="21.1640625" bestFit="1" customWidth="1"/>
    <col min="1230" max="1230" width="14.1640625" bestFit="1" customWidth="1"/>
    <col min="1231" max="1231" width="21.1640625" bestFit="1" customWidth="1"/>
    <col min="1232" max="1232" width="13.1640625" bestFit="1" customWidth="1"/>
    <col min="1233" max="1233" width="21.1640625" bestFit="1" customWidth="1"/>
    <col min="1234" max="1234" width="13.1640625" bestFit="1" customWidth="1"/>
    <col min="1235" max="1235" width="21.1640625" bestFit="1" customWidth="1"/>
    <col min="1236" max="1236" width="14.1640625" bestFit="1" customWidth="1"/>
    <col min="1237" max="1237" width="21.1640625" bestFit="1" customWidth="1"/>
    <col min="1238" max="1238" width="14.1640625" bestFit="1" customWidth="1"/>
    <col min="1239" max="1239" width="21.1640625" bestFit="1" customWidth="1"/>
    <col min="1240" max="1240" width="14.1640625" bestFit="1" customWidth="1"/>
    <col min="1241" max="1241" width="21.1640625" bestFit="1" customWidth="1"/>
    <col min="1242" max="1242" width="14.1640625" bestFit="1" customWidth="1"/>
    <col min="1243" max="1243" width="20.1640625" bestFit="1" customWidth="1"/>
    <col min="1244" max="1244" width="14.1640625" bestFit="1" customWidth="1"/>
    <col min="1245" max="1245" width="21.1640625" bestFit="1" customWidth="1"/>
    <col min="1246" max="1246" width="13.1640625" bestFit="1" customWidth="1"/>
    <col min="1247" max="1247" width="21.1640625" bestFit="1" customWidth="1"/>
    <col min="1248" max="1248" width="14.1640625" bestFit="1" customWidth="1"/>
    <col min="1249" max="1249" width="21.1640625" bestFit="1" customWidth="1"/>
    <col min="1250" max="1250" width="14.1640625" bestFit="1" customWidth="1"/>
    <col min="1251" max="1251" width="21.1640625" bestFit="1" customWidth="1"/>
    <col min="1252" max="1252" width="14.1640625" bestFit="1" customWidth="1"/>
    <col min="1253" max="1253" width="21.1640625" bestFit="1" customWidth="1"/>
    <col min="1254" max="1254" width="12.1640625" bestFit="1" customWidth="1"/>
    <col min="1255" max="1255" width="21.1640625" bestFit="1" customWidth="1"/>
    <col min="1256" max="1256" width="14.1640625" bestFit="1" customWidth="1"/>
    <col min="1257" max="1257" width="21.1640625" bestFit="1" customWidth="1"/>
    <col min="1258" max="1258" width="14.1640625" bestFit="1" customWidth="1"/>
    <col min="1259" max="1259" width="21.1640625" bestFit="1" customWidth="1"/>
    <col min="1260" max="1260" width="14.1640625" bestFit="1" customWidth="1"/>
    <col min="1261" max="1261" width="21.1640625" bestFit="1" customWidth="1"/>
    <col min="1262" max="1262" width="14.1640625" bestFit="1" customWidth="1"/>
    <col min="1263" max="1263" width="21.1640625" bestFit="1" customWidth="1"/>
    <col min="1264" max="1264" width="14.1640625" bestFit="1" customWidth="1"/>
    <col min="1265" max="1265" width="20.1640625" bestFit="1" customWidth="1"/>
    <col min="1266" max="1266" width="14.1640625" bestFit="1" customWidth="1"/>
    <col min="1267" max="1267" width="21.1640625" bestFit="1" customWidth="1"/>
    <col min="1268" max="1268" width="14.1640625" bestFit="1" customWidth="1"/>
    <col min="1269" max="1269" width="21.1640625" bestFit="1" customWidth="1"/>
    <col min="1270" max="1270" width="14.1640625" bestFit="1" customWidth="1"/>
    <col min="1271" max="1271" width="21.1640625" bestFit="1" customWidth="1"/>
    <col min="1272" max="1272" width="14.1640625" bestFit="1" customWidth="1"/>
    <col min="1273" max="1273" width="21.1640625" bestFit="1" customWidth="1"/>
    <col min="1274" max="1274" width="14.1640625" bestFit="1" customWidth="1"/>
    <col min="1275" max="1275" width="21.1640625" bestFit="1" customWidth="1"/>
    <col min="1276" max="1276" width="14.1640625" bestFit="1" customWidth="1"/>
    <col min="1277" max="1277" width="21.1640625" bestFit="1" customWidth="1"/>
    <col min="1278" max="1278" width="13.1640625" bestFit="1" customWidth="1"/>
    <col min="1279" max="1279" width="21.1640625" bestFit="1" customWidth="1"/>
    <col min="1280" max="1280" width="13.1640625" bestFit="1" customWidth="1"/>
    <col min="1281" max="1281" width="20.1640625" bestFit="1" customWidth="1"/>
    <col min="1282" max="1282" width="14.1640625" bestFit="1" customWidth="1"/>
    <col min="1283" max="1283" width="21.1640625" bestFit="1" customWidth="1"/>
    <col min="1284" max="1284" width="13.1640625" bestFit="1" customWidth="1"/>
    <col min="1285" max="1285" width="21.1640625" bestFit="1" customWidth="1"/>
    <col min="1286" max="1286" width="14.1640625" bestFit="1" customWidth="1"/>
    <col min="1287" max="1287" width="21.1640625" bestFit="1" customWidth="1"/>
    <col min="1288" max="1288" width="14.1640625" bestFit="1" customWidth="1"/>
    <col min="1289" max="1289" width="21.1640625" bestFit="1" customWidth="1"/>
    <col min="1290" max="1290" width="14.1640625" bestFit="1" customWidth="1"/>
    <col min="1291" max="1291" width="21.1640625" bestFit="1" customWidth="1"/>
    <col min="1292" max="1292" width="14.1640625" bestFit="1" customWidth="1"/>
    <col min="1293" max="1293" width="21.1640625" bestFit="1" customWidth="1"/>
    <col min="1294" max="1294" width="14.1640625" bestFit="1" customWidth="1"/>
    <col min="1295" max="1295" width="21.1640625" bestFit="1" customWidth="1"/>
    <col min="1296" max="1296" width="14.1640625" bestFit="1" customWidth="1"/>
    <col min="1297" max="1297" width="21.1640625" bestFit="1" customWidth="1"/>
    <col min="1298" max="1298" width="14.1640625" bestFit="1" customWidth="1"/>
    <col min="1299" max="1299" width="21.1640625" bestFit="1" customWidth="1"/>
    <col min="1300" max="1300" width="14.1640625" bestFit="1" customWidth="1"/>
    <col min="1301" max="1301" width="21.1640625" bestFit="1" customWidth="1"/>
    <col min="1302" max="1302" width="13.1640625" bestFit="1" customWidth="1"/>
    <col min="1303" max="1303" width="21.1640625" bestFit="1" customWidth="1"/>
    <col min="1304" max="1304" width="14.1640625" bestFit="1" customWidth="1"/>
    <col min="1305" max="1305" width="21.1640625" bestFit="1" customWidth="1"/>
    <col min="1306" max="1306" width="14.1640625" bestFit="1" customWidth="1"/>
    <col min="1307" max="1307" width="21.1640625" bestFit="1" customWidth="1"/>
    <col min="1308" max="1308" width="14.1640625" bestFit="1" customWidth="1"/>
    <col min="1309" max="1309" width="21.1640625" bestFit="1" customWidth="1"/>
    <col min="1310" max="1310" width="14.1640625" bestFit="1" customWidth="1"/>
    <col min="1311" max="1311" width="21.1640625" bestFit="1" customWidth="1"/>
    <col min="1312" max="1312" width="14.1640625" bestFit="1" customWidth="1"/>
    <col min="1313" max="1313" width="21.1640625" bestFit="1" customWidth="1"/>
    <col min="1314" max="1314" width="13.1640625" bestFit="1" customWidth="1"/>
    <col min="1315" max="1315" width="21.1640625" bestFit="1" customWidth="1"/>
    <col min="1316" max="1316" width="14.1640625" bestFit="1" customWidth="1"/>
    <col min="1317" max="1317" width="21.1640625" bestFit="1" customWidth="1"/>
    <col min="1318" max="1318" width="13.1640625" bestFit="1" customWidth="1"/>
    <col min="1319" max="1319" width="21.1640625" bestFit="1" customWidth="1"/>
    <col min="1320" max="1320" width="14.1640625" bestFit="1" customWidth="1"/>
    <col min="1321" max="1321" width="21.1640625" bestFit="1" customWidth="1"/>
    <col min="1322" max="1322" width="14.1640625" bestFit="1" customWidth="1"/>
    <col min="1323" max="1323" width="21.1640625" bestFit="1" customWidth="1"/>
    <col min="1324" max="1324" width="14.1640625" bestFit="1" customWidth="1"/>
    <col min="1325" max="1325" width="21.1640625" bestFit="1" customWidth="1"/>
    <col min="1326" max="1326" width="14.1640625" bestFit="1" customWidth="1"/>
    <col min="1327" max="1327" width="20.1640625" bestFit="1" customWidth="1"/>
    <col min="1328" max="1328" width="14.1640625" bestFit="1" customWidth="1"/>
    <col min="1329" max="1329" width="21.1640625" bestFit="1" customWidth="1"/>
    <col min="1330" max="1330" width="14.1640625" bestFit="1" customWidth="1"/>
    <col min="1331" max="1331" width="21.1640625" bestFit="1" customWidth="1"/>
    <col min="1332" max="1332" width="14.1640625" bestFit="1" customWidth="1"/>
    <col min="1333" max="1333" width="21.1640625" bestFit="1" customWidth="1"/>
    <col min="1334" max="1334" width="14.1640625" bestFit="1" customWidth="1"/>
    <col min="1335" max="1335" width="21.1640625" bestFit="1" customWidth="1"/>
    <col min="1336" max="1336" width="14.1640625" bestFit="1" customWidth="1"/>
    <col min="1337" max="1337" width="21.1640625" bestFit="1" customWidth="1"/>
    <col min="1338" max="1338" width="14.1640625" bestFit="1" customWidth="1"/>
    <col min="1339" max="1339" width="21.1640625" bestFit="1" customWidth="1"/>
    <col min="1340" max="1340" width="14.1640625" bestFit="1" customWidth="1"/>
    <col min="1341" max="1341" width="21.1640625" bestFit="1" customWidth="1"/>
    <col min="1342" max="1342" width="14.1640625" bestFit="1" customWidth="1"/>
    <col min="1343" max="1343" width="21.1640625" bestFit="1" customWidth="1"/>
    <col min="1344" max="1344" width="14.1640625" bestFit="1" customWidth="1"/>
    <col min="1345" max="1345" width="21.1640625" bestFit="1" customWidth="1"/>
    <col min="1346" max="1346" width="14.1640625" bestFit="1" customWidth="1"/>
    <col min="1347" max="1347" width="21.1640625" bestFit="1" customWidth="1"/>
    <col min="1348" max="1348" width="14.1640625" bestFit="1" customWidth="1"/>
    <col min="1349" max="1349" width="21.1640625" bestFit="1" customWidth="1"/>
    <col min="1350" max="1350" width="14.1640625" bestFit="1" customWidth="1"/>
    <col min="1351" max="1351" width="21.1640625" bestFit="1" customWidth="1"/>
    <col min="1352" max="1352" width="13.1640625" bestFit="1" customWidth="1"/>
    <col min="1353" max="1353" width="21.1640625" bestFit="1" customWidth="1"/>
    <col min="1354" max="1354" width="14.1640625" bestFit="1" customWidth="1"/>
    <col min="1355" max="1355" width="21.1640625" bestFit="1" customWidth="1"/>
    <col min="1356" max="1356" width="14.1640625" bestFit="1" customWidth="1"/>
    <col min="1357" max="1357" width="21.1640625" bestFit="1" customWidth="1"/>
    <col min="1358" max="1358" width="14.1640625" bestFit="1" customWidth="1"/>
    <col min="1359" max="1359" width="21.1640625" bestFit="1" customWidth="1"/>
    <col min="1360" max="1360" width="14.1640625" bestFit="1" customWidth="1"/>
    <col min="1361" max="1361" width="21.1640625" bestFit="1" customWidth="1"/>
    <col min="1362" max="1362" width="14.1640625" bestFit="1" customWidth="1"/>
    <col min="1363" max="1363" width="21.1640625" bestFit="1" customWidth="1"/>
    <col min="1364" max="1364" width="14.1640625" bestFit="1" customWidth="1"/>
    <col min="1365" max="1365" width="21.1640625" bestFit="1" customWidth="1"/>
    <col min="1366" max="1366" width="14.1640625" bestFit="1" customWidth="1"/>
    <col min="1367" max="1367" width="21.1640625" bestFit="1" customWidth="1"/>
    <col min="1368" max="1368" width="14.1640625" bestFit="1" customWidth="1"/>
    <col min="1369" max="1369" width="21.1640625" bestFit="1" customWidth="1"/>
    <col min="1370" max="1370" width="14.1640625" bestFit="1" customWidth="1"/>
    <col min="1371" max="1371" width="21.1640625" bestFit="1" customWidth="1"/>
    <col min="1372" max="1372" width="14.1640625" bestFit="1" customWidth="1"/>
    <col min="1373" max="1373" width="21.1640625" bestFit="1" customWidth="1"/>
    <col min="1374" max="1374" width="14.1640625" bestFit="1" customWidth="1"/>
    <col min="1375" max="1375" width="21.1640625" bestFit="1" customWidth="1"/>
    <col min="1376" max="1376" width="14.1640625" bestFit="1" customWidth="1"/>
    <col min="1377" max="1377" width="21.1640625" bestFit="1" customWidth="1"/>
    <col min="1378" max="1378" width="14.1640625" bestFit="1" customWidth="1"/>
    <col min="1379" max="1379" width="21.1640625" bestFit="1" customWidth="1"/>
    <col min="1380" max="1380" width="14.1640625" bestFit="1" customWidth="1"/>
    <col min="1381" max="1381" width="21.1640625" bestFit="1" customWidth="1"/>
    <col min="1382" max="1382" width="14.1640625" bestFit="1" customWidth="1"/>
    <col min="1383" max="1383" width="20.1640625" bestFit="1" customWidth="1"/>
    <col min="1384" max="1384" width="14.1640625" bestFit="1" customWidth="1"/>
    <col min="1385" max="1385" width="21.1640625" bestFit="1" customWidth="1"/>
    <col min="1386" max="1386" width="13.1640625" bestFit="1" customWidth="1"/>
    <col min="1387" max="1387" width="21.1640625" bestFit="1" customWidth="1"/>
    <col min="1388" max="1388" width="14.1640625" bestFit="1" customWidth="1"/>
    <col min="1389" max="1389" width="21.1640625" bestFit="1" customWidth="1"/>
    <col min="1390" max="1390" width="14.1640625" bestFit="1" customWidth="1"/>
    <col min="1391" max="1391" width="21.1640625" bestFit="1" customWidth="1"/>
    <col min="1392" max="1392" width="14.1640625" bestFit="1" customWidth="1"/>
    <col min="1393" max="1393" width="20.1640625" bestFit="1" customWidth="1"/>
    <col min="1394" max="1394" width="14.1640625" bestFit="1" customWidth="1"/>
    <col min="1395" max="1395" width="21.1640625" bestFit="1" customWidth="1"/>
    <col min="1396" max="1396" width="14.1640625" bestFit="1" customWidth="1"/>
    <col min="1397" max="1397" width="21.1640625" bestFit="1" customWidth="1"/>
    <col min="1398" max="1398" width="14.1640625" bestFit="1" customWidth="1"/>
    <col min="1399" max="1399" width="21.1640625" bestFit="1" customWidth="1"/>
    <col min="1400" max="1400" width="14.1640625" bestFit="1" customWidth="1"/>
    <col min="1401" max="1401" width="21.1640625" bestFit="1" customWidth="1"/>
    <col min="1402" max="1402" width="14.1640625" bestFit="1" customWidth="1"/>
    <col min="1403" max="1403" width="21.1640625" bestFit="1" customWidth="1"/>
    <col min="1404" max="1404" width="14.1640625" bestFit="1" customWidth="1"/>
    <col min="1405" max="1405" width="20.1640625" bestFit="1" customWidth="1"/>
    <col min="1406" max="1406" width="14.1640625" bestFit="1" customWidth="1"/>
    <col min="1407" max="1407" width="21.1640625" bestFit="1" customWidth="1"/>
    <col min="1408" max="1408" width="14.1640625" bestFit="1" customWidth="1"/>
    <col min="1409" max="1409" width="21.1640625" bestFit="1" customWidth="1"/>
    <col min="1410" max="1410" width="14.1640625" bestFit="1" customWidth="1"/>
    <col min="1411" max="1411" width="21.1640625" bestFit="1" customWidth="1"/>
    <col min="1412" max="1412" width="14.1640625" bestFit="1" customWidth="1"/>
    <col min="1413" max="1413" width="21.1640625" bestFit="1" customWidth="1"/>
    <col min="1414" max="1414" width="14.1640625" bestFit="1" customWidth="1"/>
    <col min="1415" max="1415" width="21.1640625" bestFit="1" customWidth="1"/>
    <col min="1416" max="1416" width="14.1640625" bestFit="1" customWidth="1"/>
    <col min="1417" max="1417" width="21.1640625" bestFit="1" customWidth="1"/>
    <col min="1418" max="1418" width="14.1640625" bestFit="1" customWidth="1"/>
    <col min="1419" max="1419" width="21.1640625" bestFit="1" customWidth="1"/>
    <col min="1420" max="1420" width="14.1640625" bestFit="1" customWidth="1"/>
    <col min="1421" max="1421" width="21.1640625" bestFit="1" customWidth="1"/>
    <col min="1422" max="1422" width="14.1640625" bestFit="1" customWidth="1"/>
    <col min="1423" max="1423" width="21.1640625" bestFit="1" customWidth="1"/>
    <col min="1424" max="1424" width="14.1640625" bestFit="1" customWidth="1"/>
    <col min="1425" max="1425" width="21.1640625" bestFit="1" customWidth="1"/>
    <col min="1426" max="1426" width="14.1640625" bestFit="1" customWidth="1"/>
    <col min="1427" max="1427" width="20.1640625" bestFit="1" customWidth="1"/>
    <col min="1428" max="1428" width="14.1640625" bestFit="1" customWidth="1"/>
    <col min="1429" max="1429" width="21.1640625" bestFit="1" customWidth="1"/>
    <col min="1430" max="1430" width="14.1640625" bestFit="1" customWidth="1"/>
    <col min="1431" max="1431" width="21.1640625" bestFit="1" customWidth="1"/>
    <col min="1432" max="1432" width="14.1640625" bestFit="1" customWidth="1"/>
    <col min="1433" max="1433" width="21.1640625" bestFit="1" customWidth="1"/>
    <col min="1434" max="1434" width="14.1640625" bestFit="1" customWidth="1"/>
    <col min="1435" max="1435" width="21.1640625" bestFit="1" customWidth="1"/>
    <col min="1436" max="1436" width="14.1640625" bestFit="1" customWidth="1"/>
    <col min="1437" max="1437" width="21.1640625" bestFit="1" customWidth="1"/>
    <col min="1438" max="1438" width="13.1640625" bestFit="1" customWidth="1"/>
    <col min="1439" max="1439" width="21.1640625" bestFit="1" customWidth="1"/>
    <col min="1440" max="1440" width="14.1640625" bestFit="1" customWidth="1"/>
    <col min="1441" max="1441" width="21.1640625" bestFit="1" customWidth="1"/>
    <col min="1442" max="1442" width="14.1640625" bestFit="1" customWidth="1"/>
    <col min="1443" max="1443" width="21.1640625" bestFit="1" customWidth="1"/>
    <col min="1444" max="1444" width="14.1640625" bestFit="1" customWidth="1"/>
    <col min="1445" max="1445" width="21.1640625" bestFit="1" customWidth="1"/>
    <col min="1446" max="1446" width="14.1640625" bestFit="1" customWidth="1"/>
    <col min="1447" max="1447" width="21.1640625" bestFit="1" customWidth="1"/>
    <col min="1448" max="1448" width="14.1640625" bestFit="1" customWidth="1"/>
    <col min="1449" max="1449" width="21.1640625" bestFit="1" customWidth="1"/>
    <col min="1450" max="1450" width="14.1640625" bestFit="1" customWidth="1"/>
    <col min="1451" max="1451" width="21.1640625" bestFit="1" customWidth="1"/>
    <col min="1452" max="1452" width="14.1640625" bestFit="1" customWidth="1"/>
    <col min="1453" max="1453" width="21.1640625" bestFit="1" customWidth="1"/>
    <col min="1454" max="1454" width="14.1640625" bestFit="1" customWidth="1"/>
    <col min="1455" max="1455" width="21.1640625" bestFit="1" customWidth="1"/>
    <col min="1456" max="1456" width="14.1640625" bestFit="1" customWidth="1"/>
    <col min="1457" max="1457" width="21.1640625" bestFit="1" customWidth="1"/>
    <col min="1458" max="1458" width="14.1640625" bestFit="1" customWidth="1"/>
    <col min="1459" max="1459" width="20.1640625" bestFit="1" customWidth="1"/>
    <col min="1460" max="1460" width="14.1640625" bestFit="1" customWidth="1"/>
    <col min="1461" max="1461" width="21.1640625" bestFit="1" customWidth="1"/>
    <col min="1462" max="1462" width="14.1640625" bestFit="1" customWidth="1"/>
    <col min="1463" max="1463" width="21.1640625" bestFit="1" customWidth="1"/>
    <col min="1464" max="1464" width="14.1640625" bestFit="1" customWidth="1"/>
    <col min="1465" max="1465" width="21.1640625" bestFit="1" customWidth="1"/>
    <col min="1466" max="1466" width="14.1640625" bestFit="1" customWidth="1"/>
    <col min="1467" max="1467" width="21.1640625" bestFit="1" customWidth="1"/>
    <col min="1468" max="1468" width="13.1640625" bestFit="1" customWidth="1"/>
    <col min="1469" max="1469" width="21.1640625" bestFit="1" customWidth="1"/>
    <col min="1470" max="1470" width="14.1640625" bestFit="1" customWidth="1"/>
    <col min="1471" max="1471" width="21.1640625" bestFit="1" customWidth="1"/>
    <col min="1472" max="1472" width="14.1640625" bestFit="1" customWidth="1"/>
    <col min="1473" max="1473" width="21.1640625" bestFit="1" customWidth="1"/>
    <col min="1474" max="1474" width="14.1640625" bestFit="1" customWidth="1"/>
    <col min="1475" max="1475" width="20.1640625" bestFit="1" customWidth="1"/>
    <col min="1476" max="1476" width="14.1640625" bestFit="1" customWidth="1"/>
    <col min="1477" max="1477" width="20.1640625" bestFit="1" customWidth="1"/>
    <col min="1478" max="1478" width="14.1640625" bestFit="1" customWidth="1"/>
    <col min="1479" max="1479" width="21.1640625" bestFit="1" customWidth="1"/>
    <col min="1480" max="1480" width="14.1640625" bestFit="1" customWidth="1"/>
    <col min="1481" max="1481" width="21.1640625" bestFit="1" customWidth="1"/>
    <col min="1482" max="1482" width="14.1640625" bestFit="1" customWidth="1"/>
    <col min="1483" max="1483" width="21.1640625" bestFit="1" customWidth="1"/>
    <col min="1484" max="1484" width="14.1640625" bestFit="1" customWidth="1"/>
    <col min="1485" max="1485" width="21.1640625" bestFit="1" customWidth="1"/>
    <col min="1486" max="1486" width="14.1640625" bestFit="1" customWidth="1"/>
    <col min="1487" max="1487" width="21.1640625" bestFit="1" customWidth="1"/>
    <col min="1488" max="1488" width="14.1640625" bestFit="1" customWidth="1"/>
    <col min="1489" max="1489" width="21.1640625" bestFit="1" customWidth="1"/>
    <col min="1490" max="1490" width="14.1640625" bestFit="1" customWidth="1"/>
    <col min="1491" max="1491" width="21.1640625" bestFit="1" customWidth="1"/>
    <col min="1492" max="1492" width="14.1640625" bestFit="1" customWidth="1"/>
    <col min="1493" max="1493" width="21.1640625" bestFit="1" customWidth="1"/>
    <col min="1494" max="1494" width="14.1640625" bestFit="1" customWidth="1"/>
    <col min="1495" max="1495" width="21.1640625" bestFit="1" customWidth="1"/>
    <col min="1496" max="1496" width="14.1640625" bestFit="1" customWidth="1"/>
    <col min="1497" max="1497" width="21.1640625" bestFit="1" customWidth="1"/>
    <col min="1498" max="1498" width="14.1640625" bestFit="1" customWidth="1"/>
    <col min="1499" max="1499" width="21.1640625" bestFit="1" customWidth="1"/>
    <col min="1500" max="1500" width="14.1640625" bestFit="1" customWidth="1"/>
    <col min="1501" max="1501" width="21.1640625" bestFit="1" customWidth="1"/>
    <col min="1502" max="1502" width="14.1640625" bestFit="1" customWidth="1"/>
    <col min="1503" max="1503" width="20.1640625" bestFit="1" customWidth="1"/>
    <col min="1504" max="1504" width="14.1640625" bestFit="1" customWidth="1"/>
    <col min="1505" max="1505" width="21.1640625" bestFit="1" customWidth="1"/>
    <col min="1506" max="1506" width="13.1640625" bestFit="1" customWidth="1"/>
    <col min="1507" max="1507" width="21.1640625" bestFit="1" customWidth="1"/>
    <col min="1508" max="1508" width="14.1640625" bestFit="1" customWidth="1"/>
    <col min="1509" max="1509" width="20.1640625" bestFit="1" customWidth="1"/>
    <col min="1510" max="1510" width="14.1640625" bestFit="1" customWidth="1"/>
    <col min="1511" max="1511" width="21.1640625" bestFit="1" customWidth="1"/>
    <col min="1512" max="1512" width="14.1640625" bestFit="1" customWidth="1"/>
    <col min="1513" max="1513" width="21.1640625" bestFit="1" customWidth="1"/>
    <col min="1514" max="1514" width="14.1640625" bestFit="1" customWidth="1"/>
    <col min="1515" max="1515" width="20.1640625" bestFit="1" customWidth="1"/>
    <col min="1516" max="1516" width="14.1640625" bestFit="1" customWidth="1"/>
    <col min="1517" max="1517" width="21.1640625" bestFit="1" customWidth="1"/>
    <col min="1518" max="1518" width="13.1640625" bestFit="1" customWidth="1"/>
    <col min="1519" max="1519" width="21.1640625" bestFit="1" customWidth="1"/>
    <col min="1520" max="1520" width="14.1640625" bestFit="1" customWidth="1"/>
    <col min="1521" max="1521" width="20.1640625" bestFit="1" customWidth="1"/>
    <col min="1522" max="1522" width="14.1640625" bestFit="1" customWidth="1"/>
    <col min="1523" max="1523" width="21.1640625" bestFit="1" customWidth="1"/>
    <col min="1524" max="1524" width="14.1640625" bestFit="1" customWidth="1"/>
    <col min="1525" max="1525" width="21.1640625" bestFit="1" customWidth="1"/>
    <col min="1526" max="1526" width="14.1640625" bestFit="1" customWidth="1"/>
    <col min="1527" max="1527" width="20.1640625" bestFit="1" customWidth="1"/>
    <col min="1528" max="1528" width="13.1640625" bestFit="1" customWidth="1"/>
    <col min="1529" max="1529" width="21.1640625" bestFit="1" customWidth="1"/>
    <col min="1530" max="1530" width="14.1640625" bestFit="1" customWidth="1"/>
    <col min="1531" max="1531" width="21.1640625" bestFit="1" customWidth="1"/>
    <col min="1532" max="1532" width="14.1640625" bestFit="1" customWidth="1"/>
    <col min="1533" max="1533" width="19.1640625" bestFit="1" customWidth="1"/>
    <col min="1534" max="1534" width="14.1640625" bestFit="1" customWidth="1"/>
    <col min="1535" max="1535" width="20.1640625" bestFit="1" customWidth="1"/>
    <col min="1536" max="1536" width="14.1640625" bestFit="1" customWidth="1"/>
    <col min="1537" max="1537" width="21.1640625" bestFit="1" customWidth="1"/>
    <col min="1538" max="1538" width="14.1640625" bestFit="1" customWidth="1"/>
    <col min="1539" max="1539" width="21.1640625" bestFit="1" customWidth="1"/>
    <col min="1540" max="1540" width="14.1640625" bestFit="1" customWidth="1"/>
    <col min="1541" max="1541" width="21.1640625" bestFit="1" customWidth="1"/>
    <col min="1542" max="1542" width="14.1640625" bestFit="1" customWidth="1"/>
    <col min="1543" max="1543" width="20.1640625" bestFit="1" customWidth="1"/>
    <col min="1544" max="1544" width="14.1640625" bestFit="1" customWidth="1"/>
    <col min="1545" max="1545" width="21.1640625" bestFit="1" customWidth="1"/>
    <col min="1546" max="1546" width="14.1640625" bestFit="1" customWidth="1"/>
    <col min="1547" max="1547" width="21.1640625" bestFit="1" customWidth="1"/>
    <col min="1548" max="1548" width="14.1640625" bestFit="1" customWidth="1"/>
    <col min="1549" max="1549" width="21.1640625" bestFit="1" customWidth="1"/>
    <col min="1550" max="1550" width="14.1640625" bestFit="1" customWidth="1"/>
    <col min="1551" max="1551" width="21.1640625" bestFit="1" customWidth="1"/>
    <col min="1552" max="1552" width="14.1640625" bestFit="1" customWidth="1"/>
    <col min="1553" max="1553" width="21.1640625" bestFit="1" customWidth="1"/>
    <col min="1554" max="1554" width="14.1640625" bestFit="1" customWidth="1"/>
    <col min="1555" max="1555" width="19.1640625" bestFit="1" customWidth="1"/>
    <col min="1556" max="1556" width="14.1640625" bestFit="1" customWidth="1"/>
    <col min="1557" max="1557" width="21.1640625" bestFit="1" customWidth="1"/>
    <col min="1558" max="1558" width="14.1640625" bestFit="1" customWidth="1"/>
    <col min="1559" max="1559" width="21.1640625" bestFit="1" customWidth="1"/>
    <col min="1560" max="1560" width="14.1640625" bestFit="1" customWidth="1"/>
    <col min="1561" max="1561" width="21.1640625" bestFit="1" customWidth="1"/>
    <col min="1562" max="1562" width="14.1640625" bestFit="1" customWidth="1"/>
    <col min="1563" max="1563" width="21.1640625" bestFit="1" customWidth="1"/>
    <col min="1564" max="1564" width="14.1640625" bestFit="1" customWidth="1"/>
    <col min="1565" max="1565" width="21.1640625" bestFit="1" customWidth="1"/>
    <col min="1566" max="1566" width="14.1640625" bestFit="1" customWidth="1"/>
    <col min="1567" max="1567" width="21.1640625" bestFit="1" customWidth="1"/>
    <col min="1568" max="1568" width="13.1640625" bestFit="1" customWidth="1"/>
    <col min="1569" max="1569" width="19.1640625" bestFit="1" customWidth="1"/>
    <col min="1570" max="1570" width="14.1640625" bestFit="1" customWidth="1"/>
    <col min="1571" max="1571" width="21.1640625" bestFit="1" customWidth="1"/>
    <col min="1572" max="1572" width="14.1640625" bestFit="1" customWidth="1"/>
    <col min="1573" max="1573" width="21.1640625" bestFit="1" customWidth="1"/>
    <col min="1574" max="1574" width="14.1640625" bestFit="1" customWidth="1"/>
    <col min="1575" max="1575" width="20.1640625" bestFit="1" customWidth="1"/>
    <col min="1576" max="1576" width="14.1640625" bestFit="1" customWidth="1"/>
    <col min="1577" max="1577" width="21.1640625" bestFit="1" customWidth="1"/>
    <col min="1578" max="1578" width="13.1640625" bestFit="1" customWidth="1"/>
    <col min="1579" max="1579" width="21.1640625" bestFit="1" customWidth="1"/>
    <col min="1580" max="1580" width="14.1640625" bestFit="1" customWidth="1"/>
    <col min="1581" max="1581" width="21.1640625" bestFit="1" customWidth="1"/>
    <col min="1582" max="1582" width="13.1640625" bestFit="1" customWidth="1"/>
    <col min="1583" max="1583" width="21.1640625" bestFit="1" customWidth="1"/>
    <col min="1584" max="1584" width="14.1640625" bestFit="1" customWidth="1"/>
    <col min="1585" max="1585" width="21.1640625" bestFit="1" customWidth="1"/>
    <col min="1586" max="1586" width="14.1640625" bestFit="1" customWidth="1"/>
    <col min="1587" max="1587" width="20.1640625" bestFit="1" customWidth="1"/>
    <col min="1588" max="1588" width="14.1640625" bestFit="1" customWidth="1"/>
    <col min="1589" max="1589" width="21.1640625" bestFit="1" customWidth="1"/>
    <col min="1590" max="1590" width="14.1640625" bestFit="1" customWidth="1"/>
    <col min="1591" max="1591" width="21.1640625" bestFit="1" customWidth="1"/>
    <col min="1592" max="1592" width="14.1640625" bestFit="1" customWidth="1"/>
    <col min="1593" max="1593" width="21.1640625" bestFit="1" customWidth="1"/>
    <col min="1594" max="1594" width="14.1640625" bestFit="1" customWidth="1"/>
    <col min="1595" max="1595" width="21.1640625" bestFit="1" customWidth="1"/>
    <col min="1596" max="1596" width="14.1640625" bestFit="1" customWidth="1"/>
    <col min="1597" max="1597" width="21.1640625" bestFit="1" customWidth="1"/>
    <col min="1598" max="1598" width="14.1640625" bestFit="1" customWidth="1"/>
    <col min="1599" max="1599" width="21.1640625" bestFit="1" customWidth="1"/>
    <col min="1600" max="1600" width="12.1640625" bestFit="1" customWidth="1"/>
    <col min="1601" max="1601" width="21.1640625" bestFit="1" customWidth="1"/>
    <col min="1602" max="1602" width="14.1640625" bestFit="1" customWidth="1"/>
    <col min="1603" max="1603" width="20.1640625" bestFit="1" customWidth="1"/>
    <col min="1604" max="1604" width="14.1640625" bestFit="1" customWidth="1"/>
    <col min="1605" max="1605" width="21.1640625" bestFit="1" customWidth="1"/>
    <col min="1606" max="1606" width="14.1640625" bestFit="1" customWidth="1"/>
    <col min="1607" max="1607" width="21.1640625" bestFit="1" customWidth="1"/>
    <col min="1608" max="1608" width="14.1640625" bestFit="1" customWidth="1"/>
    <col min="1609" max="1609" width="20.1640625" bestFit="1" customWidth="1"/>
    <col min="1610" max="1610" width="14.1640625" bestFit="1" customWidth="1"/>
    <col min="1611" max="1611" width="21.1640625" bestFit="1" customWidth="1"/>
    <col min="1612" max="1612" width="14.1640625" bestFit="1" customWidth="1"/>
    <col min="1613" max="1613" width="21.1640625" bestFit="1" customWidth="1"/>
    <col min="1614" max="1614" width="14.1640625" bestFit="1" customWidth="1"/>
    <col min="1615" max="1615" width="21.1640625" bestFit="1" customWidth="1"/>
    <col min="1616" max="1616" width="14.1640625" bestFit="1" customWidth="1"/>
    <col min="1617" max="1617" width="21.1640625" bestFit="1" customWidth="1"/>
    <col min="1618" max="1618" width="14.1640625" bestFit="1" customWidth="1"/>
    <col min="1619" max="1619" width="21.1640625" bestFit="1" customWidth="1"/>
    <col min="1620" max="1620" width="14.1640625" bestFit="1" customWidth="1"/>
    <col min="1621" max="1621" width="21.1640625" bestFit="1" customWidth="1"/>
    <col min="1622" max="1622" width="14.1640625" bestFit="1" customWidth="1"/>
    <col min="1623" max="1623" width="21.1640625" bestFit="1" customWidth="1"/>
    <col min="1624" max="1624" width="14.1640625" bestFit="1" customWidth="1"/>
    <col min="1625" max="1625" width="21.1640625" bestFit="1" customWidth="1"/>
    <col min="1626" max="1626" width="14.1640625" bestFit="1" customWidth="1"/>
    <col min="1627" max="1627" width="21.1640625" bestFit="1" customWidth="1"/>
    <col min="1628" max="1628" width="13.1640625" bestFit="1" customWidth="1"/>
    <col min="1629" max="1629" width="21.1640625" bestFit="1" customWidth="1"/>
    <col min="1630" max="1630" width="13.1640625" bestFit="1" customWidth="1"/>
    <col min="1631" max="1631" width="21.1640625" bestFit="1" customWidth="1"/>
    <col min="1632" max="1632" width="14.1640625" bestFit="1" customWidth="1"/>
    <col min="1633" max="1633" width="21.1640625" bestFit="1" customWidth="1"/>
    <col min="1634" max="1634" width="14.1640625" bestFit="1" customWidth="1"/>
    <col min="1635" max="1635" width="21.1640625" bestFit="1" customWidth="1"/>
    <col min="1636" max="1636" width="14.1640625" bestFit="1" customWidth="1"/>
    <col min="1637" max="1637" width="21.1640625" bestFit="1" customWidth="1"/>
    <col min="1638" max="1638" width="14.1640625" bestFit="1" customWidth="1"/>
    <col min="1639" max="1639" width="21.1640625" bestFit="1" customWidth="1"/>
    <col min="1640" max="1640" width="14.1640625" bestFit="1" customWidth="1"/>
    <col min="1641" max="1641" width="21.1640625" bestFit="1" customWidth="1"/>
    <col min="1642" max="1642" width="14.1640625" bestFit="1" customWidth="1"/>
    <col min="1643" max="1643" width="21.1640625" bestFit="1" customWidth="1"/>
    <col min="1644" max="1644" width="14.1640625" bestFit="1" customWidth="1"/>
    <col min="1645" max="1645" width="21.1640625" bestFit="1" customWidth="1"/>
    <col min="1646" max="1646" width="14.1640625" bestFit="1" customWidth="1"/>
    <col min="1647" max="1647" width="21.1640625" bestFit="1" customWidth="1"/>
    <col min="1648" max="1648" width="14.1640625" bestFit="1" customWidth="1"/>
    <col min="1649" max="1649" width="21.1640625" bestFit="1" customWidth="1"/>
    <col min="1650" max="1650" width="14.1640625" bestFit="1" customWidth="1"/>
    <col min="1651" max="1651" width="21.1640625" bestFit="1" customWidth="1"/>
    <col min="1652" max="1652" width="14.1640625" bestFit="1" customWidth="1"/>
    <col min="1653" max="1653" width="21.1640625" bestFit="1" customWidth="1"/>
    <col min="1654" max="1654" width="14.1640625" bestFit="1" customWidth="1"/>
    <col min="1655" max="1655" width="21.1640625" bestFit="1" customWidth="1"/>
    <col min="1656" max="1656" width="14.1640625" bestFit="1" customWidth="1"/>
    <col min="1657" max="1657" width="21.1640625" bestFit="1" customWidth="1"/>
    <col min="1658" max="1658" width="14.1640625" bestFit="1" customWidth="1"/>
    <col min="1659" max="1659" width="21.1640625" bestFit="1" customWidth="1"/>
    <col min="1660" max="1660" width="14.1640625" bestFit="1" customWidth="1"/>
    <col min="1661" max="1661" width="21.1640625" bestFit="1" customWidth="1"/>
    <col min="1662" max="1662" width="13.1640625" bestFit="1" customWidth="1"/>
    <col min="1663" max="1663" width="21.1640625" bestFit="1" customWidth="1"/>
    <col min="1664" max="1664" width="14.1640625" bestFit="1" customWidth="1"/>
    <col min="1665" max="1665" width="20.1640625" bestFit="1" customWidth="1"/>
    <col min="1666" max="1666" width="14.1640625" bestFit="1" customWidth="1"/>
    <col min="1667" max="1667" width="21.1640625" bestFit="1" customWidth="1"/>
    <col min="1668" max="1668" width="14.1640625" bestFit="1" customWidth="1"/>
    <col min="1669" max="1669" width="21.1640625" bestFit="1" customWidth="1"/>
    <col min="1670" max="1670" width="14.1640625" bestFit="1" customWidth="1"/>
    <col min="1671" max="1671" width="21.1640625" bestFit="1" customWidth="1"/>
    <col min="1672" max="1672" width="13.1640625" bestFit="1" customWidth="1"/>
    <col min="1673" max="1673" width="21.1640625" bestFit="1" customWidth="1"/>
    <col min="1674" max="1674" width="14.1640625" bestFit="1" customWidth="1"/>
    <col min="1675" max="1675" width="21.1640625" bestFit="1" customWidth="1"/>
    <col min="1676" max="1676" width="14.1640625" bestFit="1" customWidth="1"/>
    <col min="1677" max="1677" width="21.1640625" bestFit="1" customWidth="1"/>
    <col min="1678" max="1678" width="14.1640625" bestFit="1" customWidth="1"/>
    <col min="1679" max="1679" width="21.1640625" bestFit="1" customWidth="1"/>
    <col min="1680" max="1680" width="14.1640625" bestFit="1" customWidth="1"/>
    <col min="1681" max="1681" width="21.1640625" bestFit="1" customWidth="1"/>
    <col min="1682" max="1682" width="14.1640625" bestFit="1" customWidth="1"/>
    <col min="1683" max="1683" width="21.1640625" bestFit="1" customWidth="1"/>
    <col min="1684" max="1684" width="14.1640625" bestFit="1" customWidth="1"/>
    <col min="1685" max="1685" width="21.1640625" bestFit="1" customWidth="1"/>
    <col min="1686" max="1686" width="14.1640625" bestFit="1" customWidth="1"/>
    <col min="1687" max="1687" width="21.1640625" bestFit="1" customWidth="1"/>
    <col min="1688" max="1688" width="14.1640625" bestFit="1" customWidth="1"/>
    <col min="1689" max="1689" width="21.1640625" bestFit="1" customWidth="1"/>
    <col min="1690" max="1690" width="14.1640625" bestFit="1" customWidth="1"/>
    <col min="1691" max="1691" width="21.1640625" bestFit="1" customWidth="1"/>
    <col min="1692" max="1692" width="14.1640625" bestFit="1" customWidth="1"/>
    <col min="1693" max="1693" width="20.1640625" bestFit="1" customWidth="1"/>
    <col min="1694" max="1694" width="13.1640625" bestFit="1" customWidth="1"/>
    <col min="1695" max="1695" width="21.1640625" bestFit="1" customWidth="1"/>
    <col min="1696" max="1696" width="14.1640625" bestFit="1" customWidth="1"/>
    <col min="1697" max="1697" width="21.1640625" bestFit="1" customWidth="1"/>
    <col min="1698" max="1698" width="14.1640625" bestFit="1" customWidth="1"/>
    <col min="1699" max="1699" width="20.1640625" bestFit="1" customWidth="1"/>
    <col min="1700" max="1700" width="14.1640625" bestFit="1" customWidth="1"/>
    <col min="1701" max="1701" width="21.1640625" bestFit="1" customWidth="1"/>
    <col min="1702" max="1702" width="14.1640625" bestFit="1" customWidth="1"/>
    <col min="1703" max="1703" width="21.1640625" bestFit="1" customWidth="1"/>
    <col min="1704" max="1704" width="14.1640625" bestFit="1" customWidth="1"/>
    <col min="1705" max="1705" width="21.1640625" bestFit="1" customWidth="1"/>
    <col min="1706" max="1706" width="14.1640625" bestFit="1" customWidth="1"/>
    <col min="1707" max="1707" width="21.1640625" bestFit="1" customWidth="1"/>
    <col min="1708" max="1708" width="14.1640625" bestFit="1" customWidth="1"/>
    <col min="1709" max="1709" width="21.1640625" bestFit="1" customWidth="1"/>
    <col min="1710" max="1710" width="13.1640625" bestFit="1" customWidth="1"/>
    <col min="1711" max="1711" width="21.1640625" bestFit="1" customWidth="1"/>
    <col min="1712" max="1712" width="14.1640625" bestFit="1" customWidth="1"/>
    <col min="1713" max="1713" width="21.1640625" bestFit="1" customWidth="1"/>
    <col min="1714" max="1714" width="14.1640625" bestFit="1" customWidth="1"/>
    <col min="1715" max="1715" width="21.1640625" bestFit="1" customWidth="1"/>
    <col min="1716" max="1716" width="14.1640625" bestFit="1" customWidth="1"/>
    <col min="1717" max="1717" width="20.1640625" bestFit="1" customWidth="1"/>
    <col min="1718" max="1718" width="14.1640625" bestFit="1" customWidth="1"/>
    <col min="1719" max="1719" width="21.1640625" bestFit="1" customWidth="1"/>
    <col min="1720" max="1720" width="13.1640625" bestFit="1" customWidth="1"/>
    <col min="1721" max="1721" width="21.1640625" bestFit="1" customWidth="1"/>
    <col min="1722" max="1722" width="14.1640625" bestFit="1" customWidth="1"/>
    <col min="1723" max="1723" width="21.1640625" bestFit="1" customWidth="1"/>
    <col min="1724" max="1724" width="14.1640625" bestFit="1" customWidth="1"/>
    <col min="1725" max="1725" width="21.1640625" bestFit="1" customWidth="1"/>
    <col min="1726" max="1726" width="13.1640625" bestFit="1" customWidth="1"/>
    <col min="1727" max="1727" width="21.1640625" bestFit="1" customWidth="1"/>
    <col min="1728" max="1728" width="13.1640625" bestFit="1" customWidth="1"/>
    <col min="1729" max="1729" width="21.1640625" bestFit="1" customWidth="1"/>
    <col min="1730" max="1730" width="14.1640625" bestFit="1" customWidth="1"/>
    <col min="1731" max="1731" width="21.1640625" bestFit="1" customWidth="1"/>
    <col min="1732" max="1732" width="14.1640625" bestFit="1" customWidth="1"/>
    <col min="1733" max="1733" width="21.1640625" bestFit="1" customWidth="1"/>
    <col min="1734" max="1734" width="14.1640625" bestFit="1" customWidth="1"/>
    <col min="1735" max="1735" width="21.1640625" bestFit="1" customWidth="1"/>
    <col min="1736" max="1736" width="14.1640625" bestFit="1" customWidth="1"/>
    <col min="1737" max="1737" width="21.1640625" bestFit="1" customWidth="1"/>
    <col min="1738" max="1738" width="13.1640625" bestFit="1" customWidth="1"/>
    <col min="1739" max="1739" width="21.1640625" bestFit="1" customWidth="1"/>
    <col min="1740" max="1740" width="14.1640625" bestFit="1" customWidth="1"/>
    <col min="1741" max="1741" width="21.1640625" bestFit="1" customWidth="1"/>
    <col min="1742" max="1742" width="14.1640625" bestFit="1" customWidth="1"/>
    <col min="1743" max="1743" width="21.1640625" bestFit="1" customWidth="1"/>
    <col min="1744" max="1744" width="14.1640625" bestFit="1" customWidth="1"/>
    <col min="1745" max="1745" width="21.1640625" bestFit="1" customWidth="1"/>
    <col min="1746" max="1746" width="13.1640625" bestFit="1" customWidth="1"/>
    <col min="1747" max="1747" width="21.1640625" bestFit="1" customWidth="1"/>
    <col min="1748" max="1748" width="14.1640625" bestFit="1" customWidth="1"/>
    <col min="1749" max="1749" width="21.1640625" bestFit="1" customWidth="1"/>
    <col min="1750" max="1750" width="14.1640625" bestFit="1" customWidth="1"/>
    <col min="1751" max="1751" width="21.1640625" bestFit="1" customWidth="1"/>
    <col min="1752" max="1752" width="14.1640625" bestFit="1" customWidth="1"/>
    <col min="1753" max="1753" width="21.1640625" bestFit="1" customWidth="1"/>
    <col min="1754" max="1754" width="14.1640625" bestFit="1" customWidth="1"/>
    <col min="1755" max="1755" width="21.1640625" bestFit="1" customWidth="1"/>
    <col min="1756" max="1756" width="14.1640625" bestFit="1" customWidth="1"/>
    <col min="1757" max="1757" width="21.1640625" bestFit="1" customWidth="1"/>
    <col min="1758" max="1758" width="14.1640625" bestFit="1" customWidth="1"/>
    <col min="1759" max="1759" width="21.1640625" bestFit="1" customWidth="1"/>
    <col min="1760" max="1760" width="14.1640625" bestFit="1" customWidth="1"/>
    <col min="1761" max="1761" width="21.1640625" bestFit="1" customWidth="1"/>
    <col min="1762" max="1762" width="14.1640625" bestFit="1" customWidth="1"/>
    <col min="1763" max="1763" width="21.1640625" bestFit="1" customWidth="1"/>
    <col min="1764" max="1764" width="14.1640625" bestFit="1" customWidth="1"/>
    <col min="1765" max="1765" width="21.1640625" bestFit="1" customWidth="1"/>
    <col min="1766" max="1766" width="14.1640625" bestFit="1" customWidth="1"/>
    <col min="1767" max="1767" width="21.1640625" bestFit="1" customWidth="1"/>
    <col min="1768" max="1768" width="14.1640625" bestFit="1" customWidth="1"/>
    <col min="1769" max="1769" width="21.1640625" bestFit="1" customWidth="1"/>
    <col min="1770" max="1770" width="14.1640625" bestFit="1" customWidth="1"/>
    <col min="1771" max="1771" width="21.1640625" bestFit="1" customWidth="1"/>
    <col min="1772" max="1772" width="14.1640625" bestFit="1" customWidth="1"/>
    <col min="1773" max="1773" width="20.1640625" bestFit="1" customWidth="1"/>
    <col min="1774" max="1774" width="14.1640625" bestFit="1" customWidth="1"/>
    <col min="1775" max="1775" width="21.1640625" bestFit="1" customWidth="1"/>
    <col min="1776" max="1776" width="14.1640625" bestFit="1" customWidth="1"/>
    <col min="1777" max="1777" width="21.1640625" bestFit="1" customWidth="1"/>
    <col min="1778" max="1778" width="14.1640625" bestFit="1" customWidth="1"/>
    <col min="1779" max="1779" width="21.1640625" bestFit="1" customWidth="1"/>
    <col min="1780" max="1780" width="14.1640625" bestFit="1" customWidth="1"/>
    <col min="1781" max="1781" width="21.1640625" bestFit="1" customWidth="1"/>
    <col min="1782" max="1782" width="14.1640625" bestFit="1" customWidth="1"/>
    <col min="1783" max="1783" width="21.1640625" bestFit="1" customWidth="1"/>
    <col min="1784" max="1784" width="14.1640625" bestFit="1" customWidth="1"/>
    <col min="1785" max="1785" width="21.1640625" bestFit="1" customWidth="1"/>
    <col min="1786" max="1786" width="14.1640625" bestFit="1" customWidth="1"/>
    <col min="1787" max="1787" width="20.1640625" bestFit="1" customWidth="1"/>
    <col min="1788" max="1788" width="14.1640625" bestFit="1" customWidth="1"/>
    <col min="1789" max="1789" width="21.1640625" bestFit="1" customWidth="1"/>
    <col min="1790" max="1790" width="14.1640625" bestFit="1" customWidth="1"/>
    <col min="1791" max="1791" width="21.1640625" bestFit="1" customWidth="1"/>
    <col min="1792" max="1792" width="14.1640625" bestFit="1" customWidth="1"/>
    <col min="1793" max="1793" width="20.1640625" bestFit="1" customWidth="1"/>
    <col min="1794" max="1794" width="13.1640625" bestFit="1" customWidth="1"/>
    <col min="1795" max="1795" width="21.1640625" bestFit="1" customWidth="1"/>
    <col min="1796" max="1796" width="14.1640625" bestFit="1" customWidth="1"/>
    <col min="1797" max="1797" width="21.1640625" bestFit="1" customWidth="1"/>
    <col min="1798" max="1798" width="14.1640625" bestFit="1" customWidth="1"/>
    <col min="1799" max="1799" width="21.1640625" bestFit="1" customWidth="1"/>
    <col min="1800" max="1800" width="14.1640625" bestFit="1" customWidth="1"/>
    <col min="1801" max="1801" width="21.1640625" bestFit="1" customWidth="1"/>
    <col min="1802" max="1802" width="13.1640625" bestFit="1" customWidth="1"/>
    <col min="1803" max="1803" width="21.1640625" bestFit="1" customWidth="1"/>
    <col min="1804" max="1804" width="14.1640625" bestFit="1" customWidth="1"/>
    <col min="1805" max="1805" width="21.1640625" bestFit="1" customWidth="1"/>
    <col min="1806" max="1806" width="14.1640625" bestFit="1" customWidth="1"/>
    <col min="1807" max="1807" width="21.1640625" bestFit="1" customWidth="1"/>
    <col min="1808" max="1808" width="14.1640625" bestFit="1" customWidth="1"/>
    <col min="1809" max="1809" width="21.1640625" bestFit="1" customWidth="1"/>
    <col min="1810" max="1810" width="14.1640625" bestFit="1" customWidth="1"/>
    <col min="1811" max="1811" width="21.1640625" bestFit="1" customWidth="1"/>
    <col min="1812" max="1812" width="14.1640625" bestFit="1" customWidth="1"/>
    <col min="1813" max="1813" width="21.1640625" bestFit="1" customWidth="1"/>
    <col min="1814" max="1814" width="14.1640625" bestFit="1" customWidth="1"/>
    <col min="1815" max="1815" width="21.1640625" bestFit="1" customWidth="1"/>
    <col min="1816" max="1816" width="9.1640625" bestFit="1" customWidth="1"/>
    <col min="1817" max="1817" width="21.1640625" bestFit="1" customWidth="1"/>
    <col min="1818" max="1818" width="13.1640625" bestFit="1" customWidth="1"/>
    <col min="1819" max="1819" width="21.1640625" bestFit="1" customWidth="1"/>
    <col min="1820" max="1820" width="14.1640625" bestFit="1" customWidth="1"/>
    <col min="1821" max="1821" width="21.1640625" bestFit="1" customWidth="1"/>
    <col min="1822" max="1822" width="14.1640625" bestFit="1" customWidth="1"/>
    <col min="1823" max="1823" width="21.1640625" bestFit="1" customWidth="1"/>
    <col min="1824" max="1824" width="14.1640625" bestFit="1" customWidth="1"/>
    <col min="1825" max="1825" width="21.1640625" bestFit="1" customWidth="1"/>
    <col min="1826" max="1826" width="14.1640625" bestFit="1" customWidth="1"/>
    <col min="1827" max="1827" width="21.1640625" bestFit="1" customWidth="1"/>
    <col min="1828" max="1828" width="14.1640625" bestFit="1" customWidth="1"/>
    <col min="1829" max="1829" width="21.1640625" bestFit="1" customWidth="1"/>
    <col min="1830" max="1830" width="14.1640625" bestFit="1" customWidth="1"/>
    <col min="1831" max="1831" width="21.1640625" bestFit="1" customWidth="1"/>
    <col min="1832" max="1832" width="14.1640625" bestFit="1" customWidth="1"/>
    <col min="1833" max="1833" width="20.1640625" bestFit="1" customWidth="1"/>
    <col min="1834" max="1834" width="14.1640625" bestFit="1" customWidth="1"/>
    <col min="1835" max="1835" width="21.1640625" bestFit="1" customWidth="1"/>
    <col min="1836" max="1836" width="14.1640625" bestFit="1" customWidth="1"/>
    <col min="1837" max="1837" width="21.1640625" bestFit="1" customWidth="1"/>
    <col min="1838" max="1838" width="14.1640625" bestFit="1" customWidth="1"/>
    <col min="1839" max="1839" width="21.1640625" bestFit="1" customWidth="1"/>
    <col min="1840" max="1840" width="14.1640625" bestFit="1" customWidth="1"/>
    <col min="1841" max="1841" width="21.1640625" bestFit="1" customWidth="1"/>
    <col min="1842" max="1842" width="14.1640625" bestFit="1" customWidth="1"/>
    <col min="1843" max="1843" width="21.1640625" bestFit="1" customWidth="1"/>
    <col min="1844" max="1844" width="14.1640625" bestFit="1" customWidth="1"/>
    <col min="1845" max="1845" width="21.1640625" bestFit="1" customWidth="1"/>
    <col min="1846" max="1846" width="14.1640625" bestFit="1" customWidth="1"/>
    <col min="1847" max="1847" width="21.1640625" bestFit="1" customWidth="1"/>
    <col min="1848" max="1848" width="14.1640625" bestFit="1" customWidth="1"/>
    <col min="1849" max="1849" width="21.1640625" bestFit="1" customWidth="1"/>
    <col min="1850" max="1850" width="14.1640625" bestFit="1" customWidth="1"/>
    <col min="1851" max="1851" width="21.1640625" bestFit="1" customWidth="1"/>
    <col min="1852" max="1852" width="14.1640625" bestFit="1" customWidth="1"/>
    <col min="1853" max="1853" width="21.1640625" bestFit="1" customWidth="1"/>
    <col min="1854" max="1854" width="14.1640625" bestFit="1" customWidth="1"/>
    <col min="1855" max="1855" width="21.1640625" bestFit="1" customWidth="1"/>
    <col min="1856" max="1856" width="14.1640625" bestFit="1" customWidth="1"/>
    <col min="1857" max="1857" width="21.1640625" bestFit="1" customWidth="1"/>
    <col min="1858" max="1858" width="14.1640625" bestFit="1" customWidth="1"/>
    <col min="1859" max="1859" width="21.1640625" bestFit="1" customWidth="1"/>
    <col min="1860" max="1860" width="14.1640625" bestFit="1" customWidth="1"/>
    <col min="1861" max="1861" width="21.1640625" bestFit="1" customWidth="1"/>
    <col min="1862" max="1862" width="14.1640625" bestFit="1" customWidth="1"/>
    <col min="1863" max="1863" width="21.1640625" bestFit="1" customWidth="1"/>
    <col min="1864" max="1864" width="14.1640625" bestFit="1" customWidth="1"/>
    <col min="1865" max="1865" width="21.1640625" bestFit="1" customWidth="1"/>
    <col min="1866" max="1866" width="14.1640625" bestFit="1" customWidth="1"/>
    <col min="1867" max="1867" width="20.1640625" bestFit="1" customWidth="1"/>
    <col min="1868" max="1868" width="13.1640625" bestFit="1" customWidth="1"/>
    <col min="1869" max="1869" width="21.1640625" bestFit="1" customWidth="1"/>
    <col min="1870" max="1870" width="13.1640625" bestFit="1" customWidth="1"/>
    <col min="1871" max="1871" width="21.1640625" bestFit="1" customWidth="1"/>
    <col min="1872" max="1872" width="14.1640625" bestFit="1" customWidth="1"/>
    <col min="1873" max="1873" width="21.1640625" bestFit="1" customWidth="1"/>
    <col min="1874" max="1874" width="14.1640625" bestFit="1" customWidth="1"/>
    <col min="1875" max="1875" width="21.1640625" bestFit="1" customWidth="1"/>
    <col min="1876" max="1876" width="14.1640625" bestFit="1" customWidth="1"/>
    <col min="1877" max="1877" width="21.1640625" bestFit="1" customWidth="1"/>
    <col min="1878" max="1878" width="14.1640625" bestFit="1" customWidth="1"/>
    <col min="1879" max="1879" width="21.1640625" bestFit="1" customWidth="1"/>
    <col min="1880" max="1880" width="14.1640625" bestFit="1" customWidth="1"/>
    <col min="1881" max="1881" width="21.1640625" bestFit="1" customWidth="1"/>
    <col min="1882" max="1882" width="14.1640625" bestFit="1" customWidth="1"/>
    <col min="1883" max="1883" width="21.1640625" bestFit="1" customWidth="1"/>
    <col min="1884" max="1884" width="14.1640625" bestFit="1" customWidth="1"/>
    <col min="1885" max="1885" width="21.1640625" bestFit="1" customWidth="1"/>
    <col min="1886" max="1886" width="14.1640625" bestFit="1" customWidth="1"/>
    <col min="1887" max="1887" width="21.1640625" bestFit="1" customWidth="1"/>
    <col min="1888" max="1888" width="14.1640625" bestFit="1" customWidth="1"/>
    <col min="1889" max="1889" width="21.1640625" bestFit="1" customWidth="1"/>
    <col min="1890" max="1890" width="14.1640625" bestFit="1" customWidth="1"/>
    <col min="1891" max="1891" width="21.1640625" bestFit="1" customWidth="1"/>
    <col min="1892" max="1892" width="14.1640625" bestFit="1" customWidth="1"/>
    <col min="1893" max="1893" width="21.1640625" bestFit="1" customWidth="1"/>
    <col min="1894" max="1894" width="14.1640625" bestFit="1" customWidth="1"/>
    <col min="1895" max="1895" width="21.1640625" bestFit="1" customWidth="1"/>
    <col min="1896" max="1896" width="12.1640625" bestFit="1" customWidth="1"/>
    <col min="1897" max="1897" width="21.1640625" bestFit="1" customWidth="1"/>
    <col min="1898" max="1898" width="13.1640625" bestFit="1" customWidth="1"/>
    <col min="1899" max="1899" width="19.1640625" bestFit="1" customWidth="1"/>
    <col min="1900" max="1900" width="14.1640625" bestFit="1" customWidth="1"/>
    <col min="1901" max="1901" width="21.1640625" bestFit="1" customWidth="1"/>
    <col min="1902" max="1902" width="14.1640625" bestFit="1" customWidth="1"/>
    <col min="1903" max="1903" width="21.1640625" bestFit="1" customWidth="1"/>
    <col min="1904" max="1904" width="14.1640625" bestFit="1" customWidth="1"/>
    <col min="1905" max="1905" width="20.1640625" bestFit="1" customWidth="1"/>
    <col min="1906" max="1906" width="14.1640625" bestFit="1" customWidth="1"/>
    <col min="1907" max="1907" width="21.1640625" bestFit="1" customWidth="1"/>
    <col min="1908" max="1908" width="14.1640625" bestFit="1" customWidth="1"/>
    <col min="1909" max="1909" width="21.1640625" bestFit="1" customWidth="1"/>
    <col min="1910" max="1910" width="14.1640625" bestFit="1" customWidth="1"/>
    <col min="1911" max="1911" width="21.1640625" bestFit="1" customWidth="1"/>
    <col min="1912" max="1912" width="13.1640625" bestFit="1" customWidth="1"/>
    <col min="1913" max="1913" width="21.1640625" bestFit="1" customWidth="1"/>
    <col min="1914" max="1914" width="14.1640625" bestFit="1" customWidth="1"/>
    <col min="1915" max="1915" width="21.1640625" bestFit="1" customWidth="1"/>
    <col min="1916" max="1916" width="14.1640625" bestFit="1" customWidth="1"/>
    <col min="1917" max="1917" width="21.1640625" bestFit="1" customWidth="1"/>
    <col min="1918" max="1918" width="14.1640625" bestFit="1" customWidth="1"/>
    <col min="1919" max="1919" width="21.1640625" bestFit="1" customWidth="1"/>
    <col min="1920" max="1920" width="14.1640625" bestFit="1" customWidth="1"/>
    <col min="1921" max="1921" width="21.1640625" bestFit="1" customWidth="1"/>
    <col min="1922" max="1922" width="13.1640625" bestFit="1" customWidth="1"/>
    <col min="1923" max="1923" width="20.1640625" bestFit="1" customWidth="1"/>
    <col min="1924" max="1924" width="14.1640625" bestFit="1" customWidth="1"/>
    <col min="1925" max="1925" width="21.1640625" bestFit="1" customWidth="1"/>
    <col min="1926" max="1926" width="14.1640625" bestFit="1" customWidth="1"/>
    <col min="1927" max="1927" width="21.1640625" bestFit="1" customWidth="1"/>
    <col min="1928" max="1928" width="14.1640625" bestFit="1" customWidth="1"/>
    <col min="1929" max="1929" width="20.1640625" bestFit="1" customWidth="1"/>
    <col min="1930" max="1930" width="14.1640625" bestFit="1" customWidth="1"/>
    <col min="1931" max="1931" width="20.1640625" bestFit="1" customWidth="1"/>
    <col min="1932" max="1932" width="14.1640625" bestFit="1" customWidth="1"/>
    <col min="1933" max="1933" width="21.1640625" bestFit="1" customWidth="1"/>
    <col min="1934" max="1934" width="12.1640625" bestFit="1" customWidth="1"/>
    <col min="1935" max="1935" width="21.1640625" bestFit="1" customWidth="1"/>
    <col min="1936" max="1936" width="14.1640625" bestFit="1" customWidth="1"/>
    <col min="1937" max="1937" width="21.1640625" bestFit="1" customWidth="1"/>
    <col min="1938" max="1938" width="14.1640625" bestFit="1" customWidth="1"/>
    <col min="1939" max="1939" width="21.1640625" bestFit="1" customWidth="1"/>
    <col min="1940" max="1940" width="14.1640625" bestFit="1" customWidth="1"/>
    <col min="1941" max="1941" width="21.1640625" bestFit="1" customWidth="1"/>
    <col min="1942" max="1942" width="14.1640625" bestFit="1" customWidth="1"/>
    <col min="1943" max="1943" width="21.1640625" bestFit="1" customWidth="1"/>
    <col min="1944" max="1944" width="13.1640625" bestFit="1" customWidth="1"/>
    <col min="1945" max="1945" width="21.1640625" bestFit="1" customWidth="1"/>
    <col min="1946" max="1946" width="14.1640625" bestFit="1" customWidth="1"/>
    <col min="1947" max="1947" width="21.1640625" bestFit="1" customWidth="1"/>
    <col min="1948" max="1948" width="14.1640625" bestFit="1" customWidth="1"/>
    <col min="1949" max="1949" width="21.1640625" bestFit="1" customWidth="1"/>
    <col min="1950" max="1950" width="14.1640625" bestFit="1" customWidth="1"/>
    <col min="1951" max="1951" width="21.1640625" bestFit="1" customWidth="1"/>
    <col min="1952" max="1952" width="14.1640625" bestFit="1" customWidth="1"/>
    <col min="1953" max="1953" width="21.1640625" bestFit="1" customWidth="1"/>
    <col min="1954" max="1954" width="14.1640625" bestFit="1" customWidth="1"/>
    <col min="1955" max="1955" width="21.1640625" bestFit="1" customWidth="1"/>
    <col min="1956" max="1956" width="14.1640625" bestFit="1" customWidth="1"/>
    <col min="1957" max="1957" width="21.1640625" bestFit="1" customWidth="1"/>
    <col min="1958" max="1958" width="14.1640625" bestFit="1" customWidth="1"/>
    <col min="1959" max="1959" width="21.1640625" bestFit="1" customWidth="1"/>
    <col min="1960" max="1960" width="14.1640625" bestFit="1" customWidth="1"/>
    <col min="1961" max="1961" width="21.1640625" bestFit="1" customWidth="1"/>
    <col min="1962" max="1962" width="13.1640625" bestFit="1" customWidth="1"/>
    <col min="1963" max="1963" width="21.1640625" bestFit="1" customWidth="1"/>
    <col min="1964" max="1964" width="14.1640625" bestFit="1" customWidth="1"/>
    <col min="1965" max="1965" width="21.1640625" bestFit="1" customWidth="1"/>
    <col min="1966" max="1966" width="14.1640625" bestFit="1" customWidth="1"/>
    <col min="1967" max="1967" width="21.1640625" bestFit="1" customWidth="1"/>
    <col min="1968" max="1968" width="14.1640625" bestFit="1" customWidth="1"/>
    <col min="1969" max="1969" width="21.1640625" bestFit="1" customWidth="1"/>
    <col min="1970" max="1970" width="14.1640625" bestFit="1" customWidth="1"/>
    <col min="1971" max="1971" width="21.1640625" bestFit="1" customWidth="1"/>
    <col min="1972" max="1972" width="14.1640625" bestFit="1" customWidth="1"/>
    <col min="1973" max="1973" width="21.1640625" bestFit="1" customWidth="1"/>
    <col min="1974" max="1974" width="14.1640625" bestFit="1" customWidth="1"/>
    <col min="1975" max="1975" width="21.1640625" bestFit="1" customWidth="1"/>
    <col min="1976" max="1976" width="14.1640625" bestFit="1" customWidth="1"/>
    <col min="1977" max="1977" width="21.1640625" bestFit="1" customWidth="1"/>
    <col min="1978" max="1978" width="14.1640625" bestFit="1" customWidth="1"/>
    <col min="1979" max="1979" width="21.1640625" bestFit="1" customWidth="1"/>
    <col min="1980" max="1980" width="14.1640625" bestFit="1" customWidth="1"/>
    <col min="1981" max="1981" width="21.1640625" bestFit="1" customWidth="1"/>
    <col min="1982" max="1982" width="14.1640625" bestFit="1" customWidth="1"/>
    <col min="1983" max="1983" width="20.1640625" bestFit="1" customWidth="1"/>
    <col min="1984" max="1984" width="14.1640625" bestFit="1" customWidth="1"/>
    <col min="1985" max="1985" width="21.1640625" bestFit="1" customWidth="1"/>
    <col min="1986" max="1986" width="13.1640625" bestFit="1" customWidth="1"/>
    <col min="1987" max="1987" width="21.1640625" bestFit="1" customWidth="1"/>
    <col min="1988" max="1988" width="14.1640625" bestFit="1" customWidth="1"/>
    <col min="1989" max="1989" width="21.1640625" bestFit="1" customWidth="1"/>
    <col min="1990" max="1990" width="14.1640625" bestFit="1" customWidth="1"/>
    <col min="1991" max="1991" width="20.1640625" bestFit="1" customWidth="1"/>
    <col min="1992" max="1992" width="14.1640625" bestFit="1" customWidth="1"/>
    <col min="1993" max="1993" width="21.1640625" bestFit="1" customWidth="1"/>
    <col min="1994" max="1994" width="14.1640625" bestFit="1" customWidth="1"/>
    <col min="1995" max="1995" width="21.1640625" bestFit="1" customWidth="1"/>
    <col min="1996" max="1996" width="14.1640625" bestFit="1" customWidth="1"/>
    <col min="1997" max="1997" width="21.1640625" bestFit="1" customWidth="1"/>
    <col min="1998" max="1998" width="14.1640625" bestFit="1" customWidth="1"/>
    <col min="1999" max="1999" width="21.1640625" bestFit="1" customWidth="1"/>
    <col min="2000" max="2000" width="14.1640625" bestFit="1" customWidth="1"/>
    <col min="2001" max="2001" width="21.1640625" bestFit="1" customWidth="1"/>
    <col min="2002" max="2002" width="14.1640625" bestFit="1" customWidth="1"/>
    <col min="2003" max="2003" width="21.1640625" bestFit="1" customWidth="1"/>
    <col min="2004" max="2004" width="13.1640625" bestFit="1" customWidth="1"/>
    <col min="2005" max="2005" width="21.1640625" bestFit="1" customWidth="1"/>
    <col min="2006" max="2006" width="14.1640625" bestFit="1" customWidth="1"/>
    <col min="2007" max="2007" width="21.1640625" bestFit="1" customWidth="1"/>
    <col min="2008" max="2008" width="14.1640625" bestFit="1" customWidth="1"/>
    <col min="2009" max="2009" width="21.1640625" bestFit="1" customWidth="1"/>
    <col min="2010" max="2010" width="14.1640625" bestFit="1" customWidth="1"/>
    <col min="2011" max="2011" width="21.1640625" bestFit="1" customWidth="1"/>
    <col min="2012" max="2012" width="10.1640625" bestFit="1" customWidth="1"/>
    <col min="2013" max="2013" width="12" bestFit="1" customWidth="1"/>
    <col min="2014" max="2014" width="14.1640625" bestFit="1" customWidth="1"/>
    <col min="2015" max="2015" width="21.1640625" bestFit="1" customWidth="1"/>
    <col min="2016" max="2016" width="14.1640625" bestFit="1" customWidth="1"/>
    <col min="2017" max="2017" width="21.1640625" bestFit="1" customWidth="1"/>
    <col min="2018" max="2018" width="14.1640625" bestFit="1" customWidth="1"/>
    <col min="2019" max="2019" width="21.1640625" bestFit="1" customWidth="1"/>
    <col min="2020" max="2020" width="14.1640625" bestFit="1" customWidth="1"/>
    <col min="2021" max="2021" width="21.1640625" bestFit="1" customWidth="1"/>
    <col min="2022" max="2022" width="14.1640625" bestFit="1" customWidth="1"/>
    <col min="2023" max="2023" width="19.1640625" bestFit="1" customWidth="1"/>
    <col min="2024" max="2024" width="14.1640625" bestFit="1" customWidth="1"/>
    <col min="2025" max="2025" width="19.1640625" bestFit="1" customWidth="1"/>
    <col min="2026" max="2026" width="14.1640625" bestFit="1" customWidth="1"/>
    <col min="2027" max="2027" width="21.1640625" bestFit="1" customWidth="1"/>
    <col min="2028" max="2028" width="14.1640625" bestFit="1" customWidth="1"/>
    <col min="2029" max="2029" width="21.1640625" bestFit="1" customWidth="1"/>
    <col min="2030" max="2030" width="14.1640625" bestFit="1" customWidth="1"/>
    <col min="2031" max="2031" width="21.1640625" bestFit="1" customWidth="1"/>
    <col min="2032" max="2032" width="14.1640625" bestFit="1" customWidth="1"/>
    <col min="2033" max="2033" width="21.1640625" bestFit="1" customWidth="1"/>
    <col min="2034" max="2034" width="14.1640625" bestFit="1" customWidth="1"/>
    <col min="2035" max="2035" width="21.1640625" bestFit="1" customWidth="1"/>
    <col min="2036" max="2036" width="14.1640625" bestFit="1" customWidth="1"/>
    <col min="2037" max="2037" width="21.1640625" bestFit="1" customWidth="1"/>
    <col min="2038" max="2038" width="14.1640625" bestFit="1" customWidth="1"/>
    <col min="2039" max="2039" width="21.1640625" bestFit="1" customWidth="1"/>
    <col min="2040" max="2040" width="14.1640625" bestFit="1" customWidth="1"/>
    <col min="2041" max="2041" width="21.1640625" bestFit="1" customWidth="1"/>
    <col min="2042" max="2042" width="13.1640625" bestFit="1" customWidth="1"/>
    <col min="2043" max="2043" width="21.1640625" bestFit="1" customWidth="1"/>
    <col min="2044" max="2044" width="14.1640625" bestFit="1" customWidth="1"/>
    <col min="2045" max="2045" width="21.1640625" bestFit="1" customWidth="1"/>
    <col min="2046" max="2046" width="14.1640625" bestFit="1" customWidth="1"/>
    <col min="2047" max="2047" width="21.1640625" bestFit="1" customWidth="1"/>
    <col min="2048" max="2048" width="14.1640625" bestFit="1" customWidth="1"/>
    <col min="2049" max="2049" width="21.1640625" bestFit="1" customWidth="1"/>
    <col min="2050" max="2050" width="14.1640625" bestFit="1" customWidth="1"/>
    <col min="2051" max="2051" width="21.1640625" bestFit="1" customWidth="1"/>
    <col min="2052" max="2052" width="14.1640625" bestFit="1" customWidth="1"/>
    <col min="2053" max="2053" width="21.1640625" bestFit="1" customWidth="1"/>
    <col min="2054" max="2054" width="14.1640625" bestFit="1" customWidth="1"/>
    <col min="2055" max="2055" width="21.1640625" bestFit="1" customWidth="1"/>
    <col min="2056" max="2056" width="14.1640625" bestFit="1" customWidth="1"/>
    <col min="2057" max="2057" width="21.1640625" bestFit="1" customWidth="1"/>
    <col min="2058" max="2058" width="14.1640625" bestFit="1" customWidth="1"/>
    <col min="2059" max="2059" width="21.1640625" bestFit="1" customWidth="1"/>
    <col min="2060" max="2060" width="14.1640625" bestFit="1" customWidth="1"/>
    <col min="2061" max="2061" width="21.1640625" bestFit="1" customWidth="1"/>
    <col min="2062" max="2062" width="14.1640625" bestFit="1" customWidth="1"/>
    <col min="2063" max="2063" width="21.1640625" bestFit="1" customWidth="1"/>
    <col min="2064" max="2064" width="14.1640625" bestFit="1" customWidth="1"/>
    <col min="2065" max="2065" width="21.1640625" bestFit="1" customWidth="1"/>
    <col min="2066" max="2066" width="14.1640625" bestFit="1" customWidth="1"/>
    <col min="2067" max="2067" width="21.1640625" bestFit="1" customWidth="1"/>
    <col min="2068" max="2068" width="14.1640625" bestFit="1" customWidth="1"/>
    <col min="2069" max="2069" width="21.1640625" bestFit="1" customWidth="1"/>
    <col min="2070" max="2070" width="14.1640625" bestFit="1" customWidth="1"/>
    <col min="2071" max="2071" width="20.1640625" bestFit="1" customWidth="1"/>
    <col min="2072" max="2072" width="14.1640625" bestFit="1" customWidth="1"/>
    <col min="2073" max="2073" width="21.1640625" bestFit="1" customWidth="1"/>
    <col min="2074" max="2074" width="14.1640625" bestFit="1" customWidth="1"/>
    <col min="2075" max="2075" width="20.1640625" bestFit="1" customWidth="1"/>
    <col min="2076" max="2076" width="14.1640625" bestFit="1" customWidth="1"/>
    <col min="2077" max="2077" width="21.1640625" bestFit="1" customWidth="1"/>
    <col min="2078" max="2078" width="14.1640625" bestFit="1" customWidth="1"/>
    <col min="2079" max="2079" width="21.1640625" bestFit="1" customWidth="1"/>
    <col min="2080" max="2080" width="14.1640625" bestFit="1" customWidth="1"/>
    <col min="2081" max="2081" width="20.1640625" bestFit="1" customWidth="1"/>
    <col min="2082" max="2082" width="14.1640625" bestFit="1" customWidth="1"/>
    <col min="2083" max="2083" width="21.1640625" bestFit="1" customWidth="1"/>
    <col min="2084" max="2084" width="14.1640625" bestFit="1" customWidth="1"/>
    <col min="2085" max="2085" width="21.1640625" bestFit="1" customWidth="1"/>
    <col min="2086" max="2086" width="14.1640625" bestFit="1" customWidth="1"/>
    <col min="2087" max="2087" width="21.1640625" bestFit="1" customWidth="1"/>
    <col min="2088" max="2088" width="14.1640625" bestFit="1" customWidth="1"/>
    <col min="2089" max="2089" width="20.1640625" bestFit="1" customWidth="1"/>
    <col min="2090" max="2090" width="14.1640625" bestFit="1" customWidth="1"/>
    <col min="2091" max="2091" width="21.1640625" bestFit="1" customWidth="1"/>
    <col min="2092" max="2092" width="14.1640625" bestFit="1" customWidth="1"/>
    <col min="2093" max="2093" width="21.1640625" bestFit="1" customWidth="1"/>
    <col min="2094" max="2094" width="14.1640625" bestFit="1" customWidth="1"/>
    <col min="2095" max="2095" width="21.1640625" bestFit="1" customWidth="1"/>
    <col min="2096" max="2096" width="13.1640625" bestFit="1" customWidth="1"/>
    <col min="2097" max="2097" width="21.1640625" bestFit="1" customWidth="1"/>
    <col min="2098" max="2098" width="14.1640625" bestFit="1" customWidth="1"/>
    <col min="2099" max="2099" width="21.1640625" bestFit="1" customWidth="1"/>
    <col min="2100" max="2100" width="14.1640625" bestFit="1" customWidth="1"/>
    <col min="2101" max="2101" width="21.1640625" bestFit="1" customWidth="1"/>
    <col min="2102" max="2102" width="14.1640625" bestFit="1" customWidth="1"/>
    <col min="2103" max="2103" width="21.1640625" bestFit="1" customWidth="1"/>
    <col min="2104" max="2104" width="13.1640625" bestFit="1" customWidth="1"/>
    <col min="2105" max="2105" width="21.1640625" bestFit="1" customWidth="1"/>
    <col min="2106" max="2106" width="14.1640625" bestFit="1" customWidth="1"/>
    <col min="2107" max="2107" width="21.1640625" bestFit="1" customWidth="1"/>
    <col min="2108" max="2108" width="14.1640625" bestFit="1" customWidth="1"/>
    <col min="2109" max="2109" width="21.1640625" bestFit="1" customWidth="1"/>
    <col min="2110" max="2110" width="14.1640625" bestFit="1" customWidth="1"/>
    <col min="2111" max="2111" width="21.1640625" bestFit="1" customWidth="1"/>
    <col min="2112" max="2112" width="10.1640625" bestFit="1" customWidth="1"/>
    <col min="2113" max="2113" width="12" bestFit="1" customWidth="1"/>
    <col min="2114" max="2114" width="14.1640625" bestFit="1" customWidth="1"/>
    <col min="2115" max="2115" width="21.1640625" bestFit="1" customWidth="1"/>
    <col min="2116" max="2116" width="14.1640625" bestFit="1" customWidth="1"/>
    <col min="2117" max="2117" width="21.1640625" bestFit="1" customWidth="1"/>
    <col min="2118" max="2118" width="14.1640625" bestFit="1" customWidth="1"/>
    <col min="2119" max="2119" width="21.1640625" bestFit="1" customWidth="1"/>
    <col min="2120" max="2120" width="14.1640625" bestFit="1" customWidth="1"/>
    <col min="2121" max="2121" width="20.1640625" bestFit="1" customWidth="1"/>
    <col min="2122" max="2122" width="14.1640625" bestFit="1" customWidth="1"/>
    <col min="2123" max="2123" width="21.1640625" bestFit="1" customWidth="1"/>
    <col min="2124" max="2124" width="13.1640625" bestFit="1" customWidth="1"/>
    <col min="2125" max="2125" width="21.1640625" bestFit="1" customWidth="1"/>
    <col min="2126" max="2126" width="14.1640625" bestFit="1" customWidth="1"/>
    <col min="2127" max="2127" width="21.1640625" bestFit="1" customWidth="1"/>
    <col min="2128" max="2128" width="14.1640625" bestFit="1" customWidth="1"/>
    <col min="2129" max="2129" width="21.1640625" bestFit="1" customWidth="1"/>
    <col min="2130" max="2130" width="14.1640625" bestFit="1" customWidth="1"/>
    <col min="2131" max="2131" width="21.1640625" bestFit="1" customWidth="1"/>
    <col min="2132" max="2132" width="14.1640625" bestFit="1" customWidth="1"/>
    <col min="2133" max="2133" width="21.1640625" bestFit="1" customWidth="1"/>
    <col min="2134" max="2134" width="14.1640625" bestFit="1" customWidth="1"/>
    <col min="2135" max="2135" width="21.1640625" bestFit="1" customWidth="1"/>
    <col min="2136" max="2136" width="14.1640625" bestFit="1" customWidth="1"/>
    <col min="2137" max="2137" width="21.1640625" bestFit="1" customWidth="1"/>
    <col min="2138" max="2138" width="14.1640625" bestFit="1" customWidth="1"/>
    <col min="2139" max="2139" width="21.1640625" bestFit="1" customWidth="1"/>
    <col min="2140" max="2140" width="14.1640625" bestFit="1" customWidth="1"/>
    <col min="2141" max="2141" width="21.1640625" bestFit="1" customWidth="1"/>
    <col min="2142" max="2142" width="14.1640625" bestFit="1" customWidth="1"/>
    <col min="2143" max="2143" width="21.1640625" bestFit="1" customWidth="1"/>
    <col min="2144" max="2144" width="14.1640625" bestFit="1" customWidth="1"/>
    <col min="2145" max="2145" width="21.1640625" bestFit="1" customWidth="1"/>
    <col min="2146" max="2146" width="14.1640625" bestFit="1" customWidth="1"/>
    <col min="2147" max="2147" width="21.1640625" bestFit="1" customWidth="1"/>
    <col min="2148" max="2148" width="14.1640625" bestFit="1" customWidth="1"/>
    <col min="2149" max="2149" width="20.1640625" bestFit="1" customWidth="1"/>
    <col min="2150" max="2150" width="14.1640625" bestFit="1" customWidth="1"/>
    <col min="2151" max="2151" width="21.1640625" bestFit="1" customWidth="1"/>
    <col min="2152" max="2152" width="13.1640625" bestFit="1" customWidth="1"/>
    <col min="2153" max="2153" width="21.1640625" bestFit="1" customWidth="1"/>
    <col min="2154" max="2154" width="14.1640625" bestFit="1" customWidth="1"/>
    <col min="2155" max="2155" width="21.1640625" bestFit="1" customWidth="1"/>
    <col min="2156" max="2156" width="14.1640625" bestFit="1" customWidth="1"/>
    <col min="2157" max="2157" width="21.1640625" bestFit="1" customWidth="1"/>
    <col min="2158" max="2158" width="14.1640625" bestFit="1" customWidth="1"/>
    <col min="2159" max="2159" width="20.1640625" bestFit="1" customWidth="1"/>
    <col min="2160" max="2160" width="14.1640625" bestFit="1" customWidth="1"/>
    <col min="2161" max="2161" width="21.1640625" bestFit="1" customWidth="1"/>
    <col min="2162" max="2162" width="14.1640625" bestFit="1" customWidth="1"/>
    <col min="2163" max="2163" width="21.1640625" bestFit="1" customWidth="1"/>
    <col min="2164" max="2164" width="14.1640625" bestFit="1" customWidth="1"/>
    <col min="2165" max="2165" width="21.1640625" bestFit="1" customWidth="1"/>
    <col min="2166" max="2166" width="14.1640625" bestFit="1" customWidth="1"/>
    <col min="2167" max="2167" width="20.1640625" bestFit="1" customWidth="1"/>
    <col min="2168" max="2168" width="14.1640625" bestFit="1" customWidth="1"/>
    <col min="2169" max="2169" width="21.1640625" bestFit="1" customWidth="1"/>
    <col min="2170" max="2170" width="14.1640625" bestFit="1" customWidth="1"/>
    <col min="2171" max="2171" width="21.1640625" bestFit="1" customWidth="1"/>
    <col min="2172" max="2172" width="14.1640625" bestFit="1" customWidth="1"/>
    <col min="2173" max="2173" width="21.1640625" bestFit="1" customWidth="1"/>
    <col min="2174" max="2174" width="14.1640625" bestFit="1" customWidth="1"/>
    <col min="2175" max="2175" width="21.1640625" bestFit="1" customWidth="1"/>
    <col min="2176" max="2176" width="14.1640625" bestFit="1" customWidth="1"/>
    <col min="2177" max="2177" width="21.1640625" bestFit="1" customWidth="1"/>
    <col min="2178" max="2178" width="14.1640625" bestFit="1" customWidth="1"/>
    <col min="2179" max="2179" width="21.1640625" bestFit="1" customWidth="1"/>
    <col min="2180" max="2180" width="14.1640625" bestFit="1" customWidth="1"/>
    <col min="2181" max="2181" width="21.1640625" bestFit="1" customWidth="1"/>
    <col min="2182" max="2182" width="14.1640625" bestFit="1" customWidth="1"/>
    <col min="2183" max="2183" width="21.1640625" bestFit="1" customWidth="1"/>
    <col min="2184" max="2184" width="14.1640625" bestFit="1" customWidth="1"/>
    <col min="2185" max="2185" width="21.1640625" bestFit="1" customWidth="1"/>
    <col min="2186" max="2186" width="14.1640625" bestFit="1" customWidth="1"/>
    <col min="2187" max="2187" width="21.1640625" bestFit="1" customWidth="1"/>
    <col min="2188" max="2188" width="14.1640625" bestFit="1" customWidth="1"/>
    <col min="2189" max="2189" width="21.1640625" bestFit="1" customWidth="1"/>
    <col min="2190" max="2190" width="14.1640625" bestFit="1" customWidth="1"/>
    <col min="2191" max="2191" width="21.1640625" bestFit="1" customWidth="1"/>
    <col min="2192" max="2192" width="13.1640625" bestFit="1" customWidth="1"/>
    <col min="2193" max="2193" width="21.1640625" bestFit="1" customWidth="1"/>
    <col min="2194" max="2194" width="14.1640625" bestFit="1" customWidth="1"/>
    <col min="2195" max="2195" width="21.1640625" bestFit="1" customWidth="1"/>
    <col min="2196" max="2196" width="14.1640625" bestFit="1" customWidth="1"/>
    <col min="2197" max="2197" width="21.1640625" bestFit="1" customWidth="1"/>
    <col min="2198" max="2198" width="14.1640625" bestFit="1" customWidth="1"/>
    <col min="2199" max="2199" width="21.1640625" bestFit="1" customWidth="1"/>
    <col min="2200" max="2200" width="14.1640625" bestFit="1" customWidth="1"/>
    <col min="2201" max="2201" width="21.1640625" bestFit="1" customWidth="1"/>
    <col min="2202" max="2202" width="14.1640625" bestFit="1" customWidth="1"/>
    <col min="2203" max="2203" width="21.1640625" bestFit="1" customWidth="1"/>
    <col min="2204" max="2204" width="13.1640625" bestFit="1" customWidth="1"/>
    <col min="2205" max="2205" width="21.1640625" bestFit="1" customWidth="1"/>
    <col min="2206" max="2206" width="14.1640625" bestFit="1" customWidth="1"/>
    <col min="2207" max="2207" width="21.1640625" bestFit="1" customWidth="1"/>
    <col min="2208" max="2208" width="14.1640625" bestFit="1" customWidth="1"/>
    <col min="2209" max="2209" width="21.1640625" bestFit="1" customWidth="1"/>
    <col min="2210" max="2210" width="12.1640625" bestFit="1" customWidth="1"/>
    <col min="2211" max="2211" width="21.1640625" bestFit="1" customWidth="1"/>
    <col min="2212" max="2212" width="14.1640625" bestFit="1" customWidth="1"/>
    <col min="2213" max="2213" width="21.1640625" bestFit="1" customWidth="1"/>
    <col min="2214" max="2214" width="14.1640625" bestFit="1" customWidth="1"/>
    <col min="2215" max="2215" width="21.1640625" bestFit="1" customWidth="1"/>
    <col min="2216" max="2216" width="14.1640625" bestFit="1" customWidth="1"/>
    <col min="2217" max="2217" width="21.1640625" bestFit="1" customWidth="1"/>
    <col min="2218" max="2218" width="14.1640625" bestFit="1" customWidth="1"/>
    <col min="2219" max="2219" width="21.1640625" bestFit="1" customWidth="1"/>
    <col min="2220" max="2220" width="14.1640625" bestFit="1" customWidth="1"/>
    <col min="2221" max="2221" width="21.1640625" bestFit="1" customWidth="1"/>
    <col min="2222" max="2222" width="14.1640625" bestFit="1" customWidth="1"/>
    <col min="2223" max="2223" width="21.1640625" bestFit="1" customWidth="1"/>
    <col min="2224" max="2224" width="14.1640625" bestFit="1" customWidth="1"/>
    <col min="2225" max="2225" width="21.1640625" bestFit="1" customWidth="1"/>
    <col min="2226" max="2226" width="14.1640625" bestFit="1" customWidth="1"/>
    <col min="2227" max="2227" width="20.1640625" bestFit="1" customWidth="1"/>
    <col min="2228" max="2228" width="14.1640625" bestFit="1" customWidth="1"/>
    <col min="2229" max="2229" width="21.1640625" bestFit="1" customWidth="1"/>
    <col min="2230" max="2230" width="14.1640625" bestFit="1" customWidth="1"/>
    <col min="2231" max="2231" width="20.1640625" bestFit="1" customWidth="1"/>
    <col min="2232" max="2232" width="14.1640625" bestFit="1" customWidth="1"/>
    <col min="2233" max="2233" width="21.1640625" bestFit="1" customWidth="1"/>
    <col min="2234" max="2234" width="14.1640625" bestFit="1" customWidth="1"/>
    <col min="2235" max="2235" width="21.1640625" bestFit="1" customWidth="1"/>
    <col min="2236" max="2236" width="14.1640625" bestFit="1" customWidth="1"/>
    <col min="2237" max="2237" width="21.1640625" bestFit="1" customWidth="1"/>
    <col min="2238" max="2238" width="14.1640625" bestFit="1" customWidth="1"/>
    <col min="2239" max="2239" width="21.1640625" bestFit="1" customWidth="1"/>
    <col min="2240" max="2240" width="14.1640625" bestFit="1" customWidth="1"/>
    <col min="2241" max="2241" width="20.1640625" bestFit="1" customWidth="1"/>
    <col min="2242" max="2242" width="14.1640625" bestFit="1" customWidth="1"/>
    <col min="2243" max="2243" width="21.1640625" bestFit="1" customWidth="1"/>
    <col min="2244" max="2244" width="14.1640625" bestFit="1" customWidth="1"/>
    <col min="2245" max="2245" width="21.1640625" bestFit="1" customWidth="1"/>
    <col min="2246" max="2246" width="11.1640625" bestFit="1" customWidth="1"/>
    <col min="2247" max="2247" width="13" bestFit="1" customWidth="1"/>
    <col min="2248" max="2248" width="13.1640625" bestFit="1" customWidth="1"/>
    <col min="2249" max="2249" width="21.1640625" bestFit="1" customWidth="1"/>
    <col min="2250" max="2250" width="14.1640625" bestFit="1" customWidth="1"/>
    <col min="2251" max="2251" width="21.1640625" bestFit="1" customWidth="1"/>
    <col min="2252" max="2252" width="14.1640625" bestFit="1" customWidth="1"/>
    <col min="2253" max="2253" width="20.1640625" bestFit="1" customWidth="1"/>
    <col min="2254" max="2254" width="14.1640625" bestFit="1" customWidth="1"/>
    <col min="2255" max="2255" width="21.1640625" bestFit="1" customWidth="1"/>
    <col min="2256" max="2256" width="14.1640625" bestFit="1" customWidth="1"/>
    <col min="2257" max="2257" width="21.1640625" bestFit="1" customWidth="1"/>
    <col min="2258" max="2258" width="14.1640625" bestFit="1" customWidth="1"/>
    <col min="2259" max="2259" width="21.1640625" bestFit="1" customWidth="1"/>
    <col min="2260" max="2260" width="14.1640625" bestFit="1" customWidth="1"/>
    <col min="2261" max="2261" width="21.1640625" bestFit="1" customWidth="1"/>
    <col min="2262" max="2262" width="14.1640625" bestFit="1" customWidth="1"/>
    <col min="2263" max="2263" width="21.1640625" bestFit="1" customWidth="1"/>
    <col min="2264" max="2264" width="14.1640625" bestFit="1" customWidth="1"/>
    <col min="2265" max="2265" width="21.1640625" bestFit="1" customWidth="1"/>
    <col min="2266" max="2266" width="14.1640625" bestFit="1" customWidth="1"/>
    <col min="2267" max="2267" width="21.1640625" bestFit="1" customWidth="1"/>
    <col min="2268" max="2268" width="14.1640625" bestFit="1" customWidth="1"/>
    <col min="2269" max="2269" width="21.1640625" bestFit="1" customWidth="1"/>
    <col min="2270" max="2270" width="14.1640625" bestFit="1" customWidth="1"/>
    <col min="2271" max="2271" width="21.1640625" bestFit="1" customWidth="1"/>
    <col min="2272" max="2272" width="13.1640625" bestFit="1" customWidth="1"/>
    <col min="2273" max="2273" width="21.1640625" bestFit="1" customWidth="1"/>
    <col min="2274" max="2274" width="14.1640625" bestFit="1" customWidth="1"/>
    <col min="2275" max="2275" width="21.1640625" bestFit="1" customWidth="1"/>
    <col min="2276" max="2276" width="13.1640625" bestFit="1" customWidth="1"/>
    <col min="2277" max="2277" width="21.1640625" bestFit="1" customWidth="1"/>
    <col min="2278" max="2278" width="14.1640625" bestFit="1" customWidth="1"/>
    <col min="2279" max="2279" width="21.1640625" bestFit="1" customWidth="1"/>
    <col min="2280" max="2280" width="14.1640625" bestFit="1" customWidth="1"/>
    <col min="2281" max="2281" width="21.1640625" bestFit="1" customWidth="1"/>
    <col min="2282" max="2282" width="9" bestFit="1" customWidth="1"/>
    <col min="2283" max="2283" width="11.33203125" bestFit="1" customWidth="1"/>
    <col min="2284" max="2284" width="10.5" bestFit="1" customWidth="1"/>
  </cols>
  <sheetData>
    <row r="1" spans="1:6" x14ac:dyDescent="0.2">
      <c r="C1" s="72" t="s">
        <v>61</v>
      </c>
      <c r="D1" s="72" t="s">
        <v>97</v>
      </c>
      <c r="E1"/>
      <c r="F1"/>
    </row>
    <row r="2" spans="1:6" x14ac:dyDescent="0.2">
      <c r="C2" s="50" t="s">
        <v>96</v>
      </c>
      <c r="E2"/>
      <c r="F2"/>
    </row>
    <row r="3" spans="1:6" x14ac:dyDescent="0.2">
      <c r="A3" s="71" t="s">
        <v>73</v>
      </c>
      <c r="B3" s="71" t="s">
        <v>33</v>
      </c>
      <c r="C3" s="50" t="s">
        <v>94</v>
      </c>
      <c r="D3" s="50" t="s">
        <v>95</v>
      </c>
      <c r="E3"/>
      <c r="F3"/>
    </row>
    <row r="4" spans="1:6" x14ac:dyDescent="0.2">
      <c r="A4" t="s">
        <v>93</v>
      </c>
      <c r="B4" t="s">
        <v>152</v>
      </c>
      <c r="C4" s="50">
        <v>0</v>
      </c>
      <c r="D4" s="50">
        <v>77208.237485163248</v>
      </c>
      <c r="E4"/>
      <c r="F4"/>
    </row>
    <row r="5" spans="1:6" x14ac:dyDescent="0.2">
      <c r="A5" t="s">
        <v>92</v>
      </c>
      <c r="B5" t="s">
        <v>151</v>
      </c>
      <c r="C5" s="50">
        <v>0</v>
      </c>
      <c r="D5" s="50">
        <v>86818.74252219357</v>
      </c>
      <c r="E5"/>
      <c r="F5"/>
    </row>
    <row r="6" spans="1:6" x14ac:dyDescent="0.2">
      <c r="B6" t="s">
        <v>152</v>
      </c>
      <c r="C6" s="50">
        <v>0</v>
      </c>
      <c r="D6" s="50">
        <v>61329.597769688342</v>
      </c>
      <c r="E6"/>
      <c r="F6"/>
    </row>
    <row r="7" spans="1:6" x14ac:dyDescent="0.2">
      <c r="B7" t="s">
        <v>153</v>
      </c>
      <c r="C7" s="50">
        <v>0</v>
      </c>
      <c r="D7" s="50">
        <v>0</v>
      </c>
      <c r="E7"/>
      <c r="F7"/>
    </row>
    <row r="8" spans="1:6" x14ac:dyDescent="0.2">
      <c r="B8" t="s">
        <v>154</v>
      </c>
      <c r="C8" s="50">
        <v>0</v>
      </c>
      <c r="D8" s="50">
        <v>57680.605176043617</v>
      </c>
      <c r="E8"/>
      <c r="F8"/>
    </row>
    <row r="9" spans="1:6" x14ac:dyDescent="0.2">
      <c r="A9" t="s">
        <v>91</v>
      </c>
      <c r="B9" t="s">
        <v>151</v>
      </c>
      <c r="C9" s="50">
        <v>0</v>
      </c>
      <c r="D9" s="50">
        <v>0</v>
      </c>
      <c r="E9"/>
      <c r="F9"/>
    </row>
    <row r="10" spans="1:6" x14ac:dyDescent="0.2">
      <c r="B10" t="s">
        <v>152</v>
      </c>
      <c r="C10" s="50">
        <v>0</v>
      </c>
      <c r="D10" s="50">
        <v>142845.16135493896</v>
      </c>
      <c r="E10"/>
      <c r="F10"/>
    </row>
    <row r="11" spans="1:6" x14ac:dyDescent="0.2">
      <c r="B11" t="s">
        <v>153</v>
      </c>
      <c r="C11" s="50">
        <v>0</v>
      </c>
      <c r="D11" s="50">
        <v>0</v>
      </c>
      <c r="E11"/>
      <c r="F11"/>
    </row>
    <row r="12" spans="1:6" x14ac:dyDescent="0.2">
      <c r="B12" t="s">
        <v>154</v>
      </c>
      <c r="C12" s="50">
        <v>0</v>
      </c>
      <c r="D12" s="50">
        <v>69659.054328380356</v>
      </c>
      <c r="E12"/>
      <c r="F12"/>
    </row>
    <row r="13" spans="1:6" x14ac:dyDescent="0.2">
      <c r="A13" t="s">
        <v>90</v>
      </c>
      <c r="B13" t="s">
        <v>151</v>
      </c>
      <c r="C13" s="50">
        <v>0</v>
      </c>
      <c r="D13" s="50">
        <v>67803.423426241672</v>
      </c>
      <c r="E13"/>
      <c r="F13"/>
    </row>
    <row r="14" spans="1:6" x14ac:dyDescent="0.2">
      <c r="B14" t="s">
        <v>152</v>
      </c>
      <c r="C14" s="50">
        <v>0</v>
      </c>
      <c r="D14" s="50">
        <v>156942.72814459488</v>
      </c>
      <c r="E14"/>
      <c r="F14"/>
    </row>
    <row r="15" spans="1:6" x14ac:dyDescent="0.2">
      <c r="B15" t="s">
        <v>153</v>
      </c>
      <c r="C15" s="50">
        <v>0</v>
      </c>
      <c r="D15" s="50">
        <v>68377.777158744546</v>
      </c>
      <c r="E15"/>
      <c r="F15"/>
    </row>
    <row r="16" spans="1:6" x14ac:dyDescent="0.2">
      <c r="B16" t="s">
        <v>154</v>
      </c>
      <c r="C16" s="50">
        <v>0</v>
      </c>
      <c r="D16" s="50">
        <v>49177.633714346157</v>
      </c>
      <c r="E16"/>
      <c r="F16"/>
    </row>
    <row r="17" spans="1:6" x14ac:dyDescent="0.2">
      <c r="A17" t="s">
        <v>89</v>
      </c>
      <c r="B17" t="s">
        <v>151</v>
      </c>
      <c r="C17" s="50">
        <v>0</v>
      </c>
      <c r="D17" s="50">
        <v>53726.02299625786</v>
      </c>
      <c r="E17"/>
      <c r="F17"/>
    </row>
    <row r="18" spans="1:6" x14ac:dyDescent="0.2">
      <c r="B18" t="s">
        <v>152</v>
      </c>
      <c r="C18" s="50">
        <v>0</v>
      </c>
      <c r="D18" s="50">
        <v>123582.61396094675</v>
      </c>
      <c r="E18"/>
      <c r="F18"/>
    </row>
    <row r="19" spans="1:6" x14ac:dyDescent="0.2">
      <c r="B19" t="s">
        <v>153</v>
      </c>
      <c r="C19" s="50">
        <v>0</v>
      </c>
      <c r="D19" s="50">
        <v>0</v>
      </c>
      <c r="E19"/>
      <c r="F19"/>
    </row>
    <row r="20" spans="1:6" x14ac:dyDescent="0.2">
      <c r="B20" t="s">
        <v>154</v>
      </c>
      <c r="C20" s="50">
        <v>0</v>
      </c>
      <c r="D20" s="50">
        <v>53545.075996737258</v>
      </c>
      <c r="E20"/>
      <c r="F20"/>
    </row>
    <row r="21" spans="1:6" x14ac:dyDescent="0.2">
      <c r="A21" t="s">
        <v>88</v>
      </c>
      <c r="B21" t="s">
        <v>151</v>
      </c>
      <c r="C21" s="50">
        <v>0</v>
      </c>
      <c r="D21" s="50">
        <v>260234.91384803478</v>
      </c>
      <c r="E21"/>
      <c r="F21"/>
    </row>
    <row r="22" spans="1:6" x14ac:dyDescent="0.2">
      <c r="B22" t="s">
        <v>152</v>
      </c>
      <c r="C22" s="50">
        <v>0</v>
      </c>
      <c r="D22" s="50">
        <v>105521.06639985243</v>
      </c>
      <c r="E22"/>
      <c r="F22"/>
    </row>
    <row r="23" spans="1:6" x14ac:dyDescent="0.2">
      <c r="B23" t="s">
        <v>153</v>
      </c>
      <c r="C23" s="50">
        <v>0</v>
      </c>
      <c r="D23" s="50">
        <v>173709.74206477017</v>
      </c>
      <c r="E23"/>
      <c r="F23"/>
    </row>
    <row r="24" spans="1:6" x14ac:dyDescent="0.2">
      <c r="B24" t="s">
        <v>154</v>
      </c>
      <c r="C24" s="50">
        <v>0</v>
      </c>
      <c r="D24" s="50">
        <v>147765.92869133377</v>
      </c>
      <c r="E24"/>
      <c r="F24"/>
    </row>
    <row r="25" spans="1:6" x14ac:dyDescent="0.2">
      <c r="A25" t="s">
        <v>87</v>
      </c>
      <c r="B25" t="s">
        <v>151</v>
      </c>
      <c r="C25" s="50">
        <v>0</v>
      </c>
      <c r="D25" s="50">
        <v>36583.097624048736</v>
      </c>
      <c r="E25"/>
      <c r="F25"/>
    </row>
    <row r="26" spans="1:6" x14ac:dyDescent="0.2">
      <c r="B26" t="s">
        <v>152</v>
      </c>
      <c r="C26" s="50">
        <v>0</v>
      </c>
      <c r="D26" s="50">
        <v>25191.446588547078</v>
      </c>
      <c r="E26"/>
      <c r="F26"/>
    </row>
    <row r="27" spans="1:6" x14ac:dyDescent="0.2">
      <c r="B27" t="s">
        <v>153</v>
      </c>
      <c r="C27" s="50">
        <v>0</v>
      </c>
      <c r="D27" s="50">
        <v>116382.86131491749</v>
      </c>
      <c r="E27"/>
      <c r="F27"/>
    </row>
    <row r="28" spans="1:6" x14ac:dyDescent="0.2">
      <c r="B28" t="s">
        <v>154</v>
      </c>
      <c r="C28" s="50">
        <v>0</v>
      </c>
      <c r="D28" s="50">
        <v>47129.248955204217</v>
      </c>
      <c r="E28"/>
      <c r="F28"/>
    </row>
    <row r="29" spans="1:6" x14ac:dyDescent="0.2">
      <c r="A29" t="s">
        <v>86</v>
      </c>
      <c r="B29" t="s">
        <v>151</v>
      </c>
      <c r="C29" s="50">
        <v>0</v>
      </c>
      <c r="D29" s="50">
        <v>66824.036810393794</v>
      </c>
      <c r="E29"/>
      <c r="F29"/>
    </row>
    <row r="30" spans="1:6" x14ac:dyDescent="0.2">
      <c r="B30" t="s">
        <v>152</v>
      </c>
      <c r="C30" s="50">
        <v>0</v>
      </c>
      <c r="D30" s="50">
        <v>133897.76345442358</v>
      </c>
      <c r="E30"/>
      <c r="F30"/>
    </row>
    <row r="31" spans="1:6" x14ac:dyDescent="0.2">
      <c r="B31" t="s">
        <v>153</v>
      </c>
      <c r="C31" s="50">
        <v>0</v>
      </c>
      <c r="D31" s="50">
        <v>93678.683051206346</v>
      </c>
      <c r="E31"/>
      <c r="F31"/>
    </row>
    <row r="32" spans="1:6" x14ac:dyDescent="0.2">
      <c r="B32" t="s">
        <v>154</v>
      </c>
      <c r="C32" s="50">
        <v>0</v>
      </c>
      <c r="D32" s="50">
        <v>46997.566343758786</v>
      </c>
      <c r="E32"/>
      <c r="F32"/>
    </row>
    <row r="33" spans="1:6" x14ac:dyDescent="0.2">
      <c r="A33" t="s">
        <v>85</v>
      </c>
      <c r="B33" t="s">
        <v>151</v>
      </c>
      <c r="C33" s="50">
        <v>0</v>
      </c>
      <c r="D33" s="50">
        <v>114753.60680887214</v>
      </c>
      <c r="E33"/>
      <c r="F33"/>
    </row>
    <row r="34" spans="1:6" x14ac:dyDescent="0.2">
      <c r="B34" t="s">
        <v>152</v>
      </c>
      <c r="C34" s="50">
        <v>0</v>
      </c>
      <c r="D34" s="50">
        <v>78201.192164111329</v>
      </c>
      <c r="E34"/>
      <c r="F34"/>
    </row>
    <row r="35" spans="1:6" x14ac:dyDescent="0.2">
      <c r="B35" t="s">
        <v>153</v>
      </c>
      <c r="C35" s="50">
        <v>0</v>
      </c>
      <c r="D35" s="50">
        <v>32571.740673209279</v>
      </c>
      <c r="E35"/>
      <c r="F35"/>
    </row>
    <row r="36" spans="1:6" x14ac:dyDescent="0.2">
      <c r="B36" t="s">
        <v>154</v>
      </c>
      <c r="C36" s="50">
        <v>0</v>
      </c>
      <c r="D36" s="50">
        <v>92216.432801773743</v>
      </c>
      <c r="E36"/>
      <c r="F36"/>
    </row>
    <row r="37" spans="1:6" x14ac:dyDescent="0.2">
      <c r="A37" t="s">
        <v>84</v>
      </c>
      <c r="B37" t="s">
        <v>151</v>
      </c>
      <c r="C37" s="50">
        <v>0</v>
      </c>
      <c r="D37" s="50">
        <v>46347.384252444208</v>
      </c>
      <c r="E37"/>
      <c r="F37"/>
    </row>
    <row r="38" spans="1:6" x14ac:dyDescent="0.2">
      <c r="B38" t="s">
        <v>152</v>
      </c>
      <c r="C38" s="50">
        <v>0</v>
      </c>
      <c r="D38" s="50">
        <v>56952.197513657142</v>
      </c>
      <c r="E38"/>
      <c r="F38"/>
    </row>
    <row r="39" spans="1:6" x14ac:dyDescent="0.2">
      <c r="B39" t="s">
        <v>153</v>
      </c>
      <c r="C39" s="50">
        <v>0</v>
      </c>
      <c r="D39" s="50">
        <v>17462.960739212162</v>
      </c>
      <c r="E39"/>
      <c r="F39"/>
    </row>
    <row r="40" spans="1:6" x14ac:dyDescent="0.2">
      <c r="B40" t="s">
        <v>154</v>
      </c>
      <c r="C40" s="50">
        <v>0</v>
      </c>
      <c r="D40" s="50">
        <v>30655.300085881401</v>
      </c>
      <c r="E40"/>
      <c r="F40"/>
    </row>
    <row r="41" spans="1:6" x14ac:dyDescent="0.2">
      <c r="A41" t="s">
        <v>83</v>
      </c>
      <c r="B41" t="s">
        <v>151</v>
      </c>
      <c r="C41" s="50">
        <v>0</v>
      </c>
      <c r="D41" s="50">
        <v>0</v>
      </c>
      <c r="E41"/>
      <c r="F41"/>
    </row>
    <row r="42" spans="1:6" x14ac:dyDescent="0.2">
      <c r="B42" t="s">
        <v>152</v>
      </c>
      <c r="C42" s="50">
        <v>0</v>
      </c>
      <c r="D42" s="50">
        <v>52979.219737207553</v>
      </c>
      <c r="E42"/>
      <c r="F42"/>
    </row>
    <row r="43" spans="1:6" x14ac:dyDescent="0.2">
      <c r="B43" t="s">
        <v>153</v>
      </c>
      <c r="C43" s="50">
        <v>0</v>
      </c>
      <c r="D43" s="50">
        <v>61823.42459969972</v>
      </c>
      <c r="E43"/>
      <c r="F43"/>
    </row>
    <row r="44" spans="1:6" x14ac:dyDescent="0.2">
      <c r="B44" t="s">
        <v>154</v>
      </c>
      <c r="C44" s="50">
        <v>0</v>
      </c>
      <c r="D44" s="50">
        <v>16073.670965875372</v>
      </c>
      <c r="E44"/>
      <c r="F44"/>
    </row>
    <row r="45" spans="1:6" x14ac:dyDescent="0.2">
      <c r="A45" t="s">
        <v>82</v>
      </c>
      <c r="B45" t="s">
        <v>151</v>
      </c>
      <c r="C45" s="50">
        <v>0</v>
      </c>
      <c r="D45" s="50">
        <v>6304.5505391674633</v>
      </c>
      <c r="E45"/>
      <c r="F45"/>
    </row>
    <row r="46" spans="1:6" x14ac:dyDescent="0.2">
      <c r="B46" t="s">
        <v>152</v>
      </c>
      <c r="C46" s="50">
        <v>0</v>
      </c>
      <c r="D46" s="50">
        <v>12375.043190965165</v>
      </c>
      <c r="E46"/>
      <c r="F46"/>
    </row>
    <row r="47" spans="1:6" x14ac:dyDescent="0.2">
      <c r="B47" t="s">
        <v>153</v>
      </c>
      <c r="C47" s="50">
        <v>0</v>
      </c>
      <c r="D47" s="50">
        <v>13472.405393779474</v>
      </c>
    </row>
    <row r="48" spans="1:6" x14ac:dyDescent="0.2">
      <c r="A48" t="s">
        <v>81</v>
      </c>
      <c r="B48" t="s">
        <v>151</v>
      </c>
      <c r="C48" s="50">
        <v>0</v>
      </c>
      <c r="D48" s="50">
        <v>0</v>
      </c>
    </row>
    <row r="49" spans="1:4" x14ac:dyDescent="0.2">
      <c r="B49" t="s">
        <v>152</v>
      </c>
      <c r="C49" s="50">
        <v>0</v>
      </c>
      <c r="D49" s="50">
        <v>461.10737657221898</v>
      </c>
    </row>
    <row r="50" spans="1:4" x14ac:dyDescent="0.2">
      <c r="B50" t="s">
        <v>153</v>
      </c>
      <c r="C50" s="50">
        <v>193.43966593181432</v>
      </c>
      <c r="D50" s="50">
        <v>6348.5046527484328</v>
      </c>
    </row>
    <row r="51" spans="1:4" x14ac:dyDescent="0.2">
      <c r="B51" t="s">
        <v>154</v>
      </c>
      <c r="C51" s="50">
        <v>0</v>
      </c>
      <c r="D51" s="50">
        <v>1256.745152219346</v>
      </c>
    </row>
    <row r="52" spans="1:4" x14ac:dyDescent="0.2">
      <c r="A52" t="s">
        <v>80</v>
      </c>
      <c r="B52" t="s">
        <v>151</v>
      </c>
      <c r="C52" s="50">
        <v>167.19876927099094</v>
      </c>
      <c r="D52" s="50">
        <v>0</v>
      </c>
    </row>
    <row r="53" spans="1:4" x14ac:dyDescent="0.2">
      <c r="B53" t="s">
        <v>152</v>
      </c>
      <c r="C53" s="50">
        <v>549.9785536419779</v>
      </c>
      <c r="D53" s="50">
        <v>0</v>
      </c>
    </row>
    <row r="54" spans="1:4" x14ac:dyDescent="0.2">
      <c r="B54" t="s">
        <v>153</v>
      </c>
      <c r="C54" s="50">
        <v>212.32568355400548</v>
      </c>
      <c r="D54" s="50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A0FE-7840-C147-961D-0DCB579B3320}">
  <sheetPr codeName="Sheet7"/>
  <dimension ref="A1:N251"/>
  <sheetViews>
    <sheetView workbookViewId="0">
      <selection activeCell="G3" sqref="G3"/>
    </sheetView>
  </sheetViews>
  <sheetFormatPr baseColWidth="10" defaultRowHeight="16" x14ac:dyDescent="0.2"/>
  <cols>
    <col min="2" max="2" width="83.5" customWidth="1"/>
    <col min="3" max="3" width="11.1640625" style="37" bestFit="1" customWidth="1"/>
    <col min="10" max="10" width="12" customWidth="1"/>
  </cols>
  <sheetData>
    <row r="1" spans="1:14" x14ac:dyDescent="0.2">
      <c r="A1" t="s">
        <v>32</v>
      </c>
      <c r="B1" t="s">
        <v>69</v>
      </c>
      <c r="C1" s="37" t="s">
        <v>70</v>
      </c>
      <c r="D1" t="s">
        <v>71</v>
      </c>
      <c r="E1" t="s">
        <v>72</v>
      </c>
      <c r="F1" t="s">
        <v>73</v>
      </c>
      <c r="G1" t="s">
        <v>61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33</v>
      </c>
    </row>
    <row r="2" spans="1:14" x14ac:dyDescent="0.2">
      <c r="A2" t="str" cm="1">
        <f t="array" ref="A2:E251">_xlfn.CHOOSECOLS(_xlfn._xlws.FILTER(CAS!A2:K10000, ISNUMBER(MATCH(CAS!N2:N10000, {"REDEMPTION","SWITCH_OUT","SWITCH_OUT_MERGER","DIVIDEND_PAYOUT"}, 0))), 3, 4, 8, 11, 10)</f>
        <v>AAAAA1111A</v>
      </c>
      <c r="B2" t="str">
        <v>HDFC Flexi Cap Fund - Direct Plan - Growth</v>
      </c>
      <c r="C2" s="37">
        <v>40789</v>
      </c>
      <c r="D2">
        <v>0</v>
      </c>
      <c r="E2">
        <v>1204.95</v>
      </c>
      <c r="F2" t="str" cm="1">
        <f t="array" ref="F2:F251">_xlfn.LET(_xlpm.dates, _xlfn.CHOOSECOLS(_xlfn.ANCHORARRAY(A2), 3), "FY "&amp;IF(MONTH(_xlpm.dates)&gt;=4, YEAR(_xlpm.dates), YEAR(_xlpm.dates)-1)&amp;"-"&amp;RIGHT(IF(MONTH(_xlpm.dates)&gt;=4, YEAR(_xlpm.dates)+1, YEAR(_xlpm.dates)), 2))</f>
        <v>FY 2011-12</v>
      </c>
      <c r="G2" t="str" cm="1">
        <f t="array" ref="G2:G251">_xlfn.XLOOKUP(_xlfn.CHOOSECOLS(_xlfn.ANCHORARRAY(A2), 2), 'Current NAVs'!$C:$C, 'Current NAVs'!$H:$H, "Equity", 0)</f>
        <v>Equity</v>
      </c>
      <c r="H2" cm="1">
        <f t="array" ref="H2:H251">_xlfn.LET(_xlpm.schemes, _xlfn.CHOOSECOLS(_xlfn.ANCHORARRAY(A2), 2), _xlpm.dates, _xlfn.CHOOSECOLS(_xlfn.ANCHORARRAY(A2), 3), _xlpm.units, ABS(_xlfn.CHOOSECOLS(_xlfn.ANCHORARRAY(A2), 4)), _xlpm.buy_limit, DATE(YEAR(_xlpm.dates), MONTH(_xlpm.dates)-IF(_xlfn.ANCHORARRAY(G2)="Debt", 36, 12), DAY(_xlpm.dates)), _xlpm.sum_buy, SUMIFS(CAS!K:K, CAS!D:D, _xlpm.schemes, CAS!K:K, "&gt;0", CAS!H:H, "&lt;="&amp;_xlpm.buy_limit), _xlpm.sum_sell, SUMIFS(CAS!K:K, CAS!D:D, _xlpm.schemes, CAS!K:K, "&lt;0", CAS!H:H, "&lt;"&amp;_xlpm.dates), _xlpm.net, _xlpm.sum_buy-ABS(_xlpm.sum_sell), _xlpm.min_val, IF(_xlpm.units&lt;_xlpm.net, _xlpm.units, _xlpm.net), IF(_xlpm.min_val&lt;0, 0, _xlpm.min_val))</f>
        <v>0</v>
      </c>
      <c r="I2" cm="1">
        <f t="array" ref="I2:I251">ABS(_xlfn.CHOOSECOLS(_xlfn.ANCHORARRAY(A2), 4)) -_xlfn.ANCHORARRAY( H2)</f>
        <v>0</v>
      </c>
      <c r="J2" cm="1">
        <f t="array" ref="J2:J251">_xlfn.LET(
    _xlpm.filtered_folios, _xlfn._xlws.FILTER(CAS!$B$2:$B$10000, ISNUMBER(MATCH(CAS!$N$2:$N$10000, {"REDEMPTION","SWITCH_OUT","SWITCH_OUT_MERGER","DIVIDEND_PAYOUT"}, 0)), ""),
    _xlfn.MAP(_xlfn.CHOOSECOLS(_xlfn.ANCHORARRAY(A2), 1), _xlpm.filtered_folios, _xlfn.CHOOSECOLS(_xlfn.ANCHORARRAY(A2), 2), _xlfn.CHOOSECOLS(_xlfn.ANCHORARRAY(A2), 3), _xlfn.CHOOSECOLS(_xlfn.ANCHORARRAY(A2), 4),
        _xlfn.LAMBDA(_xlpm.pan,_xlpm.folio,_xlpm.scheme,_xlpm.sDate,_xlpm.sUnits,
            FIFO_BUY_PRICE(_xlpm.pan, _xlpm.folio, _xlpm.scheme, _xlpm.sDate, _xlpm.sUnits, CAS!$C$2:$C$10000, CAS!$B$2:$B$10000, CAS!$D$2:$D$10000, CAS!$H$2:$H$10000, CAS!$K$2:$K$10000, CAS!$J$2:$J$10000)
        )
    )
)</f>
        <v>0</v>
      </c>
      <c r="K2" cm="1">
        <f t="array" ref="K2:K251">IFERROR(_xlfn.CHOOSECOLS(_xlfn.ANCHORARRAY(A2), 5) / _xlfn.CHOOSECOLS(_xlfn.ANCHORARRAY(A2), 4), 0)</f>
        <v>0</v>
      </c>
      <c r="L2" cm="1">
        <f t="array" ref="L2:L251">_xlfn.ANCHORARRAY(I2) * (_xlfn.ANCHORARRAY(K2) -_xlfn.ANCHORARRAY( J2))</f>
        <v>0</v>
      </c>
      <c r="M2" cm="1">
        <f t="array" ref="M2:M251">_xlfn.ANCHORARRAY(H2) * (_xlfn.ANCHORARRAY(K2) -_xlfn.ANCHORARRAY( J2))</f>
        <v>0</v>
      </c>
      <c r="N2" t="str" cm="1">
        <f t="array" ref="N2:N251">_xlfn.XLOOKUP(_xlfn.CHOOSECOLS(_xlfn.ANCHORARRAY(A2), 1), 'PAN Mapper'!A:A, 'PAN Mapper'!B:B, _xlfn.CHOOSECOLS(_xlfn.ANCHORARRAY(A2), 1))</f>
        <v>Name 1</v>
      </c>
    </row>
    <row r="3" spans="1:14" x14ac:dyDescent="0.2">
      <c r="A3" t="str">
        <v>AAAAA1111A</v>
      </c>
      <c r="B3" t="str">
        <v>HDFC Flexi Cap Fund - Direct Plan - Growth</v>
      </c>
      <c r="C3" s="37">
        <v>41929</v>
      </c>
      <c r="D3">
        <v>0</v>
      </c>
      <c r="E3">
        <v>5078.88</v>
      </c>
      <c r="F3" t="str">
        <v>FY 2014-15</v>
      </c>
      <c r="G3" t="str">
        <v>Equity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 t="str">
        <v>Name 1</v>
      </c>
    </row>
    <row r="4" spans="1:14" x14ac:dyDescent="0.2">
      <c r="A4" t="str">
        <v>AAAAA1111A</v>
      </c>
      <c r="B4" t="str">
        <v>HDFC Flexi Cap Fund - Direct Plan - Growth</v>
      </c>
      <c r="C4" s="37">
        <v>42529</v>
      </c>
      <c r="D4">
        <v>0</v>
      </c>
      <c r="E4">
        <v>6888.64</v>
      </c>
      <c r="F4" t="str">
        <v>FY 2016-17</v>
      </c>
      <c r="G4" t="str">
        <v>Equity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 t="str">
        <v>Name 1</v>
      </c>
    </row>
    <row r="5" spans="1:14" x14ac:dyDescent="0.2">
      <c r="A5" t="str">
        <v>AAAAA1111A</v>
      </c>
      <c r="B5" t="str">
        <v>HDFC Flexi Cap Fund - Direct Plan - Growth</v>
      </c>
      <c r="C5" s="37">
        <v>43129</v>
      </c>
      <c r="D5">
        <v>-3393.2840000000001</v>
      </c>
      <c r="E5">
        <v>-110273.96</v>
      </c>
      <c r="F5" t="str">
        <v>FY 2017-18</v>
      </c>
      <c r="G5" t="str">
        <v>Equity</v>
      </c>
      <c r="H5">
        <v>3393.2840000000001</v>
      </c>
      <c r="I5">
        <v>0</v>
      </c>
      <c r="J5">
        <v>21.388557767370877</v>
      </c>
      <c r="K5">
        <v>32.497710182819951</v>
      </c>
      <c r="L5">
        <v>0</v>
      </c>
      <c r="M5">
        <v>37696.509144904696</v>
      </c>
      <c r="N5" t="str">
        <v>Name 1</v>
      </c>
    </row>
    <row r="6" spans="1:14" x14ac:dyDescent="0.2">
      <c r="A6" t="str">
        <v>AAAAA1111A</v>
      </c>
      <c r="B6" t="str">
        <v>HDFC Flexi Cap Fund - Direct Plan - Growth</v>
      </c>
      <c r="C6" s="37">
        <v>43249</v>
      </c>
      <c r="D6">
        <v>-2834.4360000000001</v>
      </c>
      <c r="E6">
        <v>-94460.54</v>
      </c>
      <c r="F6" t="str">
        <v>FY 2018-19</v>
      </c>
      <c r="G6" t="str">
        <v>Equity</v>
      </c>
      <c r="H6">
        <v>2834.4360000000001</v>
      </c>
      <c r="I6">
        <v>0</v>
      </c>
      <c r="J6">
        <v>24.111321738785136</v>
      </c>
      <c r="K6">
        <v>33.326044405306732</v>
      </c>
      <c r="L6">
        <v>0</v>
      </c>
      <c r="M6">
        <v>26118.541656004807</v>
      </c>
      <c r="N6" t="str">
        <v>Name 1</v>
      </c>
    </row>
    <row r="7" spans="1:14" x14ac:dyDescent="0.2">
      <c r="A7" t="str">
        <v>AAAAA1111A</v>
      </c>
      <c r="B7" t="str">
        <v>HDFC Flexi Cap Fund - Direct Plan - Growth</v>
      </c>
      <c r="C7" s="37">
        <v>43489</v>
      </c>
      <c r="D7">
        <v>0</v>
      </c>
      <c r="E7">
        <v>6247.5</v>
      </c>
      <c r="F7" t="str">
        <v>FY 2018-19</v>
      </c>
      <c r="G7" t="str">
        <v>Equity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 t="str">
        <v>Name 1</v>
      </c>
    </row>
    <row r="8" spans="1:14" x14ac:dyDescent="0.2">
      <c r="A8" t="str">
        <v>AAAAA1111A</v>
      </c>
      <c r="B8" t="str">
        <v>HDFC Flexi Cap Fund - Direct Plan - Growth</v>
      </c>
      <c r="C8" s="37">
        <v>43759</v>
      </c>
      <c r="D8">
        <v>0</v>
      </c>
      <c r="E8">
        <v>6891.09</v>
      </c>
      <c r="F8" t="str">
        <v>FY 2019-20</v>
      </c>
      <c r="G8" t="str">
        <v>Equity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 t="str">
        <v>Name 1</v>
      </c>
    </row>
    <row r="9" spans="1:14" x14ac:dyDescent="0.2">
      <c r="A9" t="str">
        <v>AAAAA1111A</v>
      </c>
      <c r="B9" t="str">
        <v>HDFC Flexi Cap Fund - Direct Plan - Growth</v>
      </c>
      <c r="C9" s="37">
        <v>43789</v>
      </c>
      <c r="D9">
        <v>0</v>
      </c>
      <c r="E9">
        <v>6961.66</v>
      </c>
      <c r="F9" t="str">
        <v>FY 2019-20</v>
      </c>
      <c r="G9" t="str">
        <v>Equity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 t="str">
        <v>Name 1</v>
      </c>
    </row>
    <row r="10" spans="1:14" x14ac:dyDescent="0.2">
      <c r="A10" t="str">
        <v>AAAAA1111A</v>
      </c>
      <c r="B10" t="str">
        <v>HDFC Flexi Cap Fund - Direct Plan - Growth</v>
      </c>
      <c r="C10" s="37">
        <v>43909</v>
      </c>
      <c r="D10">
        <v>0</v>
      </c>
      <c r="E10">
        <v>7243.05</v>
      </c>
      <c r="F10" t="str">
        <v>FY 2019-20</v>
      </c>
      <c r="G10" t="str">
        <v>Equity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 t="str">
        <v>Name 1</v>
      </c>
    </row>
    <row r="11" spans="1:14" x14ac:dyDescent="0.2">
      <c r="A11" t="str">
        <v>AAAAA1111A</v>
      </c>
      <c r="B11" t="str">
        <v>HDFC Flexi Cap Fund - Direct Plan - Growth</v>
      </c>
      <c r="C11" s="37">
        <v>44029</v>
      </c>
      <c r="D11">
        <v>0</v>
      </c>
      <c r="E11">
        <v>7522.03</v>
      </c>
      <c r="F11" t="str">
        <v>FY 2020-21</v>
      </c>
      <c r="G11" t="str">
        <v>Equity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 t="str">
        <v>Name 1</v>
      </c>
    </row>
    <row r="12" spans="1:14" x14ac:dyDescent="0.2">
      <c r="A12" t="str">
        <v>AAAAA1111A</v>
      </c>
      <c r="B12" t="str">
        <v>HDFC Flexi Cap Fund - Direct Plan - Growth</v>
      </c>
      <c r="C12" s="37">
        <v>44179</v>
      </c>
      <c r="D12">
        <v>0</v>
      </c>
      <c r="E12">
        <v>7861.2</v>
      </c>
      <c r="F12" t="str">
        <v>FY 2020-21</v>
      </c>
      <c r="G12" t="str">
        <v>Equity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 t="str">
        <v>Name 1</v>
      </c>
    </row>
    <row r="13" spans="1:14" x14ac:dyDescent="0.2">
      <c r="A13" t="str">
        <v>AAAAA1111A</v>
      </c>
      <c r="B13" t="str">
        <v>HDFC Flexi Cap Fund - Direct Plan - Growth</v>
      </c>
      <c r="C13" s="37">
        <v>44389</v>
      </c>
      <c r="D13">
        <v>0</v>
      </c>
      <c r="E13">
        <v>8335.84</v>
      </c>
      <c r="F13" t="str">
        <v>FY 2021-22</v>
      </c>
      <c r="G13" t="str">
        <v>Equity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 t="str">
        <v>Name 1</v>
      </c>
    </row>
    <row r="14" spans="1:14" x14ac:dyDescent="0.2">
      <c r="A14" t="str">
        <v>AAAAA1111A</v>
      </c>
      <c r="B14" t="str">
        <v>HDFC Flexi Cap Fund - Direct Plan - Growth</v>
      </c>
      <c r="C14" s="37">
        <v>44779</v>
      </c>
      <c r="D14">
        <v>-3671.7849999999999</v>
      </c>
      <c r="E14">
        <v>-146086.57999999999</v>
      </c>
      <c r="F14" t="str">
        <v>FY 2022-23</v>
      </c>
      <c r="G14" t="str">
        <v>Equity</v>
      </c>
      <c r="H14">
        <v>3671.7849999999999</v>
      </c>
      <c r="I14">
        <v>0</v>
      </c>
      <c r="J14">
        <v>25.154129940544482</v>
      </c>
      <c r="K14">
        <v>39.786256548245603</v>
      </c>
      <c r="L14">
        <v>0</v>
      </c>
      <c r="M14">
        <v>53726.02299625786</v>
      </c>
      <c r="N14" t="str">
        <v>Name 1</v>
      </c>
    </row>
    <row r="15" spans="1:14" x14ac:dyDescent="0.2">
      <c r="A15" t="str">
        <v>AAAAA1111A</v>
      </c>
      <c r="B15" t="str">
        <v>HDFC Flexi Cap Fund - Direct Plan - Growth</v>
      </c>
      <c r="C15" s="37">
        <v>46009</v>
      </c>
      <c r="D15">
        <v>0</v>
      </c>
      <c r="E15">
        <v>9671.65</v>
      </c>
      <c r="F15" t="str">
        <v>FY 2025-26</v>
      </c>
      <c r="G15" t="str">
        <v>Equity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 t="str">
        <v>Name 1</v>
      </c>
    </row>
    <row r="16" spans="1:14" x14ac:dyDescent="0.2">
      <c r="A16" t="str">
        <v>AAAAA1111A</v>
      </c>
      <c r="B16" t="str">
        <v>Parag Parikh Flexi Cap Fund - Direct Growth</v>
      </c>
      <c r="C16" s="37">
        <v>40775</v>
      </c>
      <c r="D16">
        <v>0</v>
      </c>
      <c r="E16">
        <v>2021.37</v>
      </c>
      <c r="F16" t="str">
        <v>FY 2011-12</v>
      </c>
      <c r="G16" t="str">
        <v>Equity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 t="str">
        <v>Name 1</v>
      </c>
    </row>
    <row r="17" spans="1:14" x14ac:dyDescent="0.2">
      <c r="A17" t="str">
        <v>AAAAA1111A</v>
      </c>
      <c r="B17" t="str">
        <v>Parag Parikh Flexi Cap Fund - Direct Growth</v>
      </c>
      <c r="C17" s="37">
        <v>40925</v>
      </c>
      <c r="D17">
        <v>0</v>
      </c>
      <c r="E17">
        <v>2595.64</v>
      </c>
      <c r="F17" t="str">
        <v>FY 2011-12</v>
      </c>
      <c r="G17" t="str">
        <v>Equity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 t="str">
        <v>Name 1</v>
      </c>
    </row>
    <row r="18" spans="1:14" x14ac:dyDescent="0.2">
      <c r="A18" t="str">
        <v>AAAAA1111A</v>
      </c>
      <c r="B18" t="str">
        <v>Parag Parikh Flexi Cap Fund - Direct Growth</v>
      </c>
      <c r="C18" s="37">
        <v>41495</v>
      </c>
      <c r="D18">
        <v>-1848.6469999999999</v>
      </c>
      <c r="E18">
        <v>-46237.98</v>
      </c>
      <c r="F18" t="str">
        <v>FY 2013-14</v>
      </c>
      <c r="G18" t="str">
        <v>Equity</v>
      </c>
      <c r="H18">
        <v>1848.6469999999999</v>
      </c>
      <c r="I18">
        <v>0</v>
      </c>
      <c r="J18">
        <v>21.601435785648931</v>
      </c>
      <c r="K18">
        <v>25.011795112858216</v>
      </c>
      <c r="L18">
        <v>0</v>
      </c>
      <c r="M18">
        <v>6304.5505391674633</v>
      </c>
      <c r="N18" t="str">
        <v>Name 1</v>
      </c>
    </row>
    <row r="19" spans="1:14" x14ac:dyDescent="0.2">
      <c r="A19" t="str">
        <v>AAAAA1111A</v>
      </c>
      <c r="B19" t="str">
        <v>Parag Parikh Flexi Cap Fund - Direct Growth</v>
      </c>
      <c r="C19" s="37">
        <v>43385</v>
      </c>
      <c r="D19">
        <v>0</v>
      </c>
      <c r="E19">
        <v>8912.6299999999992</v>
      </c>
      <c r="F19" t="str">
        <v>FY 2018-19</v>
      </c>
      <c r="G19" t="str">
        <v>Equity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 t="str">
        <v>Name 1</v>
      </c>
    </row>
    <row r="20" spans="1:14" x14ac:dyDescent="0.2">
      <c r="A20" t="str">
        <v>AAAAA1111A</v>
      </c>
      <c r="B20" t="str">
        <v>Parag Parikh Flexi Cap Fund - Direct Growth</v>
      </c>
      <c r="C20" s="37">
        <v>43505</v>
      </c>
      <c r="D20">
        <v>-3675.61</v>
      </c>
      <c r="E20">
        <v>-135397.59</v>
      </c>
      <c r="F20" t="str">
        <v>FY 2018-19</v>
      </c>
      <c r="G20" t="str">
        <v>Equity</v>
      </c>
      <c r="H20">
        <v>3675.61</v>
      </c>
      <c r="I20">
        <v>0</v>
      </c>
      <c r="J20">
        <v>22.391477376461296</v>
      </c>
      <c r="K20">
        <v>36.836767230473306</v>
      </c>
      <c r="L20">
        <v>0</v>
      </c>
      <c r="M20">
        <v>53095.251840305085</v>
      </c>
      <c r="N20" t="str">
        <v>Name 1</v>
      </c>
    </row>
    <row r="21" spans="1:14" x14ac:dyDescent="0.2">
      <c r="A21" t="str">
        <v>AAAAA1111A</v>
      </c>
      <c r="B21" t="str">
        <v>Parag Parikh Flexi Cap Fund - Direct Growth</v>
      </c>
      <c r="C21" s="37">
        <v>43895</v>
      </c>
      <c r="D21">
        <v>0</v>
      </c>
      <c r="E21">
        <v>8192.08</v>
      </c>
      <c r="F21" t="str">
        <v>FY 2019-20</v>
      </c>
      <c r="G21" t="str">
        <v>Equity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 t="str">
        <v>Name 1</v>
      </c>
    </row>
    <row r="22" spans="1:14" x14ac:dyDescent="0.2">
      <c r="A22" t="str">
        <v>AAAAA1111A</v>
      </c>
      <c r="B22" t="str">
        <v>Parag Parikh Flexi Cap Fund - Direct Growth</v>
      </c>
      <c r="C22" s="37">
        <v>45275</v>
      </c>
      <c r="D22">
        <v>0</v>
      </c>
      <c r="E22">
        <v>10497.24</v>
      </c>
      <c r="F22" t="str">
        <v>FY 2023-24</v>
      </c>
      <c r="G22" t="str">
        <v>Equity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 t="str">
        <v>Name 1</v>
      </c>
    </row>
    <row r="23" spans="1:14" x14ac:dyDescent="0.2">
      <c r="A23" t="str">
        <v>AAAAA1111A</v>
      </c>
      <c r="B23" t="str">
        <v>Parag Parikh Flexi Cap Fund - Direct Growth</v>
      </c>
      <c r="C23" s="37">
        <v>45305</v>
      </c>
      <c r="D23">
        <v>0</v>
      </c>
      <c r="E23">
        <v>10542.68</v>
      </c>
      <c r="F23" t="str">
        <v>FY 2023-24</v>
      </c>
      <c r="G23" t="str">
        <v>Equity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 t="str">
        <v>Name 1</v>
      </c>
    </row>
    <row r="24" spans="1:14" x14ac:dyDescent="0.2">
      <c r="A24" t="str">
        <v>AAAAA1111A</v>
      </c>
      <c r="B24" t="str">
        <v>Parag Parikh Flexi Cap Fund - Direct Growth</v>
      </c>
      <c r="C24" s="37">
        <v>45935</v>
      </c>
      <c r="D24">
        <v>0</v>
      </c>
      <c r="E24">
        <v>11420.42</v>
      </c>
      <c r="F24" t="str">
        <v>FY 2025-26</v>
      </c>
      <c r="G24" t="str">
        <v>Equity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 t="str">
        <v>Name 1</v>
      </c>
    </row>
    <row r="25" spans="1:14" x14ac:dyDescent="0.2">
      <c r="A25" t="str">
        <v>AAAAA1111A</v>
      </c>
      <c r="B25" t="str">
        <v>SBI Liquid Fund Direct Growth</v>
      </c>
      <c r="C25" s="37">
        <v>43413</v>
      </c>
      <c r="D25">
        <v>-3930.261</v>
      </c>
      <c r="E25">
        <v>-118727.77</v>
      </c>
      <c r="F25" t="str">
        <v>FY 2018-19</v>
      </c>
      <c r="G25" t="str">
        <v>Equity</v>
      </c>
      <c r="H25">
        <v>3930.261</v>
      </c>
      <c r="I25">
        <v>0</v>
      </c>
      <c r="J25">
        <v>21.166013322636275</v>
      </c>
      <c r="K25">
        <v>30.208622277248256</v>
      </c>
      <c r="L25">
        <v>0</v>
      </c>
      <c r="M25">
        <v>35539.813312562241</v>
      </c>
      <c r="N25" t="str">
        <v>Name 1</v>
      </c>
    </row>
    <row r="26" spans="1:14" x14ac:dyDescent="0.2">
      <c r="A26" t="str">
        <v>AAAAA1111A</v>
      </c>
      <c r="B26" t="str">
        <v>ICICI Pru Equity &amp; Debt Fund - Direct Growth</v>
      </c>
      <c r="C26" s="37">
        <v>41016</v>
      </c>
      <c r="D26">
        <v>0</v>
      </c>
      <c r="E26">
        <v>2244.9</v>
      </c>
      <c r="F26" t="str">
        <v>FY 2012-13</v>
      </c>
      <c r="G26" t="str">
        <v>Equity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 t="str">
        <v>Name 1</v>
      </c>
    </row>
    <row r="27" spans="1:14" x14ac:dyDescent="0.2">
      <c r="A27" t="str">
        <v>AAAAA1111A</v>
      </c>
      <c r="B27" t="str">
        <v>ICICI Pru Equity &amp; Debt Fund - Direct Growth</v>
      </c>
      <c r="C27" s="37">
        <v>41106</v>
      </c>
      <c r="D27">
        <v>0</v>
      </c>
      <c r="E27">
        <v>2640.13</v>
      </c>
      <c r="F27" t="str">
        <v>FY 2012-13</v>
      </c>
      <c r="G27" t="str">
        <v>Equity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 t="str">
        <v>Name 1</v>
      </c>
    </row>
    <row r="28" spans="1:14" x14ac:dyDescent="0.2">
      <c r="A28" t="str">
        <v>AAAAA1111A</v>
      </c>
      <c r="B28" t="str">
        <v>ICICI Pru Equity &amp; Debt Fund - Direct Growth</v>
      </c>
      <c r="C28" s="37">
        <v>41196</v>
      </c>
      <c r="D28">
        <v>0</v>
      </c>
      <c r="E28">
        <v>3029.73</v>
      </c>
      <c r="F28" t="str">
        <v>FY 2012-13</v>
      </c>
      <c r="G28" t="str">
        <v>Equity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 t="str">
        <v>Name 1</v>
      </c>
    </row>
    <row r="29" spans="1:14" x14ac:dyDescent="0.2">
      <c r="A29" t="str">
        <v>AAAAA1111A</v>
      </c>
      <c r="B29" t="str">
        <v>ICICI Pru Equity &amp; Debt Fund - Direct Growth</v>
      </c>
      <c r="C29" s="37">
        <v>41736</v>
      </c>
      <c r="D29">
        <v>-2086.1610000000001</v>
      </c>
      <c r="E29">
        <v>-42811.51</v>
      </c>
      <c r="F29" t="str">
        <v>FY 2014-15</v>
      </c>
      <c r="G29" t="str">
        <v>Equity</v>
      </c>
      <c r="H29">
        <v>2086.1610000000001</v>
      </c>
      <c r="I29">
        <v>0</v>
      </c>
      <c r="J29">
        <v>19.153291135360401</v>
      </c>
      <c r="K29">
        <v>20.521671146186705</v>
      </c>
      <c r="L29">
        <v>0</v>
      </c>
      <c r="M29">
        <v>2854.6610117654122</v>
      </c>
      <c r="N29" t="str">
        <v>Name 1</v>
      </c>
    </row>
    <row r="30" spans="1:14" x14ac:dyDescent="0.2">
      <c r="A30" t="str">
        <v>AAAAA1111A</v>
      </c>
      <c r="B30" t="str">
        <v>ICICI Pru Equity &amp; Debt Fund - Direct Growth</v>
      </c>
      <c r="C30" s="37">
        <v>41766</v>
      </c>
      <c r="D30">
        <v>0</v>
      </c>
      <c r="E30">
        <v>4295.3100000000004</v>
      </c>
      <c r="F30" t="str">
        <v>FY 2014-15</v>
      </c>
      <c r="G30" t="str">
        <v>Equity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 t="str">
        <v>Name 1</v>
      </c>
    </row>
    <row r="31" spans="1:14" x14ac:dyDescent="0.2">
      <c r="A31" t="str">
        <v>AAAAA1111A</v>
      </c>
      <c r="B31" t="str">
        <v>ICICI Pru Equity &amp; Debt Fund - Direct Growth</v>
      </c>
      <c r="C31" s="37">
        <v>42606</v>
      </c>
      <c r="D31">
        <v>-3010.1320000000001</v>
      </c>
      <c r="E31">
        <v>-68992.28</v>
      </c>
      <c r="F31" t="str">
        <v>FY 2016-17</v>
      </c>
      <c r="G31" t="str">
        <v>Equity</v>
      </c>
      <c r="H31">
        <v>3010.1320000000001</v>
      </c>
      <c r="I31">
        <v>0</v>
      </c>
      <c r="J31">
        <v>18.772005947578744</v>
      </c>
      <c r="K31">
        <v>22.920018125450976</v>
      </c>
      <c r="L31">
        <v>0</v>
      </c>
      <c r="M31">
        <v>12486.064193002898</v>
      </c>
      <c r="N31" t="str">
        <v>Name 1</v>
      </c>
    </row>
    <row r="32" spans="1:14" x14ac:dyDescent="0.2">
      <c r="A32" t="str">
        <v>AAAAA1111A</v>
      </c>
      <c r="B32" t="str">
        <v>ICICI Pru Equity &amp; Debt Fund - Direct Growth</v>
      </c>
      <c r="C32" s="37">
        <v>42726</v>
      </c>
      <c r="D32">
        <v>0</v>
      </c>
      <c r="E32">
        <v>6444.92</v>
      </c>
      <c r="F32" t="str">
        <v>FY 2016-17</v>
      </c>
      <c r="G32" t="str">
        <v>Equity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 t="str">
        <v>Name 1</v>
      </c>
    </row>
    <row r="33" spans="1:14" x14ac:dyDescent="0.2">
      <c r="A33" t="str">
        <v>AAAAA1111A</v>
      </c>
      <c r="B33" t="str">
        <v>ICICI Pru Equity &amp; Debt Fund - Direct Growth</v>
      </c>
      <c r="C33" s="37">
        <v>42726</v>
      </c>
      <c r="D33">
        <v>-2577.9670000000001</v>
      </c>
      <c r="E33">
        <v>-61982.91</v>
      </c>
      <c r="F33" t="str">
        <v>FY 2016-17</v>
      </c>
      <c r="G33" t="str">
        <v>Equity</v>
      </c>
      <c r="H33">
        <v>2577.9670000000001</v>
      </c>
      <c r="I33">
        <v>0</v>
      </c>
      <c r="J33">
        <v>19.942499209294358</v>
      </c>
      <c r="K33">
        <v>24.043329491804975</v>
      </c>
      <c r="L33">
        <v>0</v>
      </c>
      <c r="M33">
        <v>10571.805140913049</v>
      </c>
      <c r="N33" t="str">
        <v>Name 1</v>
      </c>
    </row>
    <row r="34" spans="1:14" x14ac:dyDescent="0.2">
      <c r="A34" t="str">
        <v>AAAAA1111A</v>
      </c>
      <c r="B34" t="str">
        <v>ICICI Pru Equity &amp; Debt Fund - Direct Growth</v>
      </c>
      <c r="C34" s="37">
        <v>42786</v>
      </c>
      <c r="D34">
        <v>0</v>
      </c>
      <c r="E34">
        <v>5364.71</v>
      </c>
      <c r="F34" t="str">
        <v>FY 2016-17</v>
      </c>
      <c r="G34" t="str">
        <v>Equity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 t="str">
        <v>Name 1</v>
      </c>
    </row>
    <row r="35" spans="1:14" x14ac:dyDescent="0.2">
      <c r="A35" t="str">
        <v>AAAAA1111A</v>
      </c>
      <c r="B35" t="str">
        <v>ICICI Pru Equity &amp; Debt Fund - Direct Growth</v>
      </c>
      <c r="C35" s="37">
        <v>42846</v>
      </c>
      <c r="D35">
        <v>0</v>
      </c>
      <c r="E35">
        <v>5568.18</v>
      </c>
      <c r="F35" t="str">
        <v>FY 2017-18</v>
      </c>
      <c r="G35" t="str">
        <v>Equity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 t="str">
        <v>Name 1</v>
      </c>
    </row>
    <row r="36" spans="1:14" x14ac:dyDescent="0.2">
      <c r="A36" t="str">
        <v>AAAAA1111A</v>
      </c>
      <c r="B36" t="str">
        <v>ICICI Pru Equity &amp; Debt Fund - Direct Growth</v>
      </c>
      <c r="C36" s="37">
        <v>43056</v>
      </c>
      <c r="D36">
        <v>-2517.009</v>
      </c>
      <c r="E36">
        <v>-60861.07</v>
      </c>
      <c r="F36" t="str">
        <v>FY 2017-18</v>
      </c>
      <c r="G36" t="str">
        <v>Equity</v>
      </c>
      <c r="H36">
        <v>2517.009</v>
      </c>
      <c r="I36">
        <v>0</v>
      </c>
      <c r="J36">
        <v>20.742951214103918</v>
      </c>
      <c r="K36">
        <v>24.179917513207144</v>
      </c>
      <c r="L36">
        <v>0</v>
      </c>
      <c r="M36">
        <v>8650.8751075395103</v>
      </c>
      <c r="N36" t="str">
        <v>Name 1</v>
      </c>
    </row>
    <row r="37" spans="1:14" x14ac:dyDescent="0.2">
      <c r="A37" t="str">
        <v>AAAAA1111A</v>
      </c>
      <c r="B37" t="str">
        <v>ICICI Pru Equity &amp; Debt Fund - Direct Growth</v>
      </c>
      <c r="C37" s="37">
        <v>43176</v>
      </c>
      <c r="D37">
        <v>0</v>
      </c>
      <c r="E37">
        <v>5434.06</v>
      </c>
      <c r="F37" t="str">
        <v>FY 2017-18</v>
      </c>
      <c r="G37" t="str">
        <v>Equity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 t="str">
        <v>Name 1</v>
      </c>
    </row>
    <row r="38" spans="1:14" x14ac:dyDescent="0.2">
      <c r="A38" t="str">
        <v>AAAAA1111A</v>
      </c>
      <c r="B38" t="str">
        <v>ICICI Pru Equity &amp; Debt Fund - Direct Growth</v>
      </c>
      <c r="C38" s="37">
        <v>43986</v>
      </c>
      <c r="D38">
        <v>0</v>
      </c>
      <c r="E38">
        <v>7874.35</v>
      </c>
      <c r="F38" t="str">
        <v>FY 2020-21</v>
      </c>
      <c r="G38" t="str">
        <v>Equity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 t="str">
        <v>Name 1</v>
      </c>
    </row>
    <row r="39" spans="1:14" x14ac:dyDescent="0.2">
      <c r="A39" t="str">
        <v>AAAAA1111A</v>
      </c>
      <c r="B39" t="str">
        <v>ICICI Pru Equity &amp; Debt Fund - Direct Growth</v>
      </c>
      <c r="C39" s="37">
        <v>44166</v>
      </c>
      <c r="D39">
        <v>-3341.3020000000001</v>
      </c>
      <c r="E39">
        <v>-105436.33</v>
      </c>
      <c r="F39" t="str">
        <v>FY 2020-21</v>
      </c>
      <c r="G39" t="str">
        <v>Equity</v>
      </c>
      <c r="H39">
        <v>3341.3020000000001</v>
      </c>
      <c r="I39">
        <v>0</v>
      </c>
      <c r="J39">
        <v>20.60670731827032</v>
      </c>
      <c r="K39">
        <v>31.555462511320435</v>
      </c>
      <c r="L39">
        <v>0</v>
      </c>
      <c r="M39">
        <v>36583.097624048736</v>
      </c>
      <c r="N39" t="str">
        <v>Name 1</v>
      </c>
    </row>
    <row r="40" spans="1:14" x14ac:dyDescent="0.2">
      <c r="A40" t="str">
        <v>AAAAA1111A</v>
      </c>
      <c r="B40" t="str">
        <v>ICICI Pru Equity &amp; Debt Fund - Direct Growth</v>
      </c>
      <c r="C40" s="37">
        <v>44466</v>
      </c>
      <c r="D40">
        <v>0</v>
      </c>
      <c r="E40">
        <v>7487.91</v>
      </c>
      <c r="F40" t="str">
        <v>FY 2021-22</v>
      </c>
      <c r="G40" t="str">
        <v>Equity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 t="str">
        <v>Name 1</v>
      </c>
    </row>
    <row r="41" spans="1:14" x14ac:dyDescent="0.2">
      <c r="A41" t="str">
        <v>AAAAA1111A</v>
      </c>
      <c r="B41" t="str">
        <v>ICICI Pru Equity &amp; Debt Fund - Direct Growth</v>
      </c>
      <c r="C41" s="37">
        <v>44916</v>
      </c>
      <c r="D41">
        <v>0</v>
      </c>
      <c r="E41">
        <v>8585.59</v>
      </c>
      <c r="F41" t="str">
        <v>FY 2022-23</v>
      </c>
      <c r="G41" t="str">
        <v>Equity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 t="str">
        <v>Name 1</v>
      </c>
    </row>
    <row r="42" spans="1:14" x14ac:dyDescent="0.2">
      <c r="A42" t="str">
        <v>AAAAA1111A</v>
      </c>
      <c r="B42" t="str">
        <v>ICICI Pru Equity &amp; Debt Fund - Direct Growth</v>
      </c>
      <c r="C42" s="37">
        <v>45126</v>
      </c>
      <c r="D42">
        <v>-3612.5819999999999</v>
      </c>
      <c r="E42">
        <v>-149057.19</v>
      </c>
      <c r="F42" t="str">
        <v>FY 2023-24</v>
      </c>
      <c r="G42" t="str">
        <v>Equity</v>
      </c>
      <c r="H42">
        <v>3612.5819999999999</v>
      </c>
      <c r="I42">
        <v>0</v>
      </c>
      <c r="J42">
        <v>22.491881588780085</v>
      </c>
      <c r="K42">
        <v>41.260569310260642</v>
      </c>
      <c r="L42">
        <v>0</v>
      </c>
      <c r="M42">
        <v>67803.423426241672</v>
      </c>
      <c r="N42" t="str">
        <v>Name 1</v>
      </c>
    </row>
    <row r="43" spans="1:14" x14ac:dyDescent="0.2">
      <c r="A43" t="str">
        <v>AAAAA1111A</v>
      </c>
      <c r="B43" t="str">
        <v>ICICI Pru Equity &amp; Debt Fund - Direct Growth</v>
      </c>
      <c r="C43" s="37">
        <v>45216</v>
      </c>
      <c r="D43">
        <v>0</v>
      </c>
      <c r="E43">
        <v>7406.54</v>
      </c>
      <c r="F43" t="str">
        <v>FY 2023-24</v>
      </c>
      <c r="G43" t="str">
        <v>Equity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 t="str">
        <v>Name 1</v>
      </c>
    </row>
    <row r="44" spans="1:14" x14ac:dyDescent="0.2">
      <c r="A44" t="str">
        <v>AAAAA1111A</v>
      </c>
      <c r="B44" t="str">
        <v>ICICI Pru Equity &amp; Debt Fund - Direct Growth</v>
      </c>
      <c r="C44" s="37">
        <v>45606</v>
      </c>
      <c r="D44">
        <v>0</v>
      </c>
      <c r="E44">
        <v>8203.9</v>
      </c>
      <c r="F44" t="str">
        <v>FY 2024-25</v>
      </c>
      <c r="G44" t="str">
        <v>Equity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 t="str">
        <v>Name 1</v>
      </c>
    </row>
    <row r="45" spans="1:14" x14ac:dyDescent="0.2">
      <c r="A45" t="str">
        <v>AAAAA1111A</v>
      </c>
      <c r="B45" t="str">
        <v>ICICI Pru Equity &amp; Debt Fund - Direct Growth</v>
      </c>
      <c r="C45" s="37">
        <v>46026</v>
      </c>
      <c r="D45">
        <v>-3585.6990000000001</v>
      </c>
      <c r="E45">
        <v>-173432.52</v>
      </c>
      <c r="F45" t="str">
        <v>FY 2025-26</v>
      </c>
      <c r="G45" t="str">
        <v>Equity</v>
      </c>
      <c r="H45">
        <v>3585.6990000000001</v>
      </c>
      <c r="I45">
        <v>0</v>
      </c>
      <c r="J45">
        <v>24.15533971976075</v>
      </c>
      <c r="K45">
        <v>48.367841249363089</v>
      </c>
      <c r="L45">
        <v>0</v>
      </c>
      <c r="M45">
        <v>86818.74252219357</v>
      </c>
      <c r="N45" t="str">
        <v>Name 1</v>
      </c>
    </row>
    <row r="46" spans="1:14" x14ac:dyDescent="0.2">
      <c r="A46" t="str">
        <v>AAAAA1111A</v>
      </c>
      <c r="B46" t="str">
        <v>Axis ELSS Tax Saver Fund - Direct Growth</v>
      </c>
      <c r="C46" s="37">
        <v>40446</v>
      </c>
      <c r="D46">
        <v>-239.24799999999999</v>
      </c>
      <c r="E46">
        <v>-5053.84</v>
      </c>
      <c r="F46" t="str">
        <v>FY 2010-11</v>
      </c>
      <c r="G46" t="str">
        <v>Equity</v>
      </c>
      <c r="H46">
        <v>0</v>
      </c>
      <c r="I46">
        <v>239.24799999999999</v>
      </c>
      <c r="J46">
        <v>20.425003472250591</v>
      </c>
      <c r="K46">
        <v>21.123854744867252</v>
      </c>
      <c r="L46">
        <v>167.19876927099094</v>
      </c>
      <c r="M46">
        <v>0</v>
      </c>
      <c r="N46" t="str">
        <v>Name 1</v>
      </c>
    </row>
    <row r="47" spans="1:14" x14ac:dyDescent="0.2">
      <c r="A47" t="str">
        <v>AAAAA1111A</v>
      </c>
      <c r="B47" t="str">
        <v>Axis ELSS Tax Saver Fund - Direct Growth</v>
      </c>
      <c r="C47" s="37">
        <v>40866</v>
      </c>
      <c r="D47">
        <v>0</v>
      </c>
      <c r="E47">
        <v>2111.94</v>
      </c>
      <c r="F47" t="str">
        <v>FY 2011-12</v>
      </c>
      <c r="G47" t="str">
        <v>Equity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 t="str">
        <v>Name 1</v>
      </c>
    </row>
    <row r="48" spans="1:14" x14ac:dyDescent="0.2">
      <c r="A48" t="str">
        <v>AAAAA1111A</v>
      </c>
      <c r="B48" t="str">
        <v>Axis ELSS Tax Saver Fund - Direct Growth</v>
      </c>
      <c r="C48" s="37">
        <v>41076</v>
      </c>
      <c r="D48">
        <v>-1153.4490000000001</v>
      </c>
      <c r="E48">
        <v>-25594.45</v>
      </c>
      <c r="F48" t="str">
        <v>FY 2012-13</v>
      </c>
      <c r="G48" t="str">
        <v>Equity</v>
      </c>
      <c r="H48">
        <v>1153.4490000000001</v>
      </c>
      <c r="I48">
        <v>0</v>
      </c>
      <c r="J48">
        <v>21.098568009585581</v>
      </c>
      <c r="K48">
        <v>22.189494290601491</v>
      </c>
      <c r="L48">
        <v>0</v>
      </c>
      <c r="M48">
        <v>1258.3278279115211</v>
      </c>
      <c r="N48" t="str">
        <v>Name 1</v>
      </c>
    </row>
    <row r="49" spans="1:14" x14ac:dyDescent="0.2">
      <c r="A49" t="str">
        <v>AAAAA1111A</v>
      </c>
      <c r="B49" t="str">
        <v>Axis ELSS Tax Saver Fund - Direct Growth</v>
      </c>
      <c r="C49" s="37">
        <v>41376</v>
      </c>
      <c r="D49">
        <v>0</v>
      </c>
      <c r="E49">
        <v>3414.99</v>
      </c>
      <c r="F49" t="str">
        <v>FY 2013-14</v>
      </c>
      <c r="G49" t="str">
        <v>Equity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 t="str">
        <v>Name 1</v>
      </c>
    </row>
    <row r="50" spans="1:14" x14ac:dyDescent="0.2">
      <c r="A50" t="str">
        <v>AAAAA1111A</v>
      </c>
      <c r="B50" t="str">
        <v>Axis ELSS Tax Saver Fund - Direct Growth</v>
      </c>
      <c r="C50" s="37">
        <v>41526</v>
      </c>
      <c r="D50">
        <v>0</v>
      </c>
      <c r="E50">
        <v>3952.4</v>
      </c>
      <c r="F50" t="str">
        <v>FY 2013-14</v>
      </c>
      <c r="G50" t="str">
        <v>Equity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 t="str">
        <v>Name 1</v>
      </c>
    </row>
    <row r="51" spans="1:14" x14ac:dyDescent="0.2">
      <c r="A51" t="str">
        <v>AAAAA1111A</v>
      </c>
      <c r="B51" t="str">
        <v>Axis ELSS Tax Saver Fund - Direct Growth</v>
      </c>
      <c r="C51" s="37">
        <v>41646</v>
      </c>
      <c r="D51">
        <v>0</v>
      </c>
      <c r="E51">
        <v>4381.0200000000004</v>
      </c>
      <c r="F51" t="str">
        <v>FY 2013-14</v>
      </c>
      <c r="G51" t="str">
        <v>Equity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 t="str">
        <v>Name 1</v>
      </c>
    </row>
    <row r="52" spans="1:14" x14ac:dyDescent="0.2">
      <c r="A52" t="str">
        <v>AAAAA1111A</v>
      </c>
      <c r="B52" t="str">
        <v>Axis ELSS Tax Saver Fund - Direct Growth</v>
      </c>
      <c r="C52" s="37">
        <v>41856</v>
      </c>
      <c r="D52">
        <v>-2037.1189999999999</v>
      </c>
      <c r="E52">
        <v>-51354.42</v>
      </c>
      <c r="F52" t="str">
        <v>FY 2014-15</v>
      </c>
      <c r="G52" t="str">
        <v>Equity</v>
      </c>
      <c r="H52">
        <v>2037.1189999999999</v>
      </c>
      <c r="I52">
        <v>0</v>
      </c>
      <c r="J52">
        <v>21.330281377231159</v>
      </c>
      <c r="K52">
        <v>25.209337304300828</v>
      </c>
      <c r="L52">
        <v>0</v>
      </c>
      <c r="M52">
        <v>7902.0985310962351</v>
      </c>
      <c r="N52" t="str">
        <v>Name 1</v>
      </c>
    </row>
    <row r="53" spans="1:14" x14ac:dyDescent="0.2">
      <c r="A53" t="str">
        <v>AAAAA1111A</v>
      </c>
      <c r="B53" t="str">
        <v>Axis ELSS Tax Saver Fund - Direct Growth</v>
      </c>
      <c r="C53" s="37">
        <v>41946</v>
      </c>
      <c r="D53">
        <v>0</v>
      </c>
      <c r="E53">
        <v>4369.54</v>
      </c>
      <c r="F53" t="str">
        <v>FY 2014-15</v>
      </c>
      <c r="G53" t="str">
        <v>Equity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 t="str">
        <v>Name 1</v>
      </c>
    </row>
    <row r="54" spans="1:14" x14ac:dyDescent="0.2">
      <c r="A54" t="str">
        <v>AAAAA1111A</v>
      </c>
      <c r="B54" t="str">
        <v>Axis ELSS Tax Saver Fund - Direct Growth</v>
      </c>
      <c r="C54" s="37">
        <v>42126</v>
      </c>
      <c r="D54">
        <v>0</v>
      </c>
      <c r="E54">
        <v>4936.9399999999996</v>
      </c>
      <c r="F54" t="str">
        <v>FY 2015-16</v>
      </c>
      <c r="G54" t="str">
        <v>Equity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 t="str">
        <v>Name 1</v>
      </c>
    </row>
    <row r="55" spans="1:14" x14ac:dyDescent="0.2">
      <c r="A55" t="str">
        <v>AAAAA1111A</v>
      </c>
      <c r="B55" t="str">
        <v>Axis ELSS Tax Saver Fund - Direct Growth</v>
      </c>
      <c r="C55" s="37">
        <v>42276</v>
      </c>
      <c r="D55">
        <v>0</v>
      </c>
      <c r="E55">
        <v>5383.27</v>
      </c>
      <c r="F55" t="str">
        <v>FY 2015-16</v>
      </c>
      <c r="G55" t="str">
        <v>Equity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 t="str">
        <v>Name 1</v>
      </c>
    </row>
    <row r="56" spans="1:14" x14ac:dyDescent="0.2">
      <c r="A56" t="str">
        <v>AAAAA1111A</v>
      </c>
      <c r="B56" t="str">
        <v>Axis ELSS Tax Saver Fund - Direct Growth</v>
      </c>
      <c r="C56" s="37">
        <v>42636</v>
      </c>
      <c r="D56">
        <v>0</v>
      </c>
      <c r="E56">
        <v>6428.29</v>
      </c>
      <c r="F56" t="str">
        <v>FY 2016-17</v>
      </c>
      <c r="G56" t="str">
        <v>Equity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 t="str">
        <v>Name 1</v>
      </c>
    </row>
    <row r="57" spans="1:14" x14ac:dyDescent="0.2">
      <c r="A57" t="str">
        <v>AAAAA1111A</v>
      </c>
      <c r="B57" t="str">
        <v>Axis ELSS Tax Saver Fund - Direct Growth</v>
      </c>
      <c r="C57" s="37">
        <v>43116</v>
      </c>
      <c r="D57">
        <v>0</v>
      </c>
      <c r="E57">
        <v>7714.06</v>
      </c>
      <c r="F57" t="str">
        <v>FY 2017-18</v>
      </c>
      <c r="G57" t="str">
        <v>Equity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 t="str">
        <v>Name 1</v>
      </c>
    </row>
    <row r="58" spans="1:14" x14ac:dyDescent="0.2">
      <c r="A58" t="str">
        <v>AAAAA1111A</v>
      </c>
      <c r="B58" t="str">
        <v>Axis ELSS Tax Saver Fund - Direct Growth</v>
      </c>
      <c r="C58" s="37">
        <v>43866</v>
      </c>
      <c r="D58">
        <v>-3785.0410000000002</v>
      </c>
      <c r="E58">
        <v>-151398.04999999999</v>
      </c>
      <c r="F58" t="str">
        <v>FY 2019-20</v>
      </c>
      <c r="G58" t="str">
        <v>Equity</v>
      </c>
      <c r="H58">
        <v>3785.0410000000002</v>
      </c>
      <c r="I58">
        <v>0</v>
      </c>
      <c r="J58">
        <v>22.344279279829777</v>
      </c>
      <c r="K58">
        <v>39.999051529428606</v>
      </c>
      <c r="L58">
        <v>0</v>
      </c>
      <c r="M58">
        <v>66824.036810393794</v>
      </c>
      <c r="N58" t="str">
        <v>Name 1</v>
      </c>
    </row>
    <row r="59" spans="1:14" x14ac:dyDescent="0.2">
      <c r="A59" t="str">
        <v>AAAAA1111A</v>
      </c>
      <c r="B59" t="str">
        <v>Axis ELSS Tax Saver Fund - Direct Growth</v>
      </c>
      <c r="C59" s="37">
        <v>44016</v>
      </c>
      <c r="D59">
        <v>0</v>
      </c>
      <c r="E59">
        <v>7883.62</v>
      </c>
      <c r="F59" t="str">
        <v>FY 2020-21</v>
      </c>
      <c r="G59" t="str">
        <v>Equity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 t="str">
        <v>Name 1</v>
      </c>
    </row>
    <row r="60" spans="1:14" x14ac:dyDescent="0.2">
      <c r="A60" t="str">
        <v>AAAAA1111A</v>
      </c>
      <c r="B60" t="str">
        <v>Axis ELSS Tax Saver Fund - Direct Growth</v>
      </c>
      <c r="C60" s="37">
        <v>44586</v>
      </c>
      <c r="D60">
        <v>-17755.998</v>
      </c>
      <c r="E60">
        <v>-812985.77</v>
      </c>
      <c r="F60" t="str">
        <v>FY 2021-22</v>
      </c>
      <c r="G60" t="str">
        <v>Equity</v>
      </c>
      <c r="H60">
        <v>17755.998</v>
      </c>
      <c r="I60">
        <v>0</v>
      </c>
      <c r="J60">
        <v>31.130373868704268</v>
      </c>
      <c r="K60">
        <v>45.786543228941568</v>
      </c>
      <c r="L60">
        <v>0</v>
      </c>
      <c r="M60">
        <v>260234.91384803478</v>
      </c>
      <c r="N60" t="str">
        <v>Name 1</v>
      </c>
    </row>
    <row r="61" spans="1:14" x14ac:dyDescent="0.2">
      <c r="A61" t="str">
        <v>BBBBB2222B</v>
      </c>
      <c r="B61" t="str">
        <v>HDFC Flexi Cap Fund - Direct Plan - Growth</v>
      </c>
      <c r="C61" s="37">
        <v>40417</v>
      </c>
      <c r="D61">
        <v>0</v>
      </c>
      <c r="E61">
        <v>601.35</v>
      </c>
      <c r="F61" t="str">
        <v>FY 2010-11</v>
      </c>
      <c r="G61" t="str">
        <v>Equity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 t="str">
        <v>Name 2</v>
      </c>
    </row>
    <row r="62" spans="1:14" x14ac:dyDescent="0.2">
      <c r="A62" t="str">
        <v>BBBBB2222B</v>
      </c>
      <c r="B62" t="str">
        <v>HDFC Flexi Cap Fund - Direct Plan - Growth</v>
      </c>
      <c r="C62" s="37">
        <v>41737</v>
      </c>
      <c r="D62">
        <v>-2161.9299999999998</v>
      </c>
      <c r="E62">
        <v>-55202.93</v>
      </c>
      <c r="F62" t="str">
        <v>FY 2014-15</v>
      </c>
      <c r="G62" t="str">
        <v>Equity</v>
      </c>
      <c r="H62">
        <v>2161.9299999999998</v>
      </c>
      <c r="I62">
        <v>0</v>
      </c>
      <c r="J62">
        <v>20.901008617320706</v>
      </c>
      <c r="K62">
        <v>25.534096848649124</v>
      </c>
      <c r="L62">
        <v>0</v>
      </c>
      <c r="M62">
        <v>10016.412439955848</v>
      </c>
      <c r="N62" t="str">
        <v>Name 2</v>
      </c>
    </row>
    <row r="63" spans="1:14" x14ac:dyDescent="0.2">
      <c r="A63" t="str">
        <v>BBBBB2222B</v>
      </c>
      <c r="B63" t="str">
        <v>HDFC Flexi Cap Fund - Direct Plan - Growth</v>
      </c>
      <c r="C63" s="37">
        <v>42217</v>
      </c>
      <c r="D63">
        <v>0</v>
      </c>
      <c r="E63">
        <v>5796.78</v>
      </c>
      <c r="F63" t="str">
        <v>FY 2015-16</v>
      </c>
      <c r="G63" t="str">
        <v>Equity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 t="str">
        <v>Name 2</v>
      </c>
    </row>
    <row r="64" spans="1:14" x14ac:dyDescent="0.2">
      <c r="A64" t="str">
        <v>BBBBB2222B</v>
      </c>
      <c r="B64" t="str">
        <v>HDFC Flexi Cap Fund - Direct Plan - Growth</v>
      </c>
      <c r="C64" s="37">
        <v>42217</v>
      </c>
      <c r="D64">
        <v>-2318.7130000000002</v>
      </c>
      <c r="E64">
        <v>-65288.19</v>
      </c>
      <c r="F64" t="str">
        <v>FY 2015-16</v>
      </c>
      <c r="G64" t="str">
        <v>Equity</v>
      </c>
      <c r="H64">
        <v>2318.7130000000002</v>
      </c>
      <c r="I64">
        <v>0</v>
      </c>
      <c r="J64">
        <v>20.789527017561756</v>
      </c>
      <c r="K64">
        <v>28.157081104906037</v>
      </c>
      <c r="L64">
        <v>0</v>
      </c>
      <c r="M64">
        <v>17083.24344052832</v>
      </c>
      <c r="N64" t="str">
        <v>Name 2</v>
      </c>
    </row>
    <row r="65" spans="1:14" x14ac:dyDescent="0.2">
      <c r="A65" t="str">
        <v>BBBBB2222B</v>
      </c>
      <c r="B65" t="str">
        <v>HDFC Flexi Cap Fund - Direct Plan - Growth</v>
      </c>
      <c r="C65" s="37">
        <v>43027</v>
      </c>
      <c r="D65">
        <v>-2791.1480000000001</v>
      </c>
      <c r="E65">
        <v>-85273.37</v>
      </c>
      <c r="F65" t="str">
        <v>FY 2017-18</v>
      </c>
      <c r="G65" t="str">
        <v>Equity</v>
      </c>
      <c r="H65">
        <v>2791.1480000000001</v>
      </c>
      <c r="I65">
        <v>0</v>
      </c>
      <c r="J65">
        <v>22.769317248279197</v>
      </c>
      <c r="K65">
        <v>30.551360945388776</v>
      </c>
      <c r="L65">
        <v>0</v>
      </c>
      <c r="M65">
        <v>21720.835701100008</v>
      </c>
      <c r="N65" t="str">
        <v>Name 2</v>
      </c>
    </row>
    <row r="66" spans="1:14" x14ac:dyDescent="0.2">
      <c r="A66" t="str">
        <v>BBBBB2222B</v>
      </c>
      <c r="B66" t="str">
        <v>HDFC Flexi Cap Fund - Direct Plan - Growth</v>
      </c>
      <c r="C66" s="37">
        <v>43537</v>
      </c>
      <c r="D66">
        <v>0</v>
      </c>
      <c r="E66">
        <v>6857.51</v>
      </c>
      <c r="F66" t="str">
        <v>FY 2018-19</v>
      </c>
      <c r="G66" t="str">
        <v>Equity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 t="str">
        <v>Name 2</v>
      </c>
    </row>
    <row r="67" spans="1:14" x14ac:dyDescent="0.2">
      <c r="A67" t="str">
        <v>BBBBB2222B</v>
      </c>
      <c r="B67" t="str">
        <v>HDFC Flexi Cap Fund - Direct Plan - Growth</v>
      </c>
      <c r="C67" s="37">
        <v>43657</v>
      </c>
      <c r="D67">
        <v>-2856.7420000000002</v>
      </c>
      <c r="E67">
        <v>-101723.01</v>
      </c>
      <c r="F67" t="str">
        <v>FY 2019-20</v>
      </c>
      <c r="G67" t="str">
        <v>Equity</v>
      </c>
      <c r="H67">
        <v>2856.7420000000002</v>
      </c>
      <c r="I67">
        <v>0</v>
      </c>
      <c r="J67">
        <v>24.697914868033561</v>
      </c>
      <c r="K67">
        <v>35.608049309318091</v>
      </c>
      <c r="L67">
        <v>0</v>
      </c>
      <c r="M67">
        <v>31167.439284064054</v>
      </c>
      <c r="N67" t="str">
        <v>Name 2</v>
      </c>
    </row>
    <row r="68" spans="1:14" x14ac:dyDescent="0.2">
      <c r="A68" t="str">
        <v>BBBBB2222B</v>
      </c>
      <c r="B68" t="str">
        <v>HDFC Flexi Cap Fund - Direct Plan - Growth</v>
      </c>
      <c r="C68" s="37">
        <v>44767</v>
      </c>
      <c r="D68">
        <v>0</v>
      </c>
      <c r="E68">
        <v>8211.5400000000009</v>
      </c>
      <c r="F68" t="str">
        <v>FY 2022-23</v>
      </c>
      <c r="G68" t="str">
        <v>Equity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 t="str">
        <v>Name 2</v>
      </c>
    </row>
    <row r="69" spans="1:14" x14ac:dyDescent="0.2">
      <c r="A69" t="str">
        <v>BBBBB2222B</v>
      </c>
      <c r="B69" t="str">
        <v>HDFC Flexi Cap Fund - Direct Plan - Growth</v>
      </c>
      <c r="C69" s="37">
        <v>45277</v>
      </c>
      <c r="D69">
        <v>0</v>
      </c>
      <c r="E69">
        <v>9261.86</v>
      </c>
      <c r="F69" t="str">
        <v>FY 2023-24</v>
      </c>
      <c r="G69" t="str">
        <v>Equity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 t="str">
        <v>Name 2</v>
      </c>
    </row>
    <row r="70" spans="1:14" x14ac:dyDescent="0.2">
      <c r="A70" t="str">
        <v>BBBBB2222B</v>
      </c>
      <c r="B70" t="str">
        <v>Parag Parikh Flexi Cap Fund - Direct Growth</v>
      </c>
      <c r="C70" s="37">
        <v>40291</v>
      </c>
      <c r="D70">
        <v>-49.887</v>
      </c>
      <c r="E70">
        <v>-1000</v>
      </c>
      <c r="F70" t="str">
        <v>FY 2010-11</v>
      </c>
      <c r="G70" t="str">
        <v>Equity</v>
      </c>
      <c r="H70">
        <v>0</v>
      </c>
      <c r="I70">
        <v>49.887</v>
      </c>
      <c r="J70">
        <v>20.045141659016103</v>
      </c>
      <c r="K70">
        <v>20.045302383386453</v>
      </c>
      <c r="L70">
        <v>8.0180566636325317E-3</v>
      </c>
      <c r="M70">
        <v>0</v>
      </c>
      <c r="N70" t="str">
        <v>Name 2</v>
      </c>
    </row>
    <row r="71" spans="1:14" x14ac:dyDescent="0.2">
      <c r="A71" t="str">
        <v>BBBBB2222B</v>
      </c>
      <c r="B71" t="str">
        <v>Parag Parikh Flexi Cap Fund - Direct Growth</v>
      </c>
      <c r="C71" s="37">
        <v>40321</v>
      </c>
      <c r="D71">
        <v>0</v>
      </c>
      <c r="E71">
        <v>221.12</v>
      </c>
      <c r="F71" t="str">
        <v>FY 2010-11</v>
      </c>
      <c r="G71" t="str">
        <v>Equity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 t="str">
        <v>Name 2</v>
      </c>
    </row>
    <row r="72" spans="1:14" x14ac:dyDescent="0.2">
      <c r="A72" t="str">
        <v>BBBBB2222B</v>
      </c>
      <c r="B72" t="str">
        <v>Parag Parikh Flexi Cap Fund - Direct Growth</v>
      </c>
      <c r="C72" s="37">
        <v>40591</v>
      </c>
      <c r="D72">
        <v>-512.25199999999995</v>
      </c>
      <c r="E72">
        <v>-10780.26</v>
      </c>
      <c r="F72" t="str">
        <v>FY 2010-11</v>
      </c>
      <c r="G72" t="str">
        <v>Equity</v>
      </c>
      <c r="H72">
        <v>0</v>
      </c>
      <c r="I72">
        <v>512.25199999999995</v>
      </c>
      <c r="J72">
        <v>20.39064959817971</v>
      </c>
      <c r="K72">
        <v>21.04483730663814</v>
      </c>
      <c r="L72">
        <v>335.10896203324768</v>
      </c>
      <c r="M72">
        <v>0</v>
      </c>
      <c r="N72" t="str">
        <v>Name 2</v>
      </c>
    </row>
    <row r="73" spans="1:14" x14ac:dyDescent="0.2">
      <c r="A73" t="str">
        <v>BBBBB2222B</v>
      </c>
      <c r="B73" t="str">
        <v>Parag Parikh Flexi Cap Fund - Direct Growth</v>
      </c>
      <c r="C73" s="37">
        <v>40741</v>
      </c>
      <c r="D73">
        <v>-640.81799999999998</v>
      </c>
      <c r="E73">
        <v>-13944.48</v>
      </c>
      <c r="F73" t="str">
        <v>FY 2011-12</v>
      </c>
      <c r="G73" t="str">
        <v>Equity</v>
      </c>
      <c r="H73">
        <v>640.81799999999998</v>
      </c>
      <c r="I73">
        <v>0</v>
      </c>
      <c r="J73">
        <v>21.040876853377686</v>
      </c>
      <c r="K73">
        <v>21.760437440895856</v>
      </c>
      <c r="L73">
        <v>0</v>
      </c>
      <c r="M73">
        <v>461.10737657221898</v>
      </c>
      <c r="N73" t="str">
        <v>Name 2</v>
      </c>
    </row>
    <row r="74" spans="1:14" x14ac:dyDescent="0.2">
      <c r="A74" t="str">
        <v>BBBBB2222B</v>
      </c>
      <c r="B74" t="str">
        <v>Parag Parikh Flexi Cap Fund - Direct Growth</v>
      </c>
      <c r="C74" s="37">
        <v>41551</v>
      </c>
      <c r="D74">
        <v>-1699.732</v>
      </c>
      <c r="E74">
        <v>-42533.5</v>
      </c>
      <c r="F74" t="str">
        <v>FY 2013-14</v>
      </c>
      <c r="G74" t="str">
        <v>Equity</v>
      </c>
      <c r="H74">
        <v>1699.732</v>
      </c>
      <c r="I74">
        <v>0</v>
      </c>
      <c r="J74">
        <v>21.337025325425671</v>
      </c>
      <c r="K74">
        <v>25.023650787300586</v>
      </c>
      <c r="L74">
        <v>0</v>
      </c>
      <c r="M74">
        <v>6266.2752695635718</v>
      </c>
      <c r="N74" t="str">
        <v>Name 2</v>
      </c>
    </row>
    <row r="75" spans="1:14" x14ac:dyDescent="0.2">
      <c r="A75" t="str">
        <v>BBBBB2222B</v>
      </c>
      <c r="B75" t="str">
        <v>Parag Parikh Flexi Cap Fund - Direct Growth</v>
      </c>
      <c r="C75" s="37">
        <v>41701</v>
      </c>
      <c r="D75">
        <v>-1557.96</v>
      </c>
      <c r="E75">
        <v>-39863.69</v>
      </c>
      <c r="F75" t="str">
        <v>FY 2013-14</v>
      </c>
      <c r="G75" t="str">
        <v>Equity</v>
      </c>
      <c r="H75">
        <v>1557.96</v>
      </c>
      <c r="I75">
        <v>0</v>
      </c>
      <c r="J75">
        <v>21.66610315964364</v>
      </c>
      <c r="K75">
        <v>25.587107499550694</v>
      </c>
      <c r="L75">
        <v>0</v>
      </c>
      <c r="M75">
        <v>6108.7679214015934</v>
      </c>
      <c r="N75" t="str">
        <v>Name 2</v>
      </c>
    </row>
    <row r="76" spans="1:14" x14ac:dyDescent="0.2">
      <c r="A76" t="str">
        <v>BBBBB2222B</v>
      </c>
      <c r="B76" t="str">
        <v>Parag Parikh Flexi Cap Fund - Direct Growth</v>
      </c>
      <c r="C76" s="37">
        <v>41731</v>
      </c>
      <c r="D76">
        <v>0</v>
      </c>
      <c r="E76">
        <v>3214.34</v>
      </c>
      <c r="F76" t="str">
        <v>FY 2014-15</v>
      </c>
      <c r="G76" t="str">
        <v>Equity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 t="str">
        <v>Name 2</v>
      </c>
    </row>
    <row r="77" spans="1:14" x14ac:dyDescent="0.2">
      <c r="A77" t="str">
        <v>BBBBB2222B</v>
      </c>
      <c r="B77" t="str">
        <v>Parag Parikh Flexi Cap Fund - Direct Growth</v>
      </c>
      <c r="C77" s="37">
        <v>42301</v>
      </c>
      <c r="D77">
        <v>0</v>
      </c>
      <c r="E77">
        <v>4929.83</v>
      </c>
      <c r="F77" t="str">
        <v>FY 2015-16</v>
      </c>
      <c r="G77" t="str">
        <v>Equity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 t="str">
        <v>Name 2</v>
      </c>
    </row>
    <row r="78" spans="1:14" x14ac:dyDescent="0.2">
      <c r="A78" t="str">
        <v>BBBBB2222B</v>
      </c>
      <c r="B78" t="str">
        <v>Parag Parikh Flexi Cap Fund - Direct Growth</v>
      </c>
      <c r="C78" s="37">
        <v>42451</v>
      </c>
      <c r="D78">
        <v>0</v>
      </c>
      <c r="E78">
        <v>5346.27</v>
      </c>
      <c r="F78" t="str">
        <v>FY 2015-16</v>
      </c>
      <c r="G78" t="str">
        <v>Equity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 t="str">
        <v>Name 2</v>
      </c>
    </row>
    <row r="79" spans="1:14" x14ac:dyDescent="0.2">
      <c r="A79" t="str">
        <v>BBBBB2222B</v>
      </c>
      <c r="B79" t="str">
        <v>Parag Parikh Flexi Cap Fund - Direct Growth</v>
      </c>
      <c r="C79" s="37">
        <v>42571</v>
      </c>
      <c r="D79">
        <v>-2270.2249999999999</v>
      </c>
      <c r="E79">
        <v>-67990.820000000007</v>
      </c>
      <c r="F79" t="str">
        <v>FY 2016-17</v>
      </c>
      <c r="G79" t="str">
        <v>Equity</v>
      </c>
      <c r="H79">
        <v>2270.2249999999999</v>
      </c>
      <c r="I79">
        <v>0</v>
      </c>
      <c r="J79">
        <v>22.305981812720436</v>
      </c>
      <c r="K79">
        <v>29.948934576969247</v>
      </c>
      <c r="L79">
        <v>0</v>
      </c>
      <c r="M79">
        <v>17351.222439216755</v>
      </c>
      <c r="N79" t="str">
        <v>Name 2</v>
      </c>
    </row>
    <row r="80" spans="1:14" x14ac:dyDescent="0.2">
      <c r="A80" t="str">
        <v>BBBBB2222B</v>
      </c>
      <c r="B80" t="str">
        <v>Parag Parikh Flexi Cap Fund - Direct Growth</v>
      </c>
      <c r="C80" s="37">
        <v>42691</v>
      </c>
      <c r="D80">
        <v>-1948.913</v>
      </c>
      <c r="E80">
        <v>-59399.1</v>
      </c>
      <c r="F80" t="str">
        <v>FY 2016-17</v>
      </c>
      <c r="G80" t="str">
        <v>Equity</v>
      </c>
      <c r="H80">
        <v>1948.913</v>
      </c>
      <c r="I80">
        <v>0</v>
      </c>
      <c r="J80">
        <v>23.007513275807334</v>
      </c>
      <c r="K80">
        <v>30.478066491423679</v>
      </c>
      <c r="L80">
        <v>0</v>
      </c>
      <c r="M80">
        <v>14559.458279106499</v>
      </c>
      <c r="N80" t="str">
        <v>Name 2</v>
      </c>
    </row>
    <row r="81" spans="1:14" x14ac:dyDescent="0.2">
      <c r="A81" t="str">
        <v>BBBBB2222B</v>
      </c>
      <c r="B81" t="str">
        <v>Parag Parikh Flexi Cap Fund - Direct Growth</v>
      </c>
      <c r="C81" s="37">
        <v>42871</v>
      </c>
      <c r="D81">
        <v>-1750.345</v>
      </c>
      <c r="E81">
        <v>-57321.34</v>
      </c>
      <c r="F81" t="str">
        <v>FY 2017-18</v>
      </c>
      <c r="G81" t="str">
        <v>Equity</v>
      </c>
      <c r="H81">
        <v>1750.345</v>
      </c>
      <c r="I81">
        <v>0</v>
      </c>
      <c r="J81">
        <v>24.479937927495847</v>
      </c>
      <c r="K81">
        <v>32.74859527693112</v>
      </c>
      <c r="L81">
        <v>0</v>
      </c>
      <c r="M81">
        <v>14473.003048297283</v>
      </c>
      <c r="N81" t="str">
        <v>Name 2</v>
      </c>
    </row>
    <row r="82" spans="1:14" x14ac:dyDescent="0.2">
      <c r="A82" t="str">
        <v>BBBBB2222B</v>
      </c>
      <c r="B82" t="str">
        <v>Parag Parikh Flexi Cap Fund - Direct Growth</v>
      </c>
      <c r="C82" s="37">
        <v>43471</v>
      </c>
      <c r="D82">
        <v>0</v>
      </c>
      <c r="E82">
        <v>5011.3999999999996</v>
      </c>
      <c r="F82" t="str">
        <v>FY 2018-19</v>
      </c>
      <c r="G82" t="str">
        <v>Equity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 t="str">
        <v>Name 2</v>
      </c>
    </row>
    <row r="83" spans="1:14" x14ac:dyDescent="0.2">
      <c r="A83" t="str">
        <v>BBBBB2222B</v>
      </c>
      <c r="B83" t="str">
        <v>Parag Parikh Flexi Cap Fund - Direct Growth</v>
      </c>
      <c r="C83" s="37">
        <v>43711</v>
      </c>
      <c r="D83">
        <v>0</v>
      </c>
      <c r="E83">
        <v>5562.64</v>
      </c>
      <c r="F83" t="str">
        <v>FY 2019-20</v>
      </c>
      <c r="G83" t="str">
        <v>Equity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 t="str">
        <v>Name 2</v>
      </c>
    </row>
    <row r="84" spans="1:14" x14ac:dyDescent="0.2">
      <c r="A84" t="str">
        <v>BBBBB2222B</v>
      </c>
      <c r="B84" t="str">
        <v>Parag Parikh Flexi Cap Fund - Direct Growth</v>
      </c>
      <c r="C84" s="37">
        <v>43801</v>
      </c>
      <c r="D84">
        <v>-2303.346</v>
      </c>
      <c r="E84">
        <v>-88767.92</v>
      </c>
      <c r="F84" t="str">
        <v>FY 2019-20</v>
      </c>
      <c r="G84" t="str">
        <v>Equity</v>
      </c>
      <c r="H84">
        <v>2303.346</v>
      </c>
      <c r="I84">
        <v>0</v>
      </c>
      <c r="J84">
        <v>26.622775110314894</v>
      </c>
      <c r="K84">
        <v>38.538682421138638</v>
      </c>
      <c r="L84">
        <v>0</v>
      </c>
      <c r="M84">
        <v>27446.457440756629</v>
      </c>
      <c r="N84" t="str">
        <v>Name 2</v>
      </c>
    </row>
    <row r="85" spans="1:14" x14ac:dyDescent="0.2">
      <c r="A85" t="str">
        <v>BBBBB2222B</v>
      </c>
      <c r="B85" t="str">
        <v>SBI Liquid Fund Direct Growth</v>
      </c>
      <c r="C85" s="37">
        <v>42201</v>
      </c>
      <c r="D85">
        <v>-2213.721</v>
      </c>
      <c r="E85">
        <v>-67814.080000000002</v>
      </c>
      <c r="F85" t="str">
        <v>FY 2015-16</v>
      </c>
      <c r="G85" t="str">
        <v>Equity</v>
      </c>
      <c r="H85">
        <v>2213.721</v>
      </c>
      <c r="I85">
        <v>0</v>
      </c>
      <c r="J85">
        <v>20.598816181237961</v>
      </c>
      <c r="K85">
        <v>30.633526085717214</v>
      </c>
      <c r="L85">
        <v>0</v>
      </c>
      <c r="M85">
        <v>22214.048044453717</v>
      </c>
      <c r="N85" t="str">
        <v>Name 2</v>
      </c>
    </row>
    <row r="86" spans="1:14" x14ac:dyDescent="0.2">
      <c r="A86" t="str">
        <v>BBBBB2222B</v>
      </c>
      <c r="B86" t="str">
        <v>SBI Liquid Fund Direct Growth</v>
      </c>
      <c r="C86" s="37">
        <v>42261</v>
      </c>
      <c r="D86">
        <v>-1835.5920000000001</v>
      </c>
      <c r="E86">
        <v>-56969.62</v>
      </c>
      <c r="F86" t="str">
        <v>FY 2015-16</v>
      </c>
      <c r="G86" t="str">
        <v>Equity</v>
      </c>
      <c r="H86">
        <v>1835.5920000000001</v>
      </c>
      <c r="I86">
        <v>0</v>
      </c>
      <c r="J86">
        <v>23.582414691159304</v>
      </c>
      <c r="K86">
        <v>31.036101704518217</v>
      </c>
      <c r="L86">
        <v>0</v>
      </c>
      <c r="M86">
        <v>13681.928252225514</v>
      </c>
      <c r="N86" t="str">
        <v>Name 2</v>
      </c>
    </row>
    <row r="87" spans="1:14" x14ac:dyDescent="0.2">
      <c r="A87" t="str">
        <v>BBBBB2222B</v>
      </c>
      <c r="B87" t="str">
        <v>SBI Liquid Fund Direct Growth</v>
      </c>
      <c r="C87" s="37">
        <v>43041</v>
      </c>
      <c r="D87">
        <v>-2245.9160000000002</v>
      </c>
      <c r="E87">
        <v>-80477.45</v>
      </c>
      <c r="F87" t="str">
        <v>FY 2017-18</v>
      </c>
      <c r="G87" t="str">
        <v>Equity</v>
      </c>
      <c r="H87">
        <v>2245.9160000000002</v>
      </c>
      <c r="I87">
        <v>0</v>
      </c>
      <c r="J87">
        <v>26.590082280788835</v>
      </c>
      <c r="K87">
        <v>35.832796061829555</v>
      </c>
      <c r="L87">
        <v>0</v>
      </c>
      <c r="M87">
        <v>20758.35876425985</v>
      </c>
      <c r="N87" t="str">
        <v>Name 2</v>
      </c>
    </row>
    <row r="88" spans="1:14" x14ac:dyDescent="0.2">
      <c r="A88" t="str">
        <v>BBBBB2222B</v>
      </c>
      <c r="B88" t="str">
        <v>SBI Liquid Fund Direct Growth</v>
      </c>
      <c r="C88" s="37">
        <v>43341</v>
      </c>
      <c r="D88">
        <v>-2063.5740000000001</v>
      </c>
      <c r="E88">
        <v>-81269.320000000007</v>
      </c>
      <c r="F88" t="str">
        <v>FY 2018-19</v>
      </c>
      <c r="G88" t="str">
        <v>Equity</v>
      </c>
      <c r="H88">
        <v>2063.5740000000001</v>
      </c>
      <c r="I88">
        <v>0</v>
      </c>
      <c r="J88">
        <v>28.953449106685344</v>
      </c>
      <c r="K88">
        <v>39.382798969167091</v>
      </c>
      <c r="L88">
        <v>0</v>
      </c>
      <c r="M88">
        <v>21521.735213120908</v>
      </c>
      <c r="N88" t="str">
        <v>Name 2</v>
      </c>
    </row>
    <row r="89" spans="1:14" x14ac:dyDescent="0.2">
      <c r="A89" t="str">
        <v>BBBBB2222B</v>
      </c>
      <c r="B89" t="str">
        <v>SBI Liquid Fund Direct Growth</v>
      </c>
      <c r="C89" s="37">
        <v>43461</v>
      </c>
      <c r="D89">
        <v>-1752.41</v>
      </c>
      <c r="E89">
        <v>-70961.33</v>
      </c>
      <c r="F89" t="str">
        <v>FY 2018-19</v>
      </c>
      <c r="G89" t="str">
        <v>Equity</v>
      </c>
      <c r="H89">
        <v>1752.41</v>
      </c>
      <c r="I89">
        <v>0</v>
      </c>
      <c r="J89">
        <v>29.681914497712533</v>
      </c>
      <c r="K89">
        <v>40.493566003389617</v>
      </c>
      <c r="L89">
        <v>0</v>
      </c>
      <c r="M89">
        <v>18946.446215063577</v>
      </c>
      <c r="N89" t="str">
        <v>Name 2</v>
      </c>
    </row>
    <row r="90" spans="1:14" x14ac:dyDescent="0.2">
      <c r="A90" t="str">
        <v>BBBBB2222B</v>
      </c>
      <c r="B90" t="str">
        <v>SBI Liquid Fund Direct Growth</v>
      </c>
      <c r="C90" s="37">
        <v>44001</v>
      </c>
      <c r="D90">
        <v>-1814.106</v>
      </c>
      <c r="E90">
        <v>-81298.5</v>
      </c>
      <c r="F90" t="str">
        <v>FY 2020-21</v>
      </c>
      <c r="G90" t="str">
        <v>Equity</v>
      </c>
      <c r="H90">
        <v>1814.106</v>
      </c>
      <c r="I90">
        <v>0</v>
      </c>
      <c r="J90">
        <v>30.928211147227849</v>
      </c>
      <c r="K90">
        <v>44.814635969452723</v>
      </c>
      <c r="L90">
        <v>0</v>
      </c>
      <c r="M90">
        <v>25191.446588547078</v>
      </c>
      <c r="N90" t="str">
        <v>Name 2</v>
      </c>
    </row>
    <row r="91" spans="1:14" x14ac:dyDescent="0.2">
      <c r="A91" t="str">
        <v>BBBBB2222B</v>
      </c>
      <c r="B91" t="str">
        <v>SBI Liquid Fund Direct Growth</v>
      </c>
      <c r="C91" s="37">
        <v>45021</v>
      </c>
      <c r="D91">
        <v>-2129.556</v>
      </c>
      <c r="E91">
        <v>-124817.28</v>
      </c>
      <c r="F91" t="str">
        <v>FY 2023-24</v>
      </c>
      <c r="G91" t="str">
        <v>Equity</v>
      </c>
      <c r="H91">
        <v>2129.556</v>
      </c>
      <c r="I91">
        <v>0</v>
      </c>
      <c r="J91">
        <v>32.681434993284853</v>
      </c>
      <c r="K91">
        <v>58.611879659421959</v>
      </c>
      <c r="L91">
        <v>0</v>
      </c>
      <c r="M91">
        <v>55220.334021440271</v>
      </c>
      <c r="N91" t="str">
        <v>Name 2</v>
      </c>
    </row>
    <row r="92" spans="1:14" x14ac:dyDescent="0.2">
      <c r="A92" t="str">
        <v>BBBBB2222B</v>
      </c>
      <c r="B92" t="str">
        <v>SBI Liquid Fund Direct Growth</v>
      </c>
      <c r="C92" s="37">
        <v>45501</v>
      </c>
      <c r="D92">
        <v>-1966.046</v>
      </c>
      <c r="E92">
        <v>-131555.87</v>
      </c>
      <c r="F92" t="str">
        <v>FY 2024-25</v>
      </c>
      <c r="G92" t="str">
        <v>Equity</v>
      </c>
      <c r="H92">
        <v>1966.046</v>
      </c>
      <c r="I92">
        <v>0</v>
      </c>
      <c r="J92">
        <v>36.210639826321476</v>
      </c>
      <c r="K92">
        <v>66.913932837787101</v>
      </c>
      <c r="L92">
        <v>0</v>
      </c>
      <c r="M92">
        <v>60364.086412019948</v>
      </c>
      <c r="N92" t="str">
        <v>Name 2</v>
      </c>
    </row>
    <row r="93" spans="1:14" x14ac:dyDescent="0.2">
      <c r="A93" t="str">
        <v>BBBBB2222B</v>
      </c>
      <c r="B93" t="str">
        <v>SBI Liquid Fund Direct Growth</v>
      </c>
      <c r="C93" s="37">
        <v>46011</v>
      </c>
      <c r="D93">
        <v>-1807.508</v>
      </c>
      <c r="E93">
        <v>-134307.13</v>
      </c>
      <c r="F93" t="str">
        <v>FY 2025-26</v>
      </c>
      <c r="G93" t="str">
        <v>Equity</v>
      </c>
      <c r="H93">
        <v>1807.508</v>
      </c>
      <c r="I93">
        <v>0</v>
      </c>
      <c r="J93">
        <v>40.374666242313538</v>
      </c>
      <c r="K93">
        <v>74.305137238673353</v>
      </c>
      <c r="L93">
        <v>0</v>
      </c>
      <c r="M93">
        <v>61329.597769688342</v>
      </c>
      <c r="N93" t="str">
        <v>Name 2</v>
      </c>
    </row>
    <row r="94" spans="1:14" x14ac:dyDescent="0.2">
      <c r="A94" t="str">
        <v>BBBBB2222B</v>
      </c>
      <c r="B94" t="str">
        <v>ICICI Pru Equity &amp; Debt Fund - Direct Growth</v>
      </c>
      <c r="C94" s="37">
        <v>40300</v>
      </c>
      <c r="D94">
        <v>-196.39400000000001</v>
      </c>
      <c r="E94">
        <v>-4086.59</v>
      </c>
      <c r="F94" t="str">
        <v>FY 2010-11</v>
      </c>
      <c r="G94" t="str">
        <v>Equity</v>
      </c>
      <c r="H94">
        <v>0</v>
      </c>
      <c r="I94">
        <v>196.39400000000001</v>
      </c>
      <c r="J94">
        <v>20.007602889097857</v>
      </c>
      <c r="K94">
        <v>20.80812041101052</v>
      </c>
      <c r="L94">
        <v>157.21683819851563</v>
      </c>
      <c r="M94">
        <v>0</v>
      </c>
      <c r="N94" t="str">
        <v>Name 2</v>
      </c>
    </row>
    <row r="95" spans="1:14" x14ac:dyDescent="0.2">
      <c r="A95" t="str">
        <v>BBBBB2222B</v>
      </c>
      <c r="B95" t="str">
        <v>ICICI Pru Equity &amp; Debt Fund - Direct Growth</v>
      </c>
      <c r="C95" s="37">
        <v>40330</v>
      </c>
      <c r="D95">
        <v>-206.12899999999999</v>
      </c>
      <c r="E95">
        <v>-4205.57</v>
      </c>
      <c r="F95" t="str">
        <v>FY 2010-11</v>
      </c>
      <c r="G95" t="str">
        <v>Equity</v>
      </c>
      <c r="H95">
        <v>0</v>
      </c>
      <c r="I95">
        <v>206.12899999999999</v>
      </c>
      <c r="J95">
        <v>20.122958267135868</v>
      </c>
      <c r="K95">
        <v>20.402611956590292</v>
      </c>
      <c r="L95">
        <v>57.644735353550949</v>
      </c>
      <c r="M95">
        <v>0</v>
      </c>
      <c r="N95" t="str">
        <v>Name 2</v>
      </c>
    </row>
    <row r="96" spans="1:14" x14ac:dyDescent="0.2">
      <c r="A96" t="str">
        <v>BBBBB2222B</v>
      </c>
      <c r="B96" t="str">
        <v>ICICI Pru Equity &amp; Debt Fund - Direct Growth</v>
      </c>
      <c r="C96" s="37">
        <v>42430</v>
      </c>
      <c r="D96">
        <v>0</v>
      </c>
      <c r="E96">
        <v>8009.77</v>
      </c>
      <c r="F96" t="str">
        <v>FY 2015-16</v>
      </c>
      <c r="G96" t="str">
        <v>Equity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 t="str">
        <v>Name 2</v>
      </c>
    </row>
    <row r="97" spans="1:14" x14ac:dyDescent="0.2">
      <c r="A97" t="str">
        <v>BBBBB2222B</v>
      </c>
      <c r="B97" t="str">
        <v>ICICI Pru Equity &amp; Debt Fund - Direct Growth</v>
      </c>
      <c r="C97" s="37">
        <v>42490</v>
      </c>
      <c r="D97">
        <v>0</v>
      </c>
      <c r="E97">
        <v>8195.8799999999992</v>
      </c>
      <c r="F97" t="str">
        <v>FY 2016-17</v>
      </c>
      <c r="G97" t="str">
        <v>Equity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 t="str">
        <v>Name 2</v>
      </c>
    </row>
    <row r="98" spans="1:14" x14ac:dyDescent="0.2">
      <c r="A98" t="str">
        <v>BBBBB2222B</v>
      </c>
      <c r="B98" t="str">
        <v>ICICI Pru Equity &amp; Debt Fund - Direct Growth</v>
      </c>
      <c r="C98" s="37">
        <v>42670</v>
      </c>
      <c r="D98">
        <v>0</v>
      </c>
      <c r="E98">
        <v>8730.7099999999991</v>
      </c>
      <c r="F98" t="str">
        <v>FY 2016-17</v>
      </c>
      <c r="G98" t="str">
        <v>Equity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 t="str">
        <v>Name 2</v>
      </c>
    </row>
    <row r="99" spans="1:14" x14ac:dyDescent="0.2">
      <c r="A99" t="str">
        <v>BBBBB2222B</v>
      </c>
      <c r="B99" t="str">
        <v>ICICI Pru Equity &amp; Debt Fund - Direct Growth</v>
      </c>
      <c r="C99" s="37">
        <v>42820</v>
      </c>
      <c r="D99">
        <v>0</v>
      </c>
      <c r="E99">
        <v>9159.01</v>
      </c>
      <c r="F99" t="str">
        <v>FY 2016-17</v>
      </c>
      <c r="G99" t="str">
        <v>Equity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 t="str">
        <v>Name 2</v>
      </c>
    </row>
    <row r="100" spans="1:14" x14ac:dyDescent="0.2">
      <c r="A100" t="str">
        <v>BBBBB2222B</v>
      </c>
      <c r="B100" t="str">
        <v>ICICI Pru Equity &amp; Debt Fund - Direct Growth</v>
      </c>
      <c r="C100" s="37">
        <v>43330</v>
      </c>
      <c r="D100">
        <v>0</v>
      </c>
      <c r="E100">
        <v>10519.87</v>
      </c>
      <c r="F100" t="str">
        <v>FY 2018-19</v>
      </c>
      <c r="G100" t="str">
        <v>Equity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 t="str">
        <v>Name 2</v>
      </c>
    </row>
    <row r="101" spans="1:14" x14ac:dyDescent="0.2">
      <c r="A101" t="str">
        <v>BBBBB2222B</v>
      </c>
      <c r="B101" t="str">
        <v>ICICI Pru Equity &amp; Debt Fund - Direct Growth</v>
      </c>
      <c r="C101" s="37">
        <v>43810</v>
      </c>
      <c r="D101">
        <v>-4678.4979999999996</v>
      </c>
      <c r="E101">
        <v>-171709.62</v>
      </c>
      <c r="F101" t="str">
        <v>FY 2019-20</v>
      </c>
      <c r="G101" t="str">
        <v>Equity</v>
      </c>
      <c r="H101">
        <v>4678.4979999999996</v>
      </c>
      <c r="I101">
        <v>0</v>
      </c>
      <c r="J101">
        <v>20.610408141757695</v>
      </c>
      <c r="K101">
        <v>36.701868847651532</v>
      </c>
      <c r="L101">
        <v>0</v>
      </c>
      <c r="M101">
        <v>75283.866729602902</v>
      </c>
      <c r="N101" t="str">
        <v>Name 2</v>
      </c>
    </row>
    <row r="102" spans="1:14" x14ac:dyDescent="0.2">
      <c r="A102" t="str">
        <v>BBBBB2222B</v>
      </c>
      <c r="B102" t="str">
        <v>ICICI Pru Equity &amp; Debt Fund - Direct Growth</v>
      </c>
      <c r="C102" s="37">
        <v>44050</v>
      </c>
      <c r="D102">
        <v>0</v>
      </c>
      <c r="E102">
        <v>9899.5400000000009</v>
      </c>
      <c r="F102" t="str">
        <v>FY 2020-21</v>
      </c>
      <c r="G102" t="str">
        <v>Equity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 t="str">
        <v>Name 2</v>
      </c>
    </row>
    <row r="103" spans="1:14" x14ac:dyDescent="0.2">
      <c r="A103" t="str">
        <v>BBBBB2222B</v>
      </c>
      <c r="B103" t="str">
        <v>ICICI Pru Equity &amp; Debt Fund - Direct Growth</v>
      </c>
      <c r="C103" s="37">
        <v>44500</v>
      </c>
      <c r="D103">
        <v>0</v>
      </c>
      <c r="E103">
        <v>10843.76</v>
      </c>
      <c r="F103" t="str">
        <v>FY 2021-22</v>
      </c>
      <c r="G103" t="str">
        <v>Equity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 t="str">
        <v>Name 2</v>
      </c>
    </row>
    <row r="104" spans="1:14" x14ac:dyDescent="0.2">
      <c r="A104" t="str">
        <v>BBBBB2222B</v>
      </c>
      <c r="B104" t="str">
        <v>ICICI Pru Equity &amp; Debt Fund - Direct Growth</v>
      </c>
      <c r="C104" s="37">
        <v>44740</v>
      </c>
      <c r="D104">
        <v>0</v>
      </c>
      <c r="E104">
        <v>11303.42</v>
      </c>
      <c r="F104" t="str">
        <v>FY 2022-23</v>
      </c>
      <c r="G104" t="str">
        <v>Equity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 t="str">
        <v>Name 2</v>
      </c>
    </row>
    <row r="105" spans="1:14" x14ac:dyDescent="0.2">
      <c r="A105" t="str">
        <v>BBBBB2222B</v>
      </c>
      <c r="B105" t="str">
        <v>ICICI Pru Equity &amp; Debt Fund - Direct Growth</v>
      </c>
      <c r="C105" s="37">
        <v>44830</v>
      </c>
      <c r="D105">
        <v>0</v>
      </c>
      <c r="E105">
        <v>11467.22</v>
      </c>
      <c r="F105" t="str">
        <v>FY 2022-23</v>
      </c>
      <c r="G105" t="str">
        <v>Equity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 t="str">
        <v>Name 2</v>
      </c>
    </row>
    <row r="106" spans="1:14" x14ac:dyDescent="0.2">
      <c r="A106" t="str">
        <v>BBBBB2222B</v>
      </c>
      <c r="B106" t="str">
        <v>ICICI Pru Equity &amp; Debt Fund - Direct Growth</v>
      </c>
      <c r="C106" s="37">
        <v>44860</v>
      </c>
      <c r="D106">
        <v>0</v>
      </c>
      <c r="E106">
        <v>11521.5</v>
      </c>
      <c r="F106" t="str">
        <v>FY 2022-23</v>
      </c>
      <c r="G106" t="str">
        <v>Equity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 t="str">
        <v>Name 2</v>
      </c>
    </row>
    <row r="107" spans="1:14" x14ac:dyDescent="0.2">
      <c r="A107" t="str">
        <v>BBBBB2222B</v>
      </c>
      <c r="B107" t="str">
        <v>ICICI Pru Equity &amp; Debt Fund - Direct Growth</v>
      </c>
      <c r="C107" s="37">
        <v>44980</v>
      </c>
      <c r="D107">
        <v>-4692.9560000000001</v>
      </c>
      <c r="E107">
        <v>-226277.07</v>
      </c>
      <c r="F107" t="str">
        <v>FY 2022-23</v>
      </c>
      <c r="G107" t="str">
        <v>Equity</v>
      </c>
      <c r="H107">
        <v>4692.9560000000001</v>
      </c>
      <c r="I107">
        <v>0</v>
      </c>
      <c r="J107">
        <v>21.882680348814958</v>
      </c>
      <c r="K107">
        <v>48.216320374621027</v>
      </c>
      <c r="L107">
        <v>0</v>
      </c>
      <c r="M107">
        <v>123582.61396094675</v>
      </c>
      <c r="N107" t="str">
        <v>Name 2</v>
      </c>
    </row>
    <row r="108" spans="1:14" x14ac:dyDescent="0.2">
      <c r="A108" t="str">
        <v>BBBBB2222B</v>
      </c>
      <c r="B108" t="str">
        <v>ICICI Pru Equity &amp; Debt Fund - Direct Growth</v>
      </c>
      <c r="C108" s="37">
        <v>45280</v>
      </c>
      <c r="D108">
        <v>0</v>
      </c>
      <c r="E108">
        <v>9891.4599999999991</v>
      </c>
      <c r="F108" t="str">
        <v>FY 2023-24</v>
      </c>
      <c r="G108" t="str">
        <v>Equity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 t="str">
        <v>Name 2</v>
      </c>
    </row>
    <row r="109" spans="1:14" x14ac:dyDescent="0.2">
      <c r="A109" t="str">
        <v>BBBBB2222B</v>
      </c>
      <c r="B109" t="str">
        <v>ICICI Pru Equity &amp; Debt Fund - Direct Growth</v>
      </c>
      <c r="C109" s="37">
        <v>45340</v>
      </c>
      <c r="D109">
        <v>-3996.5309999999999</v>
      </c>
      <c r="E109">
        <v>-200332.51</v>
      </c>
      <c r="F109" t="str">
        <v>FY 2023-24</v>
      </c>
      <c r="G109" t="str">
        <v>Equity</v>
      </c>
      <c r="H109">
        <v>3996.5309999999999</v>
      </c>
      <c r="I109">
        <v>0</v>
      </c>
      <c r="J109">
        <v>24.673927432777422</v>
      </c>
      <c r="K109">
        <v>50.126599793671062</v>
      </c>
      <c r="L109">
        <v>0</v>
      </c>
      <c r="M109">
        <v>101722.39412315462</v>
      </c>
      <c r="N109" t="str">
        <v>Name 2</v>
      </c>
    </row>
    <row r="110" spans="1:14" x14ac:dyDescent="0.2">
      <c r="A110" t="str">
        <v>BBBBB2222B</v>
      </c>
      <c r="B110" t="str">
        <v>ICICI Pru Equity &amp; Debt Fund - Direct Growth</v>
      </c>
      <c r="C110" s="37">
        <v>45490</v>
      </c>
      <c r="D110">
        <v>0</v>
      </c>
      <c r="E110">
        <v>8237.9699999999993</v>
      </c>
      <c r="F110" t="str">
        <v>FY 2024-25</v>
      </c>
      <c r="G110" t="str">
        <v>Equity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 t="str">
        <v>Name 2</v>
      </c>
    </row>
    <row r="111" spans="1:14" x14ac:dyDescent="0.2">
      <c r="A111" t="str">
        <v>BBBBB2222B</v>
      </c>
      <c r="B111" t="str">
        <v>ICICI Pru Equity &amp; Debt Fund - Direct Growth</v>
      </c>
      <c r="C111" s="37">
        <v>45490</v>
      </c>
      <c r="D111">
        <v>-3295.1889999999999</v>
      </c>
      <c r="E111">
        <v>-169140.96</v>
      </c>
      <c r="F111" t="str">
        <v>FY 2024-25</v>
      </c>
      <c r="G111" t="str">
        <v>Equity</v>
      </c>
      <c r="H111">
        <v>3295.1889999999999</v>
      </c>
      <c r="I111">
        <v>0</v>
      </c>
      <c r="J111">
        <v>26.298911855156401</v>
      </c>
      <c r="K111">
        <v>51.329668798967219</v>
      </c>
      <c r="L111">
        <v>0</v>
      </c>
      <c r="M111">
        <v>82481.074942919018</v>
      </c>
      <c r="N111" t="str">
        <v>Name 2</v>
      </c>
    </row>
    <row r="112" spans="1:14" x14ac:dyDescent="0.2">
      <c r="A112" t="str">
        <v>BBBBB2222B</v>
      </c>
      <c r="B112" t="str">
        <v>ICICI Pru Equity &amp; Debt Fund - Direct Growth</v>
      </c>
      <c r="C112" s="37">
        <v>45970</v>
      </c>
      <c r="D112">
        <v>0</v>
      </c>
      <c r="E112">
        <v>7359.43</v>
      </c>
      <c r="F112" t="str">
        <v>FY 2025-26</v>
      </c>
      <c r="G112" t="str">
        <v>Equity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 t="str">
        <v>Name 2</v>
      </c>
    </row>
    <row r="113" spans="1:14" x14ac:dyDescent="0.2">
      <c r="A113" t="str">
        <v>BBBBB2222B</v>
      </c>
      <c r="B113" t="str">
        <v>ICICI Pru Equity &amp; Debt Fund - Direct Growth</v>
      </c>
      <c r="C113" s="37">
        <v>46120</v>
      </c>
      <c r="D113">
        <v>0</v>
      </c>
      <c r="E113">
        <v>7581.19</v>
      </c>
      <c r="F113" t="str">
        <v>FY 2026-27</v>
      </c>
      <c r="G113" t="str">
        <v>Equity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 t="str">
        <v>Name 2</v>
      </c>
    </row>
    <row r="114" spans="1:14" x14ac:dyDescent="0.2">
      <c r="A114" t="str">
        <v>BBBBB2222B</v>
      </c>
      <c r="B114" t="str">
        <v>ICICI Pru Equity &amp; Debt Fund - Direct Growth</v>
      </c>
      <c r="C114" s="37">
        <v>46180</v>
      </c>
      <c r="D114">
        <v>-3068.69</v>
      </c>
      <c r="E114">
        <v>-168139.62</v>
      </c>
      <c r="F114" t="str">
        <v>FY 2026-27</v>
      </c>
      <c r="G114" t="str">
        <v>Equity</v>
      </c>
      <c r="H114">
        <v>3068.69</v>
      </c>
      <c r="I114">
        <v>0</v>
      </c>
      <c r="J114">
        <v>29.631987106823026</v>
      </c>
      <c r="K114">
        <v>54.791986156959481</v>
      </c>
      <c r="L114">
        <v>0</v>
      </c>
      <c r="M114">
        <v>77208.237485163248</v>
      </c>
      <c r="N114" t="str">
        <v>Name 2</v>
      </c>
    </row>
    <row r="115" spans="1:14" x14ac:dyDescent="0.2">
      <c r="A115" t="str">
        <v>BBBBB2222B</v>
      </c>
      <c r="B115" t="str">
        <v>Axis ELSS Tax Saver Fund - Direct Growth</v>
      </c>
      <c r="C115" s="37">
        <v>40588</v>
      </c>
      <c r="D115">
        <v>0</v>
      </c>
      <c r="E115">
        <v>980.74</v>
      </c>
      <c r="F115" t="str">
        <v>FY 2010-11</v>
      </c>
      <c r="G115" t="str">
        <v>Equity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 t="str">
        <v>Name 2</v>
      </c>
    </row>
    <row r="116" spans="1:14" x14ac:dyDescent="0.2">
      <c r="A116" t="str">
        <v>BBBBB2222B</v>
      </c>
      <c r="B116" t="str">
        <v>Axis ELSS Tax Saver Fund - Direct Growth</v>
      </c>
      <c r="C116" s="37">
        <v>40648</v>
      </c>
      <c r="D116">
        <v>0</v>
      </c>
      <c r="E116">
        <v>1225.6600000000001</v>
      </c>
      <c r="F116" t="str">
        <v>FY 2011-12</v>
      </c>
      <c r="G116" t="str">
        <v>Equity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 t="str">
        <v>Name 2</v>
      </c>
    </row>
    <row r="117" spans="1:14" x14ac:dyDescent="0.2">
      <c r="A117" t="str">
        <v>BBBBB2222B</v>
      </c>
      <c r="B117" t="str">
        <v>Axis ELSS Tax Saver Fund - Direct Growth</v>
      </c>
      <c r="C117" s="37">
        <v>41128</v>
      </c>
      <c r="D117">
        <v>0</v>
      </c>
      <c r="E117">
        <v>3071.48</v>
      </c>
      <c r="F117" t="str">
        <v>FY 2012-13</v>
      </c>
      <c r="G117" t="str">
        <v>Equity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 t="str">
        <v>Name 2</v>
      </c>
    </row>
    <row r="118" spans="1:14" x14ac:dyDescent="0.2">
      <c r="A118" t="str">
        <v>BBBBB2222B</v>
      </c>
      <c r="B118" t="str">
        <v>Axis ELSS Tax Saver Fund - Direct Growth</v>
      </c>
      <c r="C118" s="37">
        <v>41308</v>
      </c>
      <c r="D118">
        <v>0</v>
      </c>
      <c r="E118">
        <v>3736.97</v>
      </c>
      <c r="F118" t="str">
        <v>FY 2012-13</v>
      </c>
      <c r="G118" t="str">
        <v>Equity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 t="str">
        <v>Name 2</v>
      </c>
    </row>
    <row r="119" spans="1:14" x14ac:dyDescent="0.2">
      <c r="A119" t="str">
        <v>BBBBB2222B</v>
      </c>
      <c r="B119" t="str">
        <v>Axis ELSS Tax Saver Fund - Direct Growth</v>
      </c>
      <c r="C119" s="37">
        <v>41458</v>
      </c>
      <c r="D119">
        <v>0</v>
      </c>
      <c r="E119">
        <v>4279.63</v>
      </c>
      <c r="F119" t="str">
        <v>FY 2013-14</v>
      </c>
      <c r="G119" t="str">
        <v>Equity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 t="str">
        <v>Name 2</v>
      </c>
    </row>
    <row r="120" spans="1:14" x14ac:dyDescent="0.2">
      <c r="A120" t="str">
        <v>BBBBB2222B</v>
      </c>
      <c r="B120" t="str">
        <v>Axis ELSS Tax Saver Fund - Direct Growth</v>
      </c>
      <c r="C120" s="37">
        <v>42448</v>
      </c>
      <c r="D120">
        <v>0</v>
      </c>
      <c r="E120">
        <v>7398.98</v>
      </c>
      <c r="F120" t="str">
        <v>FY 2015-16</v>
      </c>
      <c r="G120" t="str">
        <v>Equity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 t="str">
        <v>Name 2</v>
      </c>
    </row>
    <row r="121" spans="1:14" x14ac:dyDescent="0.2">
      <c r="A121" t="str">
        <v>BBBBB2222B</v>
      </c>
      <c r="B121" t="str">
        <v>Axis ELSS Tax Saver Fund - Direct Growth</v>
      </c>
      <c r="C121" s="37">
        <v>42568</v>
      </c>
      <c r="D121">
        <v>-3088.3270000000002</v>
      </c>
      <c r="E121">
        <v>-96544.79</v>
      </c>
      <c r="F121" t="str">
        <v>FY 2016-17</v>
      </c>
      <c r="G121" t="str">
        <v>Equity</v>
      </c>
      <c r="H121">
        <v>3088.3270000000002</v>
      </c>
      <c r="I121">
        <v>0</v>
      </c>
      <c r="J121">
        <v>20.430228772982694</v>
      </c>
      <c r="K121">
        <v>31.261194167586524</v>
      </c>
      <c r="L121">
        <v>0</v>
      </c>
      <c r="M121">
        <v>33449.562864220665</v>
      </c>
      <c r="N121" t="str">
        <v>Name 2</v>
      </c>
    </row>
    <row r="122" spans="1:14" x14ac:dyDescent="0.2">
      <c r="A122" t="str">
        <v>BBBBB2222B</v>
      </c>
      <c r="B122" t="str">
        <v>Axis ELSS Tax Saver Fund - Direct Growth</v>
      </c>
      <c r="C122" s="37">
        <v>42958</v>
      </c>
      <c r="D122">
        <v>0</v>
      </c>
      <c r="E122">
        <v>7227.68</v>
      </c>
      <c r="F122" t="str">
        <v>FY 2017-18</v>
      </c>
      <c r="G122" t="str">
        <v>Equity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 t="str">
        <v>Name 2</v>
      </c>
    </row>
    <row r="123" spans="1:14" x14ac:dyDescent="0.2">
      <c r="A123" t="str">
        <v>BBBBB2222B</v>
      </c>
      <c r="B123" t="str">
        <v>Axis ELSS Tax Saver Fund - Direct Growth</v>
      </c>
      <c r="C123" s="37">
        <v>43198</v>
      </c>
      <c r="D123">
        <v>-3161.2660000000001</v>
      </c>
      <c r="E123">
        <v>-89637.92</v>
      </c>
      <c r="F123" t="str">
        <v>FY 2018-19</v>
      </c>
      <c r="G123" t="str">
        <v>Equity</v>
      </c>
      <c r="H123">
        <v>3161.2660000000001</v>
      </c>
      <c r="I123">
        <v>0</v>
      </c>
      <c r="J123">
        <v>21.910098784303472</v>
      </c>
      <c r="K123">
        <v>28.355070405337607</v>
      </c>
      <c r="L123">
        <v>0</v>
      </c>
      <c r="M123">
        <v>20374.269656540095</v>
      </c>
      <c r="N123" t="str">
        <v>Name 2</v>
      </c>
    </row>
    <row r="124" spans="1:14" x14ac:dyDescent="0.2">
      <c r="A124" t="str">
        <v>BBBBB2222B</v>
      </c>
      <c r="B124" t="str">
        <v>Axis ELSS Tax Saver Fund - Direct Growth</v>
      </c>
      <c r="C124" s="37">
        <v>43408</v>
      </c>
      <c r="D124">
        <v>-2774.9589999999998</v>
      </c>
      <c r="E124">
        <v>-80653.52</v>
      </c>
      <c r="F124" t="str">
        <v>FY 2018-19</v>
      </c>
      <c r="G124" t="str">
        <v>Equity</v>
      </c>
      <c r="H124">
        <v>2774.9589999999998</v>
      </c>
      <c r="I124">
        <v>0</v>
      </c>
      <c r="J124">
        <v>22.809266342534521</v>
      </c>
      <c r="K124">
        <v>29.064760956828554</v>
      </c>
      <c r="L124">
        <v>0</v>
      </c>
      <c r="M124">
        <v>17358.741079386753</v>
      </c>
      <c r="N124" t="str">
        <v>Name 2</v>
      </c>
    </row>
    <row r="125" spans="1:14" x14ac:dyDescent="0.2">
      <c r="A125" t="str">
        <v>BBBBB2222B</v>
      </c>
      <c r="B125" t="str">
        <v>Axis ELSS Tax Saver Fund - Direct Growth</v>
      </c>
      <c r="C125" s="37">
        <v>43558</v>
      </c>
      <c r="D125">
        <v>0</v>
      </c>
      <c r="E125">
        <v>5972.18</v>
      </c>
      <c r="F125" t="str">
        <v>FY 2019-20</v>
      </c>
      <c r="G125" t="str">
        <v>Equity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 t="str">
        <v>Name 2</v>
      </c>
    </row>
    <row r="126" spans="1:14" x14ac:dyDescent="0.2">
      <c r="A126" t="str">
        <v>BBBBB2222B</v>
      </c>
      <c r="B126" t="str">
        <v>Axis ELSS Tax Saver Fund - Direct Growth</v>
      </c>
      <c r="C126" s="37">
        <v>43918</v>
      </c>
      <c r="D126">
        <v>0</v>
      </c>
      <c r="E126">
        <v>6920.18</v>
      </c>
      <c r="F126" t="str">
        <v>FY 2019-20</v>
      </c>
      <c r="G126" t="str">
        <v>Equity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 t="str">
        <v>Name 2</v>
      </c>
    </row>
    <row r="127" spans="1:14" x14ac:dyDescent="0.2">
      <c r="A127" t="str">
        <v>BBBBB2222B</v>
      </c>
      <c r="B127" t="str">
        <v>Axis ELSS Tax Saver Fund - Direct Growth</v>
      </c>
      <c r="C127" s="37">
        <v>44278</v>
      </c>
      <c r="D127">
        <v>0</v>
      </c>
      <c r="E127">
        <v>7839.63</v>
      </c>
      <c r="F127" t="str">
        <v>FY 2020-21</v>
      </c>
      <c r="G127" t="str">
        <v>Equity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 t="str">
        <v>Name 2</v>
      </c>
    </row>
    <row r="128" spans="1:14" x14ac:dyDescent="0.2">
      <c r="A128" t="str">
        <v>BBBBB2222B</v>
      </c>
      <c r="B128" t="str">
        <v>Axis ELSS Tax Saver Fund - Direct Growth</v>
      </c>
      <c r="C128" s="37">
        <v>44428</v>
      </c>
      <c r="D128">
        <v>0</v>
      </c>
      <c r="E128">
        <v>8192.85</v>
      </c>
      <c r="F128" t="str">
        <v>FY 2021-22</v>
      </c>
      <c r="G128" t="str">
        <v>Equity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 t="str">
        <v>Name 2</v>
      </c>
    </row>
    <row r="129" spans="1:14" x14ac:dyDescent="0.2">
      <c r="A129" t="str">
        <v>BBBBB2222B</v>
      </c>
      <c r="B129" t="str">
        <v>Axis ELSS Tax Saver Fund - Direct Growth</v>
      </c>
      <c r="C129" s="37">
        <v>44578</v>
      </c>
      <c r="D129">
        <v>-16941.473999999998</v>
      </c>
      <c r="E129">
        <v>-609867.41</v>
      </c>
      <c r="F129" t="str">
        <v>FY 2021-22</v>
      </c>
      <c r="G129" t="str">
        <v>Equity</v>
      </c>
      <c r="H129">
        <v>16941.473999999998</v>
      </c>
      <c r="I129">
        <v>0</v>
      </c>
      <c r="J129">
        <v>29.769921058825673</v>
      </c>
      <c r="K129">
        <v>35.998485727983294</v>
      </c>
      <c r="L129">
        <v>0</v>
      </c>
      <c r="M129">
        <v>105521.06639985243</v>
      </c>
      <c r="N129" t="str">
        <v>Name 2</v>
      </c>
    </row>
    <row r="130" spans="1:14" x14ac:dyDescent="0.2">
      <c r="A130" t="str">
        <v>CCCCC3333C</v>
      </c>
      <c r="B130" t="str">
        <v>HDFC Flexi Cap Fund - Direct Plan - Growth</v>
      </c>
      <c r="C130" s="37">
        <v>41325</v>
      </c>
      <c r="D130">
        <v>-1382.6959999999999</v>
      </c>
      <c r="E130">
        <v>-30794.11</v>
      </c>
      <c r="F130" t="str">
        <v>FY 2012-13</v>
      </c>
      <c r="G130" t="str">
        <v>Equity</v>
      </c>
      <c r="H130">
        <v>1382.6959999999999</v>
      </c>
      <c r="I130">
        <v>0</v>
      </c>
      <c r="J130">
        <v>20.884382328205355</v>
      </c>
      <c r="K130">
        <v>22.27106319827352</v>
      </c>
      <c r="L130">
        <v>0</v>
      </c>
      <c r="M130">
        <v>1917.3580923197717</v>
      </c>
      <c r="N130" t="str">
        <v>Name 3</v>
      </c>
    </row>
    <row r="131" spans="1:14" x14ac:dyDescent="0.2">
      <c r="A131" t="str">
        <v>CCCCC3333C</v>
      </c>
      <c r="B131" t="str">
        <v>HDFC Flexi Cap Fund - Direct Plan - Growth</v>
      </c>
      <c r="C131" s="37">
        <v>41355</v>
      </c>
      <c r="D131">
        <v>-1150.7660000000001</v>
      </c>
      <c r="E131">
        <v>-25796.93</v>
      </c>
      <c r="F131" t="str">
        <v>FY 2012-13</v>
      </c>
      <c r="G131" t="str">
        <v>Equity</v>
      </c>
      <c r="H131">
        <v>1150.7660000000001</v>
      </c>
      <c r="I131">
        <v>0</v>
      </c>
      <c r="J131">
        <v>21.683998063752895</v>
      </c>
      <c r="K131">
        <v>22.417181251444688</v>
      </c>
      <c r="L131">
        <v>0</v>
      </c>
      <c r="M131">
        <v>843.72228416733412</v>
      </c>
      <c r="N131" t="str">
        <v>Name 3</v>
      </c>
    </row>
    <row r="132" spans="1:14" x14ac:dyDescent="0.2">
      <c r="A132" t="str">
        <v>CCCCC3333C</v>
      </c>
      <c r="B132" t="str">
        <v>HDFC Flexi Cap Fund - Direct Plan - Growth</v>
      </c>
      <c r="C132" s="37">
        <v>41835</v>
      </c>
      <c r="D132">
        <v>0</v>
      </c>
      <c r="E132">
        <v>3995.87</v>
      </c>
      <c r="F132" t="str">
        <v>FY 2014-15</v>
      </c>
      <c r="G132" t="str">
        <v>Equity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 t="str">
        <v>Name 3</v>
      </c>
    </row>
    <row r="133" spans="1:14" x14ac:dyDescent="0.2">
      <c r="A133" t="str">
        <v>CCCCC3333C</v>
      </c>
      <c r="B133" t="str">
        <v>HDFC Flexi Cap Fund - Direct Plan - Growth</v>
      </c>
      <c r="C133" s="37">
        <v>42525</v>
      </c>
      <c r="D133">
        <v>0</v>
      </c>
      <c r="E133">
        <v>6132.57</v>
      </c>
      <c r="F133" t="str">
        <v>FY 2016-17</v>
      </c>
      <c r="G133" t="str">
        <v>Equity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 t="str">
        <v>Name 3</v>
      </c>
    </row>
    <row r="134" spans="1:14" x14ac:dyDescent="0.2">
      <c r="A134" t="str">
        <v>CCCCC3333C</v>
      </c>
      <c r="B134" t="str">
        <v>HDFC Flexi Cap Fund - Direct Plan - Growth</v>
      </c>
      <c r="C134" s="37">
        <v>42555</v>
      </c>
      <c r="D134">
        <v>-2489.703</v>
      </c>
      <c r="E134">
        <v>-67884.570000000007</v>
      </c>
      <c r="F134" t="str">
        <v>FY 2016-17</v>
      </c>
      <c r="G134" t="str">
        <v>Equity</v>
      </c>
      <c r="H134">
        <v>2489.703</v>
      </c>
      <c r="I134">
        <v>0</v>
      </c>
      <c r="J134">
        <v>21.819262188509601</v>
      </c>
      <c r="K134">
        <v>27.266131743424822</v>
      </c>
      <c r="L134">
        <v>0</v>
      </c>
      <c r="M134">
        <v>13561.087471481091</v>
      </c>
      <c r="N134" t="str">
        <v>Name 3</v>
      </c>
    </row>
    <row r="135" spans="1:14" x14ac:dyDescent="0.2">
      <c r="A135" t="str">
        <v>CCCCC3333C</v>
      </c>
      <c r="B135" t="str">
        <v>HDFC Flexi Cap Fund - Direct Plan - Growth</v>
      </c>
      <c r="C135" s="37">
        <v>42615</v>
      </c>
      <c r="D135">
        <v>-2066.5230000000001</v>
      </c>
      <c r="E135">
        <v>-55326.57</v>
      </c>
      <c r="F135" t="str">
        <v>FY 2016-17</v>
      </c>
      <c r="G135" t="str">
        <v>Equity</v>
      </c>
      <c r="H135">
        <v>2066.5230000000001</v>
      </c>
      <c r="I135">
        <v>0</v>
      </c>
      <c r="J135">
        <v>22.161187344582366</v>
      </c>
      <c r="K135">
        <v>26.7727821079175</v>
      </c>
      <c r="L135">
        <v>0</v>
      </c>
      <c r="M135">
        <v>9529.9666451116118</v>
      </c>
      <c r="N135" t="str">
        <v>Name 3</v>
      </c>
    </row>
    <row r="136" spans="1:14" x14ac:dyDescent="0.2">
      <c r="A136" t="str">
        <v>CCCCC3333C</v>
      </c>
      <c r="B136" t="str">
        <v>HDFC Flexi Cap Fund - Direct Plan - Growth</v>
      </c>
      <c r="C136" s="37">
        <v>42675</v>
      </c>
      <c r="D136">
        <v>0</v>
      </c>
      <c r="E136">
        <v>4321.07</v>
      </c>
      <c r="F136" t="str">
        <v>FY 2016-17</v>
      </c>
      <c r="G136" t="str">
        <v>Equity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 t="str">
        <v>Name 3</v>
      </c>
    </row>
    <row r="137" spans="1:14" x14ac:dyDescent="0.2">
      <c r="A137" t="str">
        <v>CCCCC3333C</v>
      </c>
      <c r="B137" t="str">
        <v>HDFC Flexi Cap Fund - Direct Plan - Growth</v>
      </c>
      <c r="C137" s="37">
        <v>43425</v>
      </c>
      <c r="D137">
        <v>0</v>
      </c>
      <c r="E137">
        <v>6369.46</v>
      </c>
      <c r="F137" t="str">
        <v>FY 2018-19</v>
      </c>
      <c r="G137" t="str">
        <v>Equity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 t="str">
        <v>Name 3</v>
      </c>
    </row>
    <row r="138" spans="1:14" x14ac:dyDescent="0.2">
      <c r="A138" t="str">
        <v>CCCCC3333C</v>
      </c>
      <c r="B138" t="str">
        <v>HDFC Flexi Cap Fund - Direct Plan - Growth</v>
      </c>
      <c r="C138" s="37">
        <v>43455</v>
      </c>
      <c r="D138">
        <v>0</v>
      </c>
      <c r="E138">
        <v>6440.98</v>
      </c>
      <c r="F138" t="str">
        <v>FY 2018-19</v>
      </c>
      <c r="G138" t="str">
        <v>Equity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 t="str">
        <v>Name 3</v>
      </c>
    </row>
    <row r="139" spans="1:14" x14ac:dyDescent="0.2">
      <c r="A139" t="str">
        <v>CCCCC3333C</v>
      </c>
      <c r="B139" t="str">
        <v>HDFC Flexi Cap Fund - Direct Plan - Growth</v>
      </c>
      <c r="C139" s="37">
        <v>43485</v>
      </c>
      <c r="D139">
        <v>0</v>
      </c>
      <c r="E139">
        <v>6510.88</v>
      </c>
      <c r="F139" t="str">
        <v>FY 2018-19</v>
      </c>
      <c r="G139" t="str">
        <v>Equity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 t="str">
        <v>Name 3</v>
      </c>
    </row>
    <row r="140" spans="1:14" x14ac:dyDescent="0.2">
      <c r="A140" t="str">
        <v>CCCCC3333C</v>
      </c>
      <c r="B140" t="str">
        <v>HDFC Flexi Cap Fund - Direct Plan - Growth</v>
      </c>
      <c r="C140" s="37">
        <v>43485</v>
      </c>
      <c r="D140">
        <v>-2604.35</v>
      </c>
      <c r="E140">
        <v>-93154.85</v>
      </c>
      <c r="F140" t="str">
        <v>FY 2018-19</v>
      </c>
      <c r="G140" t="str">
        <v>Equity</v>
      </c>
      <c r="H140">
        <v>2604.35</v>
      </c>
      <c r="I140">
        <v>0</v>
      </c>
      <c r="J140">
        <v>23.26227631723491</v>
      </c>
      <c r="K140">
        <v>35.768944266323658</v>
      </c>
      <c r="L140">
        <v>0</v>
      </c>
      <c r="M140">
        <v>32571.740673209279</v>
      </c>
      <c r="N140" t="str">
        <v>Name 3</v>
      </c>
    </row>
    <row r="141" spans="1:14" x14ac:dyDescent="0.2">
      <c r="A141" t="str">
        <v>CCCCC3333C</v>
      </c>
      <c r="B141" t="str">
        <v>HDFC Flexi Cap Fund - Direct Plan - Growth</v>
      </c>
      <c r="C141" s="37">
        <v>43845</v>
      </c>
      <c r="D141">
        <v>0</v>
      </c>
      <c r="E141">
        <v>6098.19</v>
      </c>
      <c r="F141" t="str">
        <v>FY 2019-20</v>
      </c>
      <c r="G141" t="str">
        <v>Equity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 t="str">
        <v>Name 3</v>
      </c>
    </row>
    <row r="142" spans="1:14" x14ac:dyDescent="0.2">
      <c r="A142" t="str">
        <v>CCCCC3333C</v>
      </c>
      <c r="B142" t="str">
        <v>HDFC Flexi Cap Fund - Direct Plan - Growth</v>
      </c>
      <c r="C142" s="37">
        <v>43905</v>
      </c>
      <c r="D142">
        <v>-2499.1669999999999</v>
      </c>
      <c r="E142">
        <v>-82860.83</v>
      </c>
      <c r="F142" t="str">
        <v>FY 2019-20</v>
      </c>
      <c r="G142" t="str">
        <v>Equity</v>
      </c>
      <c r="H142">
        <v>2499.1669999999999</v>
      </c>
      <c r="I142">
        <v>0</v>
      </c>
      <c r="J142">
        <v>25.39273089734036</v>
      </c>
      <c r="K142">
        <v>33.155379372406891</v>
      </c>
      <c r="L142">
        <v>0</v>
      </c>
      <c r="M142">
        <v>19400.154901486596</v>
      </c>
      <c r="N142" t="str">
        <v>Name 3</v>
      </c>
    </row>
    <row r="143" spans="1:14" x14ac:dyDescent="0.2">
      <c r="A143" t="str">
        <v>CCCCC3333C</v>
      </c>
      <c r="B143" t="str">
        <v>HDFC Flexi Cap Fund - Direct Plan - Growth</v>
      </c>
      <c r="C143" s="37">
        <v>44655</v>
      </c>
      <c r="D143">
        <v>0</v>
      </c>
      <c r="E143">
        <v>6722.85</v>
      </c>
      <c r="F143" t="str">
        <v>FY 2022-23</v>
      </c>
      <c r="G143" t="str">
        <v>Equity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 t="str">
        <v>Name 3</v>
      </c>
    </row>
    <row r="144" spans="1:14" x14ac:dyDescent="0.2">
      <c r="A144" t="str">
        <v>CCCCC3333C</v>
      </c>
      <c r="B144" t="str">
        <v>HDFC Flexi Cap Fund - Direct Plan - Growth</v>
      </c>
      <c r="C144" s="37">
        <v>44865</v>
      </c>
      <c r="D144">
        <v>0</v>
      </c>
      <c r="E144">
        <v>7151.38</v>
      </c>
      <c r="F144" t="str">
        <v>FY 2022-23</v>
      </c>
      <c r="G144" t="str">
        <v>Equity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 t="str">
        <v>Name 3</v>
      </c>
    </row>
    <row r="145" spans="1:14" x14ac:dyDescent="0.2">
      <c r="A145" t="str">
        <v>CCCCC3333C</v>
      </c>
      <c r="B145" t="str">
        <v>HDFC Flexi Cap Fund - Direct Plan - Growth</v>
      </c>
      <c r="C145" s="37">
        <v>45045</v>
      </c>
      <c r="D145">
        <v>0</v>
      </c>
      <c r="E145">
        <v>7484.42</v>
      </c>
      <c r="F145" t="str">
        <v>FY 2023-24</v>
      </c>
      <c r="G145" t="str">
        <v>Equity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 t="str">
        <v>Name 3</v>
      </c>
    </row>
    <row r="146" spans="1:14" x14ac:dyDescent="0.2">
      <c r="A146" t="str">
        <v>CCCCC3333C</v>
      </c>
      <c r="B146" t="str">
        <v>HDFC Flexi Cap Fund - Direct Plan - Growth</v>
      </c>
      <c r="C146" s="37">
        <v>45705</v>
      </c>
      <c r="D146">
        <v>0</v>
      </c>
      <c r="E146">
        <v>8594.9699999999993</v>
      </c>
      <c r="F146" t="str">
        <v>FY 2024-25</v>
      </c>
      <c r="G146" t="str">
        <v>Equity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 t="str">
        <v>Name 3</v>
      </c>
    </row>
    <row r="147" spans="1:14" x14ac:dyDescent="0.2">
      <c r="A147" t="str">
        <v>CCCCC3333C</v>
      </c>
      <c r="B147" t="str">
        <v>HDFC Flexi Cap Fund - Direct Plan - Growth</v>
      </c>
      <c r="C147" s="37">
        <v>45885</v>
      </c>
      <c r="D147">
        <v>0</v>
      </c>
      <c r="E147">
        <v>8889.23</v>
      </c>
      <c r="F147" t="str">
        <v>FY 2025-26</v>
      </c>
      <c r="G147" t="str">
        <v>Equity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 t="str">
        <v>Name 3</v>
      </c>
    </row>
    <row r="148" spans="1:14" x14ac:dyDescent="0.2">
      <c r="A148" t="str">
        <v>CCCCC3333C</v>
      </c>
      <c r="B148" t="str">
        <v>Parag Parikh Flexi Cap Fund - Direct Growth</v>
      </c>
      <c r="C148" s="37">
        <v>40477</v>
      </c>
      <c r="D148">
        <v>0</v>
      </c>
      <c r="E148">
        <v>370.06</v>
      </c>
      <c r="F148" t="str">
        <v>FY 2010-11</v>
      </c>
      <c r="G148" t="str">
        <v>Equity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 t="str">
        <v>Name 3</v>
      </c>
    </row>
    <row r="149" spans="1:14" x14ac:dyDescent="0.2">
      <c r="A149" t="str">
        <v>CCCCC3333C</v>
      </c>
      <c r="B149" t="str">
        <v>Parag Parikh Flexi Cap Fund - Direct Growth</v>
      </c>
      <c r="C149" s="37">
        <v>40867</v>
      </c>
      <c r="D149">
        <v>-760.63</v>
      </c>
      <c r="E149">
        <v>-16516.939999999999</v>
      </c>
      <c r="F149" t="str">
        <v>FY 2011-12</v>
      </c>
      <c r="G149" t="str">
        <v>Equity</v>
      </c>
      <c r="H149">
        <v>760.63</v>
      </c>
      <c r="I149">
        <v>0</v>
      </c>
      <c r="J149">
        <v>20.281769570905762</v>
      </c>
      <c r="K149">
        <v>21.714815350433192</v>
      </c>
      <c r="L149">
        <v>0</v>
      </c>
      <c r="M149">
        <v>1090.0176112819483</v>
      </c>
      <c r="N149" t="str">
        <v>Name 3</v>
      </c>
    </row>
    <row r="150" spans="1:14" x14ac:dyDescent="0.2">
      <c r="A150" t="str">
        <v>CCCCC3333C</v>
      </c>
      <c r="B150" t="str">
        <v>Parag Parikh Flexi Cap Fund - Direct Growth</v>
      </c>
      <c r="C150" s="37">
        <v>40927</v>
      </c>
      <c r="D150">
        <v>-701.01099999999997</v>
      </c>
      <c r="E150">
        <v>-15019.23</v>
      </c>
      <c r="F150" t="str">
        <v>FY 2011-12</v>
      </c>
      <c r="G150" t="str">
        <v>Equity</v>
      </c>
      <c r="H150">
        <v>701.01099999999997</v>
      </c>
      <c r="I150">
        <v>0</v>
      </c>
      <c r="J150">
        <v>20.787517474281568</v>
      </c>
      <c r="K150">
        <v>21.425098892884705</v>
      </c>
      <c r="L150">
        <v>0</v>
      </c>
      <c r="M150">
        <v>446.95158783640363</v>
      </c>
      <c r="N150" t="str">
        <v>Name 3</v>
      </c>
    </row>
    <row r="151" spans="1:14" x14ac:dyDescent="0.2">
      <c r="A151" t="str">
        <v>CCCCC3333C</v>
      </c>
      <c r="B151" t="str">
        <v>Parag Parikh Flexi Cap Fund - Direct Growth</v>
      </c>
      <c r="C151" s="37">
        <v>41047</v>
      </c>
      <c r="D151">
        <v>-740.13</v>
      </c>
      <c r="E151">
        <v>-16660.68</v>
      </c>
      <c r="F151" t="str">
        <v>FY 2012-13</v>
      </c>
      <c r="G151" t="str">
        <v>Equity</v>
      </c>
      <c r="H151">
        <v>740.13</v>
      </c>
      <c r="I151">
        <v>0</v>
      </c>
      <c r="J151">
        <v>20.780647645601675</v>
      </c>
      <c r="K151">
        <v>22.510477889019498</v>
      </c>
      <c r="L151">
        <v>0</v>
      </c>
      <c r="M151">
        <v>1280.2992580608329</v>
      </c>
      <c r="N151" t="str">
        <v>Name 3</v>
      </c>
    </row>
    <row r="152" spans="1:14" x14ac:dyDescent="0.2">
      <c r="A152" t="str">
        <v>CCCCC3333C</v>
      </c>
      <c r="B152" t="str">
        <v>Parag Parikh Flexi Cap Fund - Direct Growth</v>
      </c>
      <c r="C152" s="37">
        <v>41197</v>
      </c>
      <c r="D152">
        <v>0</v>
      </c>
      <c r="E152">
        <v>2026.09</v>
      </c>
      <c r="F152" t="str">
        <v>FY 2012-13</v>
      </c>
      <c r="G152" t="str">
        <v>Equity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 t="str">
        <v>Name 3</v>
      </c>
    </row>
    <row r="153" spans="1:14" x14ac:dyDescent="0.2">
      <c r="A153" t="str">
        <v>CCCCC3333C</v>
      </c>
      <c r="B153" t="str">
        <v>Parag Parikh Flexi Cap Fund - Direct Growth</v>
      </c>
      <c r="C153" s="37">
        <v>41947</v>
      </c>
      <c r="D153">
        <v>0</v>
      </c>
      <c r="E153">
        <v>4361.01</v>
      </c>
      <c r="F153" t="str">
        <v>FY 2014-15</v>
      </c>
      <c r="G153" t="str">
        <v>Equity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 t="str">
        <v>Name 3</v>
      </c>
    </row>
    <row r="154" spans="1:14" x14ac:dyDescent="0.2">
      <c r="A154" t="str">
        <v>CCCCC3333C</v>
      </c>
      <c r="B154" t="str">
        <v>Parag Parikh Flexi Cap Fund - Direct Growth</v>
      </c>
      <c r="C154" s="37">
        <v>43657</v>
      </c>
      <c r="D154">
        <v>0</v>
      </c>
      <c r="E154">
        <v>8841.7800000000007</v>
      </c>
      <c r="F154" t="str">
        <v>FY 2019-20</v>
      </c>
      <c r="G154" t="str">
        <v>Equity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 t="str">
        <v>Name 3</v>
      </c>
    </row>
    <row r="155" spans="1:14" x14ac:dyDescent="0.2">
      <c r="A155" t="str">
        <v>CCCCC3333C</v>
      </c>
      <c r="B155" t="str">
        <v>Parag Parikh Flexi Cap Fund - Direct Growth</v>
      </c>
      <c r="C155" s="37">
        <v>44107</v>
      </c>
      <c r="D155">
        <v>-3958.98</v>
      </c>
      <c r="E155">
        <v>-152536.66</v>
      </c>
      <c r="F155" t="str">
        <v>FY 2020-21</v>
      </c>
      <c r="G155" t="str">
        <v>Equity</v>
      </c>
      <c r="H155">
        <v>3958.98</v>
      </c>
      <c r="I155">
        <v>0</v>
      </c>
      <c r="J155">
        <v>22.088542883551963</v>
      </c>
      <c r="K155">
        <v>38.529282795063374</v>
      </c>
      <c r="L155">
        <v>0</v>
      </c>
      <c r="M155">
        <v>65088.560494875448</v>
      </c>
      <c r="N155" t="str">
        <v>Name 3</v>
      </c>
    </row>
    <row r="156" spans="1:14" x14ac:dyDescent="0.2">
      <c r="A156" t="str">
        <v>CCCCC3333C</v>
      </c>
      <c r="B156" t="str">
        <v>Parag Parikh Flexi Cap Fund - Direct Growth</v>
      </c>
      <c r="C156" s="37">
        <v>44257</v>
      </c>
      <c r="D156">
        <v>0</v>
      </c>
      <c r="E156">
        <v>8244.25</v>
      </c>
      <c r="F156" t="str">
        <v>FY 2020-21</v>
      </c>
      <c r="G156" t="str">
        <v>Equity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 t="str">
        <v>Name 3</v>
      </c>
    </row>
    <row r="157" spans="1:14" x14ac:dyDescent="0.2">
      <c r="A157" t="str">
        <v>CCCCC3333C</v>
      </c>
      <c r="B157" t="str">
        <v>Parag Parikh Flexi Cap Fund - Direct Growth</v>
      </c>
      <c r="C157" s="37">
        <v>44647</v>
      </c>
      <c r="D157">
        <v>-3598.3009999999999</v>
      </c>
      <c r="E157">
        <v>-162383.63</v>
      </c>
      <c r="F157" t="str">
        <v>FY 2021-22</v>
      </c>
      <c r="G157" t="str">
        <v>Equity</v>
      </c>
      <c r="H157">
        <v>3598.3009999999999</v>
      </c>
      <c r="I157">
        <v>0</v>
      </c>
      <c r="J157">
        <v>25.891000582707303</v>
      </c>
      <c r="K157">
        <v>45.127861732523215</v>
      </c>
      <c r="L157">
        <v>0</v>
      </c>
      <c r="M157">
        <v>69220.016712243741</v>
      </c>
      <c r="N157" t="str">
        <v>Name 3</v>
      </c>
    </row>
    <row r="158" spans="1:14" x14ac:dyDescent="0.2">
      <c r="A158" t="str">
        <v>CCCCC3333C</v>
      </c>
      <c r="B158" t="str">
        <v>Parag Parikh Flexi Cap Fund - Direct Growth</v>
      </c>
      <c r="C158" s="37">
        <v>44737</v>
      </c>
      <c r="D158">
        <v>0</v>
      </c>
      <c r="E158">
        <v>7361.58</v>
      </c>
      <c r="F158" t="str">
        <v>FY 2022-23</v>
      </c>
      <c r="G158" t="str">
        <v>Equity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 t="str">
        <v>Name 3</v>
      </c>
    </row>
    <row r="159" spans="1:14" x14ac:dyDescent="0.2">
      <c r="A159" t="str">
        <v>CCCCC3333C</v>
      </c>
      <c r="B159" t="str">
        <v>Parag Parikh Flexi Cap Fund - Direct Growth</v>
      </c>
      <c r="C159" s="37">
        <v>45217</v>
      </c>
      <c r="D159">
        <v>0</v>
      </c>
      <c r="E159">
        <v>8222.59</v>
      </c>
      <c r="F159" t="str">
        <v>FY 2023-24</v>
      </c>
      <c r="G159" t="str">
        <v>Equity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 t="str">
        <v>Name 3</v>
      </c>
    </row>
    <row r="160" spans="1:14" x14ac:dyDescent="0.2">
      <c r="A160" t="str">
        <v>CCCCC3333C</v>
      </c>
      <c r="B160" t="str">
        <v>Parag Parikh Flexi Cap Fund - Direct Growth</v>
      </c>
      <c r="C160" s="37">
        <v>45547</v>
      </c>
      <c r="D160">
        <v>0</v>
      </c>
      <c r="E160">
        <v>8790.94</v>
      </c>
      <c r="F160" t="str">
        <v>FY 2024-25</v>
      </c>
      <c r="G160" t="str">
        <v>Equity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 t="str">
        <v>Name 3</v>
      </c>
    </row>
    <row r="161" spans="1:14" x14ac:dyDescent="0.2">
      <c r="A161" t="str">
        <v>CCCCC3333C</v>
      </c>
      <c r="B161" t="str">
        <v>SBI Liquid Fund Direct Growth</v>
      </c>
      <c r="C161" s="37">
        <v>40569</v>
      </c>
      <c r="D161">
        <v>-98.95</v>
      </c>
      <c r="E161">
        <v>-2024.44</v>
      </c>
      <c r="F161" t="str">
        <v>FY 2010-11</v>
      </c>
      <c r="G161" t="str">
        <v>Equity</v>
      </c>
      <c r="H161">
        <v>0</v>
      </c>
      <c r="I161">
        <v>98.95</v>
      </c>
      <c r="J161">
        <v>19.971002104943622</v>
      </c>
      <c r="K161">
        <v>20.459221829206669</v>
      </c>
      <c r="L161">
        <v>48.309341715828488</v>
      </c>
      <c r="M161">
        <v>0</v>
      </c>
      <c r="N161" t="str">
        <v>Name 3</v>
      </c>
    </row>
    <row r="162" spans="1:14" x14ac:dyDescent="0.2">
      <c r="A162" t="str">
        <v>CCCCC3333C</v>
      </c>
      <c r="B162" t="str">
        <v>SBI Liquid Fund Direct Growth</v>
      </c>
      <c r="C162" s="37">
        <v>40689</v>
      </c>
      <c r="D162">
        <v>-272.49900000000002</v>
      </c>
      <c r="E162">
        <v>-5694.63</v>
      </c>
      <c r="F162" t="str">
        <v>FY 2011-12</v>
      </c>
      <c r="G162" t="str">
        <v>Equity</v>
      </c>
      <c r="H162">
        <v>0</v>
      </c>
      <c r="I162">
        <v>272.49900000000002</v>
      </c>
      <c r="J162">
        <v>20.187928521088832</v>
      </c>
      <c r="K162">
        <v>20.897801459821871</v>
      </c>
      <c r="L162">
        <v>193.43966593181432</v>
      </c>
      <c r="M162">
        <v>0</v>
      </c>
      <c r="N162" t="str">
        <v>Name 3</v>
      </c>
    </row>
    <row r="163" spans="1:14" x14ac:dyDescent="0.2">
      <c r="A163" t="str">
        <v>CCCCC3333C</v>
      </c>
      <c r="B163" t="str">
        <v>SBI Liquid Fund Direct Growth</v>
      </c>
      <c r="C163" s="37">
        <v>42099</v>
      </c>
      <c r="D163">
        <v>-2094.373</v>
      </c>
      <c r="E163">
        <v>-62369.08</v>
      </c>
      <c r="F163" t="str">
        <v>FY 2015-16</v>
      </c>
      <c r="G163" t="str">
        <v>Equity</v>
      </c>
      <c r="H163">
        <v>2094.373</v>
      </c>
      <c r="I163">
        <v>0</v>
      </c>
      <c r="J163">
        <v>21.050059414894896</v>
      </c>
      <c r="K163">
        <v>29.779356399266032</v>
      </c>
      <c r="L163">
        <v>0</v>
      </c>
      <c r="M163">
        <v>18282.403913048329</v>
      </c>
      <c r="N163" t="str">
        <v>Name 3</v>
      </c>
    </row>
    <row r="164" spans="1:14" x14ac:dyDescent="0.2">
      <c r="A164" t="str">
        <v>CCCCC3333C</v>
      </c>
      <c r="B164" t="str">
        <v>SBI Liquid Fund Direct Growth</v>
      </c>
      <c r="C164" s="37">
        <v>42759</v>
      </c>
      <c r="D164">
        <v>-2411.933</v>
      </c>
      <c r="E164">
        <v>-70360.039999999994</v>
      </c>
      <c r="F164" t="str">
        <v>FY 2016-17</v>
      </c>
      <c r="G164" t="str">
        <v>Equity</v>
      </c>
      <c r="H164">
        <v>2411.933</v>
      </c>
      <c r="I164">
        <v>0</v>
      </c>
      <c r="J164">
        <v>23.115450936031269</v>
      </c>
      <c r="K164">
        <v>29.171639510716091</v>
      </c>
      <c r="L164">
        <v>0</v>
      </c>
      <c r="M164">
        <v>14607.121077505284</v>
      </c>
      <c r="N164" t="str">
        <v>Name 3</v>
      </c>
    </row>
    <row r="165" spans="1:14" x14ac:dyDescent="0.2">
      <c r="A165" t="str">
        <v>CCCCC3333C</v>
      </c>
      <c r="B165" t="str">
        <v>SBI Liquid Fund Direct Growth</v>
      </c>
      <c r="C165" s="37">
        <v>45099</v>
      </c>
      <c r="D165">
        <v>-4154.7</v>
      </c>
      <c r="E165">
        <v>-174636.93</v>
      </c>
      <c r="F165" t="str">
        <v>FY 2023-24</v>
      </c>
      <c r="G165" t="str">
        <v>Equity</v>
      </c>
      <c r="H165">
        <v>4154.7</v>
      </c>
      <c r="I165">
        <v>0</v>
      </c>
      <c r="J165">
        <v>25.575649948553558</v>
      </c>
      <c r="K165">
        <v>42.033583652249263</v>
      </c>
      <c r="L165">
        <v>0</v>
      </c>
      <c r="M165">
        <v>68377.777158744546</v>
      </c>
      <c r="N165" t="str">
        <v>Name 3</v>
      </c>
    </row>
    <row r="166" spans="1:14" x14ac:dyDescent="0.2">
      <c r="A166" t="str">
        <v>CCCCC3333C</v>
      </c>
      <c r="B166" t="str">
        <v>ICICI Pru Equity &amp; Debt Fund - Direct Growth</v>
      </c>
      <c r="C166" s="37">
        <v>40291</v>
      </c>
      <c r="D166">
        <v>-189.857</v>
      </c>
      <c r="E166">
        <v>-4053.62</v>
      </c>
      <c r="F166" t="str">
        <v>FY 2010-11</v>
      </c>
      <c r="G166" t="str">
        <v>Equity</v>
      </c>
      <c r="H166">
        <v>0</v>
      </c>
      <c r="I166">
        <v>189.857</v>
      </c>
      <c r="J166">
        <v>20.48701737708814</v>
      </c>
      <c r="K166">
        <v>21.350911475478913</v>
      </c>
      <c r="L166">
        <v>164.016341838177</v>
      </c>
      <c r="M166">
        <v>0</v>
      </c>
      <c r="N166" t="str">
        <v>Name 3</v>
      </c>
    </row>
    <row r="167" spans="1:14" x14ac:dyDescent="0.2">
      <c r="A167" t="str">
        <v>CCCCC3333C</v>
      </c>
      <c r="B167" t="str">
        <v>ICICI Pru Equity &amp; Debt Fund - Direct Growth</v>
      </c>
      <c r="C167" s="37">
        <v>40531</v>
      </c>
      <c r="D167">
        <v>0</v>
      </c>
      <c r="E167">
        <v>1301.92</v>
      </c>
      <c r="F167" t="str">
        <v>FY 2010-11</v>
      </c>
      <c r="G167" t="str">
        <v>Equity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 t="str">
        <v>Name 3</v>
      </c>
    </row>
    <row r="168" spans="1:14" x14ac:dyDescent="0.2">
      <c r="A168" t="str">
        <v>CCCCC3333C</v>
      </c>
      <c r="B168" t="str">
        <v>ICICI Pru Equity &amp; Debt Fund - Direct Growth</v>
      </c>
      <c r="C168" s="37">
        <v>40921</v>
      </c>
      <c r="D168">
        <v>-1059.479</v>
      </c>
      <c r="E168">
        <v>-27276.05</v>
      </c>
      <c r="F168" t="str">
        <v>FY 2011-12</v>
      </c>
      <c r="G168" t="str">
        <v>Equity</v>
      </c>
      <c r="H168">
        <v>1059.479</v>
      </c>
      <c r="I168">
        <v>0</v>
      </c>
      <c r="J168">
        <v>21.203359902716258</v>
      </c>
      <c r="K168">
        <v>25.744776442005929</v>
      </c>
      <c r="L168">
        <v>0</v>
      </c>
      <c r="M168">
        <v>4811.5354536300811</v>
      </c>
      <c r="N168" t="str">
        <v>Name 3</v>
      </c>
    </row>
    <row r="169" spans="1:14" x14ac:dyDescent="0.2">
      <c r="A169" t="str">
        <v>CCCCC3333C</v>
      </c>
      <c r="B169" t="str">
        <v>ICICI Pru Equity &amp; Debt Fund - Direct Growth</v>
      </c>
      <c r="C169" s="37">
        <v>41611</v>
      </c>
      <c r="D169">
        <v>-1682.873</v>
      </c>
      <c r="E169">
        <v>-50192.32</v>
      </c>
      <c r="F169" t="str">
        <v>FY 2013-14</v>
      </c>
      <c r="G169" t="str">
        <v>Equity</v>
      </c>
      <c r="H169">
        <v>1682.873</v>
      </c>
      <c r="I169">
        <v>0</v>
      </c>
      <c r="J169">
        <v>21.819777610206192</v>
      </c>
      <c r="K169">
        <v>29.825376008765961</v>
      </c>
      <c r="L169">
        <v>0</v>
      </c>
      <c r="M169">
        <v>13472.405393779474</v>
      </c>
      <c r="N169" t="str">
        <v>Name 3</v>
      </c>
    </row>
    <row r="170" spans="1:14" x14ac:dyDescent="0.2">
      <c r="A170" t="str">
        <v>CCCCC3333C</v>
      </c>
      <c r="B170" t="str">
        <v>ICICI Pru Equity &amp; Debt Fund - Direct Growth</v>
      </c>
      <c r="C170" s="37">
        <v>41821</v>
      </c>
      <c r="D170">
        <v>0</v>
      </c>
      <c r="E170">
        <v>3916.44</v>
      </c>
      <c r="F170" t="str">
        <v>FY 2014-15</v>
      </c>
      <c r="G170" t="str">
        <v>Equity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 t="str">
        <v>Name 3</v>
      </c>
    </row>
    <row r="171" spans="1:14" x14ac:dyDescent="0.2">
      <c r="A171" t="str">
        <v>CCCCC3333C</v>
      </c>
      <c r="B171" t="str">
        <v>ICICI Pru Equity &amp; Debt Fund - Direct Growth</v>
      </c>
      <c r="C171" s="37">
        <v>42211</v>
      </c>
      <c r="D171">
        <v>-1940.1679999999999</v>
      </c>
      <c r="E171">
        <v>-72259.350000000006</v>
      </c>
      <c r="F171" t="str">
        <v>FY 2015-16</v>
      </c>
      <c r="G171" t="str">
        <v>Equity</v>
      </c>
      <c r="H171">
        <v>1940.1679999999999</v>
      </c>
      <c r="I171">
        <v>0</v>
      </c>
      <c r="J171">
        <v>23.747323639489238</v>
      </c>
      <c r="K171">
        <v>37.243862387174723</v>
      </c>
      <c r="L171">
        <v>0</v>
      </c>
      <c r="M171">
        <v>26185.552589019448</v>
      </c>
      <c r="N171" t="str">
        <v>Name 3</v>
      </c>
    </row>
    <row r="172" spans="1:14" x14ac:dyDescent="0.2">
      <c r="A172" t="str">
        <v>CCCCC3333C</v>
      </c>
      <c r="B172" t="str">
        <v>ICICI Pru Equity &amp; Debt Fund - Direct Growth</v>
      </c>
      <c r="C172" s="37">
        <v>42331</v>
      </c>
      <c r="D172">
        <v>-1661.3309999999999</v>
      </c>
      <c r="E172">
        <v>-60671.05</v>
      </c>
      <c r="F172" t="str">
        <v>FY 2015-16</v>
      </c>
      <c r="G172" t="str">
        <v>Equity</v>
      </c>
      <c r="H172">
        <v>1661.3309999999999</v>
      </c>
      <c r="I172">
        <v>0</v>
      </c>
      <c r="J172">
        <v>26.072818663088849</v>
      </c>
      <c r="K172">
        <v>36.519543667095846</v>
      </c>
      <c r="L172">
        <v>0</v>
      </c>
      <c r="M172">
        <v>17355.468097631947</v>
      </c>
      <c r="N172" t="str">
        <v>Name 3</v>
      </c>
    </row>
    <row r="173" spans="1:14" x14ac:dyDescent="0.2">
      <c r="A173" t="str">
        <v>CCCCC3333C</v>
      </c>
      <c r="B173" t="str">
        <v>ICICI Pru Equity &amp; Debt Fund - Direct Growth</v>
      </c>
      <c r="C173" s="37">
        <v>42541</v>
      </c>
      <c r="D173">
        <v>0</v>
      </c>
      <c r="E173">
        <v>3803.7</v>
      </c>
      <c r="F173" t="str">
        <v>FY 2016-17</v>
      </c>
      <c r="G173" t="str">
        <v>Equity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 t="str">
        <v>Name 3</v>
      </c>
    </row>
    <row r="174" spans="1:14" x14ac:dyDescent="0.2">
      <c r="A174" t="str">
        <v>CCCCC3333C</v>
      </c>
      <c r="B174" t="str">
        <v>ICICI Pru Equity &amp; Debt Fund - Direct Growth</v>
      </c>
      <c r="C174" s="37">
        <v>43531</v>
      </c>
      <c r="D174">
        <v>0</v>
      </c>
      <c r="E174">
        <v>5988.2</v>
      </c>
      <c r="F174" t="str">
        <v>FY 2018-19</v>
      </c>
      <c r="G174" t="str">
        <v>Equity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 t="str">
        <v>Name 3</v>
      </c>
    </row>
    <row r="175" spans="1:14" x14ac:dyDescent="0.2">
      <c r="A175" t="str">
        <v>CCCCC3333C</v>
      </c>
      <c r="B175" t="str">
        <v>ICICI Pru Equity &amp; Debt Fund - Direct Growth</v>
      </c>
      <c r="C175" s="37">
        <v>43591</v>
      </c>
      <c r="D175">
        <v>-2445.2469999999998</v>
      </c>
      <c r="E175">
        <v>-97856.29</v>
      </c>
      <c r="F175" t="str">
        <v>FY 2019-20</v>
      </c>
      <c r="G175" t="str">
        <v>Equity</v>
      </c>
      <c r="H175">
        <v>2445.2469999999998</v>
      </c>
      <c r="I175">
        <v>0</v>
      </c>
      <c r="J175">
        <v>27.603561728246881</v>
      </c>
      <c r="K175">
        <v>40.018979677717631</v>
      </c>
      <c r="L175">
        <v>0</v>
      </c>
      <c r="M175">
        <v>30358.763494689501</v>
      </c>
      <c r="N175" t="str">
        <v>Name 3</v>
      </c>
    </row>
    <row r="176" spans="1:14" x14ac:dyDescent="0.2">
      <c r="A176" t="str">
        <v>CCCCC3333C</v>
      </c>
      <c r="B176" t="str">
        <v>ICICI Pru Equity &amp; Debt Fund - Direct Growth</v>
      </c>
      <c r="C176" s="37">
        <v>43651</v>
      </c>
      <c r="D176">
        <v>0</v>
      </c>
      <c r="E176">
        <v>5014.29</v>
      </c>
      <c r="F176" t="str">
        <v>FY 2019-20</v>
      </c>
      <c r="G176" t="str">
        <v>Equity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 t="str">
        <v>Name 3</v>
      </c>
    </row>
    <row r="177" spans="1:14" x14ac:dyDescent="0.2">
      <c r="A177" t="str">
        <v>CCCCC3333C</v>
      </c>
      <c r="B177" t="str">
        <v>ICICI Pru Equity &amp; Debt Fund - Direct Growth</v>
      </c>
      <c r="C177" s="37">
        <v>43891</v>
      </c>
      <c r="D177">
        <v>-2200.6350000000002</v>
      </c>
      <c r="E177">
        <v>-93600.68</v>
      </c>
      <c r="F177" t="str">
        <v>FY 2019-20</v>
      </c>
      <c r="G177" t="str">
        <v>Equity</v>
      </c>
      <c r="H177">
        <v>2200.6350000000002</v>
      </c>
      <c r="I177">
        <v>0</v>
      </c>
      <c r="J177">
        <v>31.237165183082375</v>
      </c>
      <c r="K177">
        <v>42.53348692536472</v>
      </c>
      <c r="L177">
        <v>0</v>
      </c>
      <c r="M177">
        <v>24859.08099732751</v>
      </c>
      <c r="N177" t="str">
        <v>Name 3</v>
      </c>
    </row>
    <row r="178" spans="1:14" x14ac:dyDescent="0.2">
      <c r="A178" t="str">
        <v>CCCCC3333C</v>
      </c>
      <c r="B178" t="str">
        <v>ICICI Pru Equity &amp; Debt Fund - Direct Growth</v>
      </c>
      <c r="C178" s="37">
        <v>43951</v>
      </c>
      <c r="D178">
        <v>0</v>
      </c>
      <c r="E178">
        <v>4519.5200000000004</v>
      </c>
      <c r="F178" t="str">
        <v>FY 2020-21</v>
      </c>
      <c r="G178" t="str">
        <v>Equity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 t="str">
        <v>Name 3</v>
      </c>
    </row>
    <row r="179" spans="1:14" x14ac:dyDescent="0.2">
      <c r="A179" t="str">
        <v>CCCCC3333C</v>
      </c>
      <c r="B179" t="str">
        <v>ICICI Pru Equity &amp; Debt Fund - Direct Growth</v>
      </c>
      <c r="C179" s="37">
        <v>43981</v>
      </c>
      <c r="D179">
        <v>-1831.5719999999999</v>
      </c>
      <c r="E179">
        <v>-77079.05</v>
      </c>
      <c r="F179" t="str">
        <v>FY 2020-21</v>
      </c>
      <c r="G179" t="str">
        <v>Equity</v>
      </c>
      <c r="H179">
        <v>1831.5719999999999</v>
      </c>
      <c r="I179">
        <v>0</v>
      </c>
      <c r="J179">
        <v>35.584236027542318</v>
      </c>
      <c r="K179">
        <v>42.083548995070906</v>
      </c>
      <c r="L179">
        <v>0</v>
      </c>
      <c r="M179">
        <v>11903.959650562272</v>
      </c>
      <c r="N179" t="str">
        <v>Name 3</v>
      </c>
    </row>
    <row r="180" spans="1:14" x14ac:dyDescent="0.2">
      <c r="A180" t="str">
        <v>CCCCC3333C</v>
      </c>
      <c r="B180" t="str">
        <v>ICICI Pru Equity &amp; Debt Fund - Direct Growth</v>
      </c>
      <c r="C180" s="37">
        <v>44281</v>
      </c>
      <c r="D180">
        <v>-1697.655</v>
      </c>
      <c r="E180">
        <v>-72326.880000000005</v>
      </c>
      <c r="F180" t="str">
        <v>FY 2020-21</v>
      </c>
      <c r="G180" t="str">
        <v>Equity</v>
      </c>
      <c r="H180">
        <v>1697.655</v>
      </c>
      <c r="I180">
        <v>0</v>
      </c>
      <c r="J180">
        <v>36.662271200216388</v>
      </c>
      <c r="K180">
        <v>42.603991977168512</v>
      </c>
      <c r="L180">
        <v>0</v>
      </c>
      <c r="M180">
        <v>10086.991985596658</v>
      </c>
      <c r="N180" t="str">
        <v>Name 3</v>
      </c>
    </row>
    <row r="181" spans="1:14" x14ac:dyDescent="0.2">
      <c r="A181" t="str">
        <v>CCCCC3333C</v>
      </c>
      <c r="B181" t="str">
        <v>ICICI Pru Equity &amp; Debt Fund - Direct Growth</v>
      </c>
      <c r="C181" s="37">
        <v>44371</v>
      </c>
      <c r="D181">
        <v>-1429.5219999999999</v>
      </c>
      <c r="E181">
        <v>-59625.91</v>
      </c>
      <c r="F181" t="str">
        <v>FY 2021-22</v>
      </c>
      <c r="G181" t="str">
        <v>Equity</v>
      </c>
      <c r="H181">
        <v>1429.5219999999999</v>
      </c>
      <c r="I181">
        <v>0</v>
      </c>
      <c r="J181">
        <v>37.091748953361332</v>
      </c>
      <c r="K181">
        <v>41.710382911210885</v>
      </c>
      <c r="L181">
        <v>0</v>
      </c>
      <c r="M181">
        <v>6602.4388526930088</v>
      </c>
      <c r="N181" t="str">
        <v>Name 3</v>
      </c>
    </row>
    <row r="182" spans="1:14" x14ac:dyDescent="0.2">
      <c r="A182" t="str">
        <v>CCCCC3333C</v>
      </c>
      <c r="B182" t="str">
        <v>ICICI Pru Equity &amp; Debt Fund - Direct Growth</v>
      </c>
      <c r="C182" s="37">
        <v>44641</v>
      </c>
      <c r="D182">
        <v>-1350.5530000000001</v>
      </c>
      <c r="E182">
        <v>-61007.75</v>
      </c>
      <c r="F182" t="str">
        <v>FY 2021-22</v>
      </c>
      <c r="G182" t="str">
        <v>Equity</v>
      </c>
      <c r="H182">
        <v>1350.5530000000001</v>
      </c>
      <c r="I182">
        <v>0</v>
      </c>
      <c r="J182">
        <v>38.31840667311554</v>
      </c>
      <c r="K182">
        <v>45.172421963447562</v>
      </c>
      <c r="L182">
        <v>0</v>
      </c>
      <c r="M182">
        <v>9256.7109124037834</v>
      </c>
      <c r="N182" t="str">
        <v>Name 3</v>
      </c>
    </row>
    <row r="183" spans="1:14" x14ac:dyDescent="0.2">
      <c r="A183" t="str">
        <v>CCCCC3333C</v>
      </c>
      <c r="B183" t="str">
        <v>ICICI Pru Equity &amp; Debt Fund - Direct Growth</v>
      </c>
      <c r="C183" s="37">
        <v>44911</v>
      </c>
      <c r="D183">
        <v>0</v>
      </c>
      <c r="E183">
        <v>3183.47</v>
      </c>
      <c r="F183" t="str">
        <v>FY 2022-23</v>
      </c>
      <c r="G183" t="str">
        <v>Equity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 t="str">
        <v>Name 3</v>
      </c>
    </row>
    <row r="184" spans="1:14" x14ac:dyDescent="0.2">
      <c r="A184" t="str">
        <v>CCCCC3333C</v>
      </c>
      <c r="B184" t="str">
        <v>ICICI Pru Equity &amp; Debt Fund - Direct Growth</v>
      </c>
      <c r="C184" s="37">
        <v>45331</v>
      </c>
      <c r="D184">
        <v>0</v>
      </c>
      <c r="E184">
        <v>3856.79</v>
      </c>
      <c r="F184" t="str">
        <v>FY 2023-24</v>
      </c>
      <c r="G184" t="str">
        <v>Equity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 t="str">
        <v>Name 3</v>
      </c>
    </row>
    <row r="185" spans="1:14" x14ac:dyDescent="0.2">
      <c r="A185" t="str">
        <v>CCCCC3333C</v>
      </c>
      <c r="B185" t="str">
        <v>ICICI Pru Equity &amp; Debt Fund - Direct Growth</v>
      </c>
      <c r="C185" s="37">
        <v>45871</v>
      </c>
      <c r="D185">
        <v>0</v>
      </c>
      <c r="E185">
        <v>4643.55</v>
      </c>
      <c r="F185" t="str">
        <v>FY 2025-26</v>
      </c>
      <c r="G185" t="str">
        <v>Equity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 t="str">
        <v>Name 3</v>
      </c>
    </row>
    <row r="186" spans="1:14" x14ac:dyDescent="0.2">
      <c r="A186" t="str">
        <v>CCCCC3333C</v>
      </c>
      <c r="B186" t="str">
        <v>Axis ELSS Tax Saver Fund - Direct Growth</v>
      </c>
      <c r="C186" s="37">
        <v>40806</v>
      </c>
      <c r="D186">
        <v>0</v>
      </c>
      <c r="E186">
        <v>1279.77</v>
      </c>
      <c r="F186" t="str">
        <v>FY 2011-12</v>
      </c>
      <c r="G186" t="str">
        <v>Equity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 t="str">
        <v>Name 3</v>
      </c>
    </row>
    <row r="187" spans="1:14" x14ac:dyDescent="0.2">
      <c r="A187" t="str">
        <v>CCCCC3333C</v>
      </c>
      <c r="B187" t="str">
        <v>Axis ELSS Tax Saver Fund - Direct Growth</v>
      </c>
      <c r="C187" s="37">
        <v>41856</v>
      </c>
      <c r="D187">
        <v>-2179.15</v>
      </c>
      <c r="E187">
        <v>-49221.85</v>
      </c>
      <c r="F187" t="str">
        <v>FY 2014-15</v>
      </c>
      <c r="G187" t="str">
        <v>Equity</v>
      </c>
      <c r="H187">
        <v>2179.15</v>
      </c>
      <c r="I187">
        <v>0</v>
      </c>
      <c r="J187">
        <v>19.505274610847202</v>
      </c>
      <c r="K187">
        <v>22.58763738154785</v>
      </c>
      <c r="L187">
        <v>0</v>
      </c>
      <c r="M187">
        <v>6716.9308317723171</v>
      </c>
      <c r="N187" t="str">
        <v>Name 3</v>
      </c>
    </row>
    <row r="188" spans="1:14" x14ac:dyDescent="0.2">
      <c r="A188" t="str">
        <v>CCCCC3333C</v>
      </c>
      <c r="B188" t="str">
        <v>Axis ELSS Tax Saver Fund - Direct Growth</v>
      </c>
      <c r="C188" s="37">
        <v>41946</v>
      </c>
      <c r="D188">
        <v>0</v>
      </c>
      <c r="E188">
        <v>4694.18</v>
      </c>
      <c r="F188" t="str">
        <v>FY 2014-15</v>
      </c>
      <c r="G188" t="str">
        <v>Equity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 t="str">
        <v>Name 3</v>
      </c>
    </row>
    <row r="189" spans="1:14" x14ac:dyDescent="0.2">
      <c r="A189" t="str">
        <v>CCCCC3333C</v>
      </c>
      <c r="B189" t="str">
        <v>Axis ELSS Tax Saver Fund - Direct Growth</v>
      </c>
      <c r="C189" s="37">
        <v>42216</v>
      </c>
      <c r="D189">
        <v>0</v>
      </c>
      <c r="E189">
        <v>5704.85</v>
      </c>
      <c r="F189" t="str">
        <v>FY 2015-16</v>
      </c>
      <c r="G189" t="str">
        <v>Equity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 t="str">
        <v>Name 3</v>
      </c>
    </row>
    <row r="190" spans="1:14" x14ac:dyDescent="0.2">
      <c r="A190" t="str">
        <v>CCCCC3333C</v>
      </c>
      <c r="B190" t="str">
        <v>Axis ELSS Tax Saver Fund - Direct Growth</v>
      </c>
      <c r="C190" s="37">
        <v>42696</v>
      </c>
      <c r="D190">
        <v>0</v>
      </c>
      <c r="E190">
        <v>7361.61</v>
      </c>
      <c r="F190" t="str">
        <v>FY 2016-17</v>
      </c>
      <c r="G190" t="str">
        <v>Equity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 t="str">
        <v>Name 3</v>
      </c>
    </row>
    <row r="191" spans="1:14" x14ac:dyDescent="0.2">
      <c r="A191" t="str">
        <v>CCCCC3333C</v>
      </c>
      <c r="B191" t="str">
        <v>Axis ELSS Tax Saver Fund - Direct Growth</v>
      </c>
      <c r="C191" s="37">
        <v>42966</v>
      </c>
      <c r="D191">
        <v>-3304.27</v>
      </c>
      <c r="E191">
        <v>-83508.320000000007</v>
      </c>
      <c r="F191" t="str">
        <v>FY 2017-18</v>
      </c>
      <c r="G191" t="str">
        <v>Equity</v>
      </c>
      <c r="H191">
        <v>3304.27</v>
      </c>
      <c r="I191">
        <v>0</v>
      </c>
      <c r="J191">
        <v>19.9878821224621</v>
      </c>
      <c r="K191">
        <v>25.272849978966612</v>
      </c>
      <c r="L191">
        <v>0</v>
      </c>
      <c r="M191">
        <v>17462.960739212162</v>
      </c>
      <c r="N191" t="str">
        <v>Name 3</v>
      </c>
    </row>
    <row r="192" spans="1:14" x14ac:dyDescent="0.2">
      <c r="A192" t="str">
        <v>CCCCC3333C</v>
      </c>
      <c r="B192" t="str">
        <v>Axis ELSS Tax Saver Fund - Direct Growth</v>
      </c>
      <c r="C192" s="37">
        <v>43386</v>
      </c>
      <c r="D192">
        <v>0</v>
      </c>
      <c r="E192">
        <v>7983.22</v>
      </c>
      <c r="F192" t="str">
        <v>FY 2018-19</v>
      </c>
      <c r="G192" t="str">
        <v>Equity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 t="str">
        <v>Name 3</v>
      </c>
    </row>
    <row r="193" spans="1:14" x14ac:dyDescent="0.2">
      <c r="A193" t="str">
        <v>CCCCC3333C</v>
      </c>
      <c r="B193" t="str">
        <v>Axis ELSS Tax Saver Fund - Direct Growth</v>
      </c>
      <c r="C193" s="37">
        <v>43626</v>
      </c>
      <c r="D193">
        <v>0</v>
      </c>
      <c r="E193">
        <v>8741.2999999999993</v>
      </c>
      <c r="F193" t="str">
        <v>FY 2019-20</v>
      </c>
      <c r="G193" t="str">
        <v>Equity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 t="str">
        <v>Name 3</v>
      </c>
    </row>
    <row r="194" spans="1:14" x14ac:dyDescent="0.2">
      <c r="A194" t="str">
        <v>CCCCC3333C</v>
      </c>
      <c r="B194" t="str">
        <v>Axis ELSS Tax Saver Fund - Direct Growth</v>
      </c>
      <c r="C194" s="37">
        <v>43626</v>
      </c>
      <c r="D194">
        <v>-3496.5189999999998</v>
      </c>
      <c r="E194">
        <v>-91728.320000000007</v>
      </c>
      <c r="F194" t="str">
        <v>FY 2019-20</v>
      </c>
      <c r="G194" t="str">
        <v>Equity</v>
      </c>
      <c r="H194">
        <v>3496.5189999999998</v>
      </c>
      <c r="I194">
        <v>0</v>
      </c>
      <c r="J194">
        <v>20.782851842731951</v>
      </c>
      <c r="K194">
        <v>26.234183197631705</v>
      </c>
      <c r="L194">
        <v>0</v>
      </c>
      <c r="M194">
        <v>19060.683657702732</v>
      </c>
      <c r="N194" t="str">
        <v>Name 3</v>
      </c>
    </row>
    <row r="195" spans="1:14" x14ac:dyDescent="0.2">
      <c r="A195" t="str">
        <v>CCCCC3333C</v>
      </c>
      <c r="B195" t="str">
        <v>Axis ELSS Tax Saver Fund - Direct Growth</v>
      </c>
      <c r="C195" s="37">
        <v>43686</v>
      </c>
      <c r="D195">
        <v>0</v>
      </c>
      <c r="E195">
        <v>7185.12</v>
      </c>
      <c r="F195" t="str">
        <v>FY 2019-20</v>
      </c>
      <c r="G195" t="str">
        <v>Equity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 t="str">
        <v>Name 3</v>
      </c>
    </row>
    <row r="196" spans="1:14" x14ac:dyDescent="0.2">
      <c r="A196" t="str">
        <v>CCCCC3333C</v>
      </c>
      <c r="B196" t="str">
        <v>Axis ELSS Tax Saver Fund - Direct Growth</v>
      </c>
      <c r="C196" s="37">
        <v>43776</v>
      </c>
      <c r="D196">
        <v>0</v>
      </c>
      <c r="E196">
        <v>7462.34</v>
      </c>
      <c r="F196" t="str">
        <v>FY 2019-20</v>
      </c>
      <c r="G196" t="str">
        <v>Equity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 t="str">
        <v>Name 3</v>
      </c>
    </row>
    <row r="197" spans="1:14" x14ac:dyDescent="0.2">
      <c r="A197" t="str">
        <v>CCCCC3333C</v>
      </c>
      <c r="B197" t="str">
        <v>Axis ELSS Tax Saver Fund - Direct Growth</v>
      </c>
      <c r="C197" s="37">
        <v>44076</v>
      </c>
      <c r="D197">
        <v>0</v>
      </c>
      <c r="E197">
        <v>8323.18</v>
      </c>
      <c r="F197" t="str">
        <v>FY 2020-21</v>
      </c>
      <c r="G197" t="str">
        <v>Equity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 t="str">
        <v>Name 3</v>
      </c>
    </row>
    <row r="198" spans="1:14" x14ac:dyDescent="0.2">
      <c r="A198" t="str">
        <v>CCCCC3333C</v>
      </c>
      <c r="B198" t="str">
        <v>Axis ELSS Tax Saver Fund - Direct Growth</v>
      </c>
      <c r="C198" s="37">
        <v>44256</v>
      </c>
      <c r="D198">
        <v>-3522.8969999999999</v>
      </c>
      <c r="E198">
        <v>-108752.96000000001</v>
      </c>
      <c r="F198" t="str">
        <v>FY 2020-21</v>
      </c>
      <c r="G198" t="str">
        <v>Equity</v>
      </c>
      <c r="H198">
        <v>3522.8969999999999</v>
      </c>
      <c r="I198">
        <v>0</v>
      </c>
      <c r="J198">
        <v>22.552351322254637</v>
      </c>
      <c r="K198">
        <v>30.870320648034845</v>
      </c>
      <c r="L198">
        <v>0</v>
      </c>
      <c r="M198">
        <v>29303.349183883118</v>
      </c>
      <c r="N198" t="str">
        <v>Name 3</v>
      </c>
    </row>
    <row r="199" spans="1:14" x14ac:dyDescent="0.2">
      <c r="A199" t="str">
        <v>CCCCC3333C</v>
      </c>
      <c r="B199" t="str">
        <v>Axis ELSS Tax Saver Fund - Direct Growth</v>
      </c>
      <c r="C199" s="37">
        <v>44586</v>
      </c>
      <c r="D199">
        <v>-15703.072</v>
      </c>
      <c r="E199">
        <v>-502963.05</v>
      </c>
      <c r="F199" t="str">
        <v>FY 2021-22</v>
      </c>
      <c r="G199" t="str">
        <v>Equity</v>
      </c>
      <c r="H199">
        <v>15703.072</v>
      </c>
      <c r="I199">
        <v>0</v>
      </c>
      <c r="J199">
        <v>26.385440658526583</v>
      </c>
      <c r="K199">
        <v>32.029595865063854</v>
      </c>
      <c r="L199">
        <v>0</v>
      </c>
      <c r="M199">
        <v>88630.57558742963</v>
      </c>
      <c r="N199" t="str">
        <v>Name 3</v>
      </c>
    </row>
    <row r="200" spans="1:14" x14ac:dyDescent="0.2">
      <c r="A200" t="str">
        <v>DDDDD4444D</v>
      </c>
      <c r="B200" t="str">
        <v>HDFC Flexi Cap Fund - Direct Plan - Growth</v>
      </c>
      <c r="C200" s="37">
        <v>40746</v>
      </c>
      <c r="D200">
        <v>0</v>
      </c>
      <c r="E200">
        <v>1572.96</v>
      </c>
      <c r="F200" t="str">
        <v>FY 2011-12</v>
      </c>
      <c r="G200" t="str">
        <v>Equity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 t="str">
        <v>Name 4</v>
      </c>
    </row>
    <row r="201" spans="1:14" x14ac:dyDescent="0.2">
      <c r="A201" t="str">
        <v>DDDDD4444D</v>
      </c>
      <c r="B201" t="str">
        <v>HDFC Flexi Cap Fund - Direct Plan - Growth</v>
      </c>
      <c r="C201" s="37">
        <v>42576</v>
      </c>
      <c r="D201">
        <v>0</v>
      </c>
      <c r="E201">
        <v>8731.01</v>
      </c>
      <c r="F201" t="str">
        <v>FY 2016-17</v>
      </c>
      <c r="G201" t="str">
        <v>Equity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 t="str">
        <v>Name 4</v>
      </c>
    </row>
    <row r="202" spans="1:14" x14ac:dyDescent="0.2">
      <c r="A202" t="str">
        <v>DDDDD4444D</v>
      </c>
      <c r="B202" t="str">
        <v>HDFC Flexi Cap Fund - Direct Plan - Growth</v>
      </c>
      <c r="C202" s="37">
        <v>42756</v>
      </c>
      <c r="D202">
        <v>0</v>
      </c>
      <c r="E202">
        <v>9398.02</v>
      </c>
      <c r="F202" t="str">
        <v>FY 2016-17</v>
      </c>
      <c r="G202" t="str">
        <v>Equity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 t="str">
        <v>Name 4</v>
      </c>
    </row>
    <row r="203" spans="1:14" x14ac:dyDescent="0.2">
      <c r="A203" t="str">
        <v>DDDDD4444D</v>
      </c>
      <c r="B203" t="str">
        <v>HDFC Flexi Cap Fund - Direct Plan - Growth</v>
      </c>
      <c r="C203" s="37">
        <v>43956</v>
      </c>
      <c r="D203">
        <v>0</v>
      </c>
      <c r="E203">
        <v>13553.78</v>
      </c>
      <c r="F203" t="str">
        <v>FY 2020-21</v>
      </c>
      <c r="G203" t="str">
        <v>Equity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 t="str">
        <v>Name 4</v>
      </c>
    </row>
    <row r="204" spans="1:14" x14ac:dyDescent="0.2">
      <c r="A204" t="str">
        <v>DDDDD4444D</v>
      </c>
      <c r="B204" t="str">
        <v>HDFC Flexi Cap Fund - Direct Plan - Growth</v>
      </c>
      <c r="C204" s="37">
        <v>44676</v>
      </c>
      <c r="D204">
        <v>-6250.1949999999997</v>
      </c>
      <c r="E204">
        <v>-183231.69</v>
      </c>
      <c r="F204" t="str">
        <v>FY 2022-23</v>
      </c>
      <c r="G204" t="str">
        <v>Equity</v>
      </c>
      <c r="H204">
        <v>6250.1949999999997</v>
      </c>
      <c r="I204">
        <v>0</v>
      </c>
      <c r="J204">
        <v>20.749210865143048</v>
      </c>
      <c r="K204">
        <v>29.316155735941042</v>
      </c>
      <c r="L204">
        <v>0</v>
      </c>
      <c r="M204">
        <v>53545.075996737258</v>
      </c>
      <c r="N204" t="str">
        <v>Name 4</v>
      </c>
    </row>
    <row r="205" spans="1:14" x14ac:dyDescent="0.2">
      <c r="A205" t="str">
        <v>DDDDD4444D</v>
      </c>
      <c r="B205" t="str">
        <v>HDFC Flexi Cap Fund - Direct Plan - Growth</v>
      </c>
      <c r="C205" s="37">
        <v>45396</v>
      </c>
      <c r="D205">
        <v>-5754.5649999999996</v>
      </c>
      <c r="E205">
        <v>-193633.29</v>
      </c>
      <c r="F205" t="str">
        <v>FY 2024-25</v>
      </c>
      <c r="G205" t="str">
        <v>Equity</v>
      </c>
      <c r="H205">
        <v>5754.5649999999996</v>
      </c>
      <c r="I205">
        <v>0</v>
      </c>
      <c r="J205">
        <v>21.543632867405211</v>
      </c>
      <c r="K205">
        <v>33.648640687871286</v>
      </c>
      <c r="L205">
        <v>0</v>
      </c>
      <c r="M205">
        <v>69659.054328380356</v>
      </c>
      <c r="N205" t="str">
        <v>Name 4</v>
      </c>
    </row>
    <row r="206" spans="1:14" x14ac:dyDescent="0.2">
      <c r="A206" t="str">
        <v>DDDDD4444D</v>
      </c>
      <c r="B206" t="str">
        <v>Parag Parikh Flexi Cap Fund - Direct Growth</v>
      </c>
      <c r="C206" s="37">
        <v>41072</v>
      </c>
      <c r="D206">
        <v>0</v>
      </c>
      <c r="E206">
        <v>2428.0500000000002</v>
      </c>
      <c r="F206" t="str">
        <v>FY 2012-13</v>
      </c>
      <c r="G206" t="str">
        <v>Equity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 t="str">
        <v>Name 4</v>
      </c>
    </row>
    <row r="207" spans="1:14" x14ac:dyDescent="0.2">
      <c r="A207" t="str">
        <v>DDDDD4444D</v>
      </c>
      <c r="B207" t="str">
        <v>Parag Parikh Flexi Cap Fund - Direct Growth</v>
      </c>
      <c r="C207" s="37">
        <v>41732</v>
      </c>
      <c r="D207">
        <v>-2030.2190000000001</v>
      </c>
      <c r="E207">
        <v>-42723.16</v>
      </c>
      <c r="F207" t="str">
        <v>FY 2014-15</v>
      </c>
      <c r="G207" t="str">
        <v>Equity</v>
      </c>
      <c r="H207">
        <v>2030.2190000000001</v>
      </c>
      <c r="I207">
        <v>0</v>
      </c>
      <c r="J207">
        <v>20.432298221042185</v>
      </c>
      <c r="K207">
        <v>21.043621402420133</v>
      </c>
      <c r="L207">
        <v>0</v>
      </c>
      <c r="M207">
        <v>1241.119937973956</v>
      </c>
      <c r="N207" t="str">
        <v>Name 4</v>
      </c>
    </row>
    <row r="208" spans="1:14" x14ac:dyDescent="0.2">
      <c r="A208" t="str">
        <v>DDDDD4444D</v>
      </c>
      <c r="B208" t="str">
        <v>Parag Parikh Flexi Cap Fund - Direct Growth</v>
      </c>
      <c r="C208" s="37">
        <v>41942</v>
      </c>
      <c r="D208">
        <v>0</v>
      </c>
      <c r="E208">
        <v>4910.4799999999996</v>
      </c>
      <c r="F208" t="str">
        <v>FY 2014-15</v>
      </c>
      <c r="G208" t="str">
        <v>Equity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 t="str">
        <v>Name 4</v>
      </c>
    </row>
    <row r="209" spans="1:14" x14ac:dyDescent="0.2">
      <c r="A209" t="str">
        <v>DDDDD4444D</v>
      </c>
      <c r="B209" t="str">
        <v>Parag Parikh Flexi Cap Fund - Direct Growth</v>
      </c>
      <c r="C209" s="37">
        <v>42302</v>
      </c>
      <c r="D209">
        <v>-2519.6109999999999</v>
      </c>
      <c r="E209">
        <v>-57669.93</v>
      </c>
      <c r="F209" t="str">
        <v>FY 2015-16</v>
      </c>
      <c r="G209" t="str">
        <v>Equity</v>
      </c>
      <c r="H209">
        <v>2519.6109999999999</v>
      </c>
      <c r="I209">
        <v>0</v>
      </c>
      <c r="J209">
        <v>20.72935856786567</v>
      </c>
      <c r="K209">
        <v>22.88842603084365</v>
      </c>
      <c r="L209">
        <v>0</v>
      </c>
      <c r="M209">
        <v>5440.0101294614105</v>
      </c>
      <c r="N209" t="str">
        <v>Name 4</v>
      </c>
    </row>
    <row r="210" spans="1:14" x14ac:dyDescent="0.2">
      <c r="A210" t="str">
        <v>DDDDD4444D</v>
      </c>
      <c r="B210" t="str">
        <v>Parag Parikh Flexi Cap Fund - Direct Growth</v>
      </c>
      <c r="C210" s="37">
        <v>42512</v>
      </c>
      <c r="D210">
        <v>-2309.9789999999998</v>
      </c>
      <c r="E210">
        <v>-56225.72</v>
      </c>
      <c r="F210" t="str">
        <v>FY 2016-17</v>
      </c>
      <c r="G210" t="str">
        <v>Equity</v>
      </c>
      <c r="H210">
        <v>2309.9789999999998</v>
      </c>
      <c r="I210">
        <v>0</v>
      </c>
      <c r="J210">
        <v>20.338467011237512</v>
      </c>
      <c r="K210">
        <v>24.340359804136749</v>
      </c>
      <c r="L210">
        <v>0</v>
      </c>
      <c r="M210">
        <v>9244.2883118485879</v>
      </c>
      <c r="N210" t="str">
        <v>Name 4</v>
      </c>
    </row>
    <row r="211" spans="1:14" x14ac:dyDescent="0.2">
      <c r="A211" t="str">
        <v>DDDDD4444D</v>
      </c>
      <c r="B211" t="str">
        <v>Parag Parikh Flexi Cap Fund - Direct Growth</v>
      </c>
      <c r="C211" s="37">
        <v>42722</v>
      </c>
      <c r="D211">
        <v>0</v>
      </c>
      <c r="E211">
        <v>5289.03</v>
      </c>
      <c r="F211" t="str">
        <v>FY 2016-17</v>
      </c>
      <c r="G211" t="str">
        <v>Equity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 t="str">
        <v>Name 4</v>
      </c>
    </row>
    <row r="212" spans="1:14" x14ac:dyDescent="0.2">
      <c r="A212" t="str">
        <v>DDDDD4444D</v>
      </c>
      <c r="B212" t="str">
        <v>Parag Parikh Flexi Cap Fund - Direct Growth</v>
      </c>
      <c r="C212" s="37">
        <v>43292</v>
      </c>
      <c r="D212">
        <v>-2786.018</v>
      </c>
      <c r="E212">
        <v>-81890.16</v>
      </c>
      <c r="F212" t="str">
        <v>FY 2018-19</v>
      </c>
      <c r="G212" t="str">
        <v>Equity</v>
      </c>
      <c r="H212">
        <v>2786.018</v>
      </c>
      <c r="I212">
        <v>0</v>
      </c>
      <c r="J212">
        <v>21.028913860396589</v>
      </c>
      <c r="K212">
        <v>29.393263072959328</v>
      </c>
      <c r="L212">
        <v>0</v>
      </c>
      <c r="M212">
        <v>23303.227464485619</v>
      </c>
      <c r="N212" t="str">
        <v>Name 4</v>
      </c>
    </row>
    <row r="213" spans="1:14" x14ac:dyDescent="0.2">
      <c r="A213" t="str">
        <v>DDDDD4444D</v>
      </c>
      <c r="B213" t="str">
        <v>Parag Parikh Flexi Cap Fund - Direct Growth</v>
      </c>
      <c r="C213" s="37">
        <v>43532</v>
      </c>
      <c r="D213">
        <v>-2495.857</v>
      </c>
      <c r="E213">
        <v>-73860.84</v>
      </c>
      <c r="F213" t="str">
        <v>FY 2018-19</v>
      </c>
      <c r="G213" t="str">
        <v>Equity</v>
      </c>
      <c r="H213">
        <v>2495.857</v>
      </c>
      <c r="I213">
        <v>0</v>
      </c>
      <c r="J213">
        <v>20.719515350386533</v>
      </c>
      <c r="K213">
        <v>29.593378146263987</v>
      </c>
      <c r="L213">
        <v>0</v>
      </c>
      <c r="M213">
        <v>22147.892576130314</v>
      </c>
      <c r="N213" t="str">
        <v>Name 4</v>
      </c>
    </row>
    <row r="214" spans="1:14" x14ac:dyDescent="0.2">
      <c r="A214" t="str">
        <v>DDDDD4444D</v>
      </c>
      <c r="B214" t="str">
        <v>Parag Parikh Flexi Cap Fund - Direct Growth</v>
      </c>
      <c r="C214" s="37">
        <v>43592</v>
      </c>
      <c r="D214">
        <v>0</v>
      </c>
      <c r="E214">
        <v>5158.63</v>
      </c>
      <c r="F214" t="str">
        <v>FY 2019-20</v>
      </c>
      <c r="G214" t="str">
        <v>Equity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 t="str">
        <v>Name 4</v>
      </c>
    </row>
    <row r="215" spans="1:14" x14ac:dyDescent="0.2">
      <c r="A215" t="str">
        <v>DDDDD4444D</v>
      </c>
      <c r="B215" t="str">
        <v>Parag Parikh Flexi Cap Fund - Direct Growth</v>
      </c>
      <c r="C215" s="37">
        <v>43712</v>
      </c>
      <c r="D215">
        <v>0</v>
      </c>
      <c r="E215">
        <v>5473.59</v>
      </c>
      <c r="F215" t="str">
        <v>FY 2019-20</v>
      </c>
      <c r="G215" t="str">
        <v>Equity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 t="str">
        <v>Name 4</v>
      </c>
    </row>
    <row r="216" spans="1:14" x14ac:dyDescent="0.2">
      <c r="A216" t="str">
        <v>DDDDD4444D</v>
      </c>
      <c r="B216" t="str">
        <v>Parag Parikh Flexi Cap Fund - Direct Growth</v>
      </c>
      <c r="C216" s="37">
        <v>43772</v>
      </c>
      <c r="D216">
        <v>0</v>
      </c>
      <c r="E216">
        <v>5622.21</v>
      </c>
      <c r="F216" t="str">
        <v>FY 2019-20</v>
      </c>
      <c r="G216" t="str">
        <v>Equity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 t="str">
        <v>Name 4</v>
      </c>
    </row>
    <row r="217" spans="1:14" x14ac:dyDescent="0.2">
      <c r="A217" t="str">
        <v>DDDDD4444D</v>
      </c>
      <c r="B217" t="str">
        <v>Parag Parikh Flexi Cap Fund - Direct Growth</v>
      </c>
      <c r="C217" s="37">
        <v>44582</v>
      </c>
      <c r="D217">
        <v>-3010.79</v>
      </c>
      <c r="E217">
        <v>-106952.44</v>
      </c>
      <c r="F217" t="str">
        <v>FY 2021-22</v>
      </c>
      <c r="G217" t="str">
        <v>Equity</v>
      </c>
      <c r="H217">
        <v>3010.79</v>
      </c>
      <c r="I217">
        <v>0</v>
      </c>
      <c r="J217">
        <v>22.04651179775168</v>
      </c>
      <c r="K217">
        <v>35.523048767931343</v>
      </c>
      <c r="L217">
        <v>0</v>
      </c>
      <c r="M217">
        <v>40575.022744447226</v>
      </c>
      <c r="N217" t="str">
        <v>Name 4</v>
      </c>
    </row>
    <row r="218" spans="1:14" x14ac:dyDescent="0.2">
      <c r="A218" t="str">
        <v>DDDDD4444D</v>
      </c>
      <c r="B218" t="str">
        <v>Parag Parikh Flexi Cap Fund - Direct Growth</v>
      </c>
      <c r="C218" s="37">
        <v>45092</v>
      </c>
      <c r="D218">
        <v>0</v>
      </c>
      <c r="E218">
        <v>7140.73</v>
      </c>
      <c r="F218" t="str">
        <v>FY 2023-24</v>
      </c>
      <c r="G218" t="str">
        <v>Equity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 t="str">
        <v>Name 4</v>
      </c>
    </row>
    <row r="219" spans="1:14" x14ac:dyDescent="0.2">
      <c r="A219" t="str">
        <v>DDDDD4444D</v>
      </c>
      <c r="B219" t="str">
        <v>Parag Parikh Flexi Cap Fund - Direct Growth</v>
      </c>
      <c r="C219" s="37">
        <v>45602</v>
      </c>
      <c r="D219">
        <v>0</v>
      </c>
      <c r="E219">
        <v>8148.55</v>
      </c>
      <c r="F219" t="str">
        <v>FY 2024-25</v>
      </c>
      <c r="G219" t="str">
        <v>Equity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 t="str">
        <v>Name 4</v>
      </c>
    </row>
    <row r="220" spans="1:14" x14ac:dyDescent="0.2">
      <c r="A220" t="str">
        <v>DDDDD4444D</v>
      </c>
      <c r="B220" t="str">
        <v>Parag Parikh Flexi Cap Fund - Direct Growth</v>
      </c>
      <c r="C220" s="37">
        <v>45692</v>
      </c>
      <c r="D220">
        <v>0</v>
      </c>
      <c r="E220">
        <v>8312.7099999999991</v>
      </c>
      <c r="F220" t="str">
        <v>FY 2024-25</v>
      </c>
      <c r="G220" t="str">
        <v>Equity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 t="str">
        <v>Name 4</v>
      </c>
    </row>
    <row r="221" spans="1:14" x14ac:dyDescent="0.2">
      <c r="A221" t="str">
        <v>DDDDD4444D</v>
      </c>
      <c r="B221" t="str">
        <v>SBI Liquid Fund Direct Growth</v>
      </c>
      <c r="C221" s="37">
        <v>41199</v>
      </c>
      <c r="D221">
        <v>-1151.92</v>
      </c>
      <c r="E221">
        <v>-26934.23</v>
      </c>
      <c r="F221" t="str">
        <v>FY 2012-13</v>
      </c>
      <c r="G221" t="str">
        <v>Equity</v>
      </c>
      <c r="H221">
        <v>1151.92</v>
      </c>
      <c r="I221">
        <v>0</v>
      </c>
      <c r="J221">
        <v>20.755957307316383</v>
      </c>
      <c r="K221">
        <v>23.38203173831516</v>
      </c>
      <c r="L221">
        <v>0</v>
      </c>
      <c r="M221">
        <v>3025.0276585561114</v>
      </c>
      <c r="N221" t="str">
        <v>Name 4</v>
      </c>
    </row>
    <row r="222" spans="1:14" x14ac:dyDescent="0.2">
      <c r="A222" t="str">
        <v>DDDDD4444D</v>
      </c>
      <c r="B222" t="str">
        <v>SBI Liquid Fund Direct Growth</v>
      </c>
      <c r="C222" s="37">
        <v>42759</v>
      </c>
      <c r="D222">
        <v>-3032.1480000000001</v>
      </c>
      <c r="E222">
        <v>-83515.63</v>
      </c>
      <c r="F222" t="str">
        <v>FY 2016-17</v>
      </c>
      <c r="G222" t="str">
        <v>Equity</v>
      </c>
      <c r="H222">
        <v>3032.1480000000001</v>
      </c>
      <c r="I222">
        <v>0</v>
      </c>
      <c r="J222">
        <v>21.636254893211124</v>
      </c>
      <c r="K222">
        <v>27.543388383416641</v>
      </c>
      <c r="L222">
        <v>0</v>
      </c>
      <c r="M222">
        <v>17911.30299805968</v>
      </c>
      <c r="N222" t="str">
        <v>Name 4</v>
      </c>
    </row>
    <row r="223" spans="1:14" x14ac:dyDescent="0.2">
      <c r="A223" t="str">
        <v>DDDDD4444D</v>
      </c>
      <c r="B223" t="str">
        <v>SBI Liquid Fund Direct Growth</v>
      </c>
      <c r="C223" s="37">
        <v>42939</v>
      </c>
      <c r="D223">
        <v>-2638.308</v>
      </c>
      <c r="E223">
        <v>-73108.320000000007</v>
      </c>
      <c r="F223" t="str">
        <v>FY 2017-18</v>
      </c>
      <c r="G223" t="str">
        <v>Equity</v>
      </c>
      <c r="H223">
        <v>2638.308</v>
      </c>
      <c r="I223">
        <v>0</v>
      </c>
      <c r="J223">
        <v>23.116914918228634</v>
      </c>
      <c r="K223">
        <v>27.710305241086335</v>
      </c>
      <c r="L223">
        <v>0</v>
      </c>
      <c r="M223">
        <v>12118.778435918055</v>
      </c>
      <c r="N223" t="str">
        <v>Name 4</v>
      </c>
    </row>
    <row r="224" spans="1:14" x14ac:dyDescent="0.2">
      <c r="A224" t="str">
        <v>DDDDD4444D</v>
      </c>
      <c r="B224" t="str">
        <v>SBI Liquid Fund Direct Growth</v>
      </c>
      <c r="C224" s="37">
        <v>43419</v>
      </c>
      <c r="D224">
        <v>-2668.442</v>
      </c>
      <c r="E224">
        <v>-78513.69</v>
      </c>
      <c r="F224" t="str">
        <v>FY 2018-19</v>
      </c>
      <c r="G224" t="str">
        <v>Equity</v>
      </c>
      <c r="H224">
        <v>2668.442</v>
      </c>
      <c r="I224">
        <v>0</v>
      </c>
      <c r="J224">
        <v>23.554213490239107</v>
      </c>
      <c r="K224">
        <v>29.42304535755321</v>
      </c>
      <c r="L224">
        <v>0</v>
      </c>
      <c r="M224">
        <v>15660.63744567938</v>
      </c>
      <c r="N224" t="str">
        <v>Name 4</v>
      </c>
    </row>
    <row r="225" spans="1:14" x14ac:dyDescent="0.2">
      <c r="A225" t="str">
        <v>DDDDD4444D</v>
      </c>
      <c r="B225" t="str">
        <v>SBI Liquid Fund Direct Growth</v>
      </c>
      <c r="C225" s="37">
        <v>43629</v>
      </c>
      <c r="D225">
        <v>-2371.672</v>
      </c>
      <c r="E225">
        <v>-70347.8</v>
      </c>
      <c r="F225" t="str">
        <v>FY 2019-20</v>
      </c>
      <c r="G225" t="str">
        <v>Equity</v>
      </c>
      <c r="H225">
        <v>2371.672</v>
      </c>
      <c r="I225">
        <v>0</v>
      </c>
      <c r="J225">
        <v>24.213597255917371</v>
      </c>
      <c r="K225">
        <v>29.661690149396712</v>
      </c>
      <c r="L225">
        <v>0</v>
      </c>
      <c r="M225">
        <v>12921.089368863935</v>
      </c>
      <c r="N225" t="str">
        <v>Name 4</v>
      </c>
    </row>
    <row r="226" spans="1:14" x14ac:dyDescent="0.2">
      <c r="A226" t="str">
        <v>DDDDD4444D</v>
      </c>
      <c r="B226" t="str">
        <v>SBI Liquid Fund Direct Growth</v>
      </c>
      <c r="C226" s="37">
        <v>44079</v>
      </c>
      <c r="D226">
        <v>-2385.9299999999998</v>
      </c>
      <c r="E226">
        <v>-76695.210000000006</v>
      </c>
      <c r="F226" t="str">
        <v>FY 2020-21</v>
      </c>
      <c r="G226" t="str">
        <v>Equity</v>
      </c>
      <c r="H226">
        <v>2385.9299999999998</v>
      </c>
      <c r="I226">
        <v>0</v>
      </c>
      <c r="J226">
        <v>25.331244856004815</v>
      </c>
      <c r="K226">
        <v>32.144786309740859</v>
      </c>
      <c r="L226">
        <v>0</v>
      </c>
      <c r="M226">
        <v>16256.632960712437</v>
      </c>
      <c r="N226" t="str">
        <v>Name 4</v>
      </c>
    </row>
    <row r="227" spans="1:14" x14ac:dyDescent="0.2">
      <c r="A227" t="str">
        <v>DDDDD4444D</v>
      </c>
      <c r="B227" t="str">
        <v>SBI Liquid Fund Direct Growth</v>
      </c>
      <c r="C227" s="37">
        <v>44499</v>
      </c>
      <c r="D227">
        <v>-2325.9670000000001</v>
      </c>
      <c r="E227">
        <v>-81175.61</v>
      </c>
      <c r="F227" t="str">
        <v>FY 2021-22</v>
      </c>
      <c r="G227" t="str">
        <v>Equity</v>
      </c>
      <c r="H227">
        <v>2325.9670000000001</v>
      </c>
      <c r="I227">
        <v>0</v>
      </c>
      <c r="J227">
        <v>26.308613832837651</v>
      </c>
      <c r="K227">
        <v>34.899725576502156</v>
      </c>
      <c r="L227">
        <v>0</v>
      </c>
      <c r="M227">
        <v>19982.642409076099</v>
      </c>
      <c r="N227" t="str">
        <v>Name 4</v>
      </c>
    </row>
    <row r="228" spans="1:14" x14ac:dyDescent="0.2">
      <c r="A228" t="str">
        <v>DDDDD4444D</v>
      </c>
      <c r="B228" t="str">
        <v>SBI Liquid Fund Direct Growth</v>
      </c>
      <c r="C228" s="37">
        <v>45789</v>
      </c>
      <c r="D228">
        <v>-2850.116</v>
      </c>
      <c r="E228">
        <v>-138966.1</v>
      </c>
      <c r="F228" t="str">
        <v>FY 2025-26</v>
      </c>
      <c r="G228" t="str">
        <v>Equity</v>
      </c>
      <c r="H228">
        <v>2850.116</v>
      </c>
      <c r="I228">
        <v>0</v>
      </c>
      <c r="J228">
        <v>28.520065437321282</v>
      </c>
      <c r="K228">
        <v>48.758050549521492</v>
      </c>
      <c r="L228">
        <v>0</v>
      </c>
      <c r="M228">
        <v>57680.605176043617</v>
      </c>
      <c r="N228" t="str">
        <v>Name 4</v>
      </c>
    </row>
    <row r="229" spans="1:14" x14ac:dyDescent="0.2">
      <c r="A229" t="str">
        <v>DDDDD4444D</v>
      </c>
      <c r="B229" t="str">
        <v>ICICI Pru Equity &amp; Debt Fund - Direct Growth</v>
      </c>
      <c r="C229" s="37">
        <v>41141</v>
      </c>
      <c r="D229">
        <v>0</v>
      </c>
      <c r="E229">
        <v>3372.05</v>
      </c>
      <c r="F229" t="str">
        <v>FY 2012-13</v>
      </c>
      <c r="G229" t="str">
        <v>Equity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 t="str">
        <v>Name 4</v>
      </c>
    </row>
    <row r="230" spans="1:14" x14ac:dyDescent="0.2">
      <c r="A230" t="str">
        <v>DDDDD4444D</v>
      </c>
      <c r="B230" t="str">
        <v>ICICI Pru Equity &amp; Debt Fund - Direct Growth</v>
      </c>
      <c r="C230" s="37">
        <v>41201</v>
      </c>
      <c r="D230">
        <v>0</v>
      </c>
      <c r="E230">
        <v>3566.77</v>
      </c>
      <c r="F230" t="str">
        <v>FY 2012-13</v>
      </c>
      <c r="G230" t="str">
        <v>Equity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 t="str">
        <v>Name 4</v>
      </c>
    </row>
    <row r="231" spans="1:14" x14ac:dyDescent="0.2">
      <c r="A231" t="str">
        <v>DDDDD4444D</v>
      </c>
      <c r="B231" t="str">
        <v>ICICI Pru Equity &amp; Debt Fund - Direct Growth</v>
      </c>
      <c r="C231" s="37">
        <v>41291</v>
      </c>
      <c r="D231">
        <v>-1541.6790000000001</v>
      </c>
      <c r="E231">
        <v>-40007.49</v>
      </c>
      <c r="F231" t="str">
        <v>FY 2012-13</v>
      </c>
      <c r="G231" t="str">
        <v>Equity</v>
      </c>
      <c r="H231">
        <v>1541.6790000000001</v>
      </c>
      <c r="I231">
        <v>0</v>
      </c>
      <c r="J231">
        <v>20.71627176796169</v>
      </c>
      <c r="K231">
        <v>25.950596719550564</v>
      </c>
      <c r="L231">
        <v>0</v>
      </c>
      <c r="M231">
        <v>8069.6488570405845</v>
      </c>
      <c r="N231" t="str">
        <v>Name 4</v>
      </c>
    </row>
    <row r="232" spans="1:14" x14ac:dyDescent="0.2">
      <c r="A232" t="str">
        <v>DDDDD4444D</v>
      </c>
      <c r="B232" t="str">
        <v>ICICI Pru Equity &amp; Debt Fund - Direct Growth</v>
      </c>
      <c r="C232" s="37">
        <v>41801</v>
      </c>
      <c r="D232">
        <v>0</v>
      </c>
      <c r="E232">
        <v>4701.55</v>
      </c>
      <c r="F232" t="str">
        <v>FY 2014-15</v>
      </c>
      <c r="G232" t="str">
        <v>Equity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 t="str">
        <v>Name 4</v>
      </c>
    </row>
    <row r="233" spans="1:14" x14ac:dyDescent="0.2">
      <c r="A233" t="str">
        <v>DDDDD4444D</v>
      </c>
      <c r="B233" t="str">
        <v>ICICI Pru Equity &amp; Debt Fund - Direct Growth</v>
      </c>
      <c r="C233" s="37">
        <v>41831</v>
      </c>
      <c r="D233">
        <v>-1917.732</v>
      </c>
      <c r="E233">
        <v>-51673.73</v>
      </c>
      <c r="F233" t="str">
        <v>FY 2014-15</v>
      </c>
      <c r="G233" t="str">
        <v>Equity</v>
      </c>
      <c r="H233">
        <v>1917.732</v>
      </c>
      <c r="I233">
        <v>0</v>
      </c>
      <c r="J233">
        <v>21.224649616721234</v>
      </c>
      <c r="K233">
        <v>26.945230094716052</v>
      </c>
      <c r="L233">
        <v>0</v>
      </c>
      <c r="M233">
        <v>10970.540241225959</v>
      </c>
      <c r="N233" t="str">
        <v>Name 4</v>
      </c>
    </row>
    <row r="234" spans="1:14" x14ac:dyDescent="0.2">
      <c r="A234" t="str">
        <v>DDDDD4444D</v>
      </c>
      <c r="B234" t="str">
        <v>ICICI Pru Equity &amp; Debt Fund - Direct Growth</v>
      </c>
      <c r="C234" s="37">
        <v>42251</v>
      </c>
      <c r="D234">
        <v>-2035.8009999999999</v>
      </c>
      <c r="E234">
        <v>-57286.61</v>
      </c>
      <c r="F234" t="str">
        <v>FY 2015-16</v>
      </c>
      <c r="G234" t="str">
        <v>Equity</v>
      </c>
      <c r="H234">
        <v>2035.8009999999999</v>
      </c>
      <c r="I234">
        <v>0</v>
      </c>
      <c r="J234">
        <v>22.916262033266534</v>
      </c>
      <c r="K234">
        <v>28.139592229299428</v>
      </c>
      <c r="L234">
        <v>0</v>
      </c>
      <c r="M234">
        <v>10633.660836413961</v>
      </c>
      <c r="N234" t="str">
        <v>Name 4</v>
      </c>
    </row>
    <row r="235" spans="1:14" x14ac:dyDescent="0.2">
      <c r="A235" t="str">
        <v>DDDDD4444D</v>
      </c>
      <c r="B235" t="str">
        <v>ICICI Pru Equity &amp; Debt Fund - Direct Growth</v>
      </c>
      <c r="C235" s="37">
        <v>42581</v>
      </c>
      <c r="D235">
        <v>-2012.4680000000001</v>
      </c>
      <c r="E235">
        <v>-61282.12</v>
      </c>
      <c r="F235" t="str">
        <v>FY 2016-17</v>
      </c>
      <c r="G235" t="str">
        <v>Equity</v>
      </c>
      <c r="H235">
        <v>2012.4680000000001</v>
      </c>
      <c r="I235">
        <v>0</v>
      </c>
      <c r="J235">
        <v>25.090834137414777</v>
      </c>
      <c r="K235">
        <v>30.451227050566768</v>
      </c>
      <c r="L235">
        <v>0</v>
      </c>
      <c r="M235">
        <v>10787.61920514516</v>
      </c>
      <c r="N235" t="str">
        <v>Name 4</v>
      </c>
    </row>
    <row r="236" spans="1:14" x14ac:dyDescent="0.2">
      <c r="A236" t="str">
        <v>DDDDD4444D</v>
      </c>
      <c r="B236" t="str">
        <v>ICICI Pru Equity &amp; Debt Fund - Direct Growth</v>
      </c>
      <c r="C236" s="37">
        <v>43091</v>
      </c>
      <c r="D236">
        <v>-2122.9409999999998</v>
      </c>
      <c r="E236">
        <v>-73621.38</v>
      </c>
      <c r="F236" t="str">
        <v>FY 2017-18</v>
      </c>
      <c r="G236" t="str">
        <v>Equity</v>
      </c>
      <c r="H236">
        <v>2122.9409999999998</v>
      </c>
      <c r="I236">
        <v>0</v>
      </c>
      <c r="J236">
        <v>25.947427813602296</v>
      </c>
      <c r="K236">
        <v>34.678957163670596</v>
      </c>
      <c r="L236">
        <v>0</v>
      </c>
      <c r="M236">
        <v>18536.521649963346</v>
      </c>
      <c r="N236" t="str">
        <v>Name 4</v>
      </c>
    </row>
    <row r="237" spans="1:14" x14ac:dyDescent="0.2">
      <c r="A237" t="str">
        <v>DDDDD4444D</v>
      </c>
      <c r="B237" t="str">
        <v>ICICI Pru Equity &amp; Debt Fund - Direct Growth</v>
      </c>
      <c r="C237" s="37">
        <v>43841</v>
      </c>
      <c r="D237">
        <v>-2359.0929999999998</v>
      </c>
      <c r="E237">
        <v>-97658.05</v>
      </c>
      <c r="F237" t="str">
        <v>FY 2019-20</v>
      </c>
      <c r="G237" t="str">
        <v>Equity</v>
      </c>
      <c r="H237">
        <v>2359.0929999999998</v>
      </c>
      <c r="I237">
        <v>0</v>
      </c>
      <c r="J237">
        <v>26.951702635337035</v>
      </c>
      <c r="K237">
        <v>41.39643922473595</v>
      </c>
      <c r="L237">
        <v>0</v>
      </c>
      <c r="M237">
        <v>34076.476974894853</v>
      </c>
      <c r="N237" t="str">
        <v>Name 4</v>
      </c>
    </row>
    <row r="238" spans="1:14" x14ac:dyDescent="0.2">
      <c r="A238" t="str">
        <v>DDDDD4444D</v>
      </c>
      <c r="B238" t="str">
        <v>ICICI Pru Equity &amp; Debt Fund - Direct Growth</v>
      </c>
      <c r="C238" s="37">
        <v>44501</v>
      </c>
      <c r="D238">
        <v>0</v>
      </c>
      <c r="E238">
        <v>5923.13</v>
      </c>
      <c r="F238" t="str">
        <v>FY 2021-22</v>
      </c>
      <c r="G238" t="str">
        <v>Equity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 t="str">
        <v>Name 4</v>
      </c>
    </row>
    <row r="239" spans="1:14" x14ac:dyDescent="0.2">
      <c r="A239" t="str">
        <v>DDDDD4444D</v>
      </c>
      <c r="B239" t="str">
        <v>ICICI Pru Equity &amp; Debt Fund - Direct Growth</v>
      </c>
      <c r="C239" s="37">
        <v>45071</v>
      </c>
      <c r="D239">
        <v>-2778.1060000000002</v>
      </c>
      <c r="E239">
        <v>-127186.96</v>
      </c>
      <c r="F239" t="str">
        <v>FY 2023-24</v>
      </c>
      <c r="G239" t="str">
        <v>Equity</v>
      </c>
      <c r="H239">
        <v>2778.1060000000002</v>
      </c>
      <c r="I239">
        <v>0</v>
      </c>
      <c r="J239">
        <v>28.080039525365066</v>
      </c>
      <c r="K239">
        <v>45.781896011167319</v>
      </c>
      <c r="L239">
        <v>0</v>
      </c>
      <c r="M239">
        <v>49177.633714346157</v>
      </c>
      <c r="N239" t="str">
        <v>Name 4</v>
      </c>
    </row>
    <row r="240" spans="1:14" x14ac:dyDescent="0.2">
      <c r="A240" t="str">
        <v>DDDDD4444D</v>
      </c>
      <c r="B240" t="str">
        <v>ICICI Pru Equity &amp; Debt Fund - Direct Growth</v>
      </c>
      <c r="C240" s="37">
        <v>45131</v>
      </c>
      <c r="D240">
        <v>0</v>
      </c>
      <c r="E240">
        <v>5663.07</v>
      </c>
      <c r="F240" t="str">
        <v>FY 2023-24</v>
      </c>
      <c r="G240" t="str">
        <v>Equity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 t="str">
        <v>Name 4</v>
      </c>
    </row>
    <row r="241" spans="1:14" x14ac:dyDescent="0.2">
      <c r="A241" t="str">
        <v>DDDDD4444D</v>
      </c>
      <c r="B241" t="str">
        <v>ICICI Pru Equity &amp; Debt Fund - Direct Growth</v>
      </c>
      <c r="C241" s="37">
        <v>45341</v>
      </c>
      <c r="D241">
        <v>0</v>
      </c>
      <c r="E241">
        <v>6023.03</v>
      </c>
      <c r="F241" t="str">
        <v>FY 2023-24</v>
      </c>
      <c r="G241" t="str">
        <v>Equity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 t="str">
        <v>Name 4</v>
      </c>
    </row>
    <row r="242" spans="1:14" x14ac:dyDescent="0.2">
      <c r="A242" t="str">
        <v>DDDDD4444D</v>
      </c>
      <c r="B242" t="str">
        <v>Axis ELSS Tax Saver Fund - Direct Growth</v>
      </c>
      <c r="C242" s="37">
        <v>40793</v>
      </c>
      <c r="D242">
        <v>-528.05499999999995</v>
      </c>
      <c r="E242">
        <v>-11417.95</v>
      </c>
      <c r="F242" t="str">
        <v>FY 2011-12</v>
      </c>
      <c r="G242" t="str">
        <v>Equity</v>
      </c>
      <c r="H242">
        <v>528.05499999999995</v>
      </c>
      <c r="I242">
        <v>0</v>
      </c>
      <c r="J242">
        <v>20.273953753214421</v>
      </c>
      <c r="K242">
        <v>21.622652943348708</v>
      </c>
      <c r="L242">
        <v>0</v>
      </c>
      <c r="M242">
        <v>712.1873508463608</v>
      </c>
      <c r="N242" t="str">
        <v>Name 4</v>
      </c>
    </row>
    <row r="243" spans="1:14" x14ac:dyDescent="0.2">
      <c r="A243" t="str">
        <v>DDDDD4444D</v>
      </c>
      <c r="B243" t="str">
        <v>Axis ELSS Tax Saver Fund - Direct Growth</v>
      </c>
      <c r="C243" s="37">
        <v>40823</v>
      </c>
      <c r="D243">
        <v>-469.58499999999998</v>
      </c>
      <c r="E243">
        <v>-9961.2000000000007</v>
      </c>
      <c r="F243" t="str">
        <v>FY 2011-12</v>
      </c>
      <c r="G243" t="str">
        <v>Equity</v>
      </c>
      <c r="H243">
        <v>469.58499999999998</v>
      </c>
      <c r="I243">
        <v>0</v>
      </c>
      <c r="J243">
        <v>20.053115407491756</v>
      </c>
      <c r="K243">
        <v>21.212772980397588</v>
      </c>
      <c r="L243">
        <v>0</v>
      </c>
      <c r="M243">
        <v>544.55780137298518</v>
      </c>
      <c r="N243" t="str">
        <v>Name 4</v>
      </c>
    </row>
    <row r="244" spans="1:14" x14ac:dyDescent="0.2">
      <c r="A244" t="str">
        <v>DDDDD4444D</v>
      </c>
      <c r="B244" t="str">
        <v>Axis ELSS Tax Saver Fund - Direct Growth</v>
      </c>
      <c r="C244" s="37">
        <v>41063</v>
      </c>
      <c r="D244">
        <v>0</v>
      </c>
      <c r="E244">
        <v>1887.72</v>
      </c>
      <c r="F244" t="str">
        <v>FY 2012-13</v>
      </c>
      <c r="G244" t="str">
        <v>Equity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 t="str">
        <v>Name 4</v>
      </c>
    </row>
    <row r="245" spans="1:14" x14ac:dyDescent="0.2">
      <c r="A245" t="str">
        <v>DDDDD4444D</v>
      </c>
      <c r="B245" t="str">
        <v>Axis ELSS Tax Saver Fund - Direct Growth</v>
      </c>
      <c r="C245" s="37">
        <v>42803</v>
      </c>
      <c r="D245">
        <v>0</v>
      </c>
      <c r="E245">
        <v>7547.69</v>
      </c>
      <c r="F245" t="str">
        <v>FY 2016-17</v>
      </c>
      <c r="G245" t="str">
        <v>Equity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 t="str">
        <v>Name 4</v>
      </c>
    </row>
    <row r="246" spans="1:14" x14ac:dyDescent="0.2">
      <c r="A246" t="str">
        <v>DDDDD4444D</v>
      </c>
      <c r="B246" t="str">
        <v>Axis ELSS Tax Saver Fund - Direct Growth</v>
      </c>
      <c r="C246" s="37">
        <v>42893</v>
      </c>
      <c r="D246">
        <v>0</v>
      </c>
      <c r="E246">
        <v>7802.01</v>
      </c>
      <c r="F246" t="str">
        <v>FY 2017-18</v>
      </c>
      <c r="G246" t="str">
        <v>Equity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 t="str">
        <v>Name 4</v>
      </c>
    </row>
    <row r="247" spans="1:14" x14ac:dyDescent="0.2">
      <c r="A247" t="str">
        <v>DDDDD4444D</v>
      </c>
      <c r="B247" t="str">
        <v>Axis ELSS Tax Saver Fund - Direct Growth</v>
      </c>
      <c r="C247" s="37">
        <v>43553</v>
      </c>
      <c r="D247">
        <v>-3869.8969999999999</v>
      </c>
      <c r="E247">
        <v>-113061.14</v>
      </c>
      <c r="F247" t="str">
        <v>FY 2018-19</v>
      </c>
      <c r="G247" t="str">
        <v>Equity</v>
      </c>
      <c r="H247">
        <v>3869.8969999999999</v>
      </c>
      <c r="I247">
        <v>0</v>
      </c>
      <c r="J247">
        <v>21.177944706156669</v>
      </c>
      <c r="K247">
        <v>29.215542429165428</v>
      </c>
      <c r="L247">
        <v>0</v>
      </c>
      <c r="M247">
        <v>31104.675315478424</v>
      </c>
      <c r="N247" t="str">
        <v>Name 4</v>
      </c>
    </row>
    <row r="248" spans="1:14" x14ac:dyDescent="0.2">
      <c r="A248" t="str">
        <v>DDDDD4444D</v>
      </c>
      <c r="B248" t="str">
        <v>Axis ELSS Tax Saver Fund - Direct Growth</v>
      </c>
      <c r="C248" s="37">
        <v>43613</v>
      </c>
      <c r="D248">
        <v>0</v>
      </c>
      <c r="E248">
        <v>7912.4</v>
      </c>
      <c r="F248" t="str">
        <v>FY 2019-20</v>
      </c>
      <c r="G248" t="str">
        <v>Equity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 t="str">
        <v>Name 4</v>
      </c>
    </row>
    <row r="249" spans="1:14" x14ac:dyDescent="0.2">
      <c r="A249" t="str">
        <v>DDDDD4444D</v>
      </c>
      <c r="B249" t="str">
        <v>Axis ELSS Tax Saver Fund - Direct Growth</v>
      </c>
      <c r="C249" s="37">
        <v>44273</v>
      </c>
      <c r="D249">
        <v>-3869.587</v>
      </c>
      <c r="E249">
        <v>-123114.43</v>
      </c>
      <c r="F249" t="str">
        <v>FY 2020-21</v>
      </c>
      <c r="G249" t="str">
        <v>Equity</v>
      </c>
      <c r="H249">
        <v>3869.587</v>
      </c>
      <c r="I249">
        <v>0</v>
      </c>
      <c r="J249">
        <v>23.837637971573766</v>
      </c>
      <c r="K249">
        <v>31.815909553138358</v>
      </c>
      <c r="L249">
        <v>0</v>
      </c>
      <c r="M249">
        <v>30872.615994491782</v>
      </c>
      <c r="N249" t="str">
        <v>Name 4</v>
      </c>
    </row>
    <row r="250" spans="1:14" x14ac:dyDescent="0.2">
      <c r="A250" t="str">
        <v>DDDDD4444D</v>
      </c>
      <c r="B250" t="str">
        <v>Axis ELSS Tax Saver Fund - Direct Growth</v>
      </c>
      <c r="C250" s="37">
        <v>44513</v>
      </c>
      <c r="D250">
        <v>0</v>
      </c>
      <c r="E250">
        <v>8363.77</v>
      </c>
      <c r="F250" t="str">
        <v>FY 2021-22</v>
      </c>
      <c r="G250" t="str">
        <v>Equity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 t="str">
        <v>Name 4</v>
      </c>
    </row>
    <row r="251" spans="1:14" x14ac:dyDescent="0.2">
      <c r="A251" t="str">
        <v>DDDDD4444D</v>
      </c>
      <c r="B251" t="str">
        <v>Axis ELSS Tax Saver Fund - Direct Growth</v>
      </c>
      <c r="C251" s="37">
        <v>44573</v>
      </c>
      <c r="D251">
        <v>-16874.822</v>
      </c>
      <c r="E251">
        <v>-572887.57999999996</v>
      </c>
      <c r="F251" t="str">
        <v>FY 2021-22</v>
      </c>
      <c r="G251" t="str">
        <v>Equity</v>
      </c>
      <c r="H251">
        <v>16874.822</v>
      </c>
      <c r="I251">
        <v>0</v>
      </c>
      <c r="J251">
        <v>28.781300120510281</v>
      </c>
      <c r="K251">
        <v>33.94925173136641</v>
      </c>
      <c r="L251">
        <v>0</v>
      </c>
      <c r="M251">
        <v>87208.263537810446</v>
      </c>
      <c r="N251" t="str">
        <v>Name 4</v>
      </c>
    </row>
  </sheetData>
  <autoFilter ref="A1:N1988" xr:uid="{8407A0FE-7840-C147-961D-0DCB579B332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B922-7973-A147-9E43-1B496EAA4FAE}">
  <sheetPr codeName="Sheet8"/>
  <dimension ref="A1:C21"/>
  <sheetViews>
    <sheetView workbookViewId="0">
      <selection activeCell="J28" sqref="J28"/>
    </sheetView>
  </sheetViews>
  <sheetFormatPr baseColWidth="10" defaultRowHeight="16" x14ac:dyDescent="0.2"/>
  <cols>
    <col min="1" max="1" width="13.6640625" customWidth="1"/>
    <col min="2" max="2" width="24.83203125" customWidth="1"/>
    <col min="3" max="3" width="21" style="16" customWidth="1"/>
  </cols>
  <sheetData>
    <row r="1" spans="1:3" x14ac:dyDescent="0.2">
      <c r="A1" s="23" t="s">
        <v>32</v>
      </c>
      <c r="B1" s="23" t="s">
        <v>26</v>
      </c>
      <c r="C1" s="24" t="s">
        <v>49</v>
      </c>
    </row>
    <row r="2" spans="1:3" x14ac:dyDescent="0.2">
      <c r="A2" t="str" cm="1">
        <f t="array" ref="A2:C21">_xlfn.LET(_xlpm.base_data, _xlfn._xlws.SORT(_xlfn.UNIQUE(_xlfn._xlws.FILTER(_xlfn.HSTACK(CAS!C2:C10000, CAS!A2:A10000, CAS!B2:B10000), CAS!C2:C10000&lt;&gt;"")), {1,2}, {1,1}), _xlpm.pan_col, _xlfn.CHOOSECOLS(_xlpm.base_data, 1), _xlpm.shifted_pan, _xlfn.VSTACK("", _xlfn.DROP(_xlpm.pan_col, -1)), _xlpm.final_pan, IF(_xlpm.pan_col=_xlpm.shifted_pan, "", _xlpm.pan_col), _xlfn.HSTACK(_xlpm.final_pan, _xlfn.CHOOSECOLS(_xlpm.base_data, 2, 3)))</f>
        <v>AAAAA1111A</v>
      </c>
      <c r="B2" t="str">
        <v>Axis Mutual Fund</v>
      </c>
      <c r="C2" s="16" t="str">
        <v>AAAA9994</v>
      </c>
    </row>
    <row r="3" spans="1:3" x14ac:dyDescent="0.2">
      <c r="A3" t="str">
        <v/>
      </c>
      <c r="B3" t="str">
        <v>HDFC Mutual Fund</v>
      </c>
      <c r="C3" s="16" t="str">
        <v>AAAA9990</v>
      </c>
    </row>
    <row r="4" spans="1:3" x14ac:dyDescent="0.2">
      <c r="A4" t="str">
        <v/>
      </c>
      <c r="B4" t="str">
        <v>ICICI Prudential Mutual Fund</v>
      </c>
      <c r="C4" s="16" t="str">
        <v>AAAA9993</v>
      </c>
    </row>
    <row r="5" spans="1:3" x14ac:dyDescent="0.2">
      <c r="A5" t="str">
        <v/>
      </c>
      <c r="B5" t="str">
        <v>Parag Parikh Mutual Fund</v>
      </c>
      <c r="C5" s="16" t="str">
        <v>AAAA9991</v>
      </c>
    </row>
    <row r="6" spans="1:3" x14ac:dyDescent="0.2">
      <c r="A6" t="str">
        <v/>
      </c>
      <c r="B6" t="str">
        <v>SBI Mutual Fund</v>
      </c>
      <c r="C6" s="16" t="str">
        <v>AAAA9992</v>
      </c>
    </row>
    <row r="7" spans="1:3" x14ac:dyDescent="0.2">
      <c r="A7" t="str">
        <v>BBBBB2222B</v>
      </c>
      <c r="B7" t="str">
        <v>Axis Mutual Fund</v>
      </c>
      <c r="C7" s="16" t="str">
        <v>BBBB9994</v>
      </c>
    </row>
    <row r="8" spans="1:3" x14ac:dyDescent="0.2">
      <c r="A8" t="str">
        <v/>
      </c>
      <c r="B8" t="str">
        <v>HDFC Mutual Fund</v>
      </c>
      <c r="C8" s="16" t="str">
        <v>BBBB9990</v>
      </c>
    </row>
    <row r="9" spans="1:3" x14ac:dyDescent="0.2">
      <c r="A9" t="str">
        <v/>
      </c>
      <c r="B9" t="str">
        <v>ICICI Prudential Mutual Fund</v>
      </c>
      <c r="C9" s="16" t="str">
        <v>BBBB9993</v>
      </c>
    </row>
    <row r="10" spans="1:3" x14ac:dyDescent="0.2">
      <c r="A10" t="str">
        <v/>
      </c>
      <c r="B10" t="str">
        <v>Parag Parikh Mutual Fund</v>
      </c>
      <c r="C10" s="16" t="str">
        <v>BBBB9991</v>
      </c>
    </row>
    <row r="11" spans="1:3" x14ac:dyDescent="0.2">
      <c r="A11" t="str">
        <v/>
      </c>
      <c r="B11" t="str">
        <v>SBI Mutual Fund</v>
      </c>
      <c r="C11" s="16" t="str">
        <v>BBBB9992</v>
      </c>
    </row>
    <row r="12" spans="1:3" x14ac:dyDescent="0.2">
      <c r="A12" t="str">
        <v>CCCCC3333C</v>
      </c>
      <c r="B12" t="str">
        <v>Axis Mutual Fund</v>
      </c>
      <c r="C12" s="16" t="str">
        <v>CCCC9994</v>
      </c>
    </row>
    <row r="13" spans="1:3" x14ac:dyDescent="0.2">
      <c r="A13" t="str">
        <v/>
      </c>
      <c r="B13" t="str">
        <v>HDFC Mutual Fund</v>
      </c>
      <c r="C13" s="16" t="str">
        <v>CCCC9990</v>
      </c>
    </row>
    <row r="14" spans="1:3" x14ac:dyDescent="0.2">
      <c r="A14" t="str">
        <v/>
      </c>
      <c r="B14" t="str">
        <v>ICICI Prudential Mutual Fund</v>
      </c>
      <c r="C14" s="16" t="str">
        <v>CCCC9993</v>
      </c>
    </row>
    <row r="15" spans="1:3" x14ac:dyDescent="0.2">
      <c r="A15" t="str">
        <v/>
      </c>
      <c r="B15" t="str">
        <v>Parag Parikh Mutual Fund</v>
      </c>
      <c r="C15" s="16" t="str">
        <v>CCCC9991</v>
      </c>
    </row>
    <row r="16" spans="1:3" x14ac:dyDescent="0.2">
      <c r="A16" t="str">
        <v/>
      </c>
      <c r="B16" t="str">
        <v>SBI Mutual Fund</v>
      </c>
      <c r="C16" s="16" t="str">
        <v>CCCC9992</v>
      </c>
    </row>
    <row r="17" spans="1:3" x14ac:dyDescent="0.2">
      <c r="A17" t="str">
        <v>DDDDD4444D</v>
      </c>
      <c r="B17" t="str">
        <v>Axis Mutual Fund</v>
      </c>
      <c r="C17" s="16" t="str">
        <v>DDDD9994</v>
      </c>
    </row>
    <row r="18" spans="1:3" x14ac:dyDescent="0.2">
      <c r="A18" t="str">
        <v/>
      </c>
      <c r="B18" t="str">
        <v>HDFC Mutual Fund</v>
      </c>
      <c r="C18" s="16" t="str">
        <v>DDDD9990</v>
      </c>
    </row>
    <row r="19" spans="1:3" x14ac:dyDescent="0.2">
      <c r="A19" t="str">
        <v/>
      </c>
      <c r="B19" t="str">
        <v>ICICI Prudential Mutual Fund</v>
      </c>
      <c r="C19" s="16" t="str">
        <v>DDDD9993</v>
      </c>
    </row>
    <row r="20" spans="1:3" x14ac:dyDescent="0.2">
      <c r="A20" t="str">
        <v/>
      </c>
      <c r="B20" t="str">
        <v>Parag Parikh Mutual Fund</v>
      </c>
      <c r="C20" s="16" t="str">
        <v>DDDD9991</v>
      </c>
    </row>
    <row r="21" spans="1:3" x14ac:dyDescent="0.2">
      <c r="A21" t="str">
        <v/>
      </c>
      <c r="B21" t="str">
        <v>SBI Mutual Fund</v>
      </c>
      <c r="C21" s="16" t="str">
        <v>DDDD9992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3300-ABF0-C14B-B2B2-AF5542DAF6E8}">
  <sheetPr codeName="Sheet4"/>
  <dimension ref="A1:Q1172"/>
  <sheetViews>
    <sheetView workbookViewId="0">
      <selection activeCell="Q3" sqref="Q3"/>
    </sheetView>
  </sheetViews>
  <sheetFormatPr baseColWidth="10" defaultRowHeight="16" x14ac:dyDescent="0.2"/>
  <cols>
    <col min="1" max="1" width="24.6640625" style="5" bestFit="1" customWidth="1"/>
    <col min="2" max="2" width="15.5" style="5" bestFit="1" customWidth="1"/>
    <col min="3" max="3" width="12.1640625" style="5" bestFit="1" customWidth="1"/>
    <col min="4" max="4" width="38.33203125" style="6" customWidth="1"/>
    <col min="5" max="5" width="13" style="6" bestFit="1" customWidth="1"/>
    <col min="6" max="6" width="13.6640625" style="6" bestFit="1" customWidth="1"/>
    <col min="7" max="7" width="7.1640625" style="6" bestFit="1" customWidth="1"/>
    <col min="8" max="8" width="11.1640625" style="6" bestFit="1" customWidth="1"/>
    <col min="9" max="9" width="41.5" style="6" bestFit="1" customWidth="1"/>
    <col min="10" max="10" width="12" style="5" bestFit="1" customWidth="1"/>
    <col min="11" max="11" width="10.1640625" style="5" bestFit="1" customWidth="1"/>
    <col min="12" max="12" width="7.6640625" style="5" bestFit="1" customWidth="1"/>
    <col min="13" max="13" width="11.1640625" style="5" bestFit="1" customWidth="1"/>
    <col min="14" max="14" width="16.83203125" style="5" bestFit="1" customWidth="1"/>
    <col min="15" max="15" width="8" style="5" bestFit="1" customWidth="1"/>
    <col min="17" max="17" width="15.83203125" bestFit="1" customWidth="1"/>
  </cols>
  <sheetData>
    <row r="1" spans="1:17" ht="17" x14ac:dyDescent="0.2">
      <c r="A1" s="3" t="str" cm="1">
        <f t="array" ref="A1:O1172">_xlfn.VSTACK(CAS!A1:O1, _xlfn._xlws.FILTER(CAS!A2:O10000, CAS!C2:C10000=$Q$2, "No data for this PAN"))</f>
        <v>amc</v>
      </c>
      <c r="B1" s="3" t="str">
        <v>folio</v>
      </c>
      <c r="C1" s="3" t="str">
        <v>pan</v>
      </c>
      <c r="D1" s="4" t="str">
        <v>scheme</v>
      </c>
      <c r="E1" s="4" t="str">
        <v>advisor</v>
      </c>
      <c r="F1" s="4" t="str">
        <v>rta</v>
      </c>
      <c r="G1" s="4" t="str">
        <v>amfi</v>
      </c>
      <c r="H1" s="4" t="str">
        <v>date</v>
      </c>
      <c r="I1" s="4" t="str">
        <v>description</v>
      </c>
      <c r="J1" s="3" t="str">
        <v>amount</v>
      </c>
      <c r="K1" s="3" t="str">
        <v>units</v>
      </c>
      <c r="L1" s="3" t="str">
        <v>nav</v>
      </c>
      <c r="M1" s="3" t="str">
        <v>balance</v>
      </c>
      <c r="N1" s="3" t="str">
        <v>type</v>
      </c>
      <c r="O1" s="3" t="str">
        <v>dividend</v>
      </c>
      <c r="Q1" s="13" t="s">
        <v>34</v>
      </c>
    </row>
    <row r="2" spans="1:17" ht="34" x14ac:dyDescent="0.2">
      <c r="A2" s="5" t="str">
        <v>HDFC Mutual Fund</v>
      </c>
      <c r="B2" s="5" t="str">
        <v>AAAA9990</v>
      </c>
      <c r="C2" s="5" t="str">
        <v>AAAAA1111A</v>
      </c>
      <c r="D2" s="6" t="str">
        <v>HDFC Flexi Cap Fund - Direct Plan - Growth</v>
      </c>
      <c r="E2" s="6" t="str">
        <v>DIRECT</v>
      </c>
      <c r="F2" s="6" t="str">
        <v>CAMS</v>
      </c>
      <c r="G2" s="6">
        <v>119062</v>
      </c>
      <c r="H2" s="7">
        <v>40519</v>
      </c>
      <c r="I2" s="6" t="str">
        <v>Purchase - SIP</v>
      </c>
      <c r="J2" s="8">
        <v>5000</v>
      </c>
      <c r="K2" s="9">
        <v>243.54900000000001</v>
      </c>
      <c r="L2" s="9">
        <v>20.529699999999998</v>
      </c>
      <c r="M2" s="9">
        <v>243.54900000000001</v>
      </c>
      <c r="N2" s="5" t="str">
        <v>PURCHASE_SIP</v>
      </c>
      <c r="O2" s="10">
        <v>0</v>
      </c>
      <c r="Q2" s="14" t="s">
        <v>112</v>
      </c>
    </row>
    <row r="3" spans="1:17" ht="34" x14ac:dyDescent="0.2">
      <c r="A3" s="5" t="str">
        <v>HDFC Mutual Fund</v>
      </c>
      <c r="B3" s="5" t="str">
        <v>AAAA9990</v>
      </c>
      <c r="C3" s="5" t="str">
        <v>AAAAA1111A</v>
      </c>
      <c r="D3" s="6" t="str">
        <v>HDFC Flexi Cap Fund - Direct Plan - Growth</v>
      </c>
      <c r="E3" s="6" t="str">
        <v>DIRECT</v>
      </c>
      <c r="F3" s="6" t="str">
        <v>CAMS</v>
      </c>
      <c r="G3" s="6">
        <v>119062</v>
      </c>
      <c r="H3" s="7">
        <v>40549</v>
      </c>
      <c r="I3" s="6" t="str">
        <v>Purchase - SIP</v>
      </c>
      <c r="J3" s="8">
        <v>5000</v>
      </c>
      <c r="K3" s="9">
        <v>244.54400000000001</v>
      </c>
      <c r="L3" s="9">
        <v>20.446200000000001</v>
      </c>
      <c r="M3" s="9">
        <v>488.09300000000002</v>
      </c>
      <c r="N3" s="5" t="str">
        <v>PURCHASE_SIP</v>
      </c>
      <c r="O3" s="10">
        <v>0</v>
      </c>
    </row>
    <row r="4" spans="1:17" ht="34" x14ac:dyDescent="0.2">
      <c r="A4" s="5" t="str">
        <v>HDFC Mutual Fund</v>
      </c>
      <c r="B4" s="5" t="str">
        <v>AAAA9990</v>
      </c>
      <c r="C4" s="5" t="str">
        <v>AAAAA1111A</v>
      </c>
      <c r="D4" s="6" t="str">
        <v>HDFC Flexi Cap Fund - Direct Plan - Growth</v>
      </c>
      <c r="E4" s="6" t="str">
        <v>DIRECT</v>
      </c>
      <c r="F4" s="6" t="str">
        <v>CAMS</v>
      </c>
      <c r="G4" s="6">
        <v>119062</v>
      </c>
      <c r="H4" s="7">
        <v>40579</v>
      </c>
      <c r="I4" s="6" t="str">
        <v>Purchase - SIP</v>
      </c>
      <c r="J4" s="8">
        <v>5000</v>
      </c>
      <c r="K4" s="9">
        <v>246.548</v>
      </c>
      <c r="L4" s="9">
        <v>20.280100000000001</v>
      </c>
      <c r="M4" s="9">
        <v>734.64099999999996</v>
      </c>
      <c r="N4" s="5" t="str">
        <v>PURCHASE_SIP</v>
      </c>
      <c r="O4" s="10">
        <v>0</v>
      </c>
    </row>
    <row r="5" spans="1:17" ht="34" x14ac:dyDescent="0.2">
      <c r="A5" s="5" t="str">
        <v>HDFC Mutual Fund</v>
      </c>
      <c r="B5" s="5" t="str">
        <v>AAAA9990</v>
      </c>
      <c r="C5" s="5" t="str">
        <v>AAAAA1111A</v>
      </c>
      <c r="D5" s="6" t="str">
        <v>HDFC Flexi Cap Fund - Direct Plan - Growth</v>
      </c>
      <c r="E5" s="6" t="str">
        <v>DIRECT</v>
      </c>
      <c r="F5" s="6" t="str">
        <v>CAMS</v>
      </c>
      <c r="G5" s="6">
        <v>119062</v>
      </c>
      <c r="H5" s="7">
        <v>40609</v>
      </c>
      <c r="I5" s="6" t="str">
        <v>Purchase - SIP</v>
      </c>
      <c r="J5" s="8">
        <v>5000</v>
      </c>
      <c r="K5" s="9">
        <v>251.37700000000001</v>
      </c>
      <c r="L5" s="9">
        <v>19.8904</v>
      </c>
      <c r="M5" s="9">
        <v>986.01900000000001</v>
      </c>
      <c r="N5" s="5" t="str">
        <v>PURCHASE_SIP</v>
      </c>
      <c r="O5" s="10">
        <v>0</v>
      </c>
    </row>
    <row r="6" spans="1:17" ht="34" x14ac:dyDescent="0.2">
      <c r="A6" s="5" t="str">
        <v>HDFC Mutual Fund</v>
      </c>
      <c r="B6" s="5" t="str">
        <v>AAAA9990</v>
      </c>
      <c r="C6" s="5" t="str">
        <v>AAAAA1111A</v>
      </c>
      <c r="D6" s="6" t="str">
        <v>HDFC Flexi Cap Fund - Direct Plan - Growth</v>
      </c>
      <c r="E6" s="6" t="str">
        <v>DIRECT</v>
      </c>
      <c r="F6" s="6" t="str">
        <v>CAMS</v>
      </c>
      <c r="G6" s="6">
        <v>119062</v>
      </c>
      <c r="H6" s="7">
        <v>40639</v>
      </c>
      <c r="I6" s="6" t="str">
        <v>Purchase - SIP</v>
      </c>
      <c r="J6" s="8">
        <v>5000</v>
      </c>
      <c r="K6" s="9">
        <v>250.43600000000001</v>
      </c>
      <c r="L6" s="9">
        <v>19.9651</v>
      </c>
      <c r="M6" s="9">
        <v>1236.4549999999999</v>
      </c>
      <c r="N6" s="5" t="str">
        <v>PURCHASE_SIP</v>
      </c>
      <c r="O6" s="10">
        <v>0</v>
      </c>
    </row>
    <row r="7" spans="1:17" ht="34" x14ac:dyDescent="0.2">
      <c r="A7" s="5" t="str">
        <v>HDFC Mutual Fund</v>
      </c>
      <c r="B7" s="5" t="str">
        <v>AAAA9990</v>
      </c>
      <c r="C7" s="5" t="str">
        <v>AAAAA1111A</v>
      </c>
      <c r="D7" s="6" t="str">
        <v>HDFC Flexi Cap Fund - Direct Plan - Growth</v>
      </c>
      <c r="E7" s="6" t="str">
        <v>DIRECT</v>
      </c>
      <c r="F7" s="6" t="str">
        <v>CAMS</v>
      </c>
      <c r="G7" s="6">
        <v>119062</v>
      </c>
      <c r="H7" s="7">
        <v>40639</v>
      </c>
      <c r="I7" s="6" t="str">
        <v>STT TAX</v>
      </c>
      <c r="J7" s="8">
        <v>2.5</v>
      </c>
      <c r="K7" s="9">
        <v>0</v>
      </c>
      <c r="L7" s="9">
        <v>0</v>
      </c>
      <c r="M7" s="9">
        <v>1236.4549999999999</v>
      </c>
      <c r="N7" s="5" t="str">
        <v>STT_TAX</v>
      </c>
      <c r="O7" s="10">
        <v>0</v>
      </c>
    </row>
    <row r="8" spans="1:17" ht="34" x14ac:dyDescent="0.2">
      <c r="A8" s="5" t="str">
        <v>HDFC Mutual Fund</v>
      </c>
      <c r="B8" s="5" t="str">
        <v>AAAA9990</v>
      </c>
      <c r="C8" s="5" t="str">
        <v>AAAAA1111A</v>
      </c>
      <c r="D8" s="6" t="str">
        <v>HDFC Flexi Cap Fund - Direct Plan - Growth</v>
      </c>
      <c r="E8" s="6" t="str">
        <v>DIRECT</v>
      </c>
      <c r="F8" s="6" t="str">
        <v>CAMS</v>
      </c>
      <c r="G8" s="6">
        <v>119062</v>
      </c>
      <c r="H8" s="7">
        <v>40669</v>
      </c>
      <c r="I8" s="6" t="str">
        <v>Purchase - SIP</v>
      </c>
      <c r="J8" s="8">
        <v>5000</v>
      </c>
      <c r="K8" s="9">
        <v>245.02799999999999</v>
      </c>
      <c r="L8" s="9">
        <v>20.405799999999999</v>
      </c>
      <c r="M8" s="9">
        <v>1481.4829999999999</v>
      </c>
      <c r="N8" s="5" t="str">
        <v>PURCHASE_SIP</v>
      </c>
      <c r="O8" s="10">
        <v>0</v>
      </c>
    </row>
    <row r="9" spans="1:17" ht="34" x14ac:dyDescent="0.2">
      <c r="A9" s="5" t="str">
        <v>HDFC Mutual Fund</v>
      </c>
      <c r="B9" s="5" t="str">
        <v>AAAA9990</v>
      </c>
      <c r="C9" s="5" t="str">
        <v>AAAAA1111A</v>
      </c>
      <c r="D9" s="6" t="str">
        <v>HDFC Flexi Cap Fund - Direct Plan - Growth</v>
      </c>
      <c r="E9" s="6" t="str">
        <v>DIRECT</v>
      </c>
      <c r="F9" s="6" t="str">
        <v>CAMS</v>
      </c>
      <c r="G9" s="6">
        <v>119062</v>
      </c>
      <c r="H9" s="7">
        <v>40699</v>
      </c>
      <c r="I9" s="6" t="str">
        <v>Purchase - SIP</v>
      </c>
      <c r="J9" s="8">
        <v>5000</v>
      </c>
      <c r="K9" s="9">
        <v>239.624</v>
      </c>
      <c r="L9" s="9">
        <v>20.866</v>
      </c>
      <c r="M9" s="9">
        <v>1721.107</v>
      </c>
      <c r="N9" s="5" t="str">
        <v>PURCHASE_SIP</v>
      </c>
      <c r="O9" s="10">
        <v>0</v>
      </c>
    </row>
    <row r="10" spans="1:17" ht="34" x14ac:dyDescent="0.2">
      <c r="A10" s="5" t="str">
        <v>HDFC Mutual Fund</v>
      </c>
      <c r="B10" s="5" t="str">
        <v>AAAA9990</v>
      </c>
      <c r="C10" s="5" t="str">
        <v>AAAAA1111A</v>
      </c>
      <c r="D10" s="6" t="str">
        <v>HDFC Flexi Cap Fund - Direct Plan - Growth</v>
      </c>
      <c r="E10" s="6" t="str">
        <v>DIRECT</v>
      </c>
      <c r="F10" s="6" t="str">
        <v>CAMS</v>
      </c>
      <c r="G10" s="6">
        <v>119062</v>
      </c>
      <c r="H10" s="7">
        <v>40699</v>
      </c>
      <c r="I10" s="6" t="str">
        <v>STAMP DUTY</v>
      </c>
      <c r="J10" s="8">
        <v>2.5</v>
      </c>
      <c r="K10" s="9">
        <v>0</v>
      </c>
      <c r="L10" s="9">
        <v>0</v>
      </c>
      <c r="M10" s="9">
        <v>1721.107</v>
      </c>
      <c r="N10" s="5" t="str">
        <v>STAMP_DUTY</v>
      </c>
      <c r="O10" s="10">
        <v>0</v>
      </c>
    </row>
    <row r="11" spans="1:17" ht="34" x14ac:dyDescent="0.2">
      <c r="A11" s="5" t="str">
        <v>HDFC Mutual Fund</v>
      </c>
      <c r="B11" s="5" t="str">
        <v>AAAA9990</v>
      </c>
      <c r="C11" s="5" t="str">
        <v>AAAAA1111A</v>
      </c>
      <c r="D11" s="6" t="str">
        <v>HDFC Flexi Cap Fund - Direct Plan - Growth</v>
      </c>
      <c r="E11" s="6" t="str">
        <v>DIRECT</v>
      </c>
      <c r="F11" s="6" t="str">
        <v>CAMS</v>
      </c>
      <c r="G11" s="6">
        <v>119062</v>
      </c>
      <c r="H11" s="7">
        <v>40729</v>
      </c>
      <c r="I11" s="6" t="str">
        <v>Purchase - SIP</v>
      </c>
      <c r="J11" s="8">
        <v>5000</v>
      </c>
      <c r="K11" s="9">
        <v>234.42699999999999</v>
      </c>
      <c r="L11" s="9">
        <v>21.328600000000002</v>
      </c>
      <c r="M11" s="9">
        <v>1955.5340000000001</v>
      </c>
      <c r="N11" s="5" t="str">
        <v>PURCHASE_SIP</v>
      </c>
      <c r="O11" s="10">
        <v>0</v>
      </c>
    </row>
    <row r="12" spans="1:17" ht="34" x14ac:dyDescent="0.2">
      <c r="A12" s="5" t="str">
        <v>HDFC Mutual Fund</v>
      </c>
      <c r="B12" s="5" t="str">
        <v>AAAA9990</v>
      </c>
      <c r="C12" s="5" t="str">
        <v>AAAAA1111A</v>
      </c>
      <c r="D12" s="6" t="str">
        <v>HDFC Flexi Cap Fund - Direct Plan - Growth</v>
      </c>
      <c r="E12" s="6" t="str">
        <v>DIRECT</v>
      </c>
      <c r="F12" s="6" t="str">
        <v>CAMS</v>
      </c>
      <c r="G12" s="6">
        <v>119062</v>
      </c>
      <c r="H12" s="7">
        <v>40729</v>
      </c>
      <c r="I12" s="6" t="str">
        <v>STT TAX</v>
      </c>
      <c r="J12" s="8">
        <v>2.5</v>
      </c>
      <c r="K12" s="9">
        <v>0</v>
      </c>
      <c r="L12" s="9">
        <v>0</v>
      </c>
      <c r="M12" s="9">
        <v>1955.5340000000001</v>
      </c>
      <c r="N12" s="5" t="str">
        <v>STT_TAX</v>
      </c>
      <c r="O12" s="10">
        <v>0</v>
      </c>
    </row>
    <row r="13" spans="1:17" ht="34" x14ac:dyDescent="0.2">
      <c r="A13" s="5" t="str">
        <v>HDFC Mutual Fund</v>
      </c>
      <c r="B13" s="5" t="str">
        <v>AAAA9990</v>
      </c>
      <c r="C13" s="5" t="str">
        <v>AAAAA1111A</v>
      </c>
      <c r="D13" s="6" t="str">
        <v>HDFC Flexi Cap Fund - Direct Plan - Growth</v>
      </c>
      <c r="E13" s="6" t="str">
        <v>DIRECT</v>
      </c>
      <c r="F13" s="6" t="str">
        <v>CAMS</v>
      </c>
      <c r="G13" s="6">
        <v>119062</v>
      </c>
      <c r="H13" s="7">
        <v>40759</v>
      </c>
      <c r="I13" s="6" t="str">
        <v>Purchase - SIP</v>
      </c>
      <c r="J13" s="8">
        <v>5000</v>
      </c>
      <c r="K13" s="9">
        <v>228.53200000000001</v>
      </c>
      <c r="L13" s="9">
        <v>21.878699999999998</v>
      </c>
      <c r="M13" s="9">
        <v>2184.067</v>
      </c>
      <c r="N13" s="5" t="str">
        <v>PURCHASE_SIP</v>
      </c>
      <c r="O13" s="10">
        <v>0</v>
      </c>
    </row>
    <row r="14" spans="1:17" ht="34" x14ac:dyDescent="0.2">
      <c r="A14" s="5" t="str">
        <v>HDFC Mutual Fund</v>
      </c>
      <c r="B14" s="5" t="str">
        <v>AAAA9990</v>
      </c>
      <c r="C14" s="5" t="str">
        <v>AAAAA1111A</v>
      </c>
      <c r="D14" s="6" t="str">
        <v>HDFC Flexi Cap Fund - Direct Plan - Growth</v>
      </c>
      <c r="E14" s="6" t="str">
        <v>DIRECT</v>
      </c>
      <c r="F14" s="6" t="str">
        <v>CAMS</v>
      </c>
      <c r="G14" s="6">
        <v>119062</v>
      </c>
      <c r="H14" s="7">
        <v>40789</v>
      </c>
      <c r="I14" s="6" t="str">
        <v>Purchase - SIP</v>
      </c>
      <c r="J14" s="8">
        <v>5000</v>
      </c>
      <c r="K14" s="9">
        <v>225.83799999999999</v>
      </c>
      <c r="L14" s="9">
        <v>22.139800000000001</v>
      </c>
      <c r="M14" s="9">
        <v>2409.9050000000002</v>
      </c>
      <c r="N14" s="5" t="str">
        <v>PURCHASE_SIP</v>
      </c>
      <c r="O14" s="10">
        <v>0</v>
      </c>
    </row>
    <row r="15" spans="1:17" ht="34" x14ac:dyDescent="0.2">
      <c r="A15" s="5" t="str">
        <v>HDFC Mutual Fund</v>
      </c>
      <c r="B15" s="5" t="str">
        <v>AAAA9990</v>
      </c>
      <c r="C15" s="5" t="str">
        <v>AAAAA1111A</v>
      </c>
      <c r="D15" s="6" t="str">
        <v>HDFC Flexi Cap Fund - Direct Plan - Growth</v>
      </c>
      <c r="E15" s="6" t="str">
        <v>DIRECT</v>
      </c>
      <c r="F15" s="6" t="str">
        <v>CAMS</v>
      </c>
      <c r="G15" s="6">
        <v>119062</v>
      </c>
      <c r="H15" s="7">
        <v>40789</v>
      </c>
      <c r="I15" s="6" t="str">
        <v>Dividend Paid</v>
      </c>
      <c r="J15" s="8">
        <v>1204.95</v>
      </c>
      <c r="K15" s="9">
        <v>0</v>
      </c>
      <c r="L15" s="9">
        <v>0</v>
      </c>
      <c r="M15" s="9">
        <v>2409.9050000000002</v>
      </c>
      <c r="N15" s="5" t="str">
        <v>DIVIDEND_PAYOUT</v>
      </c>
      <c r="O15" s="10">
        <v>1204.95</v>
      </c>
    </row>
    <row r="16" spans="1:17" ht="34" x14ac:dyDescent="0.2">
      <c r="A16" s="5" t="str">
        <v>HDFC Mutual Fund</v>
      </c>
      <c r="B16" s="5" t="str">
        <v>AAAA9990</v>
      </c>
      <c r="C16" s="5" t="str">
        <v>AAAAA1111A</v>
      </c>
      <c r="D16" s="6" t="str">
        <v>HDFC Flexi Cap Fund - Direct Plan - Growth</v>
      </c>
      <c r="E16" s="6" t="str">
        <v>DIRECT</v>
      </c>
      <c r="F16" s="6" t="str">
        <v>CAMS</v>
      </c>
      <c r="G16" s="6">
        <v>119062</v>
      </c>
      <c r="H16" s="7">
        <v>40819</v>
      </c>
      <c r="I16" s="6" t="str">
        <v>Purchase - SIP</v>
      </c>
      <c r="J16" s="8">
        <v>5000</v>
      </c>
      <c r="K16" s="9">
        <v>221.32900000000001</v>
      </c>
      <c r="L16" s="9">
        <v>22.590800000000002</v>
      </c>
      <c r="M16" s="9">
        <v>2631.2339999999999</v>
      </c>
      <c r="N16" s="5" t="str">
        <v>PURCHASE_SIP</v>
      </c>
      <c r="O16" s="10">
        <v>0</v>
      </c>
    </row>
    <row r="17" spans="1:15" ht="34" x14ac:dyDescent="0.2">
      <c r="A17" s="5" t="str">
        <v>HDFC Mutual Fund</v>
      </c>
      <c r="B17" s="5" t="str">
        <v>AAAA9990</v>
      </c>
      <c r="C17" s="5" t="str">
        <v>AAAAA1111A</v>
      </c>
      <c r="D17" s="6" t="str">
        <v>HDFC Flexi Cap Fund - Direct Plan - Growth</v>
      </c>
      <c r="E17" s="6" t="str">
        <v>DIRECT</v>
      </c>
      <c r="F17" s="6" t="str">
        <v>CAMS</v>
      </c>
      <c r="G17" s="6">
        <v>119062</v>
      </c>
      <c r="H17" s="7">
        <v>40849</v>
      </c>
      <c r="I17" s="6" t="str">
        <v>Purchase - SIP</v>
      </c>
      <c r="J17" s="8">
        <v>5000</v>
      </c>
      <c r="K17" s="9">
        <v>219.649</v>
      </c>
      <c r="L17" s="9">
        <v>22.7636</v>
      </c>
      <c r="M17" s="9">
        <v>2850.8829999999998</v>
      </c>
      <c r="N17" s="5" t="str">
        <v>PURCHASE_SIP</v>
      </c>
      <c r="O17" s="10">
        <v>0</v>
      </c>
    </row>
    <row r="18" spans="1:15" ht="34" x14ac:dyDescent="0.2">
      <c r="A18" s="5" t="str">
        <v>HDFC Mutual Fund</v>
      </c>
      <c r="B18" s="5" t="str">
        <v>AAAA9990</v>
      </c>
      <c r="C18" s="5" t="str">
        <v>AAAAA1111A</v>
      </c>
      <c r="D18" s="6" t="str">
        <v>HDFC Flexi Cap Fund - Direct Plan - Growth</v>
      </c>
      <c r="E18" s="6" t="str">
        <v>DIRECT</v>
      </c>
      <c r="F18" s="6" t="str">
        <v>CAMS</v>
      </c>
      <c r="G18" s="6">
        <v>119062</v>
      </c>
      <c r="H18" s="7">
        <v>40849</v>
      </c>
      <c r="I18" s="6" t="str">
        <v>STAMP DUTY</v>
      </c>
      <c r="J18" s="8">
        <v>2.5</v>
      </c>
      <c r="K18" s="9">
        <v>0</v>
      </c>
      <c r="L18" s="9">
        <v>0</v>
      </c>
      <c r="M18" s="9">
        <v>2850.8829999999998</v>
      </c>
      <c r="N18" s="5" t="str">
        <v>STAMP_DUTY</v>
      </c>
      <c r="O18" s="10">
        <v>0</v>
      </c>
    </row>
    <row r="19" spans="1:15" ht="34" x14ac:dyDescent="0.2">
      <c r="A19" s="5" t="str">
        <v>HDFC Mutual Fund</v>
      </c>
      <c r="B19" s="5" t="str">
        <v>AAAA9990</v>
      </c>
      <c r="C19" s="5" t="str">
        <v>AAAAA1111A</v>
      </c>
      <c r="D19" s="6" t="str">
        <v>HDFC Flexi Cap Fund - Direct Plan - Growth</v>
      </c>
      <c r="E19" s="6" t="str">
        <v>DIRECT</v>
      </c>
      <c r="F19" s="6" t="str">
        <v>CAMS</v>
      </c>
      <c r="G19" s="6">
        <v>119062</v>
      </c>
      <c r="H19" s="7">
        <v>40879</v>
      </c>
      <c r="I19" s="6" t="str">
        <v>Purchase - SIP</v>
      </c>
      <c r="J19" s="8">
        <v>5000</v>
      </c>
      <c r="K19" s="9">
        <v>216.88200000000001</v>
      </c>
      <c r="L19" s="9">
        <v>23.053999999999998</v>
      </c>
      <c r="M19" s="9">
        <v>3067.7649999999999</v>
      </c>
      <c r="N19" s="5" t="str">
        <v>PURCHASE_SIP</v>
      </c>
      <c r="O19" s="10">
        <v>0</v>
      </c>
    </row>
    <row r="20" spans="1:15" ht="34" x14ac:dyDescent="0.2">
      <c r="A20" s="5" t="str">
        <v>HDFC Mutual Fund</v>
      </c>
      <c r="B20" s="5" t="str">
        <v>AAAA9990</v>
      </c>
      <c r="C20" s="5" t="str">
        <v>AAAAA1111A</v>
      </c>
      <c r="D20" s="6" t="str">
        <v>HDFC Flexi Cap Fund - Direct Plan - Growth</v>
      </c>
      <c r="E20" s="6" t="str">
        <v>DIRECT</v>
      </c>
      <c r="F20" s="6" t="str">
        <v>CAMS</v>
      </c>
      <c r="G20" s="6">
        <v>119062</v>
      </c>
      <c r="H20" s="7">
        <v>40909</v>
      </c>
      <c r="I20" s="6" t="str">
        <v>Purchase - SIP</v>
      </c>
      <c r="J20" s="8">
        <v>5000</v>
      </c>
      <c r="K20" s="9">
        <v>216.61699999999999</v>
      </c>
      <c r="L20" s="9">
        <v>23.0822</v>
      </c>
      <c r="M20" s="9">
        <v>3284.3820000000001</v>
      </c>
      <c r="N20" s="5" t="str">
        <v>PURCHASE_SIP</v>
      </c>
      <c r="O20" s="10">
        <v>0</v>
      </c>
    </row>
    <row r="21" spans="1:15" ht="34" x14ac:dyDescent="0.2">
      <c r="A21" s="5" t="str">
        <v>HDFC Mutual Fund</v>
      </c>
      <c r="B21" s="5" t="str">
        <v>AAAA9990</v>
      </c>
      <c r="C21" s="5" t="str">
        <v>AAAAA1111A</v>
      </c>
      <c r="D21" s="6" t="str">
        <v>HDFC Flexi Cap Fund - Direct Plan - Growth</v>
      </c>
      <c r="E21" s="6" t="str">
        <v>DIRECT</v>
      </c>
      <c r="F21" s="6" t="str">
        <v>CAMS</v>
      </c>
      <c r="G21" s="6">
        <v>119062</v>
      </c>
      <c r="H21" s="7">
        <v>40939</v>
      </c>
      <c r="I21" s="6" t="str">
        <v>Purchase - SIP</v>
      </c>
      <c r="J21" s="8">
        <v>5000</v>
      </c>
      <c r="K21" s="9">
        <v>211.26300000000001</v>
      </c>
      <c r="L21" s="9">
        <v>23.667200000000001</v>
      </c>
      <c r="M21" s="9">
        <v>3495.645</v>
      </c>
      <c r="N21" s="5" t="str">
        <v>PURCHASE_SIP</v>
      </c>
      <c r="O21" s="10">
        <v>0</v>
      </c>
    </row>
    <row r="22" spans="1:15" ht="34" x14ac:dyDescent="0.2">
      <c r="A22" s="5" t="str">
        <v>HDFC Mutual Fund</v>
      </c>
      <c r="B22" s="5" t="str">
        <v>AAAA9990</v>
      </c>
      <c r="C22" s="5" t="str">
        <v>AAAAA1111A</v>
      </c>
      <c r="D22" s="6" t="str">
        <v>HDFC Flexi Cap Fund - Direct Plan - Growth</v>
      </c>
      <c r="E22" s="6" t="str">
        <v>DIRECT</v>
      </c>
      <c r="F22" s="6" t="str">
        <v>CAMS</v>
      </c>
      <c r="G22" s="6">
        <v>119062</v>
      </c>
      <c r="H22" s="7">
        <v>40969</v>
      </c>
      <c r="I22" s="6" t="str">
        <v>Purchase - SIP</v>
      </c>
      <c r="J22" s="8">
        <v>5000</v>
      </c>
      <c r="K22" s="9">
        <v>213.696</v>
      </c>
      <c r="L22" s="9">
        <v>23.3977</v>
      </c>
      <c r="M22" s="9">
        <v>3709.3420000000001</v>
      </c>
      <c r="N22" s="5" t="str">
        <v>PURCHASE_SIP</v>
      </c>
      <c r="O22" s="10">
        <v>0</v>
      </c>
    </row>
    <row r="23" spans="1:15" ht="34" x14ac:dyDescent="0.2">
      <c r="A23" s="5" t="str">
        <v>HDFC Mutual Fund</v>
      </c>
      <c r="B23" s="5" t="str">
        <v>AAAA9990</v>
      </c>
      <c r="C23" s="5" t="str">
        <v>AAAAA1111A</v>
      </c>
      <c r="D23" s="6" t="str">
        <v>HDFC Flexi Cap Fund - Direct Plan - Growth</v>
      </c>
      <c r="E23" s="6" t="str">
        <v>DIRECT</v>
      </c>
      <c r="F23" s="6" t="str">
        <v>CAMS</v>
      </c>
      <c r="G23" s="6">
        <v>119062</v>
      </c>
      <c r="H23" s="7">
        <v>40969</v>
      </c>
      <c r="I23" s="6" t="str">
        <v>STAMP DUTY</v>
      </c>
      <c r="J23" s="8">
        <v>2.5</v>
      </c>
      <c r="K23" s="9">
        <v>0</v>
      </c>
      <c r="L23" s="9">
        <v>0</v>
      </c>
      <c r="M23" s="9">
        <v>3709.3420000000001</v>
      </c>
      <c r="N23" s="5" t="str">
        <v>STAMP_DUTY</v>
      </c>
      <c r="O23" s="10">
        <v>0</v>
      </c>
    </row>
    <row r="24" spans="1:15" ht="34" x14ac:dyDescent="0.2">
      <c r="A24" s="5" t="str">
        <v>HDFC Mutual Fund</v>
      </c>
      <c r="B24" s="5" t="str">
        <v>AAAA9990</v>
      </c>
      <c r="C24" s="5" t="str">
        <v>AAAAA1111A</v>
      </c>
      <c r="D24" s="6" t="str">
        <v>HDFC Flexi Cap Fund - Direct Plan - Growth</v>
      </c>
      <c r="E24" s="6" t="str">
        <v>DIRECT</v>
      </c>
      <c r="F24" s="6" t="str">
        <v>CAMS</v>
      </c>
      <c r="G24" s="6">
        <v>119062</v>
      </c>
      <c r="H24" s="7">
        <v>40999</v>
      </c>
      <c r="I24" s="6" t="str">
        <v>Purchase - SIP</v>
      </c>
      <c r="J24" s="8">
        <v>5000</v>
      </c>
      <c r="K24" s="9">
        <v>212.81100000000001</v>
      </c>
      <c r="L24" s="9">
        <v>23.495000000000001</v>
      </c>
      <c r="M24" s="9">
        <v>3922.1529999999998</v>
      </c>
      <c r="N24" s="5" t="str">
        <v>PURCHASE_SIP</v>
      </c>
      <c r="O24" s="10">
        <v>0</v>
      </c>
    </row>
    <row r="25" spans="1:15" ht="34" x14ac:dyDescent="0.2">
      <c r="A25" s="5" t="str">
        <v>HDFC Mutual Fund</v>
      </c>
      <c r="B25" s="5" t="str">
        <v>AAAA9990</v>
      </c>
      <c r="C25" s="5" t="str">
        <v>AAAAA1111A</v>
      </c>
      <c r="D25" s="6" t="str">
        <v>HDFC Flexi Cap Fund - Direct Plan - Growth</v>
      </c>
      <c r="E25" s="6" t="str">
        <v>DIRECT</v>
      </c>
      <c r="F25" s="6" t="str">
        <v>CAMS</v>
      </c>
      <c r="G25" s="6">
        <v>119062</v>
      </c>
      <c r="H25" s="7">
        <v>41029</v>
      </c>
      <c r="I25" s="6" t="str">
        <v>Purchase - SIP</v>
      </c>
      <c r="J25" s="8">
        <v>5000</v>
      </c>
      <c r="K25" s="9">
        <v>212.286</v>
      </c>
      <c r="L25" s="9">
        <v>23.553100000000001</v>
      </c>
      <c r="M25" s="9">
        <v>4134.4390000000003</v>
      </c>
      <c r="N25" s="5" t="str">
        <v>PURCHASE_SIP</v>
      </c>
      <c r="O25" s="10">
        <v>0</v>
      </c>
    </row>
    <row r="26" spans="1:15" ht="34" x14ac:dyDescent="0.2">
      <c r="A26" s="5" t="str">
        <v>HDFC Mutual Fund</v>
      </c>
      <c r="B26" s="5" t="str">
        <v>AAAA9990</v>
      </c>
      <c r="C26" s="5" t="str">
        <v>AAAAA1111A</v>
      </c>
      <c r="D26" s="6" t="str">
        <v>HDFC Flexi Cap Fund - Direct Plan - Growth</v>
      </c>
      <c r="E26" s="6" t="str">
        <v>DIRECT</v>
      </c>
      <c r="F26" s="6" t="str">
        <v>CAMS</v>
      </c>
      <c r="G26" s="6">
        <v>119062</v>
      </c>
      <c r="H26" s="7">
        <v>41059</v>
      </c>
      <c r="I26" s="6" t="str">
        <v>Purchase - SIP</v>
      </c>
      <c r="J26" s="8">
        <v>5000</v>
      </c>
      <c r="K26" s="9">
        <v>215.756</v>
      </c>
      <c r="L26" s="9">
        <v>23.174299999999999</v>
      </c>
      <c r="M26" s="9">
        <v>4350.1959999999999</v>
      </c>
      <c r="N26" s="5" t="str">
        <v>PURCHASE_SIP</v>
      </c>
      <c r="O26" s="10">
        <v>0</v>
      </c>
    </row>
    <row r="27" spans="1:15" ht="34" x14ac:dyDescent="0.2">
      <c r="A27" s="5" t="str">
        <v>HDFC Mutual Fund</v>
      </c>
      <c r="B27" s="5" t="str">
        <v>AAAA9990</v>
      </c>
      <c r="C27" s="5" t="str">
        <v>AAAAA1111A</v>
      </c>
      <c r="D27" s="6" t="str">
        <v>HDFC Flexi Cap Fund - Direct Plan - Growth</v>
      </c>
      <c r="E27" s="6" t="str">
        <v>DIRECT</v>
      </c>
      <c r="F27" s="6" t="str">
        <v>CAMS</v>
      </c>
      <c r="G27" s="6">
        <v>119062</v>
      </c>
      <c r="H27" s="7">
        <v>41089</v>
      </c>
      <c r="I27" s="6" t="str">
        <v>Purchase - SIP</v>
      </c>
      <c r="J27" s="8">
        <v>5000</v>
      </c>
      <c r="K27" s="9">
        <v>211.04900000000001</v>
      </c>
      <c r="L27" s="9">
        <v>23.691199999999998</v>
      </c>
      <c r="M27" s="9">
        <v>4561.2439999999997</v>
      </c>
      <c r="N27" s="5" t="str">
        <v>PURCHASE_SIP</v>
      </c>
      <c r="O27" s="10">
        <v>0</v>
      </c>
    </row>
    <row r="28" spans="1:15" ht="34" x14ac:dyDescent="0.2">
      <c r="A28" s="5" t="str">
        <v>HDFC Mutual Fund</v>
      </c>
      <c r="B28" s="5" t="str">
        <v>AAAA9990</v>
      </c>
      <c r="C28" s="5" t="str">
        <v>AAAAA1111A</v>
      </c>
      <c r="D28" s="6" t="str">
        <v>HDFC Flexi Cap Fund - Direct Plan - Growth</v>
      </c>
      <c r="E28" s="6" t="str">
        <v>DIRECT</v>
      </c>
      <c r="F28" s="6" t="str">
        <v>CAMS</v>
      </c>
      <c r="G28" s="6">
        <v>119062</v>
      </c>
      <c r="H28" s="7">
        <v>41119</v>
      </c>
      <c r="I28" s="6" t="str">
        <v>Purchase - SIP</v>
      </c>
      <c r="J28" s="8">
        <v>5000</v>
      </c>
      <c r="K28" s="9">
        <v>209.119</v>
      </c>
      <c r="L28" s="9">
        <v>23.909800000000001</v>
      </c>
      <c r="M28" s="9">
        <v>4770.3639999999996</v>
      </c>
      <c r="N28" s="5" t="str">
        <v>PURCHASE_SIP</v>
      </c>
      <c r="O28" s="10">
        <v>0</v>
      </c>
    </row>
    <row r="29" spans="1:15" ht="34" x14ac:dyDescent="0.2">
      <c r="A29" s="5" t="str">
        <v>HDFC Mutual Fund</v>
      </c>
      <c r="B29" s="5" t="str">
        <v>AAAA9990</v>
      </c>
      <c r="C29" s="5" t="str">
        <v>AAAAA1111A</v>
      </c>
      <c r="D29" s="6" t="str">
        <v>HDFC Flexi Cap Fund - Direct Plan - Growth</v>
      </c>
      <c r="E29" s="6" t="str">
        <v>DIRECT</v>
      </c>
      <c r="F29" s="6" t="str">
        <v>CAMS</v>
      </c>
      <c r="G29" s="6">
        <v>119062</v>
      </c>
      <c r="H29" s="7">
        <v>41149</v>
      </c>
      <c r="I29" s="6" t="str">
        <v>Purchase - SIP</v>
      </c>
      <c r="J29" s="8">
        <v>5000</v>
      </c>
      <c r="K29" s="9">
        <v>204.65899999999999</v>
      </c>
      <c r="L29" s="9">
        <v>24.430900000000001</v>
      </c>
      <c r="M29" s="9">
        <v>4975.0230000000001</v>
      </c>
      <c r="N29" s="5" t="str">
        <v>PURCHASE_SIP</v>
      </c>
      <c r="O29" s="10">
        <v>0</v>
      </c>
    </row>
    <row r="30" spans="1:15" ht="34" x14ac:dyDescent="0.2">
      <c r="A30" s="5" t="str">
        <v>HDFC Mutual Fund</v>
      </c>
      <c r="B30" s="5" t="str">
        <v>AAAA9990</v>
      </c>
      <c r="C30" s="5" t="str">
        <v>AAAAA1111A</v>
      </c>
      <c r="D30" s="6" t="str">
        <v>HDFC Flexi Cap Fund - Direct Plan - Growth</v>
      </c>
      <c r="E30" s="6" t="str">
        <v>DIRECT</v>
      </c>
      <c r="F30" s="6" t="str">
        <v>CAMS</v>
      </c>
      <c r="G30" s="6">
        <v>119062</v>
      </c>
      <c r="H30" s="7">
        <v>41179</v>
      </c>
      <c r="I30" s="6" t="str">
        <v>Purchase - SIP</v>
      </c>
      <c r="J30" s="8">
        <v>5000</v>
      </c>
      <c r="K30" s="9">
        <v>205.04400000000001</v>
      </c>
      <c r="L30" s="9">
        <v>24.385100000000001</v>
      </c>
      <c r="M30" s="9">
        <v>5180.0659999999998</v>
      </c>
      <c r="N30" s="5" t="str">
        <v>PURCHASE_SIP</v>
      </c>
      <c r="O30" s="10">
        <v>0</v>
      </c>
    </row>
    <row r="31" spans="1:15" ht="34" x14ac:dyDescent="0.2">
      <c r="A31" s="5" t="str">
        <v>HDFC Mutual Fund</v>
      </c>
      <c r="B31" s="5" t="str">
        <v>AAAA9990</v>
      </c>
      <c r="C31" s="5" t="str">
        <v>AAAAA1111A</v>
      </c>
      <c r="D31" s="6" t="str">
        <v>HDFC Flexi Cap Fund - Direct Plan - Growth</v>
      </c>
      <c r="E31" s="6" t="str">
        <v>DIRECT</v>
      </c>
      <c r="F31" s="6" t="str">
        <v>CAMS</v>
      </c>
      <c r="G31" s="6">
        <v>119062</v>
      </c>
      <c r="H31" s="7">
        <v>41179</v>
      </c>
      <c r="I31" s="6" t="str">
        <v>STAMP DUTY</v>
      </c>
      <c r="J31" s="8">
        <v>2.5</v>
      </c>
      <c r="K31" s="9">
        <v>0</v>
      </c>
      <c r="L31" s="9">
        <v>0</v>
      </c>
      <c r="M31" s="9">
        <v>5180.0659999999998</v>
      </c>
      <c r="N31" s="5" t="str">
        <v>STAMP_DUTY</v>
      </c>
      <c r="O31" s="10">
        <v>0</v>
      </c>
    </row>
    <row r="32" spans="1:15" ht="34" x14ac:dyDescent="0.2">
      <c r="A32" s="5" t="str">
        <v>HDFC Mutual Fund</v>
      </c>
      <c r="B32" s="5" t="str">
        <v>AAAA9990</v>
      </c>
      <c r="C32" s="5" t="str">
        <v>AAAAA1111A</v>
      </c>
      <c r="D32" s="6" t="str">
        <v>HDFC Flexi Cap Fund - Direct Plan - Growth</v>
      </c>
      <c r="E32" s="6" t="str">
        <v>DIRECT</v>
      </c>
      <c r="F32" s="6" t="str">
        <v>CAMS</v>
      </c>
      <c r="G32" s="6">
        <v>119062</v>
      </c>
      <c r="H32" s="7">
        <v>41209</v>
      </c>
      <c r="I32" s="6" t="str">
        <v>Purchase - SIP</v>
      </c>
      <c r="J32" s="8">
        <v>5000</v>
      </c>
      <c r="K32" s="9">
        <v>205.16300000000001</v>
      </c>
      <c r="L32" s="9">
        <v>24.370899999999999</v>
      </c>
      <c r="M32" s="9">
        <v>5385.2290000000003</v>
      </c>
      <c r="N32" s="5" t="str">
        <v>PURCHASE_SIP</v>
      </c>
      <c r="O32" s="10">
        <v>0</v>
      </c>
    </row>
    <row r="33" spans="1:15" ht="34" x14ac:dyDescent="0.2">
      <c r="A33" s="5" t="str">
        <v>HDFC Mutual Fund</v>
      </c>
      <c r="B33" s="5" t="str">
        <v>AAAA9990</v>
      </c>
      <c r="C33" s="5" t="str">
        <v>AAAAA1111A</v>
      </c>
      <c r="D33" s="6" t="str">
        <v>HDFC Flexi Cap Fund - Direct Plan - Growth</v>
      </c>
      <c r="E33" s="6" t="str">
        <v>DIRECT</v>
      </c>
      <c r="F33" s="6" t="str">
        <v>CAMS</v>
      </c>
      <c r="G33" s="6">
        <v>119062</v>
      </c>
      <c r="H33" s="7">
        <v>41239</v>
      </c>
      <c r="I33" s="6" t="str">
        <v>Purchase - SIP</v>
      </c>
      <c r="J33" s="8">
        <v>5000</v>
      </c>
      <c r="K33" s="9">
        <v>207.072</v>
      </c>
      <c r="L33" s="9">
        <v>24.1462</v>
      </c>
      <c r="M33" s="9">
        <v>5592.3010000000004</v>
      </c>
      <c r="N33" s="5" t="str">
        <v>PURCHASE_SIP</v>
      </c>
      <c r="O33" s="10">
        <v>0</v>
      </c>
    </row>
    <row r="34" spans="1:15" ht="34" x14ac:dyDescent="0.2">
      <c r="A34" s="5" t="str">
        <v>HDFC Mutual Fund</v>
      </c>
      <c r="B34" s="5" t="str">
        <v>AAAA9990</v>
      </c>
      <c r="C34" s="5" t="str">
        <v>AAAAA1111A</v>
      </c>
      <c r="D34" s="6" t="str">
        <v>HDFC Flexi Cap Fund - Direct Plan - Growth</v>
      </c>
      <c r="E34" s="6" t="str">
        <v>DIRECT</v>
      </c>
      <c r="F34" s="6" t="str">
        <v>CAMS</v>
      </c>
      <c r="G34" s="6">
        <v>119062</v>
      </c>
      <c r="H34" s="7">
        <v>41269</v>
      </c>
      <c r="I34" s="6" t="str">
        <v>Purchase - SIP</v>
      </c>
      <c r="J34" s="8">
        <v>5000</v>
      </c>
      <c r="K34" s="9">
        <v>203.87899999999999</v>
      </c>
      <c r="L34" s="9">
        <v>24.5243</v>
      </c>
      <c r="M34" s="9">
        <v>5796.18</v>
      </c>
      <c r="N34" s="5" t="str">
        <v>PURCHASE_SIP</v>
      </c>
      <c r="O34" s="10">
        <v>0</v>
      </c>
    </row>
    <row r="35" spans="1:15" ht="34" x14ac:dyDescent="0.2">
      <c r="A35" s="5" t="str">
        <v>HDFC Mutual Fund</v>
      </c>
      <c r="B35" s="5" t="str">
        <v>AAAA9990</v>
      </c>
      <c r="C35" s="5" t="str">
        <v>AAAAA1111A</v>
      </c>
      <c r="D35" s="6" t="str">
        <v>HDFC Flexi Cap Fund - Direct Plan - Growth</v>
      </c>
      <c r="E35" s="6" t="str">
        <v>DIRECT</v>
      </c>
      <c r="F35" s="6" t="str">
        <v>CAMS</v>
      </c>
      <c r="G35" s="6">
        <v>119062</v>
      </c>
      <c r="H35" s="7">
        <v>41299</v>
      </c>
      <c r="I35" s="6" t="str">
        <v>Purchase - SIP</v>
      </c>
      <c r="J35" s="8">
        <v>5000</v>
      </c>
      <c r="K35" s="9">
        <v>200.583</v>
      </c>
      <c r="L35" s="9">
        <v>24.927299999999999</v>
      </c>
      <c r="M35" s="9">
        <v>5996.7629999999999</v>
      </c>
      <c r="N35" s="5" t="str">
        <v>PURCHASE_SIP</v>
      </c>
      <c r="O35" s="10">
        <v>0</v>
      </c>
    </row>
    <row r="36" spans="1:15" ht="17" x14ac:dyDescent="0.2">
      <c r="A36" s="5" t="str">
        <v>HDFC Mutual Fund</v>
      </c>
      <c r="B36" s="5" t="str">
        <v>AAAA9990</v>
      </c>
      <c r="C36" s="5" t="str">
        <v>AAAAA1111A</v>
      </c>
      <c r="D36" s="6" t="str">
        <v>HDFC Flexi Cap Fund - Direct Plan - Growth</v>
      </c>
      <c r="E36" s="6" t="str">
        <v>DIRECT</v>
      </c>
      <c r="F36" s="6" t="str">
        <v>CAMS</v>
      </c>
      <c r="G36" s="6">
        <v>119062</v>
      </c>
      <c r="H36" s="7">
        <v>41329</v>
      </c>
      <c r="I36" s="6" t="str">
        <v>Purchase - SIP</v>
      </c>
      <c r="J36" s="8">
        <v>5000</v>
      </c>
      <c r="K36" s="9">
        <v>194.97</v>
      </c>
      <c r="L36" s="9">
        <v>25.645</v>
      </c>
      <c r="M36" s="9">
        <v>6191.7330000000002</v>
      </c>
      <c r="N36" s="5" t="str">
        <v>PURCHASE_SIP</v>
      </c>
      <c r="O36" s="10">
        <v>0</v>
      </c>
    </row>
    <row r="37" spans="1:15" ht="17" x14ac:dyDescent="0.2">
      <c r="A37" s="5" t="str">
        <v>HDFC Mutual Fund</v>
      </c>
      <c r="B37" s="5" t="str">
        <v>AAAA9990</v>
      </c>
      <c r="C37" s="5" t="str">
        <v>AAAAA1111A</v>
      </c>
      <c r="D37" s="6" t="str">
        <v>HDFC Flexi Cap Fund - Direct Plan - Growth</v>
      </c>
      <c r="E37" s="6" t="str">
        <v>DIRECT</v>
      </c>
      <c r="F37" s="6" t="str">
        <v>CAMS</v>
      </c>
      <c r="G37" s="6">
        <v>119062</v>
      </c>
      <c r="H37" s="7">
        <v>41359</v>
      </c>
      <c r="I37" s="6" t="str">
        <v>Purchase - SIP</v>
      </c>
      <c r="J37" s="8">
        <v>5000</v>
      </c>
      <c r="K37" s="9">
        <v>195.715</v>
      </c>
      <c r="L37" s="9">
        <v>25.5473</v>
      </c>
      <c r="M37" s="9">
        <v>6387.4480000000003</v>
      </c>
      <c r="N37" s="5" t="str">
        <v>PURCHASE_SIP</v>
      </c>
      <c r="O37" s="10">
        <v>0</v>
      </c>
    </row>
    <row r="38" spans="1:15" ht="17" x14ac:dyDescent="0.2">
      <c r="A38" s="5" t="str">
        <v>HDFC Mutual Fund</v>
      </c>
      <c r="B38" s="5" t="str">
        <v>AAAA9990</v>
      </c>
      <c r="C38" s="5" t="str">
        <v>AAAAA1111A</v>
      </c>
      <c r="D38" s="6" t="str">
        <v>HDFC Flexi Cap Fund - Direct Plan - Growth</v>
      </c>
      <c r="E38" s="6" t="str">
        <v>DIRECT</v>
      </c>
      <c r="F38" s="6" t="str">
        <v>CAMS</v>
      </c>
      <c r="G38" s="6">
        <v>119062</v>
      </c>
      <c r="H38" s="7">
        <v>41389</v>
      </c>
      <c r="I38" s="6" t="str">
        <v>Purchase - SIP</v>
      </c>
      <c r="J38" s="8">
        <v>5000</v>
      </c>
      <c r="K38" s="9">
        <v>198.744</v>
      </c>
      <c r="L38" s="9">
        <v>25.158000000000001</v>
      </c>
      <c r="M38" s="9">
        <v>6586.192</v>
      </c>
      <c r="N38" s="5" t="str">
        <v>PURCHASE_SIP</v>
      </c>
      <c r="O38" s="10">
        <v>0</v>
      </c>
    </row>
    <row r="39" spans="1:15" ht="17" x14ac:dyDescent="0.2">
      <c r="A39" s="5" t="str">
        <v>HDFC Mutual Fund</v>
      </c>
      <c r="B39" s="5" t="str">
        <v>AAAA9990</v>
      </c>
      <c r="C39" s="5" t="str">
        <v>AAAAA1111A</v>
      </c>
      <c r="D39" s="6" t="str">
        <v>HDFC Flexi Cap Fund - Direct Plan - Growth</v>
      </c>
      <c r="E39" s="6" t="str">
        <v>DIRECT</v>
      </c>
      <c r="F39" s="6" t="str">
        <v>CAMS</v>
      </c>
      <c r="G39" s="6">
        <v>119062</v>
      </c>
      <c r="H39" s="7">
        <v>41419</v>
      </c>
      <c r="I39" s="6" t="str">
        <v>Purchase - SIP</v>
      </c>
      <c r="J39" s="8">
        <v>5000</v>
      </c>
      <c r="K39" s="9">
        <v>197.27799999999999</v>
      </c>
      <c r="L39" s="9">
        <v>25.344999999999999</v>
      </c>
      <c r="M39" s="9">
        <v>6783.4690000000001</v>
      </c>
      <c r="N39" s="5" t="str">
        <v>PURCHASE_SIP</v>
      </c>
      <c r="O39" s="10">
        <v>0</v>
      </c>
    </row>
    <row r="40" spans="1:15" ht="17" x14ac:dyDescent="0.2">
      <c r="A40" s="5" t="str">
        <v>HDFC Mutual Fund</v>
      </c>
      <c r="B40" s="5" t="str">
        <v>AAAA9990</v>
      </c>
      <c r="C40" s="5" t="str">
        <v>AAAAA1111A</v>
      </c>
      <c r="D40" s="6" t="str">
        <v>HDFC Flexi Cap Fund - Direct Plan - Growth</v>
      </c>
      <c r="E40" s="6" t="str">
        <v>DIRECT</v>
      </c>
      <c r="F40" s="6" t="str">
        <v>CAMS</v>
      </c>
      <c r="G40" s="6">
        <v>119062</v>
      </c>
      <c r="H40" s="7">
        <v>41449</v>
      </c>
      <c r="I40" s="6" t="str">
        <v>Purchase - SIP</v>
      </c>
      <c r="J40" s="8">
        <v>5000</v>
      </c>
      <c r="K40" s="9">
        <v>193.45500000000001</v>
      </c>
      <c r="L40" s="9">
        <v>25.8459</v>
      </c>
      <c r="M40" s="9">
        <v>6976.924</v>
      </c>
      <c r="N40" s="5" t="str">
        <v>PURCHASE_SIP</v>
      </c>
      <c r="O40" s="10">
        <v>0</v>
      </c>
    </row>
    <row r="41" spans="1:15" ht="17" x14ac:dyDescent="0.2">
      <c r="A41" s="5" t="str">
        <v>HDFC Mutual Fund</v>
      </c>
      <c r="B41" s="5" t="str">
        <v>AAAA9990</v>
      </c>
      <c r="C41" s="5" t="str">
        <v>AAAAA1111A</v>
      </c>
      <c r="D41" s="6" t="str">
        <v>HDFC Flexi Cap Fund - Direct Plan - Growth</v>
      </c>
      <c r="E41" s="6" t="str">
        <v>DIRECT</v>
      </c>
      <c r="F41" s="6" t="str">
        <v>CAMS</v>
      </c>
      <c r="G41" s="6">
        <v>119062</v>
      </c>
      <c r="H41" s="7">
        <v>41449</v>
      </c>
      <c r="I41" s="6" t="str">
        <v>STT TAX</v>
      </c>
      <c r="J41" s="8">
        <v>2.5</v>
      </c>
      <c r="K41" s="9">
        <v>0</v>
      </c>
      <c r="L41" s="9">
        <v>0</v>
      </c>
      <c r="M41" s="9">
        <v>6976.924</v>
      </c>
      <c r="N41" s="5" t="str">
        <v>STT_TAX</v>
      </c>
      <c r="O41" s="10">
        <v>0</v>
      </c>
    </row>
    <row r="42" spans="1:15" ht="17" x14ac:dyDescent="0.2">
      <c r="A42" s="5" t="str">
        <v>HDFC Mutual Fund</v>
      </c>
      <c r="B42" s="5" t="str">
        <v>AAAA9990</v>
      </c>
      <c r="C42" s="5" t="str">
        <v>AAAAA1111A</v>
      </c>
      <c r="D42" s="6" t="str">
        <v>HDFC Flexi Cap Fund - Direct Plan - Growth</v>
      </c>
      <c r="E42" s="6" t="str">
        <v>DIRECT</v>
      </c>
      <c r="F42" s="6" t="str">
        <v>CAMS</v>
      </c>
      <c r="G42" s="6">
        <v>119062</v>
      </c>
      <c r="H42" s="7">
        <v>41479</v>
      </c>
      <c r="I42" s="6" t="str">
        <v>Purchase - SIP</v>
      </c>
      <c r="J42" s="8">
        <v>5000</v>
      </c>
      <c r="K42" s="9">
        <v>192.548</v>
      </c>
      <c r="L42" s="9">
        <v>25.967500000000001</v>
      </c>
      <c r="M42" s="9">
        <v>7169.4719999999998</v>
      </c>
      <c r="N42" s="5" t="str">
        <v>PURCHASE_SIP</v>
      </c>
      <c r="O42" s="10">
        <v>0</v>
      </c>
    </row>
    <row r="43" spans="1:15" ht="17" x14ac:dyDescent="0.2">
      <c r="A43" s="5" t="str">
        <v>HDFC Mutual Fund</v>
      </c>
      <c r="B43" s="5" t="str">
        <v>AAAA9990</v>
      </c>
      <c r="C43" s="5" t="str">
        <v>AAAAA1111A</v>
      </c>
      <c r="D43" s="6" t="str">
        <v>HDFC Flexi Cap Fund - Direct Plan - Growth</v>
      </c>
      <c r="E43" s="6" t="str">
        <v>DIRECT</v>
      </c>
      <c r="F43" s="6" t="str">
        <v>CAMS</v>
      </c>
      <c r="G43" s="6">
        <v>119062</v>
      </c>
      <c r="H43" s="7">
        <v>41479</v>
      </c>
      <c r="I43" s="6" t="str">
        <v>STT TAX</v>
      </c>
      <c r="J43" s="8">
        <v>2.5</v>
      </c>
      <c r="K43" s="9">
        <v>0</v>
      </c>
      <c r="L43" s="9">
        <v>0</v>
      </c>
      <c r="M43" s="9">
        <v>7169.4719999999998</v>
      </c>
      <c r="N43" s="5" t="str">
        <v>STT_TAX</v>
      </c>
      <c r="O43" s="10">
        <v>0</v>
      </c>
    </row>
    <row r="44" spans="1:15" ht="17" x14ac:dyDescent="0.2">
      <c r="A44" s="5" t="str">
        <v>HDFC Mutual Fund</v>
      </c>
      <c r="B44" s="5" t="str">
        <v>AAAA9990</v>
      </c>
      <c r="C44" s="5" t="str">
        <v>AAAAA1111A</v>
      </c>
      <c r="D44" s="6" t="str">
        <v>HDFC Flexi Cap Fund - Direct Plan - Growth</v>
      </c>
      <c r="E44" s="6" t="str">
        <v>DIRECT</v>
      </c>
      <c r="F44" s="6" t="str">
        <v>CAMS</v>
      </c>
      <c r="G44" s="6">
        <v>119062</v>
      </c>
      <c r="H44" s="7">
        <v>41509</v>
      </c>
      <c r="I44" s="6" t="str">
        <v>Purchase - SIP</v>
      </c>
      <c r="J44" s="8">
        <v>5000</v>
      </c>
      <c r="K44" s="9">
        <v>194.30099999999999</v>
      </c>
      <c r="L44" s="9">
        <v>25.7332</v>
      </c>
      <c r="M44" s="9">
        <v>7363.7730000000001</v>
      </c>
      <c r="N44" s="5" t="str">
        <v>PURCHASE_SIP</v>
      </c>
      <c r="O44" s="10">
        <v>0</v>
      </c>
    </row>
    <row r="45" spans="1:15" ht="17" x14ac:dyDescent="0.2">
      <c r="A45" s="5" t="str">
        <v>HDFC Mutual Fund</v>
      </c>
      <c r="B45" s="5" t="str">
        <v>AAAA9990</v>
      </c>
      <c r="C45" s="5" t="str">
        <v>AAAAA1111A</v>
      </c>
      <c r="D45" s="6" t="str">
        <v>HDFC Flexi Cap Fund - Direct Plan - Growth</v>
      </c>
      <c r="E45" s="6" t="str">
        <v>DIRECT</v>
      </c>
      <c r="F45" s="6" t="str">
        <v>CAMS</v>
      </c>
      <c r="G45" s="6">
        <v>119062</v>
      </c>
      <c r="H45" s="7">
        <v>41539</v>
      </c>
      <c r="I45" s="6" t="str">
        <v>Purchase - SIP</v>
      </c>
      <c r="J45" s="8">
        <v>5000</v>
      </c>
      <c r="K45" s="9">
        <v>195.761</v>
      </c>
      <c r="L45" s="9">
        <v>25.5413</v>
      </c>
      <c r="M45" s="9">
        <v>7559.5349999999999</v>
      </c>
      <c r="N45" s="5" t="str">
        <v>PURCHASE_SIP</v>
      </c>
      <c r="O45" s="10">
        <v>0</v>
      </c>
    </row>
    <row r="46" spans="1:15" ht="17" x14ac:dyDescent="0.2">
      <c r="A46" s="5" t="str">
        <v>HDFC Mutual Fund</v>
      </c>
      <c r="B46" s="5" t="str">
        <v>AAAA9990</v>
      </c>
      <c r="C46" s="5" t="str">
        <v>AAAAA1111A</v>
      </c>
      <c r="D46" s="6" t="str">
        <v>HDFC Flexi Cap Fund - Direct Plan - Growth</v>
      </c>
      <c r="E46" s="6" t="str">
        <v>DIRECT</v>
      </c>
      <c r="F46" s="6" t="str">
        <v>CAMS</v>
      </c>
      <c r="G46" s="6">
        <v>119062</v>
      </c>
      <c r="H46" s="7">
        <v>41569</v>
      </c>
      <c r="I46" s="6" t="str">
        <v>Purchase - SIP</v>
      </c>
      <c r="J46" s="8">
        <v>5000</v>
      </c>
      <c r="K46" s="9">
        <v>198.959</v>
      </c>
      <c r="L46" s="9">
        <v>25.130800000000001</v>
      </c>
      <c r="M46" s="9">
        <v>7758.4939999999997</v>
      </c>
      <c r="N46" s="5" t="str">
        <v>PURCHASE_SIP</v>
      </c>
      <c r="O46" s="10">
        <v>0</v>
      </c>
    </row>
    <row r="47" spans="1:15" ht="17" x14ac:dyDescent="0.2">
      <c r="A47" s="5" t="str">
        <v>HDFC Mutual Fund</v>
      </c>
      <c r="B47" s="5" t="str">
        <v>AAAA9990</v>
      </c>
      <c r="C47" s="5" t="str">
        <v>AAAAA1111A</v>
      </c>
      <c r="D47" s="6" t="str">
        <v>HDFC Flexi Cap Fund - Direct Plan - Growth</v>
      </c>
      <c r="E47" s="6" t="str">
        <v>DIRECT</v>
      </c>
      <c r="F47" s="6" t="str">
        <v>CAMS</v>
      </c>
      <c r="G47" s="6">
        <v>119062</v>
      </c>
      <c r="H47" s="7">
        <v>41599</v>
      </c>
      <c r="I47" s="6" t="str">
        <v>Purchase - SIP</v>
      </c>
      <c r="J47" s="8">
        <v>5000</v>
      </c>
      <c r="K47" s="9">
        <v>196.38300000000001</v>
      </c>
      <c r="L47" s="9">
        <v>25.4605</v>
      </c>
      <c r="M47" s="9">
        <v>7954.8770000000004</v>
      </c>
      <c r="N47" s="5" t="str">
        <v>PURCHASE_SIP</v>
      </c>
      <c r="O47" s="10">
        <v>0</v>
      </c>
    </row>
    <row r="48" spans="1:15" ht="17" x14ac:dyDescent="0.2">
      <c r="A48" s="5" t="str">
        <v>HDFC Mutual Fund</v>
      </c>
      <c r="B48" s="5" t="str">
        <v>AAAA9990</v>
      </c>
      <c r="C48" s="5" t="str">
        <v>AAAAA1111A</v>
      </c>
      <c r="D48" s="6" t="str">
        <v>HDFC Flexi Cap Fund - Direct Plan - Growth</v>
      </c>
      <c r="E48" s="6" t="str">
        <v>DIRECT</v>
      </c>
      <c r="F48" s="6" t="str">
        <v>CAMS</v>
      </c>
      <c r="G48" s="6">
        <v>119062</v>
      </c>
      <c r="H48" s="7">
        <v>41629</v>
      </c>
      <c r="I48" s="6" t="str">
        <v>Purchase - SIP</v>
      </c>
      <c r="J48" s="8">
        <v>5000</v>
      </c>
      <c r="K48" s="9">
        <v>200.017</v>
      </c>
      <c r="L48" s="9">
        <v>24.997900000000001</v>
      </c>
      <c r="M48" s="9">
        <v>8154.893</v>
      </c>
      <c r="N48" s="5" t="str">
        <v>PURCHASE_SIP</v>
      </c>
      <c r="O48" s="10">
        <v>0</v>
      </c>
    </row>
    <row r="49" spans="1:15" ht="17" x14ac:dyDescent="0.2">
      <c r="A49" s="5" t="str">
        <v>HDFC Mutual Fund</v>
      </c>
      <c r="B49" s="5" t="str">
        <v>AAAA9990</v>
      </c>
      <c r="C49" s="5" t="str">
        <v>AAAAA1111A</v>
      </c>
      <c r="D49" s="6" t="str">
        <v>HDFC Flexi Cap Fund - Direct Plan - Growth</v>
      </c>
      <c r="E49" s="6" t="str">
        <v>DIRECT</v>
      </c>
      <c r="F49" s="6" t="str">
        <v>CAMS</v>
      </c>
      <c r="G49" s="6">
        <v>119062</v>
      </c>
      <c r="H49" s="7">
        <v>41659</v>
      </c>
      <c r="I49" s="6" t="str">
        <v>Purchase - SIP</v>
      </c>
      <c r="J49" s="8">
        <v>5000</v>
      </c>
      <c r="K49" s="9">
        <v>201.126</v>
      </c>
      <c r="L49" s="9">
        <v>24.860099999999999</v>
      </c>
      <c r="M49" s="9">
        <v>8356.0190000000002</v>
      </c>
      <c r="N49" s="5" t="str">
        <v>PURCHASE_SIP</v>
      </c>
      <c r="O49" s="10">
        <v>0</v>
      </c>
    </row>
    <row r="50" spans="1:15" ht="17" x14ac:dyDescent="0.2">
      <c r="A50" s="5" t="str">
        <v>HDFC Mutual Fund</v>
      </c>
      <c r="B50" s="5" t="str">
        <v>AAAA9990</v>
      </c>
      <c r="C50" s="5" t="str">
        <v>AAAAA1111A</v>
      </c>
      <c r="D50" s="6" t="str">
        <v>HDFC Flexi Cap Fund - Direct Plan - Growth</v>
      </c>
      <c r="E50" s="6" t="str">
        <v>DIRECT</v>
      </c>
      <c r="F50" s="6" t="str">
        <v>CAMS</v>
      </c>
      <c r="G50" s="6">
        <v>119062</v>
      </c>
      <c r="H50" s="7">
        <v>41689</v>
      </c>
      <c r="I50" s="6" t="str">
        <v>Purchase - SIP</v>
      </c>
      <c r="J50" s="8">
        <v>5000</v>
      </c>
      <c r="K50" s="9">
        <v>203.32499999999999</v>
      </c>
      <c r="L50" s="9">
        <v>24.591100000000001</v>
      </c>
      <c r="M50" s="9">
        <v>8559.3439999999991</v>
      </c>
      <c r="N50" s="5" t="str">
        <v>PURCHASE_SIP</v>
      </c>
      <c r="O50" s="10">
        <v>0</v>
      </c>
    </row>
    <row r="51" spans="1:15" ht="17" x14ac:dyDescent="0.2">
      <c r="A51" s="5" t="str">
        <v>HDFC Mutual Fund</v>
      </c>
      <c r="B51" s="5" t="str">
        <v>AAAA9990</v>
      </c>
      <c r="C51" s="5" t="str">
        <v>AAAAA1111A</v>
      </c>
      <c r="D51" s="6" t="str">
        <v>HDFC Flexi Cap Fund - Direct Plan - Growth</v>
      </c>
      <c r="E51" s="6" t="str">
        <v>DIRECT</v>
      </c>
      <c r="F51" s="6" t="str">
        <v>CAMS</v>
      </c>
      <c r="G51" s="6">
        <v>119062</v>
      </c>
      <c r="H51" s="7">
        <v>41719</v>
      </c>
      <c r="I51" s="6" t="str">
        <v>Purchase - SIP</v>
      </c>
      <c r="J51" s="8">
        <v>5000</v>
      </c>
      <c r="K51" s="9">
        <v>204.29599999999999</v>
      </c>
      <c r="L51" s="9">
        <v>24.474299999999999</v>
      </c>
      <c r="M51" s="9">
        <v>8763.64</v>
      </c>
      <c r="N51" s="5" t="str">
        <v>PURCHASE_SIP</v>
      </c>
      <c r="O51" s="10">
        <v>0</v>
      </c>
    </row>
    <row r="52" spans="1:15" ht="17" x14ac:dyDescent="0.2">
      <c r="A52" s="5" t="str">
        <v>HDFC Mutual Fund</v>
      </c>
      <c r="B52" s="5" t="str">
        <v>AAAA9990</v>
      </c>
      <c r="C52" s="5" t="str">
        <v>AAAAA1111A</v>
      </c>
      <c r="D52" s="6" t="str">
        <v>HDFC Flexi Cap Fund - Direct Plan - Growth</v>
      </c>
      <c r="E52" s="6" t="str">
        <v>DIRECT</v>
      </c>
      <c r="F52" s="6" t="str">
        <v>CAMS</v>
      </c>
      <c r="G52" s="6">
        <v>119062</v>
      </c>
      <c r="H52" s="7">
        <v>41749</v>
      </c>
      <c r="I52" s="6" t="str">
        <v>Purchase - SIP</v>
      </c>
      <c r="J52" s="8">
        <v>5000</v>
      </c>
      <c r="K52" s="9">
        <v>208.13</v>
      </c>
      <c r="L52" s="9">
        <v>24.023499999999999</v>
      </c>
      <c r="M52" s="9">
        <v>8971.77</v>
      </c>
      <c r="N52" s="5" t="str">
        <v>PURCHASE_SIP</v>
      </c>
      <c r="O52" s="10">
        <v>0</v>
      </c>
    </row>
    <row r="53" spans="1:15" ht="17" x14ac:dyDescent="0.2">
      <c r="A53" s="5" t="str">
        <v>HDFC Mutual Fund</v>
      </c>
      <c r="B53" s="5" t="str">
        <v>AAAA9990</v>
      </c>
      <c r="C53" s="5" t="str">
        <v>AAAAA1111A</v>
      </c>
      <c r="D53" s="6" t="str">
        <v>HDFC Flexi Cap Fund - Direct Plan - Growth</v>
      </c>
      <c r="E53" s="6" t="str">
        <v>DIRECT</v>
      </c>
      <c r="F53" s="6" t="str">
        <v>CAMS</v>
      </c>
      <c r="G53" s="6">
        <v>119062</v>
      </c>
      <c r="H53" s="7">
        <v>41749</v>
      </c>
      <c r="I53" s="6" t="str">
        <v>STAMP DUTY</v>
      </c>
      <c r="J53" s="8">
        <v>2.5</v>
      </c>
      <c r="K53" s="9">
        <v>0</v>
      </c>
      <c r="L53" s="9">
        <v>0</v>
      </c>
      <c r="M53" s="9">
        <v>8971.77</v>
      </c>
      <c r="N53" s="5" t="str">
        <v>STAMP_DUTY</v>
      </c>
      <c r="O53" s="10">
        <v>0</v>
      </c>
    </row>
    <row r="54" spans="1:15" ht="17" x14ac:dyDescent="0.2">
      <c r="A54" s="5" t="str">
        <v>HDFC Mutual Fund</v>
      </c>
      <c r="B54" s="5" t="str">
        <v>AAAA9990</v>
      </c>
      <c r="C54" s="5" t="str">
        <v>AAAAA1111A</v>
      </c>
      <c r="D54" s="6" t="str">
        <v>HDFC Flexi Cap Fund - Direct Plan - Growth</v>
      </c>
      <c r="E54" s="6" t="str">
        <v>DIRECT</v>
      </c>
      <c r="F54" s="6" t="str">
        <v>CAMS</v>
      </c>
      <c r="G54" s="6">
        <v>119062</v>
      </c>
      <c r="H54" s="7">
        <v>41779</v>
      </c>
      <c r="I54" s="6" t="str">
        <v>Purchase - SIP</v>
      </c>
      <c r="J54" s="8">
        <v>5000</v>
      </c>
      <c r="K54" s="9">
        <v>203.53700000000001</v>
      </c>
      <c r="L54" s="9">
        <v>24.5656</v>
      </c>
      <c r="M54" s="9">
        <v>9175.3070000000007</v>
      </c>
      <c r="N54" s="5" t="str">
        <v>PURCHASE_SIP</v>
      </c>
      <c r="O54" s="10">
        <v>0</v>
      </c>
    </row>
    <row r="55" spans="1:15" ht="17" x14ac:dyDescent="0.2">
      <c r="A55" s="5" t="str">
        <v>HDFC Mutual Fund</v>
      </c>
      <c r="B55" s="5" t="str">
        <v>AAAA9990</v>
      </c>
      <c r="C55" s="5" t="str">
        <v>AAAAA1111A</v>
      </c>
      <c r="D55" s="6" t="str">
        <v>HDFC Flexi Cap Fund - Direct Plan - Growth</v>
      </c>
      <c r="E55" s="6" t="str">
        <v>DIRECT</v>
      </c>
      <c r="F55" s="6" t="str">
        <v>CAMS</v>
      </c>
      <c r="G55" s="6">
        <v>119062</v>
      </c>
      <c r="H55" s="7">
        <v>41809</v>
      </c>
      <c r="I55" s="6" t="str">
        <v>Purchase - SIP</v>
      </c>
      <c r="J55" s="8">
        <v>5000</v>
      </c>
      <c r="K55" s="9">
        <v>200.46899999999999</v>
      </c>
      <c r="L55" s="9">
        <v>24.941500000000001</v>
      </c>
      <c r="M55" s="9">
        <v>9375.777</v>
      </c>
      <c r="N55" s="5" t="str">
        <v>PURCHASE_SIP</v>
      </c>
      <c r="O55" s="10">
        <v>0</v>
      </c>
    </row>
    <row r="56" spans="1:15" ht="17" x14ac:dyDescent="0.2">
      <c r="A56" s="5" t="str">
        <v>HDFC Mutual Fund</v>
      </c>
      <c r="B56" s="5" t="str">
        <v>AAAA9990</v>
      </c>
      <c r="C56" s="5" t="str">
        <v>AAAAA1111A</v>
      </c>
      <c r="D56" s="6" t="str">
        <v>HDFC Flexi Cap Fund - Direct Plan - Growth</v>
      </c>
      <c r="E56" s="6" t="str">
        <v>DIRECT</v>
      </c>
      <c r="F56" s="6" t="str">
        <v>CAMS</v>
      </c>
      <c r="G56" s="6">
        <v>119062</v>
      </c>
      <c r="H56" s="7">
        <v>41839</v>
      </c>
      <c r="I56" s="6" t="str">
        <v>Purchase - SIP</v>
      </c>
      <c r="J56" s="8">
        <v>5000</v>
      </c>
      <c r="K56" s="9">
        <v>200.25700000000001</v>
      </c>
      <c r="L56" s="9">
        <v>24.9679</v>
      </c>
      <c r="M56" s="9">
        <v>9576.0339999999997</v>
      </c>
      <c r="N56" s="5" t="str">
        <v>PURCHASE_SIP</v>
      </c>
      <c r="O56" s="10">
        <v>0</v>
      </c>
    </row>
    <row r="57" spans="1:15" ht="17" x14ac:dyDescent="0.2">
      <c r="A57" s="5" t="str">
        <v>HDFC Mutual Fund</v>
      </c>
      <c r="B57" s="5" t="str">
        <v>AAAA9990</v>
      </c>
      <c r="C57" s="5" t="str">
        <v>AAAAA1111A</v>
      </c>
      <c r="D57" s="6" t="str">
        <v>HDFC Flexi Cap Fund - Direct Plan - Growth</v>
      </c>
      <c r="E57" s="6" t="str">
        <v>DIRECT</v>
      </c>
      <c r="F57" s="6" t="str">
        <v>CAMS</v>
      </c>
      <c r="G57" s="6">
        <v>119062</v>
      </c>
      <c r="H57" s="7">
        <v>41869</v>
      </c>
      <c r="I57" s="6" t="str">
        <v>Purchase - SIP</v>
      </c>
      <c r="J57" s="8">
        <v>5000</v>
      </c>
      <c r="K57" s="9">
        <v>196.56399999999999</v>
      </c>
      <c r="L57" s="9">
        <v>25.437000000000001</v>
      </c>
      <c r="M57" s="9">
        <v>9772.598</v>
      </c>
      <c r="N57" s="5" t="str">
        <v>PURCHASE_SIP</v>
      </c>
      <c r="O57" s="10">
        <v>0</v>
      </c>
    </row>
    <row r="58" spans="1:15" ht="17" x14ac:dyDescent="0.2">
      <c r="A58" s="5" t="str">
        <v>HDFC Mutual Fund</v>
      </c>
      <c r="B58" s="5" t="str">
        <v>AAAA9990</v>
      </c>
      <c r="C58" s="5" t="str">
        <v>AAAAA1111A</v>
      </c>
      <c r="D58" s="6" t="str">
        <v>HDFC Flexi Cap Fund - Direct Plan - Growth</v>
      </c>
      <c r="E58" s="6" t="str">
        <v>DIRECT</v>
      </c>
      <c r="F58" s="6" t="str">
        <v>CAMS</v>
      </c>
      <c r="G58" s="6">
        <v>119062</v>
      </c>
      <c r="H58" s="7">
        <v>41869</v>
      </c>
      <c r="I58" s="6" t="str">
        <v>STT TAX</v>
      </c>
      <c r="J58" s="8">
        <v>2.5</v>
      </c>
      <c r="K58" s="9">
        <v>0</v>
      </c>
      <c r="L58" s="9">
        <v>0</v>
      </c>
      <c r="M58" s="9">
        <v>9772.598</v>
      </c>
      <c r="N58" s="5" t="str">
        <v>STT_TAX</v>
      </c>
      <c r="O58" s="10">
        <v>0</v>
      </c>
    </row>
    <row r="59" spans="1:15" ht="17" x14ac:dyDescent="0.2">
      <c r="A59" s="5" t="str">
        <v>HDFC Mutual Fund</v>
      </c>
      <c r="B59" s="5" t="str">
        <v>AAAA9990</v>
      </c>
      <c r="C59" s="5" t="str">
        <v>AAAAA1111A</v>
      </c>
      <c r="D59" s="6" t="str">
        <v>HDFC Flexi Cap Fund - Direct Plan - Growth</v>
      </c>
      <c r="E59" s="6" t="str">
        <v>DIRECT</v>
      </c>
      <c r="F59" s="6" t="str">
        <v>CAMS</v>
      </c>
      <c r="G59" s="6">
        <v>119062</v>
      </c>
      <c r="H59" s="7">
        <v>41899</v>
      </c>
      <c r="I59" s="6" t="str">
        <v>Purchase - SIP</v>
      </c>
      <c r="J59" s="8">
        <v>5000</v>
      </c>
      <c r="K59" s="9">
        <v>193.46</v>
      </c>
      <c r="L59" s="9">
        <v>25.845099999999999</v>
      </c>
      <c r="M59" s="9">
        <v>9966.0580000000009</v>
      </c>
      <c r="N59" s="5" t="str">
        <v>PURCHASE_SIP</v>
      </c>
      <c r="O59" s="10">
        <v>0</v>
      </c>
    </row>
    <row r="60" spans="1:15" ht="17" x14ac:dyDescent="0.2">
      <c r="A60" s="5" t="str">
        <v>HDFC Mutual Fund</v>
      </c>
      <c r="B60" s="5" t="str">
        <v>AAAA9990</v>
      </c>
      <c r="C60" s="5" t="str">
        <v>AAAAA1111A</v>
      </c>
      <c r="D60" s="6" t="str">
        <v>HDFC Flexi Cap Fund - Direct Plan - Growth</v>
      </c>
      <c r="E60" s="6" t="str">
        <v>DIRECT</v>
      </c>
      <c r="F60" s="6" t="str">
        <v>CAMS</v>
      </c>
      <c r="G60" s="6">
        <v>119062</v>
      </c>
      <c r="H60" s="7">
        <v>41899</v>
      </c>
      <c r="I60" s="6" t="str">
        <v>STT TAX</v>
      </c>
      <c r="J60" s="8">
        <v>2.5</v>
      </c>
      <c r="K60" s="9">
        <v>0</v>
      </c>
      <c r="L60" s="9">
        <v>0</v>
      </c>
      <c r="M60" s="9">
        <v>9966.0580000000009</v>
      </c>
      <c r="N60" s="5" t="str">
        <v>STT_TAX</v>
      </c>
      <c r="O60" s="10">
        <v>0</v>
      </c>
    </row>
    <row r="61" spans="1:15" ht="17" x14ac:dyDescent="0.2">
      <c r="A61" s="5" t="str">
        <v>HDFC Mutual Fund</v>
      </c>
      <c r="B61" s="5" t="str">
        <v>AAAA9990</v>
      </c>
      <c r="C61" s="5" t="str">
        <v>AAAAA1111A</v>
      </c>
      <c r="D61" s="6" t="str">
        <v>HDFC Flexi Cap Fund - Direct Plan - Growth</v>
      </c>
      <c r="E61" s="6" t="str">
        <v>DIRECT</v>
      </c>
      <c r="F61" s="6" t="str">
        <v>CAMS</v>
      </c>
      <c r="G61" s="6">
        <v>119062</v>
      </c>
      <c r="H61" s="7">
        <v>41929</v>
      </c>
      <c r="I61" s="6" t="str">
        <v>Purchase - SIP</v>
      </c>
      <c r="J61" s="8">
        <v>5000</v>
      </c>
      <c r="K61" s="9">
        <v>191.71199999999999</v>
      </c>
      <c r="L61" s="9">
        <v>26.0808</v>
      </c>
      <c r="M61" s="9">
        <v>10157.77</v>
      </c>
      <c r="N61" s="5" t="str">
        <v>PURCHASE_SIP</v>
      </c>
      <c r="O61" s="10">
        <v>0</v>
      </c>
    </row>
    <row r="62" spans="1:15" ht="17" x14ac:dyDescent="0.2">
      <c r="A62" s="5" t="str">
        <v>HDFC Mutual Fund</v>
      </c>
      <c r="B62" s="5" t="str">
        <v>AAAA9990</v>
      </c>
      <c r="C62" s="5" t="str">
        <v>AAAAA1111A</v>
      </c>
      <c r="D62" s="6" t="str">
        <v>HDFC Flexi Cap Fund - Direct Plan - Growth</v>
      </c>
      <c r="E62" s="6" t="str">
        <v>DIRECT</v>
      </c>
      <c r="F62" s="6" t="str">
        <v>CAMS</v>
      </c>
      <c r="G62" s="6">
        <v>119062</v>
      </c>
      <c r="H62" s="7">
        <v>41929</v>
      </c>
      <c r="I62" s="6" t="str">
        <v>Dividend Paid</v>
      </c>
      <c r="J62" s="8">
        <v>5078.88</v>
      </c>
      <c r="K62" s="9">
        <v>0</v>
      </c>
      <c r="L62" s="9">
        <v>0</v>
      </c>
      <c r="M62" s="9">
        <v>10157.77</v>
      </c>
      <c r="N62" s="5" t="str">
        <v>DIVIDEND_PAYOUT</v>
      </c>
      <c r="O62" s="10">
        <v>5078.88</v>
      </c>
    </row>
    <row r="63" spans="1:15" ht="17" x14ac:dyDescent="0.2">
      <c r="A63" s="5" t="str">
        <v>HDFC Mutual Fund</v>
      </c>
      <c r="B63" s="5" t="str">
        <v>AAAA9990</v>
      </c>
      <c r="C63" s="5" t="str">
        <v>AAAAA1111A</v>
      </c>
      <c r="D63" s="6" t="str">
        <v>HDFC Flexi Cap Fund - Direct Plan - Growth</v>
      </c>
      <c r="E63" s="6" t="str">
        <v>DIRECT</v>
      </c>
      <c r="F63" s="6" t="str">
        <v>CAMS</v>
      </c>
      <c r="G63" s="6">
        <v>119062</v>
      </c>
      <c r="H63" s="7">
        <v>41959</v>
      </c>
      <c r="I63" s="6" t="str">
        <v>Purchase - SIP</v>
      </c>
      <c r="J63" s="8">
        <v>5000</v>
      </c>
      <c r="K63" s="9">
        <v>191.63900000000001</v>
      </c>
      <c r="L63" s="9">
        <v>26.090699999999998</v>
      </c>
      <c r="M63" s="9">
        <v>10349.409</v>
      </c>
      <c r="N63" s="5" t="str">
        <v>PURCHASE_SIP</v>
      </c>
      <c r="O63" s="10">
        <v>0</v>
      </c>
    </row>
    <row r="64" spans="1:15" ht="17" x14ac:dyDescent="0.2">
      <c r="A64" s="5" t="str">
        <v>HDFC Mutual Fund</v>
      </c>
      <c r="B64" s="5" t="str">
        <v>AAAA9990</v>
      </c>
      <c r="C64" s="5" t="str">
        <v>AAAAA1111A</v>
      </c>
      <c r="D64" s="6" t="str">
        <v>HDFC Flexi Cap Fund - Direct Plan - Growth</v>
      </c>
      <c r="E64" s="6" t="str">
        <v>DIRECT</v>
      </c>
      <c r="F64" s="6" t="str">
        <v>CAMS</v>
      </c>
      <c r="G64" s="6">
        <v>119062</v>
      </c>
      <c r="H64" s="7">
        <v>41989</v>
      </c>
      <c r="I64" s="6" t="str">
        <v>Purchase - SIP</v>
      </c>
      <c r="J64" s="8">
        <v>5000</v>
      </c>
      <c r="K64" s="9">
        <v>186.429</v>
      </c>
      <c r="L64" s="9">
        <v>26.819900000000001</v>
      </c>
      <c r="M64" s="9">
        <v>10535.838</v>
      </c>
      <c r="N64" s="5" t="str">
        <v>PURCHASE_SIP</v>
      </c>
      <c r="O64" s="10">
        <v>0</v>
      </c>
    </row>
    <row r="65" spans="1:15" ht="17" x14ac:dyDescent="0.2">
      <c r="A65" s="5" t="str">
        <v>HDFC Mutual Fund</v>
      </c>
      <c r="B65" s="5" t="str">
        <v>AAAA9990</v>
      </c>
      <c r="C65" s="5" t="str">
        <v>AAAAA1111A</v>
      </c>
      <c r="D65" s="6" t="str">
        <v>HDFC Flexi Cap Fund - Direct Plan - Growth</v>
      </c>
      <c r="E65" s="6" t="str">
        <v>DIRECT</v>
      </c>
      <c r="F65" s="6" t="str">
        <v>CAMS</v>
      </c>
      <c r="G65" s="6">
        <v>119062</v>
      </c>
      <c r="H65" s="7">
        <v>42019</v>
      </c>
      <c r="I65" s="6" t="str">
        <v>Purchase - SIP</v>
      </c>
      <c r="J65" s="8">
        <v>5000</v>
      </c>
      <c r="K65" s="9">
        <v>187.50299999999999</v>
      </c>
      <c r="L65" s="9">
        <v>26.6663</v>
      </c>
      <c r="M65" s="9">
        <v>10723.341</v>
      </c>
      <c r="N65" s="5" t="str">
        <v>PURCHASE_SIP</v>
      </c>
      <c r="O65" s="10">
        <v>0</v>
      </c>
    </row>
    <row r="66" spans="1:15" ht="17" x14ac:dyDescent="0.2">
      <c r="A66" s="5" t="str">
        <v>HDFC Mutual Fund</v>
      </c>
      <c r="B66" s="5" t="str">
        <v>AAAA9990</v>
      </c>
      <c r="C66" s="5" t="str">
        <v>AAAAA1111A</v>
      </c>
      <c r="D66" s="6" t="str">
        <v>HDFC Flexi Cap Fund - Direct Plan - Growth</v>
      </c>
      <c r="E66" s="6" t="str">
        <v>DIRECT</v>
      </c>
      <c r="F66" s="6" t="str">
        <v>CAMS</v>
      </c>
      <c r="G66" s="6">
        <v>119062</v>
      </c>
      <c r="H66" s="7">
        <v>42049</v>
      </c>
      <c r="I66" s="6" t="str">
        <v>Purchase - SIP</v>
      </c>
      <c r="J66" s="8">
        <v>5000</v>
      </c>
      <c r="K66" s="9">
        <v>187.393</v>
      </c>
      <c r="L66" s="9">
        <v>26.681899999999999</v>
      </c>
      <c r="M66" s="9">
        <v>10910.734</v>
      </c>
      <c r="N66" s="5" t="str">
        <v>PURCHASE_SIP</v>
      </c>
      <c r="O66" s="10">
        <v>0</v>
      </c>
    </row>
    <row r="67" spans="1:15" ht="17" x14ac:dyDescent="0.2">
      <c r="A67" s="5" t="str">
        <v>HDFC Mutual Fund</v>
      </c>
      <c r="B67" s="5" t="str">
        <v>AAAA9990</v>
      </c>
      <c r="C67" s="5" t="str">
        <v>AAAAA1111A</v>
      </c>
      <c r="D67" s="6" t="str">
        <v>HDFC Flexi Cap Fund - Direct Plan - Growth</v>
      </c>
      <c r="E67" s="6" t="str">
        <v>DIRECT</v>
      </c>
      <c r="F67" s="6" t="str">
        <v>CAMS</v>
      </c>
      <c r="G67" s="6">
        <v>119062</v>
      </c>
      <c r="H67" s="7">
        <v>42079</v>
      </c>
      <c r="I67" s="6" t="str">
        <v>Purchase - SIP</v>
      </c>
      <c r="J67" s="8">
        <v>5000</v>
      </c>
      <c r="K67" s="9">
        <v>188.51</v>
      </c>
      <c r="L67" s="9">
        <v>26.523700000000002</v>
      </c>
      <c r="M67" s="9">
        <v>11099.244000000001</v>
      </c>
      <c r="N67" s="5" t="str">
        <v>PURCHASE_SIP</v>
      </c>
      <c r="O67" s="10">
        <v>0</v>
      </c>
    </row>
    <row r="68" spans="1:15" ht="17" x14ac:dyDescent="0.2">
      <c r="A68" s="5" t="str">
        <v>HDFC Mutual Fund</v>
      </c>
      <c r="B68" s="5" t="str">
        <v>AAAA9990</v>
      </c>
      <c r="C68" s="5" t="str">
        <v>AAAAA1111A</v>
      </c>
      <c r="D68" s="6" t="str">
        <v>HDFC Flexi Cap Fund - Direct Plan - Growth</v>
      </c>
      <c r="E68" s="6" t="str">
        <v>DIRECT</v>
      </c>
      <c r="F68" s="6" t="str">
        <v>CAMS</v>
      </c>
      <c r="G68" s="6">
        <v>119062</v>
      </c>
      <c r="H68" s="7">
        <v>42109</v>
      </c>
      <c r="I68" s="6" t="str">
        <v>Purchase - SIP</v>
      </c>
      <c r="J68" s="8">
        <v>5000</v>
      </c>
      <c r="K68" s="9">
        <v>183.31800000000001</v>
      </c>
      <c r="L68" s="9">
        <v>27.274999999999999</v>
      </c>
      <c r="M68" s="9">
        <v>11282.562</v>
      </c>
      <c r="N68" s="5" t="str">
        <v>PURCHASE_SIP</v>
      </c>
      <c r="O68" s="10">
        <v>0</v>
      </c>
    </row>
    <row r="69" spans="1:15" ht="17" x14ac:dyDescent="0.2">
      <c r="A69" s="5" t="str">
        <v>HDFC Mutual Fund</v>
      </c>
      <c r="B69" s="5" t="str">
        <v>AAAA9990</v>
      </c>
      <c r="C69" s="5" t="str">
        <v>AAAAA1111A</v>
      </c>
      <c r="D69" s="6" t="str">
        <v>HDFC Flexi Cap Fund - Direct Plan - Growth</v>
      </c>
      <c r="E69" s="6" t="str">
        <v>DIRECT</v>
      </c>
      <c r="F69" s="6" t="str">
        <v>CAMS</v>
      </c>
      <c r="G69" s="6">
        <v>119062</v>
      </c>
      <c r="H69" s="7">
        <v>42109</v>
      </c>
      <c r="I69" s="6" t="str">
        <v>STT TAX</v>
      </c>
      <c r="J69" s="8">
        <v>2.5</v>
      </c>
      <c r="K69" s="9">
        <v>0</v>
      </c>
      <c r="L69" s="9">
        <v>0</v>
      </c>
      <c r="M69" s="9">
        <v>11282.562</v>
      </c>
      <c r="N69" s="5" t="str">
        <v>STT_TAX</v>
      </c>
      <c r="O69" s="10">
        <v>0</v>
      </c>
    </row>
    <row r="70" spans="1:15" ht="17" x14ac:dyDescent="0.2">
      <c r="A70" s="5" t="str">
        <v>HDFC Mutual Fund</v>
      </c>
      <c r="B70" s="5" t="str">
        <v>AAAA9990</v>
      </c>
      <c r="C70" s="5" t="str">
        <v>AAAAA1111A</v>
      </c>
      <c r="D70" s="6" t="str">
        <v>HDFC Flexi Cap Fund - Direct Plan - Growth</v>
      </c>
      <c r="E70" s="6" t="str">
        <v>DIRECT</v>
      </c>
      <c r="F70" s="6" t="str">
        <v>CAMS</v>
      </c>
      <c r="G70" s="6">
        <v>119062</v>
      </c>
      <c r="H70" s="7">
        <v>42139</v>
      </c>
      <c r="I70" s="6" t="str">
        <v>Purchase - SIP</v>
      </c>
      <c r="J70" s="8">
        <v>5000</v>
      </c>
      <c r="K70" s="9">
        <v>180.25299999999999</v>
      </c>
      <c r="L70" s="9">
        <v>27.738800000000001</v>
      </c>
      <c r="M70" s="9">
        <v>11462.815000000001</v>
      </c>
      <c r="N70" s="5" t="str">
        <v>PURCHASE_SIP</v>
      </c>
      <c r="O70" s="10">
        <v>0</v>
      </c>
    </row>
    <row r="71" spans="1:15" ht="17" x14ac:dyDescent="0.2">
      <c r="A71" s="5" t="str">
        <v>HDFC Mutual Fund</v>
      </c>
      <c r="B71" s="5" t="str">
        <v>AAAA9990</v>
      </c>
      <c r="C71" s="5" t="str">
        <v>AAAAA1111A</v>
      </c>
      <c r="D71" s="6" t="str">
        <v>HDFC Flexi Cap Fund - Direct Plan - Growth</v>
      </c>
      <c r="E71" s="6" t="str">
        <v>DIRECT</v>
      </c>
      <c r="F71" s="6" t="str">
        <v>CAMS</v>
      </c>
      <c r="G71" s="6">
        <v>119062</v>
      </c>
      <c r="H71" s="7">
        <v>42169</v>
      </c>
      <c r="I71" s="6" t="str">
        <v>Purchase - SIP</v>
      </c>
      <c r="J71" s="8">
        <v>5000</v>
      </c>
      <c r="K71" s="9">
        <v>178.19</v>
      </c>
      <c r="L71" s="9">
        <v>28.06</v>
      </c>
      <c r="M71" s="9">
        <v>11641.004999999999</v>
      </c>
      <c r="N71" s="5" t="str">
        <v>PURCHASE_SIP</v>
      </c>
      <c r="O71" s="10">
        <v>0</v>
      </c>
    </row>
    <row r="72" spans="1:15" ht="17" x14ac:dyDescent="0.2">
      <c r="A72" s="5" t="str">
        <v>HDFC Mutual Fund</v>
      </c>
      <c r="B72" s="5" t="str">
        <v>AAAA9990</v>
      </c>
      <c r="C72" s="5" t="str">
        <v>AAAAA1111A</v>
      </c>
      <c r="D72" s="6" t="str">
        <v>HDFC Flexi Cap Fund - Direct Plan - Growth</v>
      </c>
      <c r="E72" s="6" t="str">
        <v>DIRECT</v>
      </c>
      <c r="F72" s="6" t="str">
        <v>CAMS</v>
      </c>
      <c r="G72" s="6">
        <v>119062</v>
      </c>
      <c r="H72" s="7">
        <v>42169</v>
      </c>
      <c r="I72" s="6" t="str">
        <v>STAMP DUTY</v>
      </c>
      <c r="J72" s="8">
        <v>2.5</v>
      </c>
      <c r="K72" s="9">
        <v>0</v>
      </c>
      <c r="L72" s="9">
        <v>0</v>
      </c>
      <c r="M72" s="9">
        <v>11641.004999999999</v>
      </c>
      <c r="N72" s="5" t="str">
        <v>STAMP_DUTY</v>
      </c>
      <c r="O72" s="10">
        <v>0</v>
      </c>
    </row>
    <row r="73" spans="1:15" ht="17" x14ac:dyDescent="0.2">
      <c r="A73" s="5" t="str">
        <v>HDFC Mutual Fund</v>
      </c>
      <c r="B73" s="5" t="str">
        <v>AAAA9990</v>
      </c>
      <c r="C73" s="5" t="str">
        <v>AAAAA1111A</v>
      </c>
      <c r="D73" s="6" t="str">
        <v>HDFC Flexi Cap Fund - Direct Plan - Growth</v>
      </c>
      <c r="E73" s="6" t="str">
        <v>DIRECT</v>
      </c>
      <c r="F73" s="6" t="str">
        <v>CAMS</v>
      </c>
      <c r="G73" s="6">
        <v>119062</v>
      </c>
      <c r="H73" s="7">
        <v>42199</v>
      </c>
      <c r="I73" s="6" t="str">
        <v>Purchase - SIP</v>
      </c>
      <c r="J73" s="8">
        <v>5000</v>
      </c>
      <c r="K73" s="9">
        <v>181.18199999999999</v>
      </c>
      <c r="L73" s="9">
        <v>27.596599999999999</v>
      </c>
      <c r="M73" s="9">
        <v>11822.187</v>
      </c>
      <c r="N73" s="5" t="str">
        <v>PURCHASE_SIP</v>
      </c>
      <c r="O73" s="10">
        <v>0</v>
      </c>
    </row>
    <row r="74" spans="1:15" ht="17" x14ac:dyDescent="0.2">
      <c r="A74" s="5" t="str">
        <v>HDFC Mutual Fund</v>
      </c>
      <c r="B74" s="5" t="str">
        <v>AAAA9990</v>
      </c>
      <c r="C74" s="5" t="str">
        <v>AAAAA1111A</v>
      </c>
      <c r="D74" s="6" t="str">
        <v>HDFC Flexi Cap Fund - Direct Plan - Growth</v>
      </c>
      <c r="E74" s="6" t="str">
        <v>DIRECT</v>
      </c>
      <c r="F74" s="6" t="str">
        <v>CAMS</v>
      </c>
      <c r="G74" s="6">
        <v>119062</v>
      </c>
      <c r="H74" s="7">
        <v>42229</v>
      </c>
      <c r="I74" s="6" t="str">
        <v>Purchase - SIP</v>
      </c>
      <c r="J74" s="8">
        <v>5000</v>
      </c>
      <c r="K74" s="9">
        <v>184.096</v>
      </c>
      <c r="L74" s="9">
        <v>27.159700000000001</v>
      </c>
      <c r="M74" s="9">
        <v>12006.282999999999</v>
      </c>
      <c r="N74" s="5" t="str">
        <v>PURCHASE_SIP</v>
      </c>
      <c r="O74" s="10">
        <v>0</v>
      </c>
    </row>
    <row r="75" spans="1:15" ht="17" x14ac:dyDescent="0.2">
      <c r="A75" s="5" t="str">
        <v>HDFC Mutual Fund</v>
      </c>
      <c r="B75" s="5" t="str">
        <v>AAAA9990</v>
      </c>
      <c r="C75" s="5" t="str">
        <v>AAAAA1111A</v>
      </c>
      <c r="D75" s="6" t="str">
        <v>HDFC Flexi Cap Fund - Direct Plan - Growth</v>
      </c>
      <c r="E75" s="6" t="str">
        <v>DIRECT</v>
      </c>
      <c r="F75" s="6" t="str">
        <v>CAMS</v>
      </c>
      <c r="G75" s="6">
        <v>119062</v>
      </c>
      <c r="H75" s="7">
        <v>42229</v>
      </c>
      <c r="I75" s="6" t="str">
        <v>STT TAX</v>
      </c>
      <c r="J75" s="8">
        <v>2.5</v>
      </c>
      <c r="K75" s="9">
        <v>0</v>
      </c>
      <c r="L75" s="9">
        <v>0</v>
      </c>
      <c r="M75" s="9">
        <v>12006.282999999999</v>
      </c>
      <c r="N75" s="5" t="str">
        <v>STT_TAX</v>
      </c>
      <c r="O75" s="10">
        <v>0</v>
      </c>
    </row>
    <row r="76" spans="1:15" ht="17" x14ac:dyDescent="0.2">
      <c r="A76" s="5" t="str">
        <v>HDFC Mutual Fund</v>
      </c>
      <c r="B76" s="5" t="str">
        <v>AAAA9990</v>
      </c>
      <c r="C76" s="5" t="str">
        <v>AAAAA1111A</v>
      </c>
      <c r="D76" s="6" t="str">
        <v>HDFC Flexi Cap Fund - Direct Plan - Growth</v>
      </c>
      <c r="E76" s="6" t="str">
        <v>DIRECT</v>
      </c>
      <c r="F76" s="6" t="str">
        <v>CAMS</v>
      </c>
      <c r="G76" s="6">
        <v>119062</v>
      </c>
      <c r="H76" s="7">
        <v>42259</v>
      </c>
      <c r="I76" s="6" t="str">
        <v>Purchase - SIP</v>
      </c>
      <c r="J76" s="8">
        <v>5000</v>
      </c>
      <c r="K76" s="9">
        <v>183.89500000000001</v>
      </c>
      <c r="L76" s="9">
        <v>27.189399999999999</v>
      </c>
      <c r="M76" s="9">
        <v>12190.179</v>
      </c>
      <c r="N76" s="5" t="str">
        <v>PURCHASE_SIP</v>
      </c>
      <c r="O76" s="10">
        <v>0</v>
      </c>
    </row>
    <row r="77" spans="1:15" ht="17" x14ac:dyDescent="0.2">
      <c r="A77" s="5" t="str">
        <v>HDFC Mutual Fund</v>
      </c>
      <c r="B77" s="5" t="str">
        <v>AAAA9990</v>
      </c>
      <c r="C77" s="5" t="str">
        <v>AAAAA1111A</v>
      </c>
      <c r="D77" s="6" t="str">
        <v>HDFC Flexi Cap Fund - Direct Plan - Growth</v>
      </c>
      <c r="E77" s="6" t="str">
        <v>DIRECT</v>
      </c>
      <c r="F77" s="6" t="str">
        <v>CAMS</v>
      </c>
      <c r="G77" s="6">
        <v>119062</v>
      </c>
      <c r="H77" s="7">
        <v>42289</v>
      </c>
      <c r="I77" s="6" t="str">
        <v>Purchase - SIP</v>
      </c>
      <c r="J77" s="8">
        <v>5000</v>
      </c>
      <c r="K77" s="9">
        <v>179.547</v>
      </c>
      <c r="L77" s="9">
        <v>27.847899999999999</v>
      </c>
      <c r="M77" s="9">
        <v>12369.726000000001</v>
      </c>
      <c r="N77" s="5" t="str">
        <v>PURCHASE_SIP</v>
      </c>
      <c r="O77" s="10">
        <v>0</v>
      </c>
    </row>
    <row r="78" spans="1:15" ht="17" x14ac:dyDescent="0.2">
      <c r="A78" s="5" t="str">
        <v>HDFC Mutual Fund</v>
      </c>
      <c r="B78" s="5" t="str">
        <v>AAAA9990</v>
      </c>
      <c r="C78" s="5" t="str">
        <v>AAAAA1111A</v>
      </c>
      <c r="D78" s="6" t="str">
        <v>HDFC Flexi Cap Fund - Direct Plan - Growth</v>
      </c>
      <c r="E78" s="6" t="str">
        <v>DIRECT</v>
      </c>
      <c r="F78" s="6" t="str">
        <v>CAMS</v>
      </c>
      <c r="G78" s="6">
        <v>119062</v>
      </c>
      <c r="H78" s="7">
        <v>42319</v>
      </c>
      <c r="I78" s="6" t="str">
        <v>Purchase - SIP</v>
      </c>
      <c r="J78" s="8">
        <v>5000</v>
      </c>
      <c r="K78" s="9">
        <v>182.38800000000001</v>
      </c>
      <c r="L78" s="9">
        <v>27.414000000000001</v>
      </c>
      <c r="M78" s="9">
        <v>12552.114</v>
      </c>
      <c r="N78" s="5" t="str">
        <v>PURCHASE_SIP</v>
      </c>
      <c r="O78" s="10">
        <v>0</v>
      </c>
    </row>
    <row r="79" spans="1:15" ht="17" x14ac:dyDescent="0.2">
      <c r="A79" s="5" t="str">
        <v>HDFC Mutual Fund</v>
      </c>
      <c r="B79" s="5" t="str">
        <v>AAAA9990</v>
      </c>
      <c r="C79" s="5" t="str">
        <v>AAAAA1111A</v>
      </c>
      <c r="D79" s="6" t="str">
        <v>HDFC Flexi Cap Fund - Direct Plan - Growth</v>
      </c>
      <c r="E79" s="6" t="str">
        <v>DIRECT</v>
      </c>
      <c r="F79" s="6" t="str">
        <v>CAMS</v>
      </c>
      <c r="G79" s="6">
        <v>119062</v>
      </c>
      <c r="H79" s="7">
        <v>42349</v>
      </c>
      <c r="I79" s="6" t="str">
        <v>Purchase - SIP</v>
      </c>
      <c r="J79" s="8">
        <v>5000</v>
      </c>
      <c r="K79" s="9">
        <v>178.84</v>
      </c>
      <c r="L79" s="9">
        <v>27.957899999999999</v>
      </c>
      <c r="M79" s="9">
        <v>12730.954</v>
      </c>
      <c r="N79" s="5" t="str">
        <v>PURCHASE_SIP</v>
      </c>
      <c r="O79" s="10">
        <v>0</v>
      </c>
    </row>
    <row r="80" spans="1:15" ht="17" x14ac:dyDescent="0.2">
      <c r="A80" s="5" t="str">
        <v>HDFC Mutual Fund</v>
      </c>
      <c r="B80" s="5" t="str">
        <v>AAAA9990</v>
      </c>
      <c r="C80" s="5" t="str">
        <v>AAAAA1111A</v>
      </c>
      <c r="D80" s="6" t="str">
        <v>HDFC Flexi Cap Fund - Direct Plan - Growth</v>
      </c>
      <c r="E80" s="6" t="str">
        <v>DIRECT</v>
      </c>
      <c r="F80" s="6" t="str">
        <v>CAMS</v>
      </c>
      <c r="G80" s="6">
        <v>119062</v>
      </c>
      <c r="H80" s="7">
        <v>42379</v>
      </c>
      <c r="I80" s="6" t="str">
        <v>Purchase - SIP</v>
      </c>
      <c r="J80" s="8">
        <v>5000</v>
      </c>
      <c r="K80" s="9">
        <v>180.316</v>
      </c>
      <c r="L80" s="9">
        <v>27.729099999999999</v>
      </c>
      <c r="M80" s="9">
        <v>12911.271000000001</v>
      </c>
      <c r="N80" s="5" t="str">
        <v>PURCHASE_SIP</v>
      </c>
      <c r="O80" s="10">
        <v>0</v>
      </c>
    </row>
    <row r="81" spans="1:15" ht="17" x14ac:dyDescent="0.2">
      <c r="A81" s="5" t="str">
        <v>HDFC Mutual Fund</v>
      </c>
      <c r="B81" s="5" t="str">
        <v>AAAA9990</v>
      </c>
      <c r="C81" s="5" t="str">
        <v>AAAAA1111A</v>
      </c>
      <c r="D81" s="6" t="str">
        <v>HDFC Flexi Cap Fund - Direct Plan - Growth</v>
      </c>
      <c r="E81" s="6" t="str">
        <v>DIRECT</v>
      </c>
      <c r="F81" s="6" t="str">
        <v>CAMS</v>
      </c>
      <c r="G81" s="6">
        <v>119062</v>
      </c>
      <c r="H81" s="7">
        <v>42379</v>
      </c>
      <c r="I81" s="6" t="str">
        <v>STAMP DUTY</v>
      </c>
      <c r="J81" s="8">
        <v>2.5</v>
      </c>
      <c r="K81" s="9">
        <v>0</v>
      </c>
      <c r="L81" s="9">
        <v>0</v>
      </c>
      <c r="M81" s="9">
        <v>12911.271000000001</v>
      </c>
      <c r="N81" s="5" t="str">
        <v>STAMP_DUTY</v>
      </c>
      <c r="O81" s="10">
        <v>0</v>
      </c>
    </row>
    <row r="82" spans="1:15" ht="17" x14ac:dyDescent="0.2">
      <c r="A82" s="5" t="str">
        <v>HDFC Mutual Fund</v>
      </c>
      <c r="B82" s="5" t="str">
        <v>AAAA9990</v>
      </c>
      <c r="C82" s="5" t="str">
        <v>AAAAA1111A</v>
      </c>
      <c r="D82" s="6" t="str">
        <v>HDFC Flexi Cap Fund - Direct Plan - Growth</v>
      </c>
      <c r="E82" s="6" t="str">
        <v>DIRECT</v>
      </c>
      <c r="F82" s="6" t="str">
        <v>CAMS</v>
      </c>
      <c r="G82" s="6">
        <v>119062</v>
      </c>
      <c r="H82" s="7">
        <v>42409</v>
      </c>
      <c r="I82" s="6" t="str">
        <v>Purchase - SIP</v>
      </c>
      <c r="J82" s="8">
        <v>5000</v>
      </c>
      <c r="K82" s="9">
        <v>176.04</v>
      </c>
      <c r="L82" s="9">
        <v>28.4026</v>
      </c>
      <c r="M82" s="9">
        <v>13087.311</v>
      </c>
      <c r="N82" s="5" t="str">
        <v>PURCHASE_SIP</v>
      </c>
      <c r="O82" s="10">
        <v>0</v>
      </c>
    </row>
    <row r="83" spans="1:15" ht="17" x14ac:dyDescent="0.2">
      <c r="A83" s="5" t="str">
        <v>HDFC Mutual Fund</v>
      </c>
      <c r="B83" s="5" t="str">
        <v>AAAA9990</v>
      </c>
      <c r="C83" s="5" t="str">
        <v>AAAAA1111A</v>
      </c>
      <c r="D83" s="6" t="str">
        <v>HDFC Flexi Cap Fund - Direct Plan - Growth</v>
      </c>
      <c r="E83" s="6" t="str">
        <v>DIRECT</v>
      </c>
      <c r="F83" s="6" t="str">
        <v>CAMS</v>
      </c>
      <c r="G83" s="6">
        <v>119062</v>
      </c>
      <c r="H83" s="7">
        <v>42439</v>
      </c>
      <c r="I83" s="6" t="str">
        <v>Purchase - SIP</v>
      </c>
      <c r="J83" s="8">
        <v>5000</v>
      </c>
      <c r="K83" s="9">
        <v>177.345</v>
      </c>
      <c r="L83" s="9">
        <v>28.1936</v>
      </c>
      <c r="M83" s="9">
        <v>13264.656000000001</v>
      </c>
      <c r="N83" s="5" t="str">
        <v>PURCHASE_SIP</v>
      </c>
      <c r="O83" s="10">
        <v>0</v>
      </c>
    </row>
    <row r="84" spans="1:15" ht="17" x14ac:dyDescent="0.2">
      <c r="A84" s="5" t="str">
        <v>HDFC Mutual Fund</v>
      </c>
      <c r="B84" s="5" t="str">
        <v>AAAA9990</v>
      </c>
      <c r="C84" s="5" t="str">
        <v>AAAAA1111A</v>
      </c>
      <c r="D84" s="6" t="str">
        <v>HDFC Flexi Cap Fund - Direct Plan - Growth</v>
      </c>
      <c r="E84" s="6" t="str">
        <v>DIRECT</v>
      </c>
      <c r="F84" s="6" t="str">
        <v>CAMS</v>
      </c>
      <c r="G84" s="6">
        <v>119062</v>
      </c>
      <c r="H84" s="7">
        <v>42469</v>
      </c>
      <c r="I84" s="6" t="str">
        <v>Purchase - SIP</v>
      </c>
      <c r="J84" s="8">
        <v>5000</v>
      </c>
      <c r="K84" s="9">
        <v>175.815</v>
      </c>
      <c r="L84" s="9">
        <v>28.4389</v>
      </c>
      <c r="M84" s="9">
        <v>13440.471</v>
      </c>
      <c r="N84" s="5" t="str">
        <v>PURCHASE_SIP</v>
      </c>
      <c r="O84" s="10">
        <v>0</v>
      </c>
    </row>
    <row r="85" spans="1:15" ht="17" x14ac:dyDescent="0.2">
      <c r="A85" s="5" t="str">
        <v>HDFC Mutual Fund</v>
      </c>
      <c r="B85" s="5" t="str">
        <v>AAAA9990</v>
      </c>
      <c r="C85" s="5" t="str">
        <v>AAAAA1111A</v>
      </c>
      <c r="D85" s="6" t="str">
        <v>HDFC Flexi Cap Fund - Direct Plan - Growth</v>
      </c>
      <c r="E85" s="6" t="str">
        <v>DIRECT</v>
      </c>
      <c r="F85" s="6" t="str">
        <v>CAMS</v>
      </c>
      <c r="G85" s="6">
        <v>119062</v>
      </c>
      <c r="H85" s="7">
        <v>42499</v>
      </c>
      <c r="I85" s="6" t="str">
        <v>Purchase - SIP</v>
      </c>
      <c r="J85" s="8">
        <v>5000</v>
      </c>
      <c r="K85" s="9">
        <v>170.73099999999999</v>
      </c>
      <c r="L85" s="9">
        <v>29.285799999999998</v>
      </c>
      <c r="M85" s="9">
        <v>13611.203</v>
      </c>
      <c r="N85" s="5" t="str">
        <v>PURCHASE_SIP</v>
      </c>
      <c r="O85" s="10">
        <v>0</v>
      </c>
    </row>
    <row r="86" spans="1:15" ht="17" x14ac:dyDescent="0.2">
      <c r="A86" s="5" t="str">
        <v>HDFC Mutual Fund</v>
      </c>
      <c r="B86" s="5" t="str">
        <v>AAAA9990</v>
      </c>
      <c r="C86" s="5" t="str">
        <v>AAAAA1111A</v>
      </c>
      <c r="D86" s="6" t="str">
        <v>HDFC Flexi Cap Fund - Direct Plan - Growth</v>
      </c>
      <c r="E86" s="6" t="str">
        <v>DIRECT</v>
      </c>
      <c r="F86" s="6" t="str">
        <v>CAMS</v>
      </c>
      <c r="G86" s="6">
        <v>119062</v>
      </c>
      <c r="H86" s="7">
        <v>42529</v>
      </c>
      <c r="I86" s="6" t="str">
        <v>Purchase - SIP</v>
      </c>
      <c r="J86" s="8">
        <v>5000</v>
      </c>
      <c r="K86" s="9">
        <v>166.07900000000001</v>
      </c>
      <c r="L86" s="9">
        <v>30.106200000000001</v>
      </c>
      <c r="M86" s="9">
        <v>13777.281999999999</v>
      </c>
      <c r="N86" s="5" t="str">
        <v>PURCHASE_SIP</v>
      </c>
      <c r="O86" s="10">
        <v>0</v>
      </c>
    </row>
    <row r="87" spans="1:15" ht="17" x14ac:dyDescent="0.2">
      <c r="A87" s="5" t="str">
        <v>HDFC Mutual Fund</v>
      </c>
      <c r="B87" s="5" t="str">
        <v>AAAA9990</v>
      </c>
      <c r="C87" s="5" t="str">
        <v>AAAAA1111A</v>
      </c>
      <c r="D87" s="6" t="str">
        <v>HDFC Flexi Cap Fund - Direct Plan - Growth</v>
      </c>
      <c r="E87" s="6" t="str">
        <v>DIRECT</v>
      </c>
      <c r="F87" s="6" t="str">
        <v>CAMS</v>
      </c>
      <c r="G87" s="6">
        <v>119062</v>
      </c>
      <c r="H87" s="7">
        <v>42529</v>
      </c>
      <c r="I87" s="6" t="str">
        <v>Dividend Paid</v>
      </c>
      <c r="J87" s="8">
        <v>6888.64</v>
      </c>
      <c r="K87" s="9">
        <v>0</v>
      </c>
      <c r="L87" s="9">
        <v>0</v>
      </c>
      <c r="M87" s="9">
        <v>13777.281999999999</v>
      </c>
      <c r="N87" s="5" t="str">
        <v>DIVIDEND_PAYOUT</v>
      </c>
      <c r="O87" s="10">
        <v>6888.64</v>
      </c>
    </row>
    <row r="88" spans="1:15" ht="17" x14ac:dyDescent="0.2">
      <c r="A88" s="5" t="str">
        <v>HDFC Mutual Fund</v>
      </c>
      <c r="B88" s="5" t="str">
        <v>AAAA9990</v>
      </c>
      <c r="C88" s="5" t="str">
        <v>AAAAA1111A</v>
      </c>
      <c r="D88" s="6" t="str">
        <v>HDFC Flexi Cap Fund - Direct Plan - Growth</v>
      </c>
      <c r="E88" s="6" t="str">
        <v>DIRECT</v>
      </c>
      <c r="F88" s="6" t="str">
        <v>CAMS</v>
      </c>
      <c r="G88" s="6">
        <v>119062</v>
      </c>
      <c r="H88" s="7">
        <v>42559</v>
      </c>
      <c r="I88" s="6" t="str">
        <v>Purchase - SIP</v>
      </c>
      <c r="J88" s="8">
        <v>5000</v>
      </c>
      <c r="K88" s="9">
        <v>162.79900000000001</v>
      </c>
      <c r="L88" s="9">
        <v>30.712599999999998</v>
      </c>
      <c r="M88" s="9">
        <v>13940.081</v>
      </c>
      <c r="N88" s="5" t="str">
        <v>PURCHASE_SIP</v>
      </c>
      <c r="O88" s="10">
        <v>0</v>
      </c>
    </row>
    <row r="89" spans="1:15" ht="17" x14ac:dyDescent="0.2">
      <c r="A89" s="5" t="str">
        <v>HDFC Mutual Fund</v>
      </c>
      <c r="B89" s="5" t="str">
        <v>AAAA9990</v>
      </c>
      <c r="C89" s="5" t="str">
        <v>AAAAA1111A</v>
      </c>
      <c r="D89" s="6" t="str">
        <v>HDFC Flexi Cap Fund - Direct Plan - Growth</v>
      </c>
      <c r="E89" s="6" t="str">
        <v>DIRECT</v>
      </c>
      <c r="F89" s="6" t="str">
        <v>CAMS</v>
      </c>
      <c r="G89" s="6">
        <v>119062</v>
      </c>
      <c r="H89" s="7">
        <v>42589</v>
      </c>
      <c r="I89" s="6" t="str">
        <v>Purchase - SIP</v>
      </c>
      <c r="J89" s="8">
        <v>5000</v>
      </c>
      <c r="K89" s="9">
        <v>166.05099999999999</v>
      </c>
      <c r="L89" s="9">
        <v>30.1111</v>
      </c>
      <c r="M89" s="9">
        <v>14106.132</v>
      </c>
      <c r="N89" s="5" t="str">
        <v>PURCHASE_SIP</v>
      </c>
      <c r="O89" s="10">
        <v>0</v>
      </c>
    </row>
    <row r="90" spans="1:15" ht="17" x14ac:dyDescent="0.2">
      <c r="A90" s="5" t="str">
        <v>HDFC Mutual Fund</v>
      </c>
      <c r="B90" s="5" t="str">
        <v>AAAA9990</v>
      </c>
      <c r="C90" s="5" t="str">
        <v>AAAAA1111A</v>
      </c>
      <c r="D90" s="6" t="str">
        <v>HDFC Flexi Cap Fund - Direct Plan - Growth</v>
      </c>
      <c r="E90" s="6" t="str">
        <v>DIRECT</v>
      </c>
      <c r="F90" s="6" t="str">
        <v>CAMS</v>
      </c>
      <c r="G90" s="6">
        <v>119062</v>
      </c>
      <c r="H90" s="7">
        <v>42619</v>
      </c>
      <c r="I90" s="6" t="str">
        <v>Purchase - SIP</v>
      </c>
      <c r="J90" s="8">
        <v>5000</v>
      </c>
      <c r="K90" s="9">
        <v>165.249</v>
      </c>
      <c r="L90" s="9">
        <v>30.257400000000001</v>
      </c>
      <c r="M90" s="9">
        <v>14271.380999999999</v>
      </c>
      <c r="N90" s="5" t="str">
        <v>PURCHASE_SIP</v>
      </c>
      <c r="O90" s="10">
        <v>0</v>
      </c>
    </row>
    <row r="91" spans="1:15" ht="17" x14ac:dyDescent="0.2">
      <c r="A91" s="5" t="str">
        <v>HDFC Mutual Fund</v>
      </c>
      <c r="B91" s="5" t="str">
        <v>AAAA9990</v>
      </c>
      <c r="C91" s="5" t="str">
        <v>AAAAA1111A</v>
      </c>
      <c r="D91" s="6" t="str">
        <v>HDFC Flexi Cap Fund - Direct Plan - Growth</v>
      </c>
      <c r="E91" s="6" t="str">
        <v>DIRECT</v>
      </c>
      <c r="F91" s="6" t="str">
        <v>CAMS</v>
      </c>
      <c r="G91" s="6">
        <v>119062</v>
      </c>
      <c r="H91" s="7">
        <v>42649</v>
      </c>
      <c r="I91" s="6" t="str">
        <v>Purchase - SIP</v>
      </c>
      <c r="J91" s="8">
        <v>5000</v>
      </c>
      <c r="K91" s="9">
        <v>166.721</v>
      </c>
      <c r="L91" s="9">
        <v>29.990100000000002</v>
      </c>
      <c r="M91" s="9">
        <v>14438.102999999999</v>
      </c>
      <c r="N91" s="5" t="str">
        <v>PURCHASE_SIP</v>
      </c>
      <c r="O91" s="10">
        <v>0</v>
      </c>
    </row>
    <row r="92" spans="1:15" ht="17" x14ac:dyDescent="0.2">
      <c r="A92" s="5" t="str">
        <v>HDFC Mutual Fund</v>
      </c>
      <c r="B92" s="5" t="str">
        <v>AAAA9990</v>
      </c>
      <c r="C92" s="5" t="str">
        <v>AAAAA1111A</v>
      </c>
      <c r="D92" s="6" t="str">
        <v>HDFC Flexi Cap Fund - Direct Plan - Growth</v>
      </c>
      <c r="E92" s="6" t="str">
        <v>DIRECT</v>
      </c>
      <c r="F92" s="6" t="str">
        <v>CAMS</v>
      </c>
      <c r="G92" s="6">
        <v>119062</v>
      </c>
      <c r="H92" s="7">
        <v>42649</v>
      </c>
      <c r="I92" s="6" t="str">
        <v>STT TAX</v>
      </c>
      <c r="J92" s="8">
        <v>2.5</v>
      </c>
      <c r="K92" s="9">
        <v>0</v>
      </c>
      <c r="L92" s="9">
        <v>0</v>
      </c>
      <c r="M92" s="9">
        <v>14438.102999999999</v>
      </c>
      <c r="N92" s="5" t="str">
        <v>STT_TAX</v>
      </c>
      <c r="O92" s="10">
        <v>0</v>
      </c>
    </row>
    <row r="93" spans="1:15" ht="17" x14ac:dyDescent="0.2">
      <c r="A93" s="5" t="str">
        <v>HDFC Mutual Fund</v>
      </c>
      <c r="B93" s="5" t="str">
        <v>AAAA9990</v>
      </c>
      <c r="C93" s="5" t="str">
        <v>AAAAA1111A</v>
      </c>
      <c r="D93" s="6" t="str">
        <v>HDFC Flexi Cap Fund - Direct Plan - Growth</v>
      </c>
      <c r="E93" s="6" t="str">
        <v>DIRECT</v>
      </c>
      <c r="F93" s="6" t="str">
        <v>CAMS</v>
      </c>
      <c r="G93" s="6">
        <v>119062</v>
      </c>
      <c r="H93" s="7">
        <v>42679</v>
      </c>
      <c r="I93" s="6" t="str">
        <v>Purchase - SIP</v>
      </c>
      <c r="J93" s="8">
        <v>5000</v>
      </c>
      <c r="K93" s="9">
        <v>165.375</v>
      </c>
      <c r="L93" s="9">
        <v>30.234400000000001</v>
      </c>
      <c r="M93" s="9">
        <v>14603.477999999999</v>
      </c>
      <c r="N93" s="5" t="str">
        <v>PURCHASE_SIP</v>
      </c>
      <c r="O93" s="10">
        <v>0</v>
      </c>
    </row>
    <row r="94" spans="1:15" ht="17" x14ac:dyDescent="0.2">
      <c r="A94" s="5" t="str">
        <v>HDFC Mutual Fund</v>
      </c>
      <c r="B94" s="5" t="str">
        <v>AAAA9990</v>
      </c>
      <c r="C94" s="5" t="str">
        <v>AAAAA1111A</v>
      </c>
      <c r="D94" s="6" t="str">
        <v>HDFC Flexi Cap Fund - Direct Plan - Growth</v>
      </c>
      <c r="E94" s="6" t="str">
        <v>DIRECT</v>
      </c>
      <c r="F94" s="6" t="str">
        <v>CAMS</v>
      </c>
      <c r="G94" s="6">
        <v>119062</v>
      </c>
      <c r="H94" s="7">
        <v>42679</v>
      </c>
      <c r="I94" s="6" t="str">
        <v>STT TAX</v>
      </c>
      <c r="J94" s="8">
        <v>2.5</v>
      </c>
      <c r="K94" s="9">
        <v>0</v>
      </c>
      <c r="L94" s="9">
        <v>0</v>
      </c>
      <c r="M94" s="9">
        <v>14603.477999999999</v>
      </c>
      <c r="N94" s="5" t="str">
        <v>STT_TAX</v>
      </c>
      <c r="O94" s="10">
        <v>0</v>
      </c>
    </row>
    <row r="95" spans="1:15" ht="17" x14ac:dyDescent="0.2">
      <c r="A95" s="5" t="str">
        <v>HDFC Mutual Fund</v>
      </c>
      <c r="B95" s="5" t="str">
        <v>AAAA9990</v>
      </c>
      <c r="C95" s="5" t="str">
        <v>AAAAA1111A</v>
      </c>
      <c r="D95" s="6" t="str">
        <v>HDFC Flexi Cap Fund - Direct Plan - Growth</v>
      </c>
      <c r="E95" s="6" t="str">
        <v>DIRECT</v>
      </c>
      <c r="F95" s="6" t="str">
        <v>CAMS</v>
      </c>
      <c r="G95" s="6">
        <v>119062</v>
      </c>
      <c r="H95" s="7">
        <v>42709</v>
      </c>
      <c r="I95" s="6" t="str">
        <v>Purchase - SIP</v>
      </c>
      <c r="J95" s="8">
        <v>5000</v>
      </c>
      <c r="K95" s="9">
        <v>166.62700000000001</v>
      </c>
      <c r="L95" s="9">
        <v>30.007100000000001</v>
      </c>
      <c r="M95" s="9">
        <v>14770.105</v>
      </c>
      <c r="N95" s="5" t="str">
        <v>PURCHASE_SIP</v>
      </c>
      <c r="O95" s="10">
        <v>0</v>
      </c>
    </row>
    <row r="96" spans="1:15" ht="17" x14ac:dyDescent="0.2">
      <c r="A96" s="5" t="str">
        <v>HDFC Mutual Fund</v>
      </c>
      <c r="B96" s="5" t="str">
        <v>AAAA9990</v>
      </c>
      <c r="C96" s="5" t="str">
        <v>AAAAA1111A</v>
      </c>
      <c r="D96" s="6" t="str">
        <v>HDFC Flexi Cap Fund - Direct Plan - Growth</v>
      </c>
      <c r="E96" s="6" t="str">
        <v>DIRECT</v>
      </c>
      <c r="F96" s="6" t="str">
        <v>CAMS</v>
      </c>
      <c r="G96" s="6">
        <v>119062</v>
      </c>
      <c r="H96" s="7">
        <v>42709</v>
      </c>
      <c r="I96" s="6" t="str">
        <v>STAMP DUTY</v>
      </c>
      <c r="J96" s="8">
        <v>2.5</v>
      </c>
      <c r="K96" s="9">
        <v>0</v>
      </c>
      <c r="L96" s="9">
        <v>0</v>
      </c>
      <c r="M96" s="9">
        <v>14770.105</v>
      </c>
      <c r="N96" s="5" t="str">
        <v>STAMP_DUTY</v>
      </c>
      <c r="O96" s="10">
        <v>0</v>
      </c>
    </row>
    <row r="97" spans="1:15" ht="17" x14ac:dyDescent="0.2">
      <c r="A97" s="5" t="str">
        <v>HDFC Mutual Fund</v>
      </c>
      <c r="B97" s="5" t="str">
        <v>AAAA9990</v>
      </c>
      <c r="C97" s="5" t="str">
        <v>AAAAA1111A</v>
      </c>
      <c r="D97" s="6" t="str">
        <v>HDFC Flexi Cap Fund - Direct Plan - Growth</v>
      </c>
      <c r="E97" s="6" t="str">
        <v>DIRECT</v>
      </c>
      <c r="F97" s="6" t="str">
        <v>CAMS</v>
      </c>
      <c r="G97" s="6">
        <v>119062</v>
      </c>
      <c r="H97" s="7">
        <v>42739</v>
      </c>
      <c r="I97" s="6" t="str">
        <v>Purchase - SIP</v>
      </c>
      <c r="J97" s="8">
        <v>5000</v>
      </c>
      <c r="K97" s="9">
        <v>165.15</v>
      </c>
      <c r="L97" s="9">
        <v>30.275500000000001</v>
      </c>
      <c r="M97" s="9">
        <v>14935.254999999999</v>
      </c>
      <c r="N97" s="5" t="str">
        <v>PURCHASE_SIP</v>
      </c>
      <c r="O97" s="10">
        <v>0</v>
      </c>
    </row>
    <row r="98" spans="1:15" ht="17" x14ac:dyDescent="0.2">
      <c r="A98" s="5" t="str">
        <v>HDFC Mutual Fund</v>
      </c>
      <c r="B98" s="5" t="str">
        <v>AAAA9990</v>
      </c>
      <c r="C98" s="5" t="str">
        <v>AAAAA1111A</v>
      </c>
      <c r="D98" s="6" t="str">
        <v>HDFC Flexi Cap Fund - Direct Plan - Growth</v>
      </c>
      <c r="E98" s="6" t="str">
        <v>DIRECT</v>
      </c>
      <c r="F98" s="6" t="str">
        <v>CAMS</v>
      </c>
      <c r="G98" s="6">
        <v>119062</v>
      </c>
      <c r="H98" s="7">
        <v>42769</v>
      </c>
      <c r="I98" s="6" t="str">
        <v>Purchase - SIP</v>
      </c>
      <c r="J98" s="8">
        <v>5000</v>
      </c>
      <c r="K98" s="9">
        <v>161.38300000000001</v>
      </c>
      <c r="L98" s="9">
        <v>30.982199999999999</v>
      </c>
      <c r="M98" s="9">
        <v>15096.638000000001</v>
      </c>
      <c r="N98" s="5" t="str">
        <v>PURCHASE_SIP</v>
      </c>
      <c r="O98" s="10">
        <v>0</v>
      </c>
    </row>
    <row r="99" spans="1:15" ht="17" x14ac:dyDescent="0.2">
      <c r="A99" s="5" t="str">
        <v>HDFC Mutual Fund</v>
      </c>
      <c r="B99" s="5" t="str">
        <v>AAAA9990</v>
      </c>
      <c r="C99" s="5" t="str">
        <v>AAAAA1111A</v>
      </c>
      <c r="D99" s="6" t="str">
        <v>HDFC Flexi Cap Fund - Direct Plan - Growth</v>
      </c>
      <c r="E99" s="6" t="str">
        <v>DIRECT</v>
      </c>
      <c r="F99" s="6" t="str">
        <v>CAMS</v>
      </c>
      <c r="G99" s="6">
        <v>119062</v>
      </c>
      <c r="H99" s="7">
        <v>42799</v>
      </c>
      <c r="I99" s="6" t="str">
        <v>Purchase - SIP</v>
      </c>
      <c r="J99" s="8">
        <v>5000</v>
      </c>
      <c r="K99" s="9">
        <v>162.691</v>
      </c>
      <c r="L99" s="9">
        <v>30.7331</v>
      </c>
      <c r="M99" s="9">
        <v>15259.329</v>
      </c>
      <c r="N99" s="5" t="str">
        <v>PURCHASE_SIP</v>
      </c>
      <c r="O99" s="10">
        <v>0</v>
      </c>
    </row>
    <row r="100" spans="1:15" ht="17" x14ac:dyDescent="0.2">
      <c r="A100" s="5" t="str">
        <v>HDFC Mutual Fund</v>
      </c>
      <c r="B100" s="5" t="str">
        <v>AAAA9990</v>
      </c>
      <c r="C100" s="5" t="str">
        <v>AAAAA1111A</v>
      </c>
      <c r="D100" s="6" t="str">
        <v>HDFC Flexi Cap Fund - Direct Plan - Growth</v>
      </c>
      <c r="E100" s="6" t="str">
        <v>DIRECT</v>
      </c>
      <c r="F100" s="6" t="str">
        <v>CAMS</v>
      </c>
      <c r="G100" s="6">
        <v>119062</v>
      </c>
      <c r="H100" s="7">
        <v>42829</v>
      </c>
      <c r="I100" s="6" t="str">
        <v>Purchase - SIP</v>
      </c>
      <c r="J100" s="8">
        <v>5000</v>
      </c>
      <c r="K100" s="9">
        <v>162.34200000000001</v>
      </c>
      <c r="L100" s="9">
        <v>30.799199999999999</v>
      </c>
      <c r="M100" s="9">
        <v>15421.67</v>
      </c>
      <c r="N100" s="5" t="str">
        <v>PURCHASE_SIP</v>
      </c>
      <c r="O100" s="10">
        <v>0</v>
      </c>
    </row>
    <row r="101" spans="1:15" ht="17" x14ac:dyDescent="0.2">
      <c r="A101" s="5" t="str">
        <v>HDFC Mutual Fund</v>
      </c>
      <c r="B101" s="5" t="str">
        <v>AAAA9990</v>
      </c>
      <c r="C101" s="5" t="str">
        <v>AAAAA1111A</v>
      </c>
      <c r="D101" s="6" t="str">
        <v>HDFC Flexi Cap Fund - Direct Plan - Growth</v>
      </c>
      <c r="E101" s="6" t="str">
        <v>DIRECT</v>
      </c>
      <c r="F101" s="6" t="str">
        <v>CAMS</v>
      </c>
      <c r="G101" s="6">
        <v>119062</v>
      </c>
      <c r="H101" s="7">
        <v>42859</v>
      </c>
      <c r="I101" s="6" t="str">
        <v>Purchase - SIP</v>
      </c>
      <c r="J101" s="8">
        <v>5000</v>
      </c>
      <c r="K101" s="9">
        <v>158.65199999999999</v>
      </c>
      <c r="L101" s="9">
        <v>31.515599999999999</v>
      </c>
      <c r="M101" s="9">
        <v>15580.322</v>
      </c>
      <c r="N101" s="5" t="str">
        <v>PURCHASE_SIP</v>
      </c>
      <c r="O101" s="10">
        <v>0</v>
      </c>
    </row>
    <row r="102" spans="1:15" ht="17" x14ac:dyDescent="0.2">
      <c r="A102" s="5" t="str">
        <v>HDFC Mutual Fund</v>
      </c>
      <c r="B102" s="5" t="str">
        <v>AAAA9990</v>
      </c>
      <c r="C102" s="5" t="str">
        <v>AAAAA1111A</v>
      </c>
      <c r="D102" s="6" t="str">
        <v>HDFC Flexi Cap Fund - Direct Plan - Growth</v>
      </c>
      <c r="E102" s="6" t="str">
        <v>DIRECT</v>
      </c>
      <c r="F102" s="6" t="str">
        <v>CAMS</v>
      </c>
      <c r="G102" s="6">
        <v>119062</v>
      </c>
      <c r="H102" s="7">
        <v>42889</v>
      </c>
      <c r="I102" s="6" t="str">
        <v>Purchase - SIP</v>
      </c>
      <c r="J102" s="8">
        <v>5000</v>
      </c>
      <c r="K102" s="9">
        <v>154.715</v>
      </c>
      <c r="L102" s="9">
        <v>32.317599999999999</v>
      </c>
      <c r="M102" s="9">
        <v>15735.037</v>
      </c>
      <c r="N102" s="5" t="str">
        <v>PURCHASE_SIP</v>
      </c>
      <c r="O102" s="10">
        <v>0</v>
      </c>
    </row>
    <row r="103" spans="1:15" ht="17" x14ac:dyDescent="0.2">
      <c r="A103" s="5" t="str">
        <v>HDFC Mutual Fund</v>
      </c>
      <c r="B103" s="5" t="str">
        <v>AAAA9990</v>
      </c>
      <c r="C103" s="5" t="str">
        <v>AAAAA1111A</v>
      </c>
      <c r="D103" s="6" t="str">
        <v>HDFC Flexi Cap Fund - Direct Plan - Growth</v>
      </c>
      <c r="E103" s="6" t="str">
        <v>DIRECT</v>
      </c>
      <c r="F103" s="6" t="str">
        <v>CAMS</v>
      </c>
      <c r="G103" s="6">
        <v>119062</v>
      </c>
      <c r="H103" s="7">
        <v>42889</v>
      </c>
      <c r="I103" s="6" t="str">
        <v>STT TAX</v>
      </c>
      <c r="J103" s="8">
        <v>2.5</v>
      </c>
      <c r="K103" s="9">
        <v>0</v>
      </c>
      <c r="L103" s="9">
        <v>0</v>
      </c>
      <c r="M103" s="9">
        <v>15735.037</v>
      </c>
      <c r="N103" s="5" t="str">
        <v>STT_TAX</v>
      </c>
      <c r="O103" s="10">
        <v>0</v>
      </c>
    </row>
    <row r="104" spans="1:15" ht="17" x14ac:dyDescent="0.2">
      <c r="A104" s="5" t="str">
        <v>HDFC Mutual Fund</v>
      </c>
      <c r="B104" s="5" t="str">
        <v>AAAA9990</v>
      </c>
      <c r="C104" s="5" t="str">
        <v>AAAAA1111A</v>
      </c>
      <c r="D104" s="6" t="str">
        <v>HDFC Flexi Cap Fund - Direct Plan - Growth</v>
      </c>
      <c r="E104" s="6" t="str">
        <v>DIRECT</v>
      </c>
      <c r="F104" s="6" t="str">
        <v>CAMS</v>
      </c>
      <c r="G104" s="6">
        <v>119062</v>
      </c>
      <c r="H104" s="7">
        <v>42919</v>
      </c>
      <c r="I104" s="6" t="str">
        <v>Purchase - SIP</v>
      </c>
      <c r="J104" s="8">
        <v>5000</v>
      </c>
      <c r="K104" s="9">
        <v>156.91200000000001</v>
      </c>
      <c r="L104" s="9">
        <v>31.865100000000002</v>
      </c>
      <c r="M104" s="9">
        <v>15891.948</v>
      </c>
      <c r="N104" s="5" t="str">
        <v>PURCHASE_SIP</v>
      </c>
      <c r="O104" s="10">
        <v>0</v>
      </c>
    </row>
    <row r="105" spans="1:15" ht="17" x14ac:dyDescent="0.2">
      <c r="A105" s="5" t="str">
        <v>HDFC Mutual Fund</v>
      </c>
      <c r="B105" s="5" t="str">
        <v>AAAA9990</v>
      </c>
      <c r="C105" s="5" t="str">
        <v>AAAAA1111A</v>
      </c>
      <c r="D105" s="6" t="str">
        <v>HDFC Flexi Cap Fund - Direct Plan - Growth</v>
      </c>
      <c r="E105" s="6" t="str">
        <v>DIRECT</v>
      </c>
      <c r="F105" s="6" t="str">
        <v>CAMS</v>
      </c>
      <c r="G105" s="6">
        <v>119062</v>
      </c>
      <c r="H105" s="7">
        <v>42949</v>
      </c>
      <c r="I105" s="6" t="str">
        <v>Purchase - SIP</v>
      </c>
      <c r="J105" s="8">
        <v>5000</v>
      </c>
      <c r="K105" s="9">
        <v>152.52500000000001</v>
      </c>
      <c r="L105" s="9">
        <v>32.781500000000001</v>
      </c>
      <c r="M105" s="9">
        <v>16044.473</v>
      </c>
      <c r="N105" s="5" t="str">
        <v>PURCHASE_SIP</v>
      </c>
      <c r="O105" s="10">
        <v>0</v>
      </c>
    </row>
    <row r="106" spans="1:15" ht="17" x14ac:dyDescent="0.2">
      <c r="A106" s="5" t="str">
        <v>HDFC Mutual Fund</v>
      </c>
      <c r="B106" s="5" t="str">
        <v>AAAA9990</v>
      </c>
      <c r="C106" s="5" t="str">
        <v>AAAAA1111A</v>
      </c>
      <c r="D106" s="6" t="str">
        <v>HDFC Flexi Cap Fund - Direct Plan - Growth</v>
      </c>
      <c r="E106" s="6" t="str">
        <v>DIRECT</v>
      </c>
      <c r="F106" s="6" t="str">
        <v>CAMS</v>
      </c>
      <c r="G106" s="6">
        <v>119062</v>
      </c>
      <c r="H106" s="7">
        <v>42979</v>
      </c>
      <c r="I106" s="6" t="str">
        <v>Purchase - SIP</v>
      </c>
      <c r="J106" s="8">
        <v>5000</v>
      </c>
      <c r="K106" s="9">
        <v>150.47800000000001</v>
      </c>
      <c r="L106" s="9">
        <v>33.227400000000003</v>
      </c>
      <c r="M106" s="9">
        <v>16194.950999999999</v>
      </c>
      <c r="N106" s="5" t="str">
        <v>PURCHASE_SIP</v>
      </c>
      <c r="O106" s="10">
        <v>0</v>
      </c>
    </row>
    <row r="107" spans="1:15" ht="17" x14ac:dyDescent="0.2">
      <c r="A107" s="5" t="str">
        <v>HDFC Mutual Fund</v>
      </c>
      <c r="B107" s="5" t="str">
        <v>AAAA9990</v>
      </c>
      <c r="C107" s="5" t="str">
        <v>AAAAA1111A</v>
      </c>
      <c r="D107" s="6" t="str">
        <v>HDFC Flexi Cap Fund - Direct Plan - Growth</v>
      </c>
      <c r="E107" s="6" t="str">
        <v>DIRECT</v>
      </c>
      <c r="F107" s="6" t="str">
        <v>CAMS</v>
      </c>
      <c r="G107" s="6">
        <v>119062</v>
      </c>
      <c r="H107" s="7">
        <v>43009</v>
      </c>
      <c r="I107" s="6" t="str">
        <v>Purchase - SIP</v>
      </c>
      <c r="J107" s="8">
        <v>5000</v>
      </c>
      <c r="K107" s="9">
        <v>151.417</v>
      </c>
      <c r="L107" s="9">
        <v>33.021500000000003</v>
      </c>
      <c r="M107" s="9">
        <v>16346.368</v>
      </c>
      <c r="N107" s="5" t="str">
        <v>PURCHASE_SIP</v>
      </c>
      <c r="O107" s="10">
        <v>0</v>
      </c>
    </row>
    <row r="108" spans="1:15" ht="17" x14ac:dyDescent="0.2">
      <c r="A108" s="5" t="str">
        <v>HDFC Mutual Fund</v>
      </c>
      <c r="B108" s="5" t="str">
        <v>AAAA9990</v>
      </c>
      <c r="C108" s="5" t="str">
        <v>AAAAA1111A</v>
      </c>
      <c r="D108" s="6" t="str">
        <v>HDFC Flexi Cap Fund - Direct Plan - Growth</v>
      </c>
      <c r="E108" s="6" t="str">
        <v>DIRECT</v>
      </c>
      <c r="F108" s="6" t="str">
        <v>CAMS</v>
      </c>
      <c r="G108" s="6">
        <v>119062</v>
      </c>
      <c r="H108" s="7">
        <v>43039</v>
      </c>
      <c r="I108" s="6" t="str">
        <v>Purchase - SIP</v>
      </c>
      <c r="J108" s="8">
        <v>5000</v>
      </c>
      <c r="K108" s="9">
        <v>153.518</v>
      </c>
      <c r="L108" s="9">
        <v>32.569400000000002</v>
      </c>
      <c r="M108" s="9">
        <v>16499.885999999999</v>
      </c>
      <c r="N108" s="5" t="str">
        <v>PURCHASE_SIP</v>
      </c>
      <c r="O108" s="10">
        <v>0</v>
      </c>
    </row>
    <row r="109" spans="1:15" ht="17" x14ac:dyDescent="0.2">
      <c r="A109" s="5" t="str">
        <v>HDFC Mutual Fund</v>
      </c>
      <c r="B109" s="5" t="str">
        <v>AAAA9990</v>
      </c>
      <c r="C109" s="5" t="str">
        <v>AAAAA1111A</v>
      </c>
      <c r="D109" s="6" t="str">
        <v>HDFC Flexi Cap Fund - Direct Plan - Growth</v>
      </c>
      <c r="E109" s="6" t="str">
        <v>DIRECT</v>
      </c>
      <c r="F109" s="6" t="str">
        <v>CAMS</v>
      </c>
      <c r="G109" s="6">
        <v>119062</v>
      </c>
      <c r="H109" s="7">
        <v>43069</v>
      </c>
      <c r="I109" s="6" t="str">
        <v>Purchase - SIP</v>
      </c>
      <c r="J109" s="8">
        <v>5000</v>
      </c>
      <c r="K109" s="9">
        <v>156.053</v>
      </c>
      <c r="L109" s="9">
        <v>32.040500000000002</v>
      </c>
      <c r="M109" s="9">
        <v>16655.938999999998</v>
      </c>
      <c r="N109" s="5" t="str">
        <v>PURCHASE_SIP</v>
      </c>
      <c r="O109" s="10">
        <v>0</v>
      </c>
    </row>
    <row r="110" spans="1:15" ht="17" x14ac:dyDescent="0.2">
      <c r="A110" s="5" t="str">
        <v>HDFC Mutual Fund</v>
      </c>
      <c r="B110" s="5" t="str">
        <v>AAAA9990</v>
      </c>
      <c r="C110" s="5" t="str">
        <v>AAAAA1111A</v>
      </c>
      <c r="D110" s="6" t="str">
        <v>HDFC Flexi Cap Fund - Direct Plan - Growth</v>
      </c>
      <c r="E110" s="6" t="str">
        <v>DIRECT</v>
      </c>
      <c r="F110" s="6" t="str">
        <v>CAMS</v>
      </c>
      <c r="G110" s="6">
        <v>119062</v>
      </c>
      <c r="H110" s="7">
        <v>43099</v>
      </c>
      <c r="I110" s="6" t="str">
        <v>Purchase - SIP</v>
      </c>
      <c r="J110" s="8">
        <v>5000</v>
      </c>
      <c r="K110" s="9">
        <v>156.626</v>
      </c>
      <c r="L110" s="9">
        <v>31.923100000000002</v>
      </c>
      <c r="M110" s="9">
        <v>16812.564999999999</v>
      </c>
      <c r="N110" s="5" t="str">
        <v>PURCHASE_SIP</v>
      </c>
      <c r="O110" s="10">
        <v>0</v>
      </c>
    </row>
    <row r="111" spans="1:15" ht="17" x14ac:dyDescent="0.2">
      <c r="A111" s="5" t="str">
        <v>HDFC Mutual Fund</v>
      </c>
      <c r="B111" s="5" t="str">
        <v>AAAA9990</v>
      </c>
      <c r="C111" s="5" t="str">
        <v>AAAAA1111A</v>
      </c>
      <c r="D111" s="6" t="str">
        <v>HDFC Flexi Cap Fund - Direct Plan - Growth</v>
      </c>
      <c r="E111" s="6" t="str">
        <v>DIRECT</v>
      </c>
      <c r="F111" s="6" t="str">
        <v>CAMS</v>
      </c>
      <c r="G111" s="6">
        <v>119062</v>
      </c>
      <c r="H111" s="7">
        <v>43129</v>
      </c>
      <c r="I111" s="6" t="str">
        <v>Purchase - SIP</v>
      </c>
      <c r="J111" s="8">
        <v>5000</v>
      </c>
      <c r="K111" s="9">
        <v>153.857</v>
      </c>
      <c r="L111" s="9">
        <v>32.497700000000002</v>
      </c>
      <c r="M111" s="9">
        <v>16966.421999999999</v>
      </c>
      <c r="N111" s="5" t="str">
        <v>PURCHASE_SIP</v>
      </c>
      <c r="O111" s="10">
        <v>0</v>
      </c>
    </row>
    <row r="112" spans="1:15" ht="17" x14ac:dyDescent="0.2">
      <c r="A112" s="5" t="str">
        <v>HDFC Mutual Fund</v>
      </c>
      <c r="B112" s="5" t="str">
        <v>AAAA9990</v>
      </c>
      <c r="C112" s="5" t="str">
        <v>AAAAA1111A</v>
      </c>
      <c r="D112" s="6" t="str">
        <v>HDFC Flexi Cap Fund - Direct Plan - Growth</v>
      </c>
      <c r="E112" s="6" t="str">
        <v>DIRECT</v>
      </c>
      <c r="F112" s="6" t="str">
        <v>CAMS</v>
      </c>
      <c r="G112" s="6">
        <v>119062</v>
      </c>
      <c r="H112" s="7">
        <v>43129</v>
      </c>
      <c r="I112" s="6" t="str">
        <v>Redemption</v>
      </c>
      <c r="J112" s="8">
        <v>-110273.96</v>
      </c>
      <c r="K112" s="9">
        <v>-3393.2840000000001</v>
      </c>
      <c r="L112" s="9">
        <v>32.497700000000002</v>
      </c>
      <c r="M112" s="9">
        <v>13573.138000000001</v>
      </c>
      <c r="N112" s="5" t="str">
        <v>REDEMPTION</v>
      </c>
      <c r="O112" s="10">
        <v>0</v>
      </c>
    </row>
    <row r="113" spans="1:15" ht="17" x14ac:dyDescent="0.2">
      <c r="A113" s="5" t="str">
        <v>HDFC Mutual Fund</v>
      </c>
      <c r="B113" s="5" t="str">
        <v>AAAA9990</v>
      </c>
      <c r="C113" s="5" t="str">
        <v>AAAAA1111A</v>
      </c>
      <c r="D113" s="6" t="str">
        <v>HDFC Flexi Cap Fund - Direct Plan - Growth</v>
      </c>
      <c r="E113" s="6" t="str">
        <v>DIRECT</v>
      </c>
      <c r="F113" s="6" t="str">
        <v>CAMS</v>
      </c>
      <c r="G113" s="6">
        <v>119062</v>
      </c>
      <c r="H113" s="7">
        <v>43159</v>
      </c>
      <c r="I113" s="6" t="str">
        <v>Purchase - SIP</v>
      </c>
      <c r="J113" s="8">
        <v>5000</v>
      </c>
      <c r="K113" s="9">
        <v>151.18</v>
      </c>
      <c r="L113" s="9">
        <v>33.0732</v>
      </c>
      <c r="M113" s="9">
        <v>13724.316999999999</v>
      </c>
      <c r="N113" s="5" t="str">
        <v>PURCHASE_SIP</v>
      </c>
      <c r="O113" s="10">
        <v>0</v>
      </c>
    </row>
    <row r="114" spans="1:15" ht="17" x14ac:dyDescent="0.2">
      <c r="A114" s="5" t="str">
        <v>HDFC Mutual Fund</v>
      </c>
      <c r="B114" s="5" t="str">
        <v>AAAA9990</v>
      </c>
      <c r="C114" s="5" t="str">
        <v>AAAAA1111A</v>
      </c>
      <c r="D114" s="6" t="str">
        <v>HDFC Flexi Cap Fund - Direct Plan - Growth</v>
      </c>
      <c r="E114" s="6" t="str">
        <v>DIRECT</v>
      </c>
      <c r="F114" s="6" t="str">
        <v>CAMS</v>
      </c>
      <c r="G114" s="6">
        <v>119062</v>
      </c>
      <c r="H114" s="7">
        <v>43159</v>
      </c>
      <c r="I114" s="6" t="str">
        <v>STT TAX</v>
      </c>
      <c r="J114" s="8">
        <v>2.5</v>
      </c>
      <c r="K114" s="9">
        <v>0</v>
      </c>
      <c r="L114" s="9">
        <v>0</v>
      </c>
      <c r="M114" s="9">
        <v>13724.316999999999</v>
      </c>
      <c r="N114" s="5" t="str">
        <v>STT_TAX</v>
      </c>
      <c r="O114" s="10">
        <v>0</v>
      </c>
    </row>
    <row r="115" spans="1:15" ht="17" x14ac:dyDescent="0.2">
      <c r="A115" s="5" t="str">
        <v>HDFC Mutual Fund</v>
      </c>
      <c r="B115" s="5" t="str">
        <v>AAAA9990</v>
      </c>
      <c r="C115" s="5" t="str">
        <v>AAAAA1111A</v>
      </c>
      <c r="D115" s="6" t="str">
        <v>HDFC Flexi Cap Fund - Direct Plan - Growth</v>
      </c>
      <c r="E115" s="6" t="str">
        <v>DIRECT</v>
      </c>
      <c r="F115" s="6" t="str">
        <v>CAMS</v>
      </c>
      <c r="G115" s="6">
        <v>119062</v>
      </c>
      <c r="H115" s="7">
        <v>43189</v>
      </c>
      <c r="I115" s="6" t="str">
        <v>Purchase - SIP</v>
      </c>
      <c r="J115" s="8">
        <v>5000</v>
      </c>
      <c r="K115" s="9">
        <v>149.93199999999999</v>
      </c>
      <c r="L115" s="9">
        <v>33.348500000000001</v>
      </c>
      <c r="M115" s="9">
        <v>13874.249</v>
      </c>
      <c r="N115" s="5" t="str">
        <v>PURCHASE_SIP</v>
      </c>
      <c r="O115" s="10">
        <v>0</v>
      </c>
    </row>
    <row r="116" spans="1:15" ht="17" x14ac:dyDescent="0.2">
      <c r="A116" s="5" t="str">
        <v>HDFC Mutual Fund</v>
      </c>
      <c r="B116" s="5" t="str">
        <v>AAAA9990</v>
      </c>
      <c r="C116" s="5" t="str">
        <v>AAAAA1111A</v>
      </c>
      <c r="D116" s="6" t="str">
        <v>HDFC Flexi Cap Fund - Direct Plan - Growth</v>
      </c>
      <c r="E116" s="6" t="str">
        <v>DIRECT</v>
      </c>
      <c r="F116" s="6" t="str">
        <v>CAMS</v>
      </c>
      <c r="G116" s="6">
        <v>119062</v>
      </c>
      <c r="H116" s="7">
        <v>43189</v>
      </c>
      <c r="I116" s="6" t="str">
        <v>STAMP DUTY</v>
      </c>
      <c r="J116" s="8">
        <v>2.5</v>
      </c>
      <c r="K116" s="9">
        <v>0</v>
      </c>
      <c r="L116" s="9">
        <v>0</v>
      </c>
      <c r="M116" s="9">
        <v>13874.249</v>
      </c>
      <c r="N116" s="5" t="str">
        <v>STAMP_DUTY</v>
      </c>
      <c r="O116" s="10">
        <v>0</v>
      </c>
    </row>
    <row r="117" spans="1:15" ht="17" x14ac:dyDescent="0.2">
      <c r="A117" s="5" t="str">
        <v>HDFC Mutual Fund</v>
      </c>
      <c r="B117" s="5" t="str">
        <v>AAAA9990</v>
      </c>
      <c r="C117" s="5" t="str">
        <v>AAAAA1111A</v>
      </c>
      <c r="D117" s="6" t="str">
        <v>HDFC Flexi Cap Fund - Direct Plan - Growth</v>
      </c>
      <c r="E117" s="6" t="str">
        <v>DIRECT</v>
      </c>
      <c r="F117" s="6" t="str">
        <v>CAMS</v>
      </c>
      <c r="G117" s="6">
        <v>119062</v>
      </c>
      <c r="H117" s="7">
        <v>43219</v>
      </c>
      <c r="I117" s="6" t="str">
        <v>Purchase - SIP</v>
      </c>
      <c r="J117" s="8">
        <v>5000</v>
      </c>
      <c r="K117" s="9">
        <v>147.898</v>
      </c>
      <c r="L117" s="9">
        <v>33.807099999999998</v>
      </c>
      <c r="M117" s="9">
        <v>14022.147000000001</v>
      </c>
      <c r="N117" s="5" t="str">
        <v>PURCHASE_SIP</v>
      </c>
      <c r="O117" s="10">
        <v>0</v>
      </c>
    </row>
    <row r="118" spans="1:15" ht="17" x14ac:dyDescent="0.2">
      <c r="A118" s="5" t="str">
        <v>HDFC Mutual Fund</v>
      </c>
      <c r="B118" s="5" t="str">
        <v>AAAA9990</v>
      </c>
      <c r="C118" s="5" t="str">
        <v>AAAAA1111A</v>
      </c>
      <c r="D118" s="6" t="str">
        <v>HDFC Flexi Cap Fund - Direct Plan - Growth</v>
      </c>
      <c r="E118" s="6" t="str">
        <v>DIRECT</v>
      </c>
      <c r="F118" s="6" t="str">
        <v>CAMS</v>
      </c>
      <c r="G118" s="6">
        <v>119062</v>
      </c>
      <c r="H118" s="7">
        <v>43249</v>
      </c>
      <c r="I118" s="6" t="str">
        <v>Purchase - SIP</v>
      </c>
      <c r="J118" s="8">
        <v>5000</v>
      </c>
      <c r="K118" s="9">
        <v>150.03299999999999</v>
      </c>
      <c r="L118" s="9">
        <v>33.326000000000001</v>
      </c>
      <c r="M118" s="9">
        <v>14172.179</v>
      </c>
      <c r="N118" s="5" t="str">
        <v>PURCHASE_SIP</v>
      </c>
      <c r="O118" s="10">
        <v>0</v>
      </c>
    </row>
    <row r="119" spans="1:15" ht="17" x14ac:dyDescent="0.2">
      <c r="A119" s="5" t="str">
        <v>HDFC Mutual Fund</v>
      </c>
      <c r="B119" s="5" t="str">
        <v>AAAA9990</v>
      </c>
      <c r="C119" s="5" t="str">
        <v>AAAAA1111A</v>
      </c>
      <c r="D119" s="6" t="str">
        <v>HDFC Flexi Cap Fund - Direct Plan - Growth</v>
      </c>
      <c r="E119" s="6" t="str">
        <v>DIRECT</v>
      </c>
      <c r="F119" s="6" t="str">
        <v>CAMS</v>
      </c>
      <c r="G119" s="6">
        <v>119062</v>
      </c>
      <c r="H119" s="7">
        <v>43249</v>
      </c>
      <c r="I119" s="6" t="str">
        <v>STT TAX</v>
      </c>
      <c r="J119" s="8">
        <v>2.5</v>
      </c>
      <c r="K119" s="9">
        <v>0</v>
      </c>
      <c r="L119" s="9">
        <v>0</v>
      </c>
      <c r="M119" s="9">
        <v>14172.179</v>
      </c>
      <c r="N119" s="5" t="str">
        <v>STT_TAX</v>
      </c>
      <c r="O119" s="10">
        <v>0</v>
      </c>
    </row>
    <row r="120" spans="1:15" ht="17" x14ac:dyDescent="0.2">
      <c r="A120" s="5" t="str">
        <v>HDFC Mutual Fund</v>
      </c>
      <c r="B120" s="5" t="str">
        <v>AAAA9990</v>
      </c>
      <c r="C120" s="5" t="str">
        <v>AAAAA1111A</v>
      </c>
      <c r="D120" s="6" t="str">
        <v>HDFC Flexi Cap Fund - Direct Plan - Growth</v>
      </c>
      <c r="E120" s="6" t="str">
        <v>DIRECT</v>
      </c>
      <c r="F120" s="6" t="str">
        <v>CAMS</v>
      </c>
      <c r="G120" s="6">
        <v>119062</v>
      </c>
      <c r="H120" s="7">
        <v>43249</v>
      </c>
      <c r="I120" s="6" t="str">
        <v>Redemption</v>
      </c>
      <c r="J120" s="8">
        <v>-94460.54</v>
      </c>
      <c r="K120" s="9">
        <v>-2834.4360000000001</v>
      </c>
      <c r="L120" s="9">
        <v>33.326000000000001</v>
      </c>
      <c r="M120" s="9">
        <v>11337.744000000001</v>
      </c>
      <c r="N120" s="5" t="str">
        <v>REDEMPTION</v>
      </c>
      <c r="O120" s="10">
        <v>0</v>
      </c>
    </row>
    <row r="121" spans="1:15" ht="17" x14ac:dyDescent="0.2">
      <c r="A121" s="5" t="str">
        <v>HDFC Mutual Fund</v>
      </c>
      <c r="B121" s="5" t="str">
        <v>AAAA9990</v>
      </c>
      <c r="C121" s="5" t="str">
        <v>AAAAA1111A</v>
      </c>
      <c r="D121" s="6" t="str">
        <v>HDFC Flexi Cap Fund - Direct Plan - Growth</v>
      </c>
      <c r="E121" s="6" t="str">
        <v>DIRECT</v>
      </c>
      <c r="F121" s="6" t="str">
        <v>CAMS</v>
      </c>
      <c r="G121" s="6">
        <v>119062</v>
      </c>
      <c r="H121" s="7">
        <v>43279</v>
      </c>
      <c r="I121" s="6" t="str">
        <v>Purchase - SIP</v>
      </c>
      <c r="J121" s="8">
        <v>5000</v>
      </c>
      <c r="K121" s="9">
        <v>150.02000000000001</v>
      </c>
      <c r="L121" s="9">
        <v>33.329000000000001</v>
      </c>
      <c r="M121" s="9">
        <v>11487.763000000001</v>
      </c>
      <c r="N121" s="5" t="str">
        <v>PURCHASE_SIP</v>
      </c>
      <c r="O121" s="10">
        <v>0</v>
      </c>
    </row>
    <row r="122" spans="1:15" ht="17" x14ac:dyDescent="0.2">
      <c r="A122" s="5" t="str">
        <v>HDFC Mutual Fund</v>
      </c>
      <c r="B122" s="5" t="str">
        <v>AAAA9990</v>
      </c>
      <c r="C122" s="5" t="str">
        <v>AAAAA1111A</v>
      </c>
      <c r="D122" s="6" t="str">
        <v>HDFC Flexi Cap Fund - Direct Plan - Growth</v>
      </c>
      <c r="E122" s="6" t="str">
        <v>DIRECT</v>
      </c>
      <c r="F122" s="6" t="str">
        <v>CAMS</v>
      </c>
      <c r="G122" s="6">
        <v>119062</v>
      </c>
      <c r="H122" s="7">
        <v>43309</v>
      </c>
      <c r="I122" s="6" t="str">
        <v>Purchase - SIP</v>
      </c>
      <c r="J122" s="8">
        <v>5000</v>
      </c>
      <c r="K122" s="9">
        <v>149.14099999999999</v>
      </c>
      <c r="L122" s="9">
        <v>33.525199999999998</v>
      </c>
      <c r="M122" s="9">
        <v>11636.905000000001</v>
      </c>
      <c r="N122" s="5" t="str">
        <v>PURCHASE_SIP</v>
      </c>
      <c r="O122" s="10">
        <v>0</v>
      </c>
    </row>
    <row r="123" spans="1:15" ht="17" x14ac:dyDescent="0.2">
      <c r="A123" s="5" t="str">
        <v>HDFC Mutual Fund</v>
      </c>
      <c r="B123" s="5" t="str">
        <v>AAAA9990</v>
      </c>
      <c r="C123" s="5" t="str">
        <v>AAAAA1111A</v>
      </c>
      <c r="D123" s="6" t="str">
        <v>HDFC Flexi Cap Fund - Direct Plan - Growth</v>
      </c>
      <c r="E123" s="6" t="str">
        <v>DIRECT</v>
      </c>
      <c r="F123" s="6" t="str">
        <v>CAMS</v>
      </c>
      <c r="G123" s="6">
        <v>119062</v>
      </c>
      <c r="H123" s="7">
        <v>43339</v>
      </c>
      <c r="I123" s="6" t="str">
        <v>Purchase - SIP</v>
      </c>
      <c r="J123" s="8">
        <v>5000</v>
      </c>
      <c r="K123" s="9">
        <v>147.13300000000001</v>
      </c>
      <c r="L123" s="9">
        <v>33.982900000000001</v>
      </c>
      <c r="M123" s="9">
        <v>11784.037</v>
      </c>
      <c r="N123" s="5" t="str">
        <v>PURCHASE_SIP</v>
      </c>
      <c r="O123" s="10">
        <v>0</v>
      </c>
    </row>
    <row r="124" spans="1:15" ht="17" x14ac:dyDescent="0.2">
      <c r="A124" s="5" t="str">
        <v>HDFC Mutual Fund</v>
      </c>
      <c r="B124" s="5" t="str">
        <v>AAAA9990</v>
      </c>
      <c r="C124" s="5" t="str">
        <v>AAAAA1111A</v>
      </c>
      <c r="D124" s="6" t="str">
        <v>HDFC Flexi Cap Fund - Direct Plan - Growth</v>
      </c>
      <c r="E124" s="6" t="str">
        <v>DIRECT</v>
      </c>
      <c r="F124" s="6" t="str">
        <v>CAMS</v>
      </c>
      <c r="G124" s="6">
        <v>119062</v>
      </c>
      <c r="H124" s="7">
        <v>43369</v>
      </c>
      <c r="I124" s="6" t="str">
        <v>Purchase - SIP</v>
      </c>
      <c r="J124" s="8">
        <v>5000</v>
      </c>
      <c r="K124" s="9">
        <v>145.04599999999999</v>
      </c>
      <c r="L124" s="9">
        <v>34.471899999999998</v>
      </c>
      <c r="M124" s="9">
        <v>11929.083000000001</v>
      </c>
      <c r="N124" s="5" t="str">
        <v>PURCHASE_SIP</v>
      </c>
      <c r="O124" s="10">
        <v>0</v>
      </c>
    </row>
    <row r="125" spans="1:15" ht="17" x14ac:dyDescent="0.2">
      <c r="A125" s="5" t="str">
        <v>HDFC Mutual Fund</v>
      </c>
      <c r="B125" s="5" t="str">
        <v>AAAA9990</v>
      </c>
      <c r="C125" s="5" t="str">
        <v>AAAAA1111A</v>
      </c>
      <c r="D125" s="6" t="str">
        <v>HDFC Flexi Cap Fund - Direct Plan - Growth</v>
      </c>
      <c r="E125" s="6" t="str">
        <v>DIRECT</v>
      </c>
      <c r="F125" s="6" t="str">
        <v>CAMS</v>
      </c>
      <c r="G125" s="6">
        <v>119062</v>
      </c>
      <c r="H125" s="7">
        <v>43399</v>
      </c>
      <c r="I125" s="6" t="str">
        <v>Purchase - SIP</v>
      </c>
      <c r="J125" s="8">
        <v>5000</v>
      </c>
      <c r="K125" s="9">
        <v>143.71299999999999</v>
      </c>
      <c r="L125" s="9">
        <v>34.791499999999999</v>
      </c>
      <c r="M125" s="9">
        <v>12072.796</v>
      </c>
      <c r="N125" s="5" t="str">
        <v>PURCHASE_SIP</v>
      </c>
      <c r="O125" s="10">
        <v>0</v>
      </c>
    </row>
    <row r="126" spans="1:15" ht="17" x14ac:dyDescent="0.2">
      <c r="A126" s="5" t="str">
        <v>HDFC Mutual Fund</v>
      </c>
      <c r="B126" s="5" t="str">
        <v>AAAA9990</v>
      </c>
      <c r="C126" s="5" t="str">
        <v>AAAAA1111A</v>
      </c>
      <c r="D126" s="6" t="str">
        <v>HDFC Flexi Cap Fund - Direct Plan - Growth</v>
      </c>
      <c r="E126" s="6" t="str">
        <v>DIRECT</v>
      </c>
      <c r="F126" s="6" t="str">
        <v>CAMS</v>
      </c>
      <c r="G126" s="6">
        <v>119062</v>
      </c>
      <c r="H126" s="7">
        <v>43399</v>
      </c>
      <c r="I126" s="6" t="str">
        <v>STAMP DUTY</v>
      </c>
      <c r="J126" s="8">
        <v>2.5</v>
      </c>
      <c r="K126" s="9">
        <v>0</v>
      </c>
      <c r="L126" s="9">
        <v>0</v>
      </c>
      <c r="M126" s="9">
        <v>12072.796</v>
      </c>
      <c r="N126" s="5" t="str">
        <v>STAMP_DUTY</v>
      </c>
      <c r="O126" s="10">
        <v>0</v>
      </c>
    </row>
    <row r="127" spans="1:15" ht="17" x14ac:dyDescent="0.2">
      <c r="A127" s="5" t="str">
        <v>HDFC Mutual Fund</v>
      </c>
      <c r="B127" s="5" t="str">
        <v>AAAA9990</v>
      </c>
      <c r="C127" s="5" t="str">
        <v>AAAAA1111A</v>
      </c>
      <c r="D127" s="6" t="str">
        <v>HDFC Flexi Cap Fund - Direct Plan - Growth</v>
      </c>
      <c r="E127" s="6" t="str">
        <v>DIRECT</v>
      </c>
      <c r="F127" s="6" t="str">
        <v>CAMS</v>
      </c>
      <c r="G127" s="6">
        <v>119062</v>
      </c>
      <c r="H127" s="7">
        <v>43429</v>
      </c>
      <c r="I127" s="6" t="str">
        <v>Purchase - SIP</v>
      </c>
      <c r="J127" s="8">
        <v>5000</v>
      </c>
      <c r="K127" s="9">
        <v>141.845</v>
      </c>
      <c r="L127" s="9">
        <v>35.2498</v>
      </c>
      <c r="M127" s="9">
        <v>12214.641</v>
      </c>
      <c r="N127" s="5" t="str">
        <v>PURCHASE_SIP</v>
      </c>
      <c r="O127" s="10">
        <v>0</v>
      </c>
    </row>
    <row r="128" spans="1:15" ht="17" x14ac:dyDescent="0.2">
      <c r="A128" s="5" t="str">
        <v>HDFC Mutual Fund</v>
      </c>
      <c r="B128" s="5" t="str">
        <v>AAAA9990</v>
      </c>
      <c r="C128" s="5" t="str">
        <v>AAAAA1111A</v>
      </c>
      <c r="D128" s="6" t="str">
        <v>HDFC Flexi Cap Fund - Direct Plan - Growth</v>
      </c>
      <c r="E128" s="6" t="str">
        <v>DIRECT</v>
      </c>
      <c r="F128" s="6" t="str">
        <v>CAMS</v>
      </c>
      <c r="G128" s="6">
        <v>119062</v>
      </c>
      <c r="H128" s="7">
        <v>43459</v>
      </c>
      <c r="I128" s="6" t="str">
        <v>Purchase - SIP</v>
      </c>
      <c r="J128" s="8">
        <v>5000</v>
      </c>
      <c r="K128" s="9">
        <v>139.42599999999999</v>
      </c>
      <c r="L128" s="9">
        <v>35.8613</v>
      </c>
      <c r="M128" s="9">
        <v>12354.066999999999</v>
      </c>
      <c r="N128" s="5" t="str">
        <v>PURCHASE_SIP</v>
      </c>
      <c r="O128" s="10">
        <v>0</v>
      </c>
    </row>
    <row r="129" spans="1:15" ht="17" x14ac:dyDescent="0.2">
      <c r="A129" s="5" t="str">
        <v>HDFC Mutual Fund</v>
      </c>
      <c r="B129" s="5" t="str">
        <v>AAAA9990</v>
      </c>
      <c r="C129" s="5" t="str">
        <v>AAAAA1111A</v>
      </c>
      <c r="D129" s="6" t="str">
        <v>HDFC Flexi Cap Fund - Direct Plan - Growth</v>
      </c>
      <c r="E129" s="6" t="str">
        <v>DIRECT</v>
      </c>
      <c r="F129" s="6" t="str">
        <v>CAMS</v>
      </c>
      <c r="G129" s="6">
        <v>119062</v>
      </c>
      <c r="H129" s="7">
        <v>43459</v>
      </c>
      <c r="I129" s="6" t="str">
        <v>STT TAX</v>
      </c>
      <c r="J129" s="8">
        <v>2.5</v>
      </c>
      <c r="K129" s="9">
        <v>0</v>
      </c>
      <c r="L129" s="9">
        <v>0</v>
      </c>
      <c r="M129" s="9">
        <v>12354.066999999999</v>
      </c>
      <c r="N129" s="5" t="str">
        <v>STT_TAX</v>
      </c>
      <c r="O129" s="10">
        <v>0</v>
      </c>
    </row>
    <row r="130" spans="1:15" ht="17" x14ac:dyDescent="0.2">
      <c r="A130" s="5" t="str">
        <v>HDFC Mutual Fund</v>
      </c>
      <c r="B130" s="5" t="str">
        <v>AAAA9990</v>
      </c>
      <c r="C130" s="5" t="str">
        <v>AAAAA1111A</v>
      </c>
      <c r="D130" s="6" t="str">
        <v>HDFC Flexi Cap Fund - Direct Plan - Growth</v>
      </c>
      <c r="E130" s="6" t="str">
        <v>DIRECT</v>
      </c>
      <c r="F130" s="6" t="str">
        <v>CAMS</v>
      </c>
      <c r="G130" s="6">
        <v>119062</v>
      </c>
      <c r="H130" s="7">
        <v>43489</v>
      </c>
      <c r="I130" s="6" t="str">
        <v>Purchase - SIP</v>
      </c>
      <c r="J130" s="8">
        <v>5000</v>
      </c>
      <c r="K130" s="9">
        <v>140.928</v>
      </c>
      <c r="L130" s="9">
        <v>35.479100000000003</v>
      </c>
      <c r="M130" s="9">
        <v>12494.995000000001</v>
      </c>
      <c r="N130" s="5" t="str">
        <v>PURCHASE_SIP</v>
      </c>
      <c r="O130" s="10">
        <v>0</v>
      </c>
    </row>
    <row r="131" spans="1:15" ht="17" x14ac:dyDescent="0.2">
      <c r="A131" s="5" t="str">
        <v>HDFC Mutual Fund</v>
      </c>
      <c r="B131" s="5" t="str">
        <v>AAAA9990</v>
      </c>
      <c r="C131" s="5" t="str">
        <v>AAAAA1111A</v>
      </c>
      <c r="D131" s="6" t="str">
        <v>HDFC Flexi Cap Fund - Direct Plan - Growth</v>
      </c>
      <c r="E131" s="6" t="str">
        <v>DIRECT</v>
      </c>
      <c r="F131" s="6" t="str">
        <v>CAMS</v>
      </c>
      <c r="G131" s="6">
        <v>119062</v>
      </c>
      <c r="H131" s="7">
        <v>43489</v>
      </c>
      <c r="I131" s="6" t="str">
        <v>Dividend Paid</v>
      </c>
      <c r="J131" s="8">
        <v>6247.5</v>
      </c>
      <c r="K131" s="9">
        <v>0</v>
      </c>
      <c r="L131" s="9">
        <v>0</v>
      </c>
      <c r="M131" s="9">
        <v>12494.995000000001</v>
      </c>
      <c r="N131" s="5" t="str">
        <v>DIVIDEND_PAYOUT</v>
      </c>
      <c r="O131" s="10">
        <v>6247.5</v>
      </c>
    </row>
    <row r="132" spans="1:15" ht="17" x14ac:dyDescent="0.2">
      <c r="A132" s="5" t="str">
        <v>HDFC Mutual Fund</v>
      </c>
      <c r="B132" s="5" t="str">
        <v>AAAA9990</v>
      </c>
      <c r="C132" s="5" t="str">
        <v>AAAAA1111A</v>
      </c>
      <c r="D132" s="6" t="str">
        <v>HDFC Flexi Cap Fund - Direct Plan - Growth</v>
      </c>
      <c r="E132" s="6" t="str">
        <v>DIRECT</v>
      </c>
      <c r="F132" s="6" t="str">
        <v>CAMS</v>
      </c>
      <c r="G132" s="6">
        <v>119062</v>
      </c>
      <c r="H132" s="7">
        <v>43519</v>
      </c>
      <c r="I132" s="6" t="str">
        <v>Purchase - SIP</v>
      </c>
      <c r="J132" s="8">
        <v>5000</v>
      </c>
      <c r="K132" s="9">
        <v>141.667</v>
      </c>
      <c r="L132" s="9">
        <v>35.293999999999997</v>
      </c>
      <c r="M132" s="9">
        <v>12636.662</v>
      </c>
      <c r="N132" s="5" t="str">
        <v>PURCHASE_SIP</v>
      </c>
      <c r="O132" s="10">
        <v>0</v>
      </c>
    </row>
    <row r="133" spans="1:15" ht="17" x14ac:dyDescent="0.2">
      <c r="A133" s="5" t="str">
        <v>HDFC Mutual Fund</v>
      </c>
      <c r="B133" s="5" t="str">
        <v>AAAA9990</v>
      </c>
      <c r="C133" s="5" t="str">
        <v>AAAAA1111A</v>
      </c>
      <c r="D133" s="6" t="str">
        <v>HDFC Flexi Cap Fund - Direct Plan - Growth</v>
      </c>
      <c r="E133" s="6" t="str">
        <v>DIRECT</v>
      </c>
      <c r="F133" s="6" t="str">
        <v>CAMS</v>
      </c>
      <c r="G133" s="6">
        <v>119062</v>
      </c>
      <c r="H133" s="7">
        <v>43549</v>
      </c>
      <c r="I133" s="6" t="str">
        <v>Purchase - SIP</v>
      </c>
      <c r="J133" s="8">
        <v>5000</v>
      </c>
      <c r="K133" s="9">
        <v>144.15299999999999</v>
      </c>
      <c r="L133" s="9">
        <v>34.685499999999998</v>
      </c>
      <c r="M133" s="9">
        <v>12780.815000000001</v>
      </c>
      <c r="N133" s="5" t="str">
        <v>PURCHASE_SIP</v>
      </c>
      <c r="O133" s="10">
        <v>0</v>
      </c>
    </row>
    <row r="134" spans="1:15" ht="17" x14ac:dyDescent="0.2">
      <c r="A134" s="5" t="str">
        <v>HDFC Mutual Fund</v>
      </c>
      <c r="B134" s="5" t="str">
        <v>AAAA9990</v>
      </c>
      <c r="C134" s="5" t="str">
        <v>AAAAA1111A</v>
      </c>
      <c r="D134" s="6" t="str">
        <v>HDFC Flexi Cap Fund - Direct Plan - Growth</v>
      </c>
      <c r="E134" s="6" t="str">
        <v>DIRECT</v>
      </c>
      <c r="F134" s="6" t="str">
        <v>CAMS</v>
      </c>
      <c r="G134" s="6">
        <v>119062</v>
      </c>
      <c r="H134" s="7">
        <v>43549</v>
      </c>
      <c r="I134" s="6" t="str">
        <v>STT TAX</v>
      </c>
      <c r="J134" s="8">
        <v>2.5</v>
      </c>
      <c r="K134" s="9">
        <v>0</v>
      </c>
      <c r="L134" s="9">
        <v>0</v>
      </c>
      <c r="M134" s="9">
        <v>12780.815000000001</v>
      </c>
      <c r="N134" s="5" t="str">
        <v>STT_TAX</v>
      </c>
      <c r="O134" s="10">
        <v>0</v>
      </c>
    </row>
    <row r="135" spans="1:15" ht="17" x14ac:dyDescent="0.2">
      <c r="A135" s="5" t="str">
        <v>HDFC Mutual Fund</v>
      </c>
      <c r="B135" s="5" t="str">
        <v>AAAA9990</v>
      </c>
      <c r="C135" s="5" t="str">
        <v>AAAAA1111A</v>
      </c>
      <c r="D135" s="6" t="str">
        <v>HDFC Flexi Cap Fund - Direct Plan - Growth</v>
      </c>
      <c r="E135" s="6" t="str">
        <v>DIRECT</v>
      </c>
      <c r="F135" s="6" t="str">
        <v>CAMS</v>
      </c>
      <c r="G135" s="6">
        <v>119062</v>
      </c>
      <c r="H135" s="7">
        <v>43579</v>
      </c>
      <c r="I135" s="6" t="str">
        <v>Purchase - SIP</v>
      </c>
      <c r="J135" s="8">
        <v>5000</v>
      </c>
      <c r="K135" s="9">
        <v>146.41900000000001</v>
      </c>
      <c r="L135" s="9">
        <v>34.148699999999998</v>
      </c>
      <c r="M135" s="9">
        <v>12927.234</v>
      </c>
      <c r="N135" s="5" t="str">
        <v>PURCHASE_SIP</v>
      </c>
      <c r="O135" s="10">
        <v>0</v>
      </c>
    </row>
    <row r="136" spans="1:15" ht="17" x14ac:dyDescent="0.2">
      <c r="A136" s="5" t="str">
        <v>HDFC Mutual Fund</v>
      </c>
      <c r="B136" s="5" t="str">
        <v>AAAA9990</v>
      </c>
      <c r="C136" s="5" t="str">
        <v>AAAAA1111A</v>
      </c>
      <c r="D136" s="6" t="str">
        <v>HDFC Flexi Cap Fund - Direct Plan - Growth</v>
      </c>
      <c r="E136" s="6" t="str">
        <v>DIRECT</v>
      </c>
      <c r="F136" s="6" t="str">
        <v>CAMS</v>
      </c>
      <c r="G136" s="6">
        <v>119062</v>
      </c>
      <c r="H136" s="7">
        <v>43579</v>
      </c>
      <c r="I136" s="6" t="str">
        <v>STT TAX</v>
      </c>
      <c r="J136" s="8">
        <v>2.5</v>
      </c>
      <c r="K136" s="9">
        <v>0</v>
      </c>
      <c r="L136" s="9">
        <v>0</v>
      </c>
      <c r="M136" s="9">
        <v>12927.234</v>
      </c>
      <c r="N136" s="5" t="str">
        <v>STT_TAX</v>
      </c>
      <c r="O136" s="10">
        <v>0</v>
      </c>
    </row>
    <row r="137" spans="1:15" ht="17" x14ac:dyDescent="0.2">
      <c r="A137" s="5" t="str">
        <v>HDFC Mutual Fund</v>
      </c>
      <c r="B137" s="5" t="str">
        <v>AAAA9990</v>
      </c>
      <c r="C137" s="5" t="str">
        <v>AAAAA1111A</v>
      </c>
      <c r="D137" s="6" t="str">
        <v>HDFC Flexi Cap Fund - Direct Plan - Growth</v>
      </c>
      <c r="E137" s="6" t="str">
        <v>DIRECT</v>
      </c>
      <c r="F137" s="6" t="str">
        <v>CAMS</v>
      </c>
      <c r="G137" s="6">
        <v>119062</v>
      </c>
      <c r="H137" s="7">
        <v>43609</v>
      </c>
      <c r="I137" s="6" t="str">
        <v>Purchase - SIP</v>
      </c>
      <c r="J137" s="8">
        <v>5000</v>
      </c>
      <c r="K137" s="9">
        <v>144.12100000000001</v>
      </c>
      <c r="L137" s="9">
        <v>34.692999999999998</v>
      </c>
      <c r="M137" s="9">
        <v>13071.355</v>
      </c>
      <c r="N137" s="5" t="str">
        <v>PURCHASE_SIP</v>
      </c>
      <c r="O137" s="10">
        <v>0</v>
      </c>
    </row>
    <row r="138" spans="1:15" ht="17" x14ac:dyDescent="0.2">
      <c r="A138" s="5" t="str">
        <v>HDFC Mutual Fund</v>
      </c>
      <c r="B138" s="5" t="str">
        <v>AAAA9990</v>
      </c>
      <c r="C138" s="5" t="str">
        <v>AAAAA1111A</v>
      </c>
      <c r="D138" s="6" t="str">
        <v>HDFC Flexi Cap Fund - Direct Plan - Growth</v>
      </c>
      <c r="E138" s="6" t="str">
        <v>DIRECT</v>
      </c>
      <c r="F138" s="6" t="str">
        <v>CAMS</v>
      </c>
      <c r="G138" s="6">
        <v>119062</v>
      </c>
      <c r="H138" s="7">
        <v>43639</v>
      </c>
      <c r="I138" s="6" t="str">
        <v>Purchase - SIP</v>
      </c>
      <c r="J138" s="8">
        <v>5000</v>
      </c>
      <c r="K138" s="9">
        <v>145.48699999999999</v>
      </c>
      <c r="L138" s="9">
        <v>34.3673</v>
      </c>
      <c r="M138" s="9">
        <v>13216.842000000001</v>
      </c>
      <c r="N138" s="5" t="str">
        <v>PURCHASE_SIP</v>
      </c>
      <c r="O138" s="10">
        <v>0</v>
      </c>
    </row>
    <row r="139" spans="1:15" ht="17" x14ac:dyDescent="0.2">
      <c r="A139" s="5" t="str">
        <v>HDFC Mutual Fund</v>
      </c>
      <c r="B139" s="5" t="str">
        <v>AAAA9990</v>
      </c>
      <c r="C139" s="5" t="str">
        <v>AAAAA1111A</v>
      </c>
      <c r="D139" s="6" t="str">
        <v>HDFC Flexi Cap Fund - Direct Plan - Growth</v>
      </c>
      <c r="E139" s="6" t="str">
        <v>DIRECT</v>
      </c>
      <c r="F139" s="6" t="str">
        <v>CAMS</v>
      </c>
      <c r="G139" s="6">
        <v>119062</v>
      </c>
      <c r="H139" s="7">
        <v>43669</v>
      </c>
      <c r="I139" s="6" t="str">
        <v>Purchase - SIP</v>
      </c>
      <c r="J139" s="8">
        <v>5000</v>
      </c>
      <c r="K139" s="9">
        <v>141.51900000000001</v>
      </c>
      <c r="L139" s="9">
        <v>35.331000000000003</v>
      </c>
      <c r="M139" s="9">
        <v>13358.361000000001</v>
      </c>
      <c r="N139" s="5" t="str">
        <v>PURCHASE_SIP</v>
      </c>
      <c r="O139" s="10">
        <v>0</v>
      </c>
    </row>
    <row r="140" spans="1:15" ht="17" x14ac:dyDescent="0.2">
      <c r="A140" s="5" t="str">
        <v>HDFC Mutual Fund</v>
      </c>
      <c r="B140" s="5" t="str">
        <v>AAAA9990</v>
      </c>
      <c r="C140" s="5" t="str">
        <v>AAAAA1111A</v>
      </c>
      <c r="D140" s="6" t="str">
        <v>HDFC Flexi Cap Fund - Direct Plan - Growth</v>
      </c>
      <c r="E140" s="6" t="str">
        <v>DIRECT</v>
      </c>
      <c r="F140" s="6" t="str">
        <v>CAMS</v>
      </c>
      <c r="G140" s="6">
        <v>119062</v>
      </c>
      <c r="H140" s="7">
        <v>43699</v>
      </c>
      <c r="I140" s="6" t="str">
        <v>Purchase - SIP</v>
      </c>
      <c r="J140" s="8">
        <v>5000</v>
      </c>
      <c r="K140" s="9">
        <v>141.82499999999999</v>
      </c>
      <c r="L140" s="9">
        <v>35.254600000000003</v>
      </c>
      <c r="M140" s="9">
        <v>13500.186</v>
      </c>
      <c r="N140" s="5" t="str">
        <v>PURCHASE_SIP</v>
      </c>
      <c r="O140" s="10">
        <v>0</v>
      </c>
    </row>
    <row r="141" spans="1:15" ht="17" x14ac:dyDescent="0.2">
      <c r="A141" s="5" t="str">
        <v>HDFC Mutual Fund</v>
      </c>
      <c r="B141" s="5" t="str">
        <v>AAAA9990</v>
      </c>
      <c r="C141" s="5" t="str">
        <v>AAAAA1111A</v>
      </c>
      <c r="D141" s="6" t="str">
        <v>HDFC Flexi Cap Fund - Direct Plan - Growth</v>
      </c>
      <c r="E141" s="6" t="str">
        <v>DIRECT</v>
      </c>
      <c r="F141" s="6" t="str">
        <v>CAMS</v>
      </c>
      <c r="G141" s="6">
        <v>119062</v>
      </c>
      <c r="H141" s="7">
        <v>43699</v>
      </c>
      <c r="I141" s="6" t="str">
        <v>STT TAX</v>
      </c>
      <c r="J141" s="8">
        <v>2.5</v>
      </c>
      <c r="K141" s="9">
        <v>0</v>
      </c>
      <c r="L141" s="9">
        <v>0</v>
      </c>
      <c r="M141" s="9">
        <v>13500.186</v>
      </c>
      <c r="N141" s="5" t="str">
        <v>STT_TAX</v>
      </c>
      <c r="O141" s="10">
        <v>0</v>
      </c>
    </row>
    <row r="142" spans="1:15" ht="17" x14ac:dyDescent="0.2">
      <c r="A142" s="5" t="str">
        <v>HDFC Mutual Fund</v>
      </c>
      <c r="B142" s="5" t="str">
        <v>AAAA9990</v>
      </c>
      <c r="C142" s="5" t="str">
        <v>AAAAA1111A</v>
      </c>
      <c r="D142" s="6" t="str">
        <v>HDFC Flexi Cap Fund - Direct Plan - Growth</v>
      </c>
      <c r="E142" s="6" t="str">
        <v>DIRECT</v>
      </c>
      <c r="F142" s="6" t="str">
        <v>CAMS</v>
      </c>
      <c r="G142" s="6">
        <v>119062</v>
      </c>
      <c r="H142" s="7">
        <v>43729</v>
      </c>
      <c r="I142" s="6" t="str">
        <v>Purchase - SIP</v>
      </c>
      <c r="J142" s="8">
        <v>5000</v>
      </c>
      <c r="K142" s="9">
        <v>141.297</v>
      </c>
      <c r="L142" s="9">
        <v>35.386499999999998</v>
      </c>
      <c r="M142" s="9">
        <v>13641.483</v>
      </c>
      <c r="N142" s="5" t="str">
        <v>PURCHASE_SIP</v>
      </c>
      <c r="O142" s="10">
        <v>0</v>
      </c>
    </row>
    <row r="143" spans="1:15" ht="17" x14ac:dyDescent="0.2">
      <c r="A143" s="5" t="str">
        <v>HDFC Mutual Fund</v>
      </c>
      <c r="B143" s="5" t="str">
        <v>AAAA9990</v>
      </c>
      <c r="C143" s="5" t="str">
        <v>AAAAA1111A</v>
      </c>
      <c r="D143" s="6" t="str">
        <v>HDFC Flexi Cap Fund - Direct Plan - Growth</v>
      </c>
      <c r="E143" s="6" t="str">
        <v>DIRECT</v>
      </c>
      <c r="F143" s="6" t="str">
        <v>CAMS</v>
      </c>
      <c r="G143" s="6">
        <v>119062</v>
      </c>
      <c r="H143" s="7">
        <v>43759</v>
      </c>
      <c r="I143" s="6" t="str">
        <v>Purchase - SIP</v>
      </c>
      <c r="J143" s="8">
        <v>5000</v>
      </c>
      <c r="K143" s="9">
        <v>140.69</v>
      </c>
      <c r="L143" s="9">
        <v>35.539000000000001</v>
      </c>
      <c r="M143" s="9">
        <v>13782.173000000001</v>
      </c>
      <c r="N143" s="5" t="str">
        <v>PURCHASE_SIP</v>
      </c>
      <c r="O143" s="10">
        <v>0</v>
      </c>
    </row>
    <row r="144" spans="1:15" ht="17" x14ac:dyDescent="0.2">
      <c r="A144" s="5" t="str">
        <v>HDFC Mutual Fund</v>
      </c>
      <c r="B144" s="5" t="str">
        <v>AAAA9990</v>
      </c>
      <c r="C144" s="5" t="str">
        <v>AAAAA1111A</v>
      </c>
      <c r="D144" s="6" t="str">
        <v>HDFC Flexi Cap Fund - Direct Plan - Growth</v>
      </c>
      <c r="E144" s="6" t="str">
        <v>DIRECT</v>
      </c>
      <c r="F144" s="6" t="str">
        <v>CAMS</v>
      </c>
      <c r="G144" s="6">
        <v>119062</v>
      </c>
      <c r="H144" s="7">
        <v>43759</v>
      </c>
      <c r="I144" s="6" t="str">
        <v>Dividend Paid</v>
      </c>
      <c r="J144" s="8">
        <v>6891.09</v>
      </c>
      <c r="K144" s="9">
        <v>0</v>
      </c>
      <c r="L144" s="9">
        <v>0</v>
      </c>
      <c r="M144" s="9">
        <v>13782.173000000001</v>
      </c>
      <c r="N144" s="5" t="str">
        <v>DIVIDEND_PAYOUT</v>
      </c>
      <c r="O144" s="10">
        <v>6891.09</v>
      </c>
    </row>
    <row r="145" spans="1:15" ht="17" x14ac:dyDescent="0.2">
      <c r="A145" s="5" t="str">
        <v>HDFC Mutual Fund</v>
      </c>
      <c r="B145" s="5" t="str">
        <v>AAAA9990</v>
      </c>
      <c r="C145" s="5" t="str">
        <v>AAAAA1111A</v>
      </c>
      <c r="D145" s="6" t="str">
        <v>HDFC Flexi Cap Fund - Direct Plan - Growth</v>
      </c>
      <c r="E145" s="6" t="str">
        <v>DIRECT</v>
      </c>
      <c r="F145" s="6" t="str">
        <v>CAMS</v>
      </c>
      <c r="G145" s="6">
        <v>119062</v>
      </c>
      <c r="H145" s="7">
        <v>43789</v>
      </c>
      <c r="I145" s="6" t="str">
        <v>Purchase - SIP</v>
      </c>
      <c r="J145" s="8">
        <v>5000</v>
      </c>
      <c r="K145" s="9">
        <v>141.154</v>
      </c>
      <c r="L145" s="9">
        <v>35.422199999999997</v>
      </c>
      <c r="M145" s="9">
        <v>13923.328</v>
      </c>
      <c r="N145" s="5" t="str">
        <v>PURCHASE_SIP</v>
      </c>
      <c r="O145" s="10">
        <v>0</v>
      </c>
    </row>
    <row r="146" spans="1:15" ht="17" x14ac:dyDescent="0.2">
      <c r="A146" s="5" t="str">
        <v>HDFC Mutual Fund</v>
      </c>
      <c r="B146" s="5" t="str">
        <v>AAAA9990</v>
      </c>
      <c r="C146" s="5" t="str">
        <v>AAAAA1111A</v>
      </c>
      <c r="D146" s="6" t="str">
        <v>HDFC Flexi Cap Fund - Direct Plan - Growth</v>
      </c>
      <c r="E146" s="6" t="str">
        <v>DIRECT</v>
      </c>
      <c r="F146" s="6" t="str">
        <v>CAMS</v>
      </c>
      <c r="G146" s="6">
        <v>119062</v>
      </c>
      <c r="H146" s="7">
        <v>43789</v>
      </c>
      <c r="I146" s="6" t="str">
        <v>Dividend Paid</v>
      </c>
      <c r="J146" s="8">
        <v>6961.66</v>
      </c>
      <c r="K146" s="9">
        <v>0</v>
      </c>
      <c r="L146" s="9">
        <v>0</v>
      </c>
      <c r="M146" s="9">
        <v>13923.328</v>
      </c>
      <c r="N146" s="5" t="str">
        <v>DIVIDEND_PAYOUT</v>
      </c>
      <c r="O146" s="10">
        <v>6961.66</v>
      </c>
    </row>
    <row r="147" spans="1:15" ht="17" x14ac:dyDescent="0.2">
      <c r="A147" s="5" t="str">
        <v>HDFC Mutual Fund</v>
      </c>
      <c r="B147" s="5" t="str">
        <v>AAAA9990</v>
      </c>
      <c r="C147" s="5" t="str">
        <v>AAAAA1111A</v>
      </c>
      <c r="D147" s="6" t="str">
        <v>HDFC Flexi Cap Fund - Direct Plan - Growth</v>
      </c>
      <c r="E147" s="6" t="str">
        <v>DIRECT</v>
      </c>
      <c r="F147" s="6" t="str">
        <v>CAMS</v>
      </c>
      <c r="G147" s="6">
        <v>119062</v>
      </c>
      <c r="H147" s="7">
        <v>43819</v>
      </c>
      <c r="I147" s="6" t="str">
        <v>Purchase - SIP</v>
      </c>
      <c r="J147" s="8">
        <v>5000</v>
      </c>
      <c r="K147" s="9">
        <v>142.29499999999999</v>
      </c>
      <c r="L147" s="9">
        <v>35.138199999999998</v>
      </c>
      <c r="M147" s="9">
        <v>14065.623</v>
      </c>
      <c r="N147" s="5" t="str">
        <v>PURCHASE_SIP</v>
      </c>
      <c r="O147" s="10">
        <v>0</v>
      </c>
    </row>
    <row r="148" spans="1:15" ht="17" x14ac:dyDescent="0.2">
      <c r="A148" s="5" t="str">
        <v>HDFC Mutual Fund</v>
      </c>
      <c r="B148" s="5" t="str">
        <v>AAAA9990</v>
      </c>
      <c r="C148" s="5" t="str">
        <v>AAAAA1111A</v>
      </c>
      <c r="D148" s="6" t="str">
        <v>HDFC Flexi Cap Fund - Direct Plan - Growth</v>
      </c>
      <c r="E148" s="6" t="str">
        <v>DIRECT</v>
      </c>
      <c r="F148" s="6" t="str">
        <v>CAMS</v>
      </c>
      <c r="G148" s="6">
        <v>119062</v>
      </c>
      <c r="H148" s="7">
        <v>43849</v>
      </c>
      <c r="I148" s="6" t="str">
        <v>Purchase - SIP</v>
      </c>
      <c r="J148" s="8">
        <v>5000</v>
      </c>
      <c r="K148" s="9">
        <v>141.34</v>
      </c>
      <c r="L148" s="9">
        <v>35.375799999999998</v>
      </c>
      <c r="M148" s="9">
        <v>14206.963</v>
      </c>
      <c r="N148" s="5" t="str">
        <v>PURCHASE_SIP</v>
      </c>
      <c r="O148" s="10">
        <v>0</v>
      </c>
    </row>
    <row r="149" spans="1:15" ht="17" x14ac:dyDescent="0.2">
      <c r="A149" s="5" t="str">
        <v>HDFC Mutual Fund</v>
      </c>
      <c r="B149" s="5" t="str">
        <v>AAAA9990</v>
      </c>
      <c r="C149" s="5" t="str">
        <v>AAAAA1111A</v>
      </c>
      <c r="D149" s="6" t="str">
        <v>HDFC Flexi Cap Fund - Direct Plan - Growth</v>
      </c>
      <c r="E149" s="6" t="str">
        <v>DIRECT</v>
      </c>
      <c r="F149" s="6" t="str">
        <v>CAMS</v>
      </c>
      <c r="G149" s="6">
        <v>119062</v>
      </c>
      <c r="H149" s="7">
        <v>43879</v>
      </c>
      <c r="I149" s="6" t="str">
        <v>Purchase - SIP</v>
      </c>
      <c r="J149" s="8">
        <v>5000</v>
      </c>
      <c r="K149" s="9">
        <v>138.73099999999999</v>
      </c>
      <c r="L149" s="9">
        <v>36.040900000000001</v>
      </c>
      <c r="M149" s="9">
        <v>14345.694</v>
      </c>
      <c r="N149" s="5" t="str">
        <v>PURCHASE_SIP</v>
      </c>
      <c r="O149" s="10">
        <v>0</v>
      </c>
    </row>
    <row r="150" spans="1:15" ht="17" x14ac:dyDescent="0.2">
      <c r="A150" s="5" t="str">
        <v>HDFC Mutual Fund</v>
      </c>
      <c r="B150" s="5" t="str">
        <v>AAAA9990</v>
      </c>
      <c r="C150" s="5" t="str">
        <v>AAAAA1111A</v>
      </c>
      <c r="D150" s="6" t="str">
        <v>HDFC Flexi Cap Fund - Direct Plan - Growth</v>
      </c>
      <c r="E150" s="6" t="str">
        <v>DIRECT</v>
      </c>
      <c r="F150" s="6" t="str">
        <v>CAMS</v>
      </c>
      <c r="G150" s="6">
        <v>119062</v>
      </c>
      <c r="H150" s="7">
        <v>43909</v>
      </c>
      <c r="I150" s="6" t="str">
        <v>Purchase - SIP</v>
      </c>
      <c r="J150" s="8">
        <v>5000</v>
      </c>
      <c r="K150" s="9">
        <v>140.41</v>
      </c>
      <c r="L150" s="9">
        <v>35.609900000000003</v>
      </c>
      <c r="M150" s="9">
        <v>14486.105</v>
      </c>
      <c r="N150" s="5" t="str">
        <v>PURCHASE_SIP</v>
      </c>
      <c r="O150" s="10">
        <v>0</v>
      </c>
    </row>
    <row r="151" spans="1:15" ht="17" x14ac:dyDescent="0.2">
      <c r="A151" s="5" t="str">
        <v>HDFC Mutual Fund</v>
      </c>
      <c r="B151" s="5" t="str">
        <v>AAAA9990</v>
      </c>
      <c r="C151" s="5" t="str">
        <v>AAAAA1111A</v>
      </c>
      <c r="D151" s="6" t="str">
        <v>HDFC Flexi Cap Fund - Direct Plan - Growth</v>
      </c>
      <c r="E151" s="6" t="str">
        <v>DIRECT</v>
      </c>
      <c r="F151" s="6" t="str">
        <v>CAMS</v>
      </c>
      <c r="G151" s="6">
        <v>119062</v>
      </c>
      <c r="H151" s="7">
        <v>43909</v>
      </c>
      <c r="I151" s="6" t="str">
        <v>Dividend Paid</v>
      </c>
      <c r="J151" s="8">
        <v>7243.05</v>
      </c>
      <c r="K151" s="9">
        <v>0</v>
      </c>
      <c r="L151" s="9">
        <v>0</v>
      </c>
      <c r="M151" s="9">
        <v>14486.105</v>
      </c>
      <c r="N151" s="5" t="str">
        <v>DIVIDEND_PAYOUT</v>
      </c>
      <c r="O151" s="10">
        <v>7243.05</v>
      </c>
    </row>
    <row r="152" spans="1:15" ht="17" x14ac:dyDescent="0.2">
      <c r="A152" s="5" t="str">
        <v>HDFC Mutual Fund</v>
      </c>
      <c r="B152" s="5" t="str">
        <v>AAAA9990</v>
      </c>
      <c r="C152" s="5" t="str">
        <v>AAAAA1111A</v>
      </c>
      <c r="D152" s="6" t="str">
        <v>HDFC Flexi Cap Fund - Direct Plan - Growth</v>
      </c>
      <c r="E152" s="6" t="str">
        <v>DIRECT</v>
      </c>
      <c r="F152" s="6" t="str">
        <v>CAMS</v>
      </c>
      <c r="G152" s="6">
        <v>119062</v>
      </c>
      <c r="H152" s="7">
        <v>43939</v>
      </c>
      <c r="I152" s="6" t="str">
        <v>Purchase - SIP</v>
      </c>
      <c r="J152" s="8">
        <v>5000</v>
      </c>
      <c r="K152" s="9">
        <v>140.489</v>
      </c>
      <c r="L152" s="9">
        <v>35.590000000000003</v>
      </c>
      <c r="M152" s="9">
        <v>14626.593000000001</v>
      </c>
      <c r="N152" s="5" t="str">
        <v>PURCHASE_SIP</v>
      </c>
      <c r="O152" s="10">
        <v>0</v>
      </c>
    </row>
    <row r="153" spans="1:15" ht="17" x14ac:dyDescent="0.2">
      <c r="A153" s="5" t="str">
        <v>HDFC Mutual Fund</v>
      </c>
      <c r="B153" s="5" t="str">
        <v>AAAA9990</v>
      </c>
      <c r="C153" s="5" t="str">
        <v>AAAAA1111A</v>
      </c>
      <c r="D153" s="6" t="str">
        <v>HDFC Flexi Cap Fund - Direct Plan - Growth</v>
      </c>
      <c r="E153" s="6" t="str">
        <v>DIRECT</v>
      </c>
      <c r="F153" s="6" t="str">
        <v>CAMS</v>
      </c>
      <c r="G153" s="6">
        <v>119062</v>
      </c>
      <c r="H153" s="7">
        <v>43969</v>
      </c>
      <c r="I153" s="6" t="str">
        <v>Purchase - SIP</v>
      </c>
      <c r="J153" s="8">
        <v>5000</v>
      </c>
      <c r="K153" s="9">
        <v>138.447</v>
      </c>
      <c r="L153" s="9">
        <v>36.114800000000002</v>
      </c>
      <c r="M153" s="9">
        <v>14765.040999999999</v>
      </c>
      <c r="N153" s="5" t="str">
        <v>PURCHASE_SIP</v>
      </c>
      <c r="O153" s="10">
        <v>0</v>
      </c>
    </row>
    <row r="154" spans="1:15" ht="17" x14ac:dyDescent="0.2">
      <c r="A154" s="5" t="str">
        <v>HDFC Mutual Fund</v>
      </c>
      <c r="B154" s="5" t="str">
        <v>AAAA9990</v>
      </c>
      <c r="C154" s="5" t="str">
        <v>AAAAA1111A</v>
      </c>
      <c r="D154" s="6" t="str">
        <v>HDFC Flexi Cap Fund - Direct Plan - Growth</v>
      </c>
      <c r="E154" s="6" t="str">
        <v>DIRECT</v>
      </c>
      <c r="F154" s="6" t="str">
        <v>CAMS</v>
      </c>
      <c r="G154" s="6">
        <v>119062</v>
      </c>
      <c r="H154" s="7">
        <v>43999</v>
      </c>
      <c r="I154" s="6" t="str">
        <v>Purchase - SIP</v>
      </c>
      <c r="J154" s="8">
        <v>5000</v>
      </c>
      <c r="K154" s="9">
        <v>139.18899999999999</v>
      </c>
      <c r="L154" s="9">
        <v>35.922499999999999</v>
      </c>
      <c r="M154" s="9">
        <v>14904.228999999999</v>
      </c>
      <c r="N154" s="5" t="str">
        <v>PURCHASE_SIP</v>
      </c>
      <c r="O154" s="10">
        <v>0</v>
      </c>
    </row>
    <row r="155" spans="1:15" ht="17" x14ac:dyDescent="0.2">
      <c r="A155" s="5" t="str">
        <v>HDFC Mutual Fund</v>
      </c>
      <c r="B155" s="5" t="str">
        <v>AAAA9990</v>
      </c>
      <c r="C155" s="5" t="str">
        <v>AAAAA1111A</v>
      </c>
      <c r="D155" s="6" t="str">
        <v>HDFC Flexi Cap Fund - Direct Plan - Growth</v>
      </c>
      <c r="E155" s="6" t="str">
        <v>DIRECT</v>
      </c>
      <c r="F155" s="6" t="str">
        <v>CAMS</v>
      </c>
      <c r="G155" s="6">
        <v>119062</v>
      </c>
      <c r="H155" s="7">
        <v>44029</v>
      </c>
      <c r="I155" s="6" t="str">
        <v>Purchase - SIP</v>
      </c>
      <c r="J155" s="8">
        <v>5000</v>
      </c>
      <c r="K155" s="9">
        <v>139.83099999999999</v>
      </c>
      <c r="L155" s="9">
        <v>35.757399999999997</v>
      </c>
      <c r="M155" s="9">
        <v>15044.061</v>
      </c>
      <c r="N155" s="5" t="str">
        <v>PURCHASE_SIP</v>
      </c>
      <c r="O155" s="10">
        <v>0</v>
      </c>
    </row>
    <row r="156" spans="1:15" ht="17" x14ac:dyDescent="0.2">
      <c r="A156" s="5" t="str">
        <v>HDFC Mutual Fund</v>
      </c>
      <c r="B156" s="5" t="str">
        <v>AAAA9990</v>
      </c>
      <c r="C156" s="5" t="str">
        <v>AAAAA1111A</v>
      </c>
      <c r="D156" s="6" t="str">
        <v>HDFC Flexi Cap Fund - Direct Plan - Growth</v>
      </c>
      <c r="E156" s="6" t="str">
        <v>DIRECT</v>
      </c>
      <c r="F156" s="6" t="str">
        <v>CAMS</v>
      </c>
      <c r="G156" s="6">
        <v>119062</v>
      </c>
      <c r="H156" s="7">
        <v>44029</v>
      </c>
      <c r="I156" s="6" t="str">
        <v>Dividend Paid</v>
      </c>
      <c r="J156" s="8">
        <v>7522.03</v>
      </c>
      <c r="K156" s="9">
        <v>0</v>
      </c>
      <c r="L156" s="9">
        <v>0</v>
      </c>
      <c r="M156" s="9">
        <v>15044.061</v>
      </c>
      <c r="N156" s="5" t="str">
        <v>DIVIDEND_PAYOUT</v>
      </c>
      <c r="O156" s="10">
        <v>7522.03</v>
      </c>
    </row>
    <row r="157" spans="1:15" ht="17" x14ac:dyDescent="0.2">
      <c r="A157" s="5" t="str">
        <v>HDFC Mutual Fund</v>
      </c>
      <c r="B157" s="5" t="str">
        <v>AAAA9990</v>
      </c>
      <c r="C157" s="5" t="str">
        <v>AAAAA1111A</v>
      </c>
      <c r="D157" s="6" t="str">
        <v>HDFC Flexi Cap Fund - Direct Plan - Growth</v>
      </c>
      <c r="E157" s="6" t="str">
        <v>DIRECT</v>
      </c>
      <c r="F157" s="6" t="str">
        <v>CAMS</v>
      </c>
      <c r="G157" s="6">
        <v>119062</v>
      </c>
      <c r="H157" s="7">
        <v>44059</v>
      </c>
      <c r="I157" s="6" t="str">
        <v>Purchase - SIP</v>
      </c>
      <c r="J157" s="8">
        <v>5000</v>
      </c>
      <c r="K157" s="9">
        <v>139.38900000000001</v>
      </c>
      <c r="L157" s="9">
        <v>35.870699999999999</v>
      </c>
      <c r="M157" s="9">
        <v>15183.45</v>
      </c>
      <c r="N157" s="5" t="str">
        <v>PURCHASE_SIP</v>
      </c>
      <c r="O157" s="10">
        <v>0</v>
      </c>
    </row>
    <row r="158" spans="1:15" ht="17" x14ac:dyDescent="0.2">
      <c r="A158" s="5" t="str">
        <v>HDFC Mutual Fund</v>
      </c>
      <c r="B158" s="5" t="str">
        <v>AAAA9990</v>
      </c>
      <c r="C158" s="5" t="str">
        <v>AAAAA1111A</v>
      </c>
      <c r="D158" s="6" t="str">
        <v>HDFC Flexi Cap Fund - Direct Plan - Growth</v>
      </c>
      <c r="E158" s="6" t="str">
        <v>DIRECT</v>
      </c>
      <c r="F158" s="6" t="str">
        <v>CAMS</v>
      </c>
      <c r="G158" s="6">
        <v>119062</v>
      </c>
      <c r="H158" s="7">
        <v>44059</v>
      </c>
      <c r="I158" s="6" t="str">
        <v>STAMP DUTY</v>
      </c>
      <c r="J158" s="8">
        <v>2.5</v>
      </c>
      <c r="K158" s="9">
        <v>0</v>
      </c>
      <c r="L158" s="9">
        <v>0</v>
      </c>
      <c r="M158" s="9">
        <v>15183.45</v>
      </c>
      <c r="N158" s="5" t="str">
        <v>STAMP_DUTY</v>
      </c>
      <c r="O158" s="10">
        <v>0</v>
      </c>
    </row>
    <row r="159" spans="1:15" ht="17" x14ac:dyDescent="0.2">
      <c r="A159" s="5" t="str">
        <v>HDFC Mutual Fund</v>
      </c>
      <c r="B159" s="5" t="str">
        <v>AAAA9990</v>
      </c>
      <c r="C159" s="5" t="str">
        <v>AAAAA1111A</v>
      </c>
      <c r="D159" s="6" t="str">
        <v>HDFC Flexi Cap Fund - Direct Plan - Growth</v>
      </c>
      <c r="E159" s="6" t="str">
        <v>DIRECT</v>
      </c>
      <c r="F159" s="6" t="str">
        <v>CAMS</v>
      </c>
      <c r="G159" s="6">
        <v>119062</v>
      </c>
      <c r="H159" s="7">
        <v>44089</v>
      </c>
      <c r="I159" s="6" t="str">
        <v>Purchase - SIP</v>
      </c>
      <c r="J159" s="8">
        <v>5000</v>
      </c>
      <c r="K159" s="9">
        <v>136.21799999999999</v>
      </c>
      <c r="L159" s="9">
        <v>36.705800000000004</v>
      </c>
      <c r="M159" s="9">
        <v>15319.668</v>
      </c>
      <c r="N159" s="5" t="str">
        <v>PURCHASE_SIP</v>
      </c>
      <c r="O159" s="10">
        <v>0</v>
      </c>
    </row>
    <row r="160" spans="1:15" ht="17" x14ac:dyDescent="0.2">
      <c r="A160" s="5" t="str">
        <v>HDFC Mutual Fund</v>
      </c>
      <c r="B160" s="5" t="str">
        <v>AAAA9990</v>
      </c>
      <c r="C160" s="5" t="str">
        <v>AAAAA1111A</v>
      </c>
      <c r="D160" s="6" t="str">
        <v>HDFC Flexi Cap Fund - Direct Plan - Growth</v>
      </c>
      <c r="E160" s="6" t="str">
        <v>DIRECT</v>
      </c>
      <c r="F160" s="6" t="str">
        <v>CAMS</v>
      </c>
      <c r="G160" s="6">
        <v>119062</v>
      </c>
      <c r="H160" s="7">
        <v>44089</v>
      </c>
      <c r="I160" s="6" t="str">
        <v>STT TAX</v>
      </c>
      <c r="J160" s="8">
        <v>2.5</v>
      </c>
      <c r="K160" s="9">
        <v>0</v>
      </c>
      <c r="L160" s="9">
        <v>0</v>
      </c>
      <c r="M160" s="9">
        <v>15319.668</v>
      </c>
      <c r="N160" s="5" t="str">
        <v>STT_TAX</v>
      </c>
      <c r="O160" s="10">
        <v>0</v>
      </c>
    </row>
    <row r="161" spans="1:15" ht="17" x14ac:dyDescent="0.2">
      <c r="A161" s="5" t="str">
        <v>HDFC Mutual Fund</v>
      </c>
      <c r="B161" s="5" t="str">
        <v>AAAA9990</v>
      </c>
      <c r="C161" s="5" t="str">
        <v>AAAAA1111A</v>
      </c>
      <c r="D161" s="6" t="str">
        <v>HDFC Flexi Cap Fund - Direct Plan - Growth</v>
      </c>
      <c r="E161" s="6" t="str">
        <v>DIRECT</v>
      </c>
      <c r="F161" s="6" t="str">
        <v>CAMS</v>
      </c>
      <c r="G161" s="6">
        <v>119062</v>
      </c>
      <c r="H161" s="7">
        <v>44119</v>
      </c>
      <c r="I161" s="6" t="str">
        <v>Purchase - SIP</v>
      </c>
      <c r="J161" s="8">
        <v>5000</v>
      </c>
      <c r="K161" s="9">
        <v>136.14500000000001</v>
      </c>
      <c r="L161" s="9">
        <v>36.7254</v>
      </c>
      <c r="M161" s="9">
        <v>15455.814</v>
      </c>
      <c r="N161" s="5" t="str">
        <v>PURCHASE_SIP</v>
      </c>
      <c r="O161" s="10">
        <v>0</v>
      </c>
    </row>
    <row r="162" spans="1:15" ht="17" x14ac:dyDescent="0.2">
      <c r="A162" s="5" t="str">
        <v>HDFC Mutual Fund</v>
      </c>
      <c r="B162" s="5" t="str">
        <v>AAAA9990</v>
      </c>
      <c r="C162" s="5" t="str">
        <v>AAAAA1111A</v>
      </c>
      <c r="D162" s="6" t="str">
        <v>HDFC Flexi Cap Fund - Direct Plan - Growth</v>
      </c>
      <c r="E162" s="6" t="str">
        <v>DIRECT</v>
      </c>
      <c r="F162" s="6" t="str">
        <v>CAMS</v>
      </c>
      <c r="G162" s="6">
        <v>119062</v>
      </c>
      <c r="H162" s="7">
        <v>44149</v>
      </c>
      <c r="I162" s="6" t="str">
        <v>Purchase - SIP</v>
      </c>
      <c r="J162" s="8">
        <v>5000</v>
      </c>
      <c r="K162" s="9">
        <v>134.29</v>
      </c>
      <c r="L162" s="9">
        <v>37.232799999999997</v>
      </c>
      <c r="M162" s="9">
        <v>15590.103999999999</v>
      </c>
      <c r="N162" s="5" t="str">
        <v>PURCHASE_SIP</v>
      </c>
      <c r="O162" s="10">
        <v>0</v>
      </c>
    </row>
    <row r="163" spans="1:15" ht="17" x14ac:dyDescent="0.2">
      <c r="A163" s="5" t="str">
        <v>HDFC Mutual Fund</v>
      </c>
      <c r="B163" s="5" t="str">
        <v>AAAA9990</v>
      </c>
      <c r="C163" s="5" t="str">
        <v>AAAAA1111A</v>
      </c>
      <c r="D163" s="6" t="str">
        <v>HDFC Flexi Cap Fund - Direct Plan - Growth</v>
      </c>
      <c r="E163" s="6" t="str">
        <v>DIRECT</v>
      </c>
      <c r="F163" s="6" t="str">
        <v>CAMS</v>
      </c>
      <c r="G163" s="6">
        <v>119062</v>
      </c>
      <c r="H163" s="7">
        <v>44149</v>
      </c>
      <c r="I163" s="6" t="str">
        <v>STAMP DUTY</v>
      </c>
      <c r="J163" s="8">
        <v>2.5</v>
      </c>
      <c r="K163" s="9">
        <v>0</v>
      </c>
      <c r="L163" s="9">
        <v>0</v>
      </c>
      <c r="M163" s="9">
        <v>15590.103999999999</v>
      </c>
      <c r="N163" s="5" t="str">
        <v>STAMP_DUTY</v>
      </c>
      <c r="O163" s="10">
        <v>0</v>
      </c>
    </row>
    <row r="164" spans="1:15" ht="17" x14ac:dyDescent="0.2">
      <c r="A164" s="5" t="str">
        <v>HDFC Mutual Fund</v>
      </c>
      <c r="B164" s="5" t="str">
        <v>AAAA9990</v>
      </c>
      <c r="C164" s="5" t="str">
        <v>AAAAA1111A</v>
      </c>
      <c r="D164" s="6" t="str">
        <v>HDFC Flexi Cap Fund - Direct Plan - Growth</v>
      </c>
      <c r="E164" s="6" t="str">
        <v>DIRECT</v>
      </c>
      <c r="F164" s="6" t="str">
        <v>CAMS</v>
      </c>
      <c r="G164" s="6">
        <v>119062</v>
      </c>
      <c r="H164" s="7">
        <v>44179</v>
      </c>
      <c r="I164" s="6" t="str">
        <v>Purchase - SIP</v>
      </c>
      <c r="J164" s="8">
        <v>5000</v>
      </c>
      <c r="K164" s="9">
        <v>132.30199999999999</v>
      </c>
      <c r="L164" s="9">
        <v>37.792299999999997</v>
      </c>
      <c r="M164" s="9">
        <v>15722.406000000001</v>
      </c>
      <c r="N164" s="5" t="str">
        <v>PURCHASE_SIP</v>
      </c>
      <c r="O164" s="10">
        <v>0</v>
      </c>
    </row>
    <row r="165" spans="1:15" ht="17" x14ac:dyDescent="0.2">
      <c r="A165" s="5" t="str">
        <v>HDFC Mutual Fund</v>
      </c>
      <c r="B165" s="5" t="str">
        <v>AAAA9990</v>
      </c>
      <c r="C165" s="5" t="str">
        <v>AAAAA1111A</v>
      </c>
      <c r="D165" s="6" t="str">
        <v>HDFC Flexi Cap Fund - Direct Plan - Growth</v>
      </c>
      <c r="E165" s="6" t="str">
        <v>DIRECT</v>
      </c>
      <c r="F165" s="6" t="str">
        <v>CAMS</v>
      </c>
      <c r="G165" s="6">
        <v>119062</v>
      </c>
      <c r="H165" s="7">
        <v>44179</v>
      </c>
      <c r="I165" s="6" t="str">
        <v>Dividend Paid</v>
      </c>
      <c r="J165" s="8">
        <v>7861.2</v>
      </c>
      <c r="K165" s="9">
        <v>0</v>
      </c>
      <c r="L165" s="9">
        <v>0</v>
      </c>
      <c r="M165" s="9">
        <v>15722.406000000001</v>
      </c>
      <c r="N165" s="5" t="str">
        <v>DIVIDEND_PAYOUT</v>
      </c>
      <c r="O165" s="10">
        <v>7861.2</v>
      </c>
    </row>
    <row r="166" spans="1:15" ht="17" x14ac:dyDescent="0.2">
      <c r="A166" s="5" t="str">
        <v>HDFC Mutual Fund</v>
      </c>
      <c r="B166" s="5" t="str">
        <v>AAAA9990</v>
      </c>
      <c r="C166" s="5" t="str">
        <v>AAAAA1111A</v>
      </c>
      <c r="D166" s="6" t="str">
        <v>HDFC Flexi Cap Fund - Direct Plan - Growth</v>
      </c>
      <c r="E166" s="6" t="str">
        <v>DIRECT</v>
      </c>
      <c r="F166" s="6" t="str">
        <v>CAMS</v>
      </c>
      <c r="G166" s="6">
        <v>119062</v>
      </c>
      <c r="H166" s="7">
        <v>44209</v>
      </c>
      <c r="I166" s="6" t="str">
        <v>Purchase - SIP</v>
      </c>
      <c r="J166" s="8">
        <v>5000</v>
      </c>
      <c r="K166" s="9">
        <v>133.80000000000001</v>
      </c>
      <c r="L166" s="9">
        <v>37.369100000000003</v>
      </c>
      <c r="M166" s="9">
        <v>15856.206</v>
      </c>
      <c r="N166" s="5" t="str">
        <v>PURCHASE_SIP</v>
      </c>
      <c r="O166" s="10">
        <v>0</v>
      </c>
    </row>
    <row r="167" spans="1:15" ht="17" x14ac:dyDescent="0.2">
      <c r="A167" s="5" t="str">
        <v>HDFC Mutual Fund</v>
      </c>
      <c r="B167" s="5" t="str">
        <v>AAAA9990</v>
      </c>
      <c r="C167" s="5" t="str">
        <v>AAAAA1111A</v>
      </c>
      <c r="D167" s="6" t="str">
        <v>HDFC Flexi Cap Fund - Direct Plan - Growth</v>
      </c>
      <c r="E167" s="6" t="str">
        <v>DIRECT</v>
      </c>
      <c r="F167" s="6" t="str">
        <v>CAMS</v>
      </c>
      <c r="G167" s="6">
        <v>119062</v>
      </c>
      <c r="H167" s="7">
        <v>44239</v>
      </c>
      <c r="I167" s="6" t="str">
        <v>Purchase - SIP</v>
      </c>
      <c r="J167" s="8">
        <v>5000</v>
      </c>
      <c r="K167" s="9">
        <v>136.30199999999999</v>
      </c>
      <c r="L167" s="9">
        <v>36.683300000000003</v>
      </c>
      <c r="M167" s="9">
        <v>15992.508</v>
      </c>
      <c r="N167" s="5" t="str">
        <v>PURCHASE_SIP</v>
      </c>
      <c r="O167" s="10">
        <v>0</v>
      </c>
    </row>
    <row r="168" spans="1:15" ht="17" x14ac:dyDescent="0.2">
      <c r="A168" s="5" t="str">
        <v>HDFC Mutual Fund</v>
      </c>
      <c r="B168" s="5" t="str">
        <v>AAAA9990</v>
      </c>
      <c r="C168" s="5" t="str">
        <v>AAAAA1111A</v>
      </c>
      <c r="D168" s="6" t="str">
        <v>HDFC Flexi Cap Fund - Direct Plan - Growth</v>
      </c>
      <c r="E168" s="6" t="str">
        <v>DIRECT</v>
      </c>
      <c r="F168" s="6" t="str">
        <v>CAMS</v>
      </c>
      <c r="G168" s="6">
        <v>119062</v>
      </c>
      <c r="H168" s="7">
        <v>44269</v>
      </c>
      <c r="I168" s="6" t="str">
        <v>Purchase - SIP</v>
      </c>
      <c r="J168" s="8">
        <v>5000</v>
      </c>
      <c r="K168" s="9">
        <v>134.91900000000001</v>
      </c>
      <c r="L168" s="9">
        <v>37.059199999999997</v>
      </c>
      <c r="M168" s="9">
        <v>16127.428</v>
      </c>
      <c r="N168" s="5" t="str">
        <v>PURCHASE_SIP</v>
      </c>
      <c r="O168" s="10">
        <v>0</v>
      </c>
    </row>
    <row r="169" spans="1:15" ht="17" x14ac:dyDescent="0.2">
      <c r="A169" s="5" t="str">
        <v>HDFC Mutual Fund</v>
      </c>
      <c r="B169" s="5" t="str">
        <v>AAAA9990</v>
      </c>
      <c r="C169" s="5" t="str">
        <v>AAAAA1111A</v>
      </c>
      <c r="D169" s="6" t="str">
        <v>HDFC Flexi Cap Fund - Direct Plan - Growth</v>
      </c>
      <c r="E169" s="6" t="str">
        <v>DIRECT</v>
      </c>
      <c r="F169" s="6" t="str">
        <v>CAMS</v>
      </c>
      <c r="G169" s="6">
        <v>119062</v>
      </c>
      <c r="H169" s="7">
        <v>44299</v>
      </c>
      <c r="I169" s="6" t="str">
        <v>Purchase - SIP</v>
      </c>
      <c r="J169" s="8">
        <v>5000</v>
      </c>
      <c r="K169" s="9">
        <v>137.20400000000001</v>
      </c>
      <c r="L169" s="9">
        <v>36.442100000000003</v>
      </c>
      <c r="M169" s="9">
        <v>16264.632</v>
      </c>
      <c r="N169" s="5" t="str">
        <v>PURCHASE_SIP</v>
      </c>
      <c r="O169" s="10">
        <v>0</v>
      </c>
    </row>
    <row r="170" spans="1:15" ht="17" x14ac:dyDescent="0.2">
      <c r="A170" s="5" t="str">
        <v>HDFC Mutual Fund</v>
      </c>
      <c r="B170" s="5" t="str">
        <v>AAAA9990</v>
      </c>
      <c r="C170" s="5" t="str">
        <v>AAAAA1111A</v>
      </c>
      <c r="D170" s="6" t="str">
        <v>HDFC Flexi Cap Fund - Direct Plan - Growth</v>
      </c>
      <c r="E170" s="6" t="str">
        <v>DIRECT</v>
      </c>
      <c r="F170" s="6" t="str">
        <v>CAMS</v>
      </c>
      <c r="G170" s="6">
        <v>119062</v>
      </c>
      <c r="H170" s="7">
        <v>44329</v>
      </c>
      <c r="I170" s="6" t="str">
        <v>Purchase - SIP</v>
      </c>
      <c r="J170" s="8">
        <v>5000</v>
      </c>
      <c r="K170" s="9">
        <v>135.18799999999999</v>
      </c>
      <c r="L170" s="9">
        <v>36.985500000000002</v>
      </c>
      <c r="M170" s="9">
        <v>16399.82</v>
      </c>
      <c r="N170" s="5" t="str">
        <v>PURCHASE_SIP</v>
      </c>
      <c r="O170" s="10">
        <v>0</v>
      </c>
    </row>
    <row r="171" spans="1:15" ht="17" x14ac:dyDescent="0.2">
      <c r="A171" s="5" t="str">
        <v>HDFC Mutual Fund</v>
      </c>
      <c r="B171" s="5" t="str">
        <v>AAAA9990</v>
      </c>
      <c r="C171" s="5" t="str">
        <v>AAAAA1111A</v>
      </c>
      <c r="D171" s="6" t="str">
        <v>HDFC Flexi Cap Fund - Direct Plan - Growth</v>
      </c>
      <c r="E171" s="6" t="str">
        <v>DIRECT</v>
      </c>
      <c r="F171" s="6" t="str">
        <v>CAMS</v>
      </c>
      <c r="G171" s="6">
        <v>119062</v>
      </c>
      <c r="H171" s="7">
        <v>44359</v>
      </c>
      <c r="I171" s="6" t="str">
        <v>Purchase - SIP</v>
      </c>
      <c r="J171" s="8">
        <v>5000</v>
      </c>
      <c r="K171" s="9">
        <v>137.82400000000001</v>
      </c>
      <c r="L171" s="9">
        <v>36.278300000000002</v>
      </c>
      <c r="M171" s="9">
        <v>16537.643</v>
      </c>
      <c r="N171" s="5" t="str">
        <v>PURCHASE_SIP</v>
      </c>
      <c r="O171" s="10">
        <v>0</v>
      </c>
    </row>
    <row r="172" spans="1:15" ht="17" x14ac:dyDescent="0.2">
      <c r="A172" s="5" t="str">
        <v>HDFC Mutual Fund</v>
      </c>
      <c r="B172" s="5" t="str">
        <v>AAAA9990</v>
      </c>
      <c r="C172" s="5" t="str">
        <v>AAAAA1111A</v>
      </c>
      <c r="D172" s="6" t="str">
        <v>HDFC Flexi Cap Fund - Direct Plan - Growth</v>
      </c>
      <c r="E172" s="6" t="str">
        <v>DIRECT</v>
      </c>
      <c r="F172" s="6" t="str">
        <v>CAMS</v>
      </c>
      <c r="G172" s="6">
        <v>119062</v>
      </c>
      <c r="H172" s="7">
        <v>44389</v>
      </c>
      <c r="I172" s="6" t="str">
        <v>Purchase - SIP</v>
      </c>
      <c r="J172" s="8">
        <v>5000</v>
      </c>
      <c r="K172" s="9">
        <v>134.042</v>
      </c>
      <c r="L172" s="9">
        <v>37.301600000000001</v>
      </c>
      <c r="M172" s="9">
        <v>16671.686000000002</v>
      </c>
      <c r="N172" s="5" t="str">
        <v>PURCHASE_SIP</v>
      </c>
      <c r="O172" s="10">
        <v>0</v>
      </c>
    </row>
    <row r="173" spans="1:15" ht="17" x14ac:dyDescent="0.2">
      <c r="A173" s="5" t="str">
        <v>HDFC Mutual Fund</v>
      </c>
      <c r="B173" s="5" t="str">
        <v>AAAA9990</v>
      </c>
      <c r="C173" s="5" t="str">
        <v>AAAAA1111A</v>
      </c>
      <c r="D173" s="6" t="str">
        <v>HDFC Flexi Cap Fund - Direct Plan - Growth</v>
      </c>
      <c r="E173" s="6" t="str">
        <v>DIRECT</v>
      </c>
      <c r="F173" s="6" t="str">
        <v>CAMS</v>
      </c>
      <c r="G173" s="6">
        <v>119062</v>
      </c>
      <c r="H173" s="7">
        <v>44389</v>
      </c>
      <c r="I173" s="6" t="str">
        <v>Dividend Paid</v>
      </c>
      <c r="J173" s="8">
        <v>8335.84</v>
      </c>
      <c r="K173" s="9">
        <v>0</v>
      </c>
      <c r="L173" s="9">
        <v>0</v>
      </c>
      <c r="M173" s="9">
        <v>16671.686000000002</v>
      </c>
      <c r="N173" s="5" t="str">
        <v>DIVIDEND_PAYOUT</v>
      </c>
      <c r="O173" s="10">
        <v>8335.84</v>
      </c>
    </row>
    <row r="174" spans="1:15" ht="17" x14ac:dyDescent="0.2">
      <c r="A174" s="5" t="str">
        <v>HDFC Mutual Fund</v>
      </c>
      <c r="B174" s="5" t="str">
        <v>AAAA9990</v>
      </c>
      <c r="C174" s="5" t="str">
        <v>AAAAA1111A</v>
      </c>
      <c r="D174" s="6" t="str">
        <v>HDFC Flexi Cap Fund - Direct Plan - Growth</v>
      </c>
      <c r="E174" s="6" t="str">
        <v>DIRECT</v>
      </c>
      <c r="F174" s="6" t="str">
        <v>CAMS</v>
      </c>
      <c r="G174" s="6">
        <v>119062</v>
      </c>
      <c r="H174" s="7">
        <v>44419</v>
      </c>
      <c r="I174" s="6" t="str">
        <v>Purchase - SIP</v>
      </c>
      <c r="J174" s="8">
        <v>5000</v>
      </c>
      <c r="K174" s="9">
        <v>131.83000000000001</v>
      </c>
      <c r="L174" s="9">
        <v>37.927799999999998</v>
      </c>
      <c r="M174" s="9">
        <v>16803.514999999999</v>
      </c>
      <c r="N174" s="5" t="str">
        <v>PURCHASE_SIP</v>
      </c>
      <c r="O174" s="10">
        <v>0</v>
      </c>
    </row>
    <row r="175" spans="1:15" ht="17" x14ac:dyDescent="0.2">
      <c r="A175" s="5" t="str">
        <v>HDFC Mutual Fund</v>
      </c>
      <c r="B175" s="5" t="str">
        <v>AAAA9990</v>
      </c>
      <c r="C175" s="5" t="str">
        <v>AAAAA1111A</v>
      </c>
      <c r="D175" s="6" t="str">
        <v>HDFC Flexi Cap Fund - Direct Plan - Growth</v>
      </c>
      <c r="E175" s="6" t="str">
        <v>DIRECT</v>
      </c>
      <c r="F175" s="6" t="str">
        <v>CAMS</v>
      </c>
      <c r="G175" s="6">
        <v>119062</v>
      </c>
      <c r="H175" s="7">
        <v>44449</v>
      </c>
      <c r="I175" s="6" t="str">
        <v>Purchase - SIP</v>
      </c>
      <c r="J175" s="8">
        <v>5000</v>
      </c>
      <c r="K175" s="9">
        <v>133.31399999999999</v>
      </c>
      <c r="L175" s="9">
        <v>37.505499999999998</v>
      </c>
      <c r="M175" s="9">
        <v>16936.829000000002</v>
      </c>
      <c r="N175" s="5" t="str">
        <v>PURCHASE_SIP</v>
      </c>
      <c r="O175" s="10">
        <v>0</v>
      </c>
    </row>
    <row r="176" spans="1:15" ht="17" x14ac:dyDescent="0.2">
      <c r="A176" s="5" t="str">
        <v>HDFC Mutual Fund</v>
      </c>
      <c r="B176" s="5" t="str">
        <v>AAAA9990</v>
      </c>
      <c r="C176" s="5" t="str">
        <v>AAAAA1111A</v>
      </c>
      <c r="D176" s="6" t="str">
        <v>HDFC Flexi Cap Fund - Direct Plan - Growth</v>
      </c>
      <c r="E176" s="6" t="str">
        <v>DIRECT</v>
      </c>
      <c r="F176" s="6" t="str">
        <v>CAMS</v>
      </c>
      <c r="G176" s="6">
        <v>119062</v>
      </c>
      <c r="H176" s="7">
        <v>44479</v>
      </c>
      <c r="I176" s="6" t="str">
        <v>Purchase - SIP</v>
      </c>
      <c r="J176" s="8">
        <v>5000</v>
      </c>
      <c r="K176" s="9">
        <v>133.041</v>
      </c>
      <c r="L176" s="9">
        <v>37.582500000000003</v>
      </c>
      <c r="M176" s="9">
        <v>17069.87</v>
      </c>
      <c r="N176" s="5" t="str">
        <v>PURCHASE_SIP</v>
      </c>
      <c r="O176" s="10">
        <v>0</v>
      </c>
    </row>
    <row r="177" spans="1:15" ht="17" x14ac:dyDescent="0.2">
      <c r="A177" s="5" t="str">
        <v>HDFC Mutual Fund</v>
      </c>
      <c r="B177" s="5" t="str">
        <v>AAAA9990</v>
      </c>
      <c r="C177" s="5" t="str">
        <v>AAAAA1111A</v>
      </c>
      <c r="D177" s="6" t="str">
        <v>HDFC Flexi Cap Fund - Direct Plan - Growth</v>
      </c>
      <c r="E177" s="6" t="str">
        <v>DIRECT</v>
      </c>
      <c r="F177" s="6" t="str">
        <v>CAMS</v>
      </c>
      <c r="G177" s="6">
        <v>119062</v>
      </c>
      <c r="H177" s="7">
        <v>44509</v>
      </c>
      <c r="I177" s="6" t="str">
        <v>Purchase - SIP</v>
      </c>
      <c r="J177" s="8">
        <v>5000</v>
      </c>
      <c r="K177" s="9">
        <v>134.428</v>
      </c>
      <c r="L177" s="9">
        <v>37.194600000000001</v>
      </c>
      <c r="M177" s="9">
        <v>17204.297999999999</v>
      </c>
      <c r="N177" s="5" t="str">
        <v>PURCHASE_SIP</v>
      </c>
      <c r="O177" s="10">
        <v>0</v>
      </c>
    </row>
    <row r="178" spans="1:15" ht="17" x14ac:dyDescent="0.2">
      <c r="A178" s="5" t="str">
        <v>HDFC Mutual Fund</v>
      </c>
      <c r="B178" s="5" t="str">
        <v>AAAA9990</v>
      </c>
      <c r="C178" s="5" t="str">
        <v>AAAAA1111A</v>
      </c>
      <c r="D178" s="6" t="str">
        <v>HDFC Flexi Cap Fund - Direct Plan - Growth</v>
      </c>
      <c r="E178" s="6" t="str">
        <v>DIRECT</v>
      </c>
      <c r="F178" s="6" t="str">
        <v>CAMS</v>
      </c>
      <c r="G178" s="6">
        <v>119062</v>
      </c>
      <c r="H178" s="7">
        <v>44539</v>
      </c>
      <c r="I178" s="6" t="str">
        <v>Purchase - SIP</v>
      </c>
      <c r="J178" s="8">
        <v>5000</v>
      </c>
      <c r="K178" s="9">
        <v>131.06100000000001</v>
      </c>
      <c r="L178" s="9">
        <v>38.15</v>
      </c>
      <c r="M178" s="9">
        <v>17335.359</v>
      </c>
      <c r="N178" s="5" t="str">
        <v>PURCHASE_SIP</v>
      </c>
      <c r="O178" s="10">
        <v>0</v>
      </c>
    </row>
    <row r="179" spans="1:15" ht="17" x14ac:dyDescent="0.2">
      <c r="A179" s="5" t="str">
        <v>HDFC Mutual Fund</v>
      </c>
      <c r="B179" s="5" t="str">
        <v>AAAA9990</v>
      </c>
      <c r="C179" s="5" t="str">
        <v>AAAAA1111A</v>
      </c>
      <c r="D179" s="6" t="str">
        <v>HDFC Flexi Cap Fund - Direct Plan - Growth</v>
      </c>
      <c r="E179" s="6" t="str">
        <v>DIRECT</v>
      </c>
      <c r="F179" s="6" t="str">
        <v>CAMS</v>
      </c>
      <c r="G179" s="6">
        <v>119062</v>
      </c>
      <c r="H179" s="7">
        <v>44569</v>
      </c>
      <c r="I179" s="6" t="str">
        <v>Purchase - SIP</v>
      </c>
      <c r="J179" s="8">
        <v>5000</v>
      </c>
      <c r="K179" s="9">
        <v>132.88800000000001</v>
      </c>
      <c r="L179" s="9">
        <v>37.625700000000002</v>
      </c>
      <c r="M179" s="9">
        <v>17468.246999999999</v>
      </c>
      <c r="N179" s="5" t="str">
        <v>PURCHASE_SIP</v>
      </c>
      <c r="O179" s="10">
        <v>0</v>
      </c>
    </row>
    <row r="180" spans="1:15" ht="17" x14ac:dyDescent="0.2">
      <c r="A180" s="5" t="str">
        <v>HDFC Mutual Fund</v>
      </c>
      <c r="B180" s="5" t="str">
        <v>AAAA9990</v>
      </c>
      <c r="C180" s="5" t="str">
        <v>AAAAA1111A</v>
      </c>
      <c r="D180" s="6" t="str">
        <v>HDFC Flexi Cap Fund - Direct Plan - Growth</v>
      </c>
      <c r="E180" s="6" t="str">
        <v>DIRECT</v>
      </c>
      <c r="F180" s="6" t="str">
        <v>CAMS</v>
      </c>
      <c r="G180" s="6">
        <v>119062</v>
      </c>
      <c r="H180" s="7">
        <v>44599</v>
      </c>
      <c r="I180" s="6" t="str">
        <v>Purchase - SIP</v>
      </c>
      <c r="J180" s="8">
        <v>5000</v>
      </c>
      <c r="K180" s="9">
        <v>129.267</v>
      </c>
      <c r="L180" s="9">
        <v>38.6798</v>
      </c>
      <c r="M180" s="9">
        <v>17597.513999999999</v>
      </c>
      <c r="N180" s="5" t="str">
        <v>PURCHASE_SIP</v>
      </c>
      <c r="O180" s="10">
        <v>0</v>
      </c>
    </row>
    <row r="181" spans="1:15" ht="17" x14ac:dyDescent="0.2">
      <c r="A181" s="5" t="str">
        <v>HDFC Mutual Fund</v>
      </c>
      <c r="B181" s="5" t="str">
        <v>AAAA9990</v>
      </c>
      <c r="C181" s="5" t="str">
        <v>AAAAA1111A</v>
      </c>
      <c r="D181" s="6" t="str">
        <v>HDFC Flexi Cap Fund - Direct Plan - Growth</v>
      </c>
      <c r="E181" s="6" t="str">
        <v>DIRECT</v>
      </c>
      <c r="F181" s="6" t="str">
        <v>CAMS</v>
      </c>
      <c r="G181" s="6">
        <v>119062</v>
      </c>
      <c r="H181" s="7">
        <v>44599</v>
      </c>
      <c r="I181" s="6" t="str">
        <v>STAMP DUTY</v>
      </c>
      <c r="J181" s="8">
        <v>2.5</v>
      </c>
      <c r="K181" s="9">
        <v>0</v>
      </c>
      <c r="L181" s="9">
        <v>0</v>
      </c>
      <c r="M181" s="9">
        <v>17597.513999999999</v>
      </c>
      <c r="N181" s="5" t="str">
        <v>STAMP_DUTY</v>
      </c>
      <c r="O181" s="10">
        <v>0</v>
      </c>
    </row>
    <row r="182" spans="1:15" ht="17" x14ac:dyDescent="0.2">
      <c r="A182" s="5" t="str">
        <v>HDFC Mutual Fund</v>
      </c>
      <c r="B182" s="5" t="str">
        <v>AAAA9990</v>
      </c>
      <c r="C182" s="5" t="str">
        <v>AAAAA1111A</v>
      </c>
      <c r="D182" s="6" t="str">
        <v>HDFC Flexi Cap Fund - Direct Plan - Growth</v>
      </c>
      <c r="E182" s="6" t="str">
        <v>DIRECT</v>
      </c>
      <c r="F182" s="6" t="str">
        <v>CAMS</v>
      </c>
      <c r="G182" s="6">
        <v>119062</v>
      </c>
      <c r="H182" s="7">
        <v>44629</v>
      </c>
      <c r="I182" s="6" t="str">
        <v>Purchase - SIP</v>
      </c>
      <c r="J182" s="8">
        <v>5000</v>
      </c>
      <c r="K182" s="9">
        <v>127.51900000000001</v>
      </c>
      <c r="L182" s="9">
        <v>39.209899999999998</v>
      </c>
      <c r="M182" s="9">
        <v>17725.032999999999</v>
      </c>
      <c r="N182" s="5" t="str">
        <v>PURCHASE_SIP</v>
      </c>
      <c r="O182" s="10">
        <v>0</v>
      </c>
    </row>
    <row r="183" spans="1:15" ht="17" x14ac:dyDescent="0.2">
      <c r="A183" s="5" t="str">
        <v>HDFC Mutual Fund</v>
      </c>
      <c r="B183" s="5" t="str">
        <v>AAAA9990</v>
      </c>
      <c r="C183" s="5" t="str">
        <v>AAAAA1111A</v>
      </c>
      <c r="D183" s="6" t="str">
        <v>HDFC Flexi Cap Fund - Direct Plan - Growth</v>
      </c>
      <c r="E183" s="6" t="str">
        <v>DIRECT</v>
      </c>
      <c r="F183" s="6" t="str">
        <v>CAMS</v>
      </c>
      <c r="G183" s="6">
        <v>119062</v>
      </c>
      <c r="H183" s="7">
        <v>44659</v>
      </c>
      <c r="I183" s="6" t="str">
        <v>Purchase - SIP</v>
      </c>
      <c r="J183" s="8">
        <v>5000</v>
      </c>
      <c r="K183" s="9">
        <v>128.845</v>
      </c>
      <c r="L183" s="9">
        <v>38.8063</v>
      </c>
      <c r="M183" s="9">
        <v>17853.878000000001</v>
      </c>
      <c r="N183" s="5" t="str">
        <v>PURCHASE_SIP</v>
      </c>
      <c r="O183" s="10">
        <v>0</v>
      </c>
    </row>
    <row r="184" spans="1:15" ht="17" x14ac:dyDescent="0.2">
      <c r="A184" s="5" t="str">
        <v>HDFC Mutual Fund</v>
      </c>
      <c r="B184" s="5" t="str">
        <v>AAAA9990</v>
      </c>
      <c r="C184" s="5" t="str">
        <v>AAAAA1111A</v>
      </c>
      <c r="D184" s="6" t="str">
        <v>HDFC Flexi Cap Fund - Direct Plan - Growth</v>
      </c>
      <c r="E184" s="6" t="str">
        <v>DIRECT</v>
      </c>
      <c r="F184" s="6" t="str">
        <v>CAMS</v>
      </c>
      <c r="G184" s="6">
        <v>119062</v>
      </c>
      <c r="H184" s="7">
        <v>44689</v>
      </c>
      <c r="I184" s="6" t="str">
        <v>Purchase - SIP</v>
      </c>
      <c r="J184" s="8">
        <v>5000</v>
      </c>
      <c r="K184" s="9">
        <v>126.099</v>
      </c>
      <c r="L184" s="9">
        <v>39.651400000000002</v>
      </c>
      <c r="M184" s="9">
        <v>17979.975999999999</v>
      </c>
      <c r="N184" s="5" t="str">
        <v>PURCHASE_SIP</v>
      </c>
      <c r="O184" s="10">
        <v>0</v>
      </c>
    </row>
    <row r="185" spans="1:15" ht="17" x14ac:dyDescent="0.2">
      <c r="A185" s="5" t="str">
        <v>HDFC Mutual Fund</v>
      </c>
      <c r="B185" s="5" t="str">
        <v>AAAA9990</v>
      </c>
      <c r="C185" s="5" t="str">
        <v>AAAAA1111A</v>
      </c>
      <c r="D185" s="6" t="str">
        <v>HDFC Flexi Cap Fund - Direct Plan - Growth</v>
      </c>
      <c r="E185" s="6" t="str">
        <v>DIRECT</v>
      </c>
      <c r="F185" s="6" t="str">
        <v>CAMS</v>
      </c>
      <c r="G185" s="6">
        <v>119062</v>
      </c>
      <c r="H185" s="7">
        <v>44719</v>
      </c>
      <c r="I185" s="6" t="str">
        <v>Purchase - SIP</v>
      </c>
      <c r="J185" s="8">
        <v>5000</v>
      </c>
      <c r="K185" s="9">
        <v>127.712</v>
      </c>
      <c r="L185" s="9">
        <v>39.150599999999997</v>
      </c>
      <c r="M185" s="9">
        <v>18107.687999999998</v>
      </c>
      <c r="N185" s="5" t="str">
        <v>PURCHASE_SIP</v>
      </c>
      <c r="O185" s="10">
        <v>0</v>
      </c>
    </row>
    <row r="186" spans="1:15" ht="17" x14ac:dyDescent="0.2">
      <c r="A186" s="5" t="str">
        <v>HDFC Mutual Fund</v>
      </c>
      <c r="B186" s="5" t="str">
        <v>AAAA9990</v>
      </c>
      <c r="C186" s="5" t="str">
        <v>AAAAA1111A</v>
      </c>
      <c r="D186" s="6" t="str">
        <v>HDFC Flexi Cap Fund - Direct Plan - Growth</v>
      </c>
      <c r="E186" s="6" t="str">
        <v>DIRECT</v>
      </c>
      <c r="F186" s="6" t="str">
        <v>CAMS</v>
      </c>
      <c r="G186" s="6">
        <v>119062</v>
      </c>
      <c r="H186" s="7">
        <v>44749</v>
      </c>
      <c r="I186" s="6" t="str">
        <v>Purchase - SIP</v>
      </c>
      <c r="J186" s="8">
        <v>5000</v>
      </c>
      <c r="K186" s="9">
        <v>125.566</v>
      </c>
      <c r="L186" s="9">
        <v>39.819699999999997</v>
      </c>
      <c r="M186" s="9">
        <v>18233.255000000001</v>
      </c>
      <c r="N186" s="5" t="str">
        <v>PURCHASE_SIP</v>
      </c>
      <c r="O186" s="10">
        <v>0</v>
      </c>
    </row>
    <row r="187" spans="1:15" ht="17" x14ac:dyDescent="0.2">
      <c r="A187" s="5" t="str">
        <v>HDFC Mutual Fund</v>
      </c>
      <c r="B187" s="5" t="str">
        <v>AAAA9990</v>
      </c>
      <c r="C187" s="5" t="str">
        <v>AAAAA1111A</v>
      </c>
      <c r="D187" s="6" t="str">
        <v>HDFC Flexi Cap Fund - Direct Plan - Growth</v>
      </c>
      <c r="E187" s="6" t="str">
        <v>DIRECT</v>
      </c>
      <c r="F187" s="6" t="str">
        <v>CAMS</v>
      </c>
      <c r="G187" s="6">
        <v>119062</v>
      </c>
      <c r="H187" s="7">
        <v>44749</v>
      </c>
      <c r="I187" s="6" t="str">
        <v>STT TAX</v>
      </c>
      <c r="J187" s="8">
        <v>2.5</v>
      </c>
      <c r="K187" s="9">
        <v>0</v>
      </c>
      <c r="L187" s="9">
        <v>0</v>
      </c>
      <c r="M187" s="9">
        <v>18233.255000000001</v>
      </c>
      <c r="N187" s="5" t="str">
        <v>STT_TAX</v>
      </c>
      <c r="O187" s="10">
        <v>0</v>
      </c>
    </row>
    <row r="188" spans="1:15" ht="17" x14ac:dyDescent="0.2">
      <c r="A188" s="5" t="str">
        <v>HDFC Mutual Fund</v>
      </c>
      <c r="B188" s="5" t="str">
        <v>AAAA9990</v>
      </c>
      <c r="C188" s="5" t="str">
        <v>AAAAA1111A</v>
      </c>
      <c r="D188" s="6" t="str">
        <v>HDFC Flexi Cap Fund - Direct Plan - Growth</v>
      </c>
      <c r="E188" s="6" t="str">
        <v>DIRECT</v>
      </c>
      <c r="F188" s="6" t="str">
        <v>CAMS</v>
      </c>
      <c r="G188" s="6">
        <v>119062</v>
      </c>
      <c r="H188" s="7">
        <v>44779</v>
      </c>
      <c r="I188" s="6" t="str">
        <v>Purchase - SIP</v>
      </c>
      <c r="J188" s="8">
        <v>5000</v>
      </c>
      <c r="K188" s="9">
        <v>125.672</v>
      </c>
      <c r="L188" s="9">
        <v>39.786299999999997</v>
      </c>
      <c r="M188" s="9">
        <v>18358.925999999999</v>
      </c>
      <c r="N188" s="5" t="str">
        <v>PURCHASE_SIP</v>
      </c>
      <c r="O188" s="10">
        <v>0</v>
      </c>
    </row>
    <row r="189" spans="1:15" ht="17" x14ac:dyDescent="0.2">
      <c r="A189" s="5" t="str">
        <v>HDFC Mutual Fund</v>
      </c>
      <c r="B189" s="5" t="str">
        <v>AAAA9990</v>
      </c>
      <c r="C189" s="5" t="str">
        <v>AAAAA1111A</v>
      </c>
      <c r="D189" s="6" t="str">
        <v>HDFC Flexi Cap Fund - Direct Plan - Growth</v>
      </c>
      <c r="E189" s="6" t="str">
        <v>DIRECT</v>
      </c>
      <c r="F189" s="6" t="str">
        <v>CAMS</v>
      </c>
      <c r="G189" s="6">
        <v>119062</v>
      </c>
      <c r="H189" s="7">
        <v>44779</v>
      </c>
      <c r="I189" s="6" t="str">
        <v>Redemption</v>
      </c>
      <c r="J189" s="8">
        <v>-146086.57999999999</v>
      </c>
      <c r="K189" s="9">
        <v>-3671.7849999999999</v>
      </c>
      <c r="L189" s="9">
        <v>39.786299999999997</v>
      </c>
      <c r="M189" s="9">
        <v>14687.141</v>
      </c>
      <c r="N189" s="5" t="str">
        <v>REDEMPTION</v>
      </c>
      <c r="O189" s="10">
        <v>0</v>
      </c>
    </row>
    <row r="190" spans="1:15" ht="17" x14ac:dyDescent="0.2">
      <c r="A190" s="5" t="str">
        <v>HDFC Mutual Fund</v>
      </c>
      <c r="B190" s="5" t="str">
        <v>AAAA9990</v>
      </c>
      <c r="C190" s="5" t="str">
        <v>AAAAA1111A</v>
      </c>
      <c r="D190" s="6" t="str">
        <v>HDFC Flexi Cap Fund - Direct Plan - Growth</v>
      </c>
      <c r="E190" s="6" t="str">
        <v>DIRECT</v>
      </c>
      <c r="F190" s="6" t="str">
        <v>CAMS</v>
      </c>
      <c r="G190" s="6">
        <v>119062</v>
      </c>
      <c r="H190" s="7">
        <v>44809</v>
      </c>
      <c r="I190" s="6" t="str">
        <v>Purchase - SIP</v>
      </c>
      <c r="J190" s="8">
        <v>5000</v>
      </c>
      <c r="K190" s="9">
        <v>123.004</v>
      </c>
      <c r="L190" s="9">
        <v>40.6492</v>
      </c>
      <c r="M190" s="9">
        <v>14810.144</v>
      </c>
      <c r="N190" s="5" t="str">
        <v>PURCHASE_SIP</v>
      </c>
      <c r="O190" s="10">
        <v>0</v>
      </c>
    </row>
    <row r="191" spans="1:15" ht="17" x14ac:dyDescent="0.2">
      <c r="A191" s="5" t="str">
        <v>HDFC Mutual Fund</v>
      </c>
      <c r="B191" s="5" t="str">
        <v>AAAA9990</v>
      </c>
      <c r="C191" s="5" t="str">
        <v>AAAAA1111A</v>
      </c>
      <c r="D191" s="6" t="str">
        <v>HDFC Flexi Cap Fund - Direct Plan - Growth</v>
      </c>
      <c r="E191" s="6" t="str">
        <v>DIRECT</v>
      </c>
      <c r="F191" s="6" t="str">
        <v>CAMS</v>
      </c>
      <c r="G191" s="6">
        <v>119062</v>
      </c>
      <c r="H191" s="7">
        <v>44839</v>
      </c>
      <c r="I191" s="6" t="str">
        <v>Purchase - SIP</v>
      </c>
      <c r="J191" s="8">
        <v>5000</v>
      </c>
      <c r="K191" s="9">
        <v>121.163</v>
      </c>
      <c r="L191" s="9">
        <v>41.2667</v>
      </c>
      <c r="M191" s="9">
        <v>14931.308000000001</v>
      </c>
      <c r="N191" s="5" t="str">
        <v>PURCHASE_SIP</v>
      </c>
      <c r="O191" s="10">
        <v>0</v>
      </c>
    </row>
    <row r="192" spans="1:15" ht="17" x14ac:dyDescent="0.2">
      <c r="A192" s="5" t="str">
        <v>HDFC Mutual Fund</v>
      </c>
      <c r="B192" s="5" t="str">
        <v>AAAA9990</v>
      </c>
      <c r="C192" s="5" t="str">
        <v>AAAAA1111A</v>
      </c>
      <c r="D192" s="6" t="str">
        <v>HDFC Flexi Cap Fund - Direct Plan - Growth</v>
      </c>
      <c r="E192" s="6" t="str">
        <v>DIRECT</v>
      </c>
      <c r="F192" s="6" t="str">
        <v>CAMS</v>
      </c>
      <c r="G192" s="6">
        <v>119062</v>
      </c>
      <c r="H192" s="7">
        <v>44869</v>
      </c>
      <c r="I192" s="6" t="str">
        <v>Purchase - SIP</v>
      </c>
      <c r="J192" s="8">
        <v>5000</v>
      </c>
      <c r="K192" s="9">
        <v>120.13200000000001</v>
      </c>
      <c r="L192" s="9">
        <v>41.621000000000002</v>
      </c>
      <c r="M192" s="9">
        <v>15051.439</v>
      </c>
      <c r="N192" s="5" t="str">
        <v>PURCHASE_SIP</v>
      </c>
      <c r="O192" s="10">
        <v>0</v>
      </c>
    </row>
    <row r="193" spans="1:15" ht="17" x14ac:dyDescent="0.2">
      <c r="A193" s="5" t="str">
        <v>HDFC Mutual Fund</v>
      </c>
      <c r="B193" s="5" t="str">
        <v>AAAA9990</v>
      </c>
      <c r="C193" s="5" t="str">
        <v>AAAAA1111A</v>
      </c>
      <c r="D193" s="6" t="str">
        <v>HDFC Flexi Cap Fund - Direct Plan - Growth</v>
      </c>
      <c r="E193" s="6" t="str">
        <v>DIRECT</v>
      </c>
      <c r="F193" s="6" t="str">
        <v>CAMS</v>
      </c>
      <c r="G193" s="6">
        <v>119062</v>
      </c>
      <c r="H193" s="7">
        <v>44899</v>
      </c>
      <c r="I193" s="6" t="str">
        <v>Purchase - SIP</v>
      </c>
      <c r="J193" s="8">
        <v>5000</v>
      </c>
      <c r="K193" s="9">
        <v>119.248</v>
      </c>
      <c r="L193" s="9">
        <v>41.929600000000001</v>
      </c>
      <c r="M193" s="9">
        <v>15170.687</v>
      </c>
      <c r="N193" s="5" t="str">
        <v>PURCHASE_SIP</v>
      </c>
      <c r="O193" s="10">
        <v>0</v>
      </c>
    </row>
    <row r="194" spans="1:15" ht="17" x14ac:dyDescent="0.2">
      <c r="A194" s="5" t="str">
        <v>HDFC Mutual Fund</v>
      </c>
      <c r="B194" s="5" t="str">
        <v>AAAA9990</v>
      </c>
      <c r="C194" s="5" t="str">
        <v>AAAAA1111A</v>
      </c>
      <c r="D194" s="6" t="str">
        <v>HDFC Flexi Cap Fund - Direct Plan - Growth</v>
      </c>
      <c r="E194" s="6" t="str">
        <v>DIRECT</v>
      </c>
      <c r="F194" s="6" t="str">
        <v>CAMS</v>
      </c>
      <c r="G194" s="6">
        <v>119062</v>
      </c>
      <c r="H194" s="7">
        <v>44929</v>
      </c>
      <c r="I194" s="6" t="str">
        <v>Purchase - SIP</v>
      </c>
      <c r="J194" s="8">
        <v>5000</v>
      </c>
      <c r="K194" s="9">
        <v>117.69</v>
      </c>
      <c r="L194" s="9">
        <v>42.484299999999998</v>
      </c>
      <c r="M194" s="9">
        <v>15288.377</v>
      </c>
      <c r="N194" s="5" t="str">
        <v>PURCHASE_SIP</v>
      </c>
      <c r="O194" s="10">
        <v>0</v>
      </c>
    </row>
    <row r="195" spans="1:15" ht="17" x14ac:dyDescent="0.2">
      <c r="A195" s="5" t="str">
        <v>HDFC Mutual Fund</v>
      </c>
      <c r="B195" s="5" t="str">
        <v>AAAA9990</v>
      </c>
      <c r="C195" s="5" t="str">
        <v>AAAAA1111A</v>
      </c>
      <c r="D195" s="6" t="str">
        <v>HDFC Flexi Cap Fund - Direct Plan - Growth</v>
      </c>
      <c r="E195" s="6" t="str">
        <v>DIRECT</v>
      </c>
      <c r="F195" s="6" t="str">
        <v>CAMS</v>
      </c>
      <c r="G195" s="6">
        <v>119062</v>
      </c>
      <c r="H195" s="7">
        <v>44929</v>
      </c>
      <c r="I195" s="6" t="str">
        <v>STT TAX</v>
      </c>
      <c r="J195" s="8">
        <v>2.5</v>
      </c>
      <c r="K195" s="9">
        <v>0</v>
      </c>
      <c r="L195" s="9">
        <v>0</v>
      </c>
      <c r="M195" s="9">
        <v>15288.377</v>
      </c>
      <c r="N195" s="5" t="str">
        <v>STT_TAX</v>
      </c>
      <c r="O195" s="10">
        <v>0</v>
      </c>
    </row>
    <row r="196" spans="1:15" ht="17" x14ac:dyDescent="0.2">
      <c r="A196" s="5" t="str">
        <v>HDFC Mutual Fund</v>
      </c>
      <c r="B196" s="5" t="str">
        <v>AAAA9990</v>
      </c>
      <c r="C196" s="5" t="str">
        <v>AAAAA1111A</v>
      </c>
      <c r="D196" s="6" t="str">
        <v>HDFC Flexi Cap Fund - Direct Plan - Growth</v>
      </c>
      <c r="E196" s="6" t="str">
        <v>DIRECT</v>
      </c>
      <c r="F196" s="6" t="str">
        <v>CAMS</v>
      </c>
      <c r="G196" s="6">
        <v>119062</v>
      </c>
      <c r="H196" s="7">
        <v>44959</v>
      </c>
      <c r="I196" s="6" t="str">
        <v>Purchase - SIP</v>
      </c>
      <c r="J196" s="8">
        <v>5000</v>
      </c>
      <c r="K196" s="9">
        <v>116.22799999999999</v>
      </c>
      <c r="L196" s="9">
        <v>43.019100000000002</v>
      </c>
      <c r="M196" s="9">
        <v>15404.605</v>
      </c>
      <c r="N196" s="5" t="str">
        <v>PURCHASE_SIP</v>
      </c>
      <c r="O196" s="10">
        <v>0</v>
      </c>
    </row>
    <row r="197" spans="1:15" ht="17" x14ac:dyDescent="0.2">
      <c r="A197" s="5" t="str">
        <v>HDFC Mutual Fund</v>
      </c>
      <c r="B197" s="5" t="str">
        <v>AAAA9990</v>
      </c>
      <c r="C197" s="5" t="str">
        <v>AAAAA1111A</v>
      </c>
      <c r="D197" s="6" t="str">
        <v>HDFC Flexi Cap Fund - Direct Plan - Growth</v>
      </c>
      <c r="E197" s="6" t="str">
        <v>DIRECT</v>
      </c>
      <c r="F197" s="6" t="str">
        <v>CAMS</v>
      </c>
      <c r="G197" s="6">
        <v>119062</v>
      </c>
      <c r="H197" s="7">
        <v>44989</v>
      </c>
      <c r="I197" s="6" t="str">
        <v>Purchase - SIP</v>
      </c>
      <c r="J197" s="8">
        <v>5000</v>
      </c>
      <c r="K197" s="9">
        <v>112.949</v>
      </c>
      <c r="L197" s="9">
        <v>44.267600000000002</v>
      </c>
      <c r="M197" s="9">
        <v>15517.554</v>
      </c>
      <c r="N197" s="5" t="str">
        <v>PURCHASE_SIP</v>
      </c>
      <c r="O197" s="10">
        <v>0</v>
      </c>
    </row>
    <row r="198" spans="1:15" ht="17" x14ac:dyDescent="0.2">
      <c r="A198" s="5" t="str">
        <v>HDFC Mutual Fund</v>
      </c>
      <c r="B198" s="5" t="str">
        <v>AAAA9990</v>
      </c>
      <c r="C198" s="5" t="str">
        <v>AAAAA1111A</v>
      </c>
      <c r="D198" s="6" t="str">
        <v>HDFC Flexi Cap Fund - Direct Plan - Growth</v>
      </c>
      <c r="E198" s="6" t="str">
        <v>DIRECT</v>
      </c>
      <c r="F198" s="6" t="str">
        <v>CAMS</v>
      </c>
      <c r="G198" s="6">
        <v>119062</v>
      </c>
      <c r="H198" s="7">
        <v>45019</v>
      </c>
      <c r="I198" s="6" t="str">
        <v>Purchase - SIP</v>
      </c>
      <c r="J198" s="8">
        <v>5000</v>
      </c>
      <c r="K198" s="9">
        <v>113.61799999999999</v>
      </c>
      <c r="L198" s="9">
        <v>44.006999999999998</v>
      </c>
      <c r="M198" s="9">
        <v>15631.173000000001</v>
      </c>
      <c r="N198" s="5" t="str">
        <v>PURCHASE_SIP</v>
      </c>
      <c r="O198" s="10">
        <v>0</v>
      </c>
    </row>
    <row r="199" spans="1:15" ht="17" x14ac:dyDescent="0.2">
      <c r="A199" s="5" t="str">
        <v>HDFC Mutual Fund</v>
      </c>
      <c r="B199" s="5" t="str">
        <v>AAAA9990</v>
      </c>
      <c r="C199" s="5" t="str">
        <v>AAAAA1111A</v>
      </c>
      <c r="D199" s="6" t="str">
        <v>HDFC Flexi Cap Fund - Direct Plan - Growth</v>
      </c>
      <c r="E199" s="6" t="str">
        <v>DIRECT</v>
      </c>
      <c r="F199" s="6" t="str">
        <v>CAMS</v>
      </c>
      <c r="G199" s="6">
        <v>119062</v>
      </c>
      <c r="H199" s="7">
        <v>45049</v>
      </c>
      <c r="I199" s="6" t="str">
        <v>Purchase - SIP</v>
      </c>
      <c r="J199" s="8">
        <v>5000</v>
      </c>
      <c r="K199" s="9">
        <v>115.002</v>
      </c>
      <c r="L199" s="9">
        <v>43.477400000000003</v>
      </c>
      <c r="M199" s="9">
        <v>15746.174999999999</v>
      </c>
      <c r="N199" s="5" t="str">
        <v>PURCHASE_SIP</v>
      </c>
      <c r="O199" s="10">
        <v>0</v>
      </c>
    </row>
    <row r="200" spans="1:15" ht="17" x14ac:dyDescent="0.2">
      <c r="A200" s="5" t="str">
        <v>HDFC Mutual Fund</v>
      </c>
      <c r="B200" s="5" t="str">
        <v>AAAA9990</v>
      </c>
      <c r="C200" s="5" t="str">
        <v>AAAAA1111A</v>
      </c>
      <c r="D200" s="6" t="str">
        <v>HDFC Flexi Cap Fund - Direct Plan - Growth</v>
      </c>
      <c r="E200" s="6" t="str">
        <v>DIRECT</v>
      </c>
      <c r="F200" s="6" t="str">
        <v>CAMS</v>
      </c>
      <c r="G200" s="6">
        <v>119062</v>
      </c>
      <c r="H200" s="7">
        <v>45049</v>
      </c>
      <c r="I200" s="6" t="str">
        <v>STAMP DUTY</v>
      </c>
      <c r="J200" s="8">
        <v>2.5</v>
      </c>
      <c r="K200" s="9">
        <v>0</v>
      </c>
      <c r="L200" s="9">
        <v>0</v>
      </c>
      <c r="M200" s="9">
        <v>15746.174999999999</v>
      </c>
      <c r="N200" s="5" t="str">
        <v>STAMP_DUTY</v>
      </c>
      <c r="O200" s="10">
        <v>0</v>
      </c>
    </row>
    <row r="201" spans="1:15" ht="17" x14ac:dyDescent="0.2">
      <c r="A201" s="5" t="str">
        <v>HDFC Mutual Fund</v>
      </c>
      <c r="B201" s="5" t="str">
        <v>AAAA9990</v>
      </c>
      <c r="C201" s="5" t="str">
        <v>AAAAA1111A</v>
      </c>
      <c r="D201" s="6" t="str">
        <v>HDFC Flexi Cap Fund - Direct Plan - Growth</v>
      </c>
      <c r="E201" s="6" t="str">
        <v>DIRECT</v>
      </c>
      <c r="F201" s="6" t="str">
        <v>CAMS</v>
      </c>
      <c r="G201" s="6">
        <v>119062</v>
      </c>
      <c r="H201" s="7">
        <v>45079</v>
      </c>
      <c r="I201" s="6" t="str">
        <v>Purchase - SIP</v>
      </c>
      <c r="J201" s="8">
        <v>5000</v>
      </c>
      <c r="K201" s="9">
        <v>114.29</v>
      </c>
      <c r="L201" s="9">
        <v>43.748199999999997</v>
      </c>
      <c r="M201" s="9">
        <v>15860.465</v>
      </c>
      <c r="N201" s="5" t="str">
        <v>PURCHASE_SIP</v>
      </c>
      <c r="O201" s="10">
        <v>0</v>
      </c>
    </row>
    <row r="202" spans="1:15" ht="17" x14ac:dyDescent="0.2">
      <c r="A202" s="5" t="str">
        <v>HDFC Mutual Fund</v>
      </c>
      <c r="B202" s="5" t="str">
        <v>AAAA9990</v>
      </c>
      <c r="C202" s="5" t="str">
        <v>AAAAA1111A</v>
      </c>
      <c r="D202" s="6" t="str">
        <v>HDFC Flexi Cap Fund - Direct Plan - Growth</v>
      </c>
      <c r="E202" s="6" t="str">
        <v>DIRECT</v>
      </c>
      <c r="F202" s="6" t="str">
        <v>CAMS</v>
      </c>
      <c r="G202" s="6">
        <v>119062</v>
      </c>
      <c r="H202" s="7">
        <v>45079</v>
      </c>
      <c r="I202" s="6" t="str">
        <v>STAMP DUTY</v>
      </c>
      <c r="J202" s="8">
        <v>2.5</v>
      </c>
      <c r="K202" s="9">
        <v>0</v>
      </c>
      <c r="L202" s="9">
        <v>0</v>
      </c>
      <c r="M202" s="9">
        <v>15860.465</v>
      </c>
      <c r="N202" s="5" t="str">
        <v>STAMP_DUTY</v>
      </c>
      <c r="O202" s="10">
        <v>0</v>
      </c>
    </row>
    <row r="203" spans="1:15" ht="17" x14ac:dyDescent="0.2">
      <c r="A203" s="5" t="str">
        <v>HDFC Mutual Fund</v>
      </c>
      <c r="B203" s="5" t="str">
        <v>AAAA9990</v>
      </c>
      <c r="C203" s="5" t="str">
        <v>AAAAA1111A</v>
      </c>
      <c r="D203" s="6" t="str">
        <v>HDFC Flexi Cap Fund - Direct Plan - Growth</v>
      </c>
      <c r="E203" s="6" t="str">
        <v>DIRECT</v>
      </c>
      <c r="F203" s="6" t="str">
        <v>CAMS</v>
      </c>
      <c r="G203" s="6">
        <v>119062</v>
      </c>
      <c r="H203" s="7">
        <v>45109</v>
      </c>
      <c r="I203" s="6" t="str">
        <v>Purchase - SIP</v>
      </c>
      <c r="J203" s="8">
        <v>5000</v>
      </c>
      <c r="K203" s="9">
        <v>116.608</v>
      </c>
      <c r="L203" s="9">
        <v>42.878700000000002</v>
      </c>
      <c r="M203" s="9">
        <v>15977.073</v>
      </c>
      <c r="N203" s="5" t="str">
        <v>PURCHASE_SIP</v>
      </c>
      <c r="O203" s="10">
        <v>0</v>
      </c>
    </row>
    <row r="204" spans="1:15" ht="17" x14ac:dyDescent="0.2">
      <c r="A204" s="5" t="str">
        <v>HDFC Mutual Fund</v>
      </c>
      <c r="B204" s="5" t="str">
        <v>AAAA9990</v>
      </c>
      <c r="C204" s="5" t="str">
        <v>AAAAA1111A</v>
      </c>
      <c r="D204" s="6" t="str">
        <v>HDFC Flexi Cap Fund - Direct Plan - Growth</v>
      </c>
      <c r="E204" s="6" t="str">
        <v>DIRECT</v>
      </c>
      <c r="F204" s="6" t="str">
        <v>CAMS</v>
      </c>
      <c r="G204" s="6">
        <v>119062</v>
      </c>
      <c r="H204" s="7">
        <v>45139</v>
      </c>
      <c r="I204" s="6" t="str">
        <v>Purchase - SIP</v>
      </c>
      <c r="J204" s="8">
        <v>5000</v>
      </c>
      <c r="K204" s="9">
        <v>113.313</v>
      </c>
      <c r="L204" s="9">
        <v>44.125599999999999</v>
      </c>
      <c r="M204" s="9">
        <v>16090.386</v>
      </c>
      <c r="N204" s="5" t="str">
        <v>PURCHASE_SIP</v>
      </c>
      <c r="O204" s="10">
        <v>0</v>
      </c>
    </row>
    <row r="205" spans="1:15" ht="17" x14ac:dyDescent="0.2">
      <c r="A205" s="5" t="str">
        <v>HDFC Mutual Fund</v>
      </c>
      <c r="B205" s="5" t="str">
        <v>AAAA9990</v>
      </c>
      <c r="C205" s="5" t="str">
        <v>AAAAA1111A</v>
      </c>
      <c r="D205" s="6" t="str">
        <v>HDFC Flexi Cap Fund - Direct Plan - Growth</v>
      </c>
      <c r="E205" s="6" t="str">
        <v>DIRECT</v>
      </c>
      <c r="F205" s="6" t="str">
        <v>CAMS</v>
      </c>
      <c r="G205" s="6">
        <v>119062</v>
      </c>
      <c r="H205" s="7">
        <v>45139</v>
      </c>
      <c r="I205" s="6" t="str">
        <v>STAMP DUTY</v>
      </c>
      <c r="J205" s="8">
        <v>2.5</v>
      </c>
      <c r="K205" s="9">
        <v>0</v>
      </c>
      <c r="L205" s="9">
        <v>0</v>
      </c>
      <c r="M205" s="9">
        <v>16090.386</v>
      </c>
      <c r="N205" s="5" t="str">
        <v>STAMP_DUTY</v>
      </c>
      <c r="O205" s="10">
        <v>0</v>
      </c>
    </row>
    <row r="206" spans="1:15" ht="17" x14ac:dyDescent="0.2">
      <c r="A206" s="5" t="str">
        <v>HDFC Mutual Fund</v>
      </c>
      <c r="B206" s="5" t="str">
        <v>AAAA9990</v>
      </c>
      <c r="C206" s="5" t="str">
        <v>AAAAA1111A</v>
      </c>
      <c r="D206" s="6" t="str">
        <v>HDFC Flexi Cap Fund - Direct Plan - Growth</v>
      </c>
      <c r="E206" s="6" t="str">
        <v>DIRECT</v>
      </c>
      <c r="F206" s="6" t="str">
        <v>CAMS</v>
      </c>
      <c r="G206" s="6">
        <v>119062</v>
      </c>
      <c r="H206" s="7">
        <v>45169</v>
      </c>
      <c r="I206" s="6" t="str">
        <v>Purchase - SIP</v>
      </c>
      <c r="J206" s="8">
        <v>5000</v>
      </c>
      <c r="K206" s="9">
        <v>115.221</v>
      </c>
      <c r="L206" s="9">
        <v>43.394799999999996</v>
      </c>
      <c r="M206" s="9">
        <v>16205.607</v>
      </c>
      <c r="N206" s="5" t="str">
        <v>PURCHASE_SIP</v>
      </c>
      <c r="O206" s="10">
        <v>0</v>
      </c>
    </row>
    <row r="207" spans="1:15" ht="17" x14ac:dyDescent="0.2">
      <c r="A207" s="5" t="str">
        <v>HDFC Mutual Fund</v>
      </c>
      <c r="B207" s="5" t="str">
        <v>AAAA9990</v>
      </c>
      <c r="C207" s="5" t="str">
        <v>AAAAA1111A</v>
      </c>
      <c r="D207" s="6" t="str">
        <v>HDFC Flexi Cap Fund - Direct Plan - Growth</v>
      </c>
      <c r="E207" s="6" t="str">
        <v>DIRECT</v>
      </c>
      <c r="F207" s="6" t="str">
        <v>CAMS</v>
      </c>
      <c r="G207" s="6">
        <v>119062</v>
      </c>
      <c r="H207" s="7">
        <v>45199</v>
      </c>
      <c r="I207" s="6" t="str">
        <v>Purchase - SIP</v>
      </c>
      <c r="J207" s="8">
        <v>5000</v>
      </c>
      <c r="K207" s="9">
        <v>113.486</v>
      </c>
      <c r="L207" s="9">
        <v>44.058199999999999</v>
      </c>
      <c r="M207" s="9">
        <v>16319.093999999999</v>
      </c>
      <c r="N207" s="5" t="str">
        <v>PURCHASE_SIP</v>
      </c>
      <c r="O207" s="10">
        <v>0</v>
      </c>
    </row>
    <row r="208" spans="1:15" ht="17" x14ac:dyDescent="0.2">
      <c r="A208" s="5" t="str">
        <v>HDFC Mutual Fund</v>
      </c>
      <c r="B208" s="5" t="str">
        <v>AAAA9990</v>
      </c>
      <c r="C208" s="5" t="str">
        <v>AAAAA1111A</v>
      </c>
      <c r="D208" s="6" t="str">
        <v>HDFC Flexi Cap Fund - Direct Plan - Growth</v>
      </c>
      <c r="E208" s="6" t="str">
        <v>DIRECT</v>
      </c>
      <c r="F208" s="6" t="str">
        <v>CAMS</v>
      </c>
      <c r="G208" s="6">
        <v>119062</v>
      </c>
      <c r="H208" s="7">
        <v>45229</v>
      </c>
      <c r="I208" s="6" t="str">
        <v>Purchase - SIP</v>
      </c>
      <c r="J208" s="8">
        <v>5000</v>
      </c>
      <c r="K208" s="9">
        <v>110.961</v>
      </c>
      <c r="L208" s="9">
        <v>45.0608</v>
      </c>
      <c r="M208" s="9">
        <v>16430.055</v>
      </c>
      <c r="N208" s="5" t="str">
        <v>PURCHASE_SIP</v>
      </c>
      <c r="O208" s="10">
        <v>0</v>
      </c>
    </row>
    <row r="209" spans="1:15" ht="17" x14ac:dyDescent="0.2">
      <c r="A209" s="5" t="str">
        <v>HDFC Mutual Fund</v>
      </c>
      <c r="B209" s="5" t="str">
        <v>AAAA9990</v>
      </c>
      <c r="C209" s="5" t="str">
        <v>AAAAA1111A</v>
      </c>
      <c r="D209" s="6" t="str">
        <v>HDFC Flexi Cap Fund - Direct Plan - Growth</v>
      </c>
      <c r="E209" s="6" t="str">
        <v>DIRECT</v>
      </c>
      <c r="F209" s="6" t="str">
        <v>CAMS</v>
      </c>
      <c r="G209" s="6">
        <v>119062</v>
      </c>
      <c r="H209" s="7">
        <v>45259</v>
      </c>
      <c r="I209" s="6" t="str">
        <v>Purchase - SIP</v>
      </c>
      <c r="J209" s="8">
        <v>5000</v>
      </c>
      <c r="K209" s="9">
        <v>109.38800000000001</v>
      </c>
      <c r="L209" s="9">
        <v>45.7089</v>
      </c>
      <c r="M209" s="9">
        <v>16539.442999999999</v>
      </c>
      <c r="N209" s="5" t="str">
        <v>PURCHASE_SIP</v>
      </c>
      <c r="O209" s="10">
        <v>0</v>
      </c>
    </row>
    <row r="210" spans="1:15" ht="17" x14ac:dyDescent="0.2">
      <c r="A210" s="5" t="str">
        <v>HDFC Mutual Fund</v>
      </c>
      <c r="B210" s="5" t="str">
        <v>AAAA9990</v>
      </c>
      <c r="C210" s="5" t="str">
        <v>AAAAA1111A</v>
      </c>
      <c r="D210" s="6" t="str">
        <v>HDFC Flexi Cap Fund - Direct Plan - Growth</v>
      </c>
      <c r="E210" s="6" t="str">
        <v>DIRECT</v>
      </c>
      <c r="F210" s="6" t="str">
        <v>CAMS</v>
      </c>
      <c r="G210" s="6">
        <v>119062</v>
      </c>
      <c r="H210" s="7">
        <v>45289</v>
      </c>
      <c r="I210" s="6" t="str">
        <v>Purchase - SIP</v>
      </c>
      <c r="J210" s="8">
        <v>5000</v>
      </c>
      <c r="K210" s="9">
        <v>109.717</v>
      </c>
      <c r="L210" s="9">
        <v>45.5717</v>
      </c>
      <c r="M210" s="9">
        <v>16649.16</v>
      </c>
      <c r="N210" s="5" t="str">
        <v>PURCHASE_SIP</v>
      </c>
      <c r="O210" s="10">
        <v>0</v>
      </c>
    </row>
    <row r="211" spans="1:15" ht="17" x14ac:dyDescent="0.2">
      <c r="A211" s="5" t="str">
        <v>HDFC Mutual Fund</v>
      </c>
      <c r="B211" s="5" t="str">
        <v>AAAA9990</v>
      </c>
      <c r="C211" s="5" t="str">
        <v>AAAAA1111A</v>
      </c>
      <c r="D211" s="6" t="str">
        <v>HDFC Flexi Cap Fund - Direct Plan - Growth</v>
      </c>
      <c r="E211" s="6" t="str">
        <v>DIRECT</v>
      </c>
      <c r="F211" s="6" t="str">
        <v>CAMS</v>
      </c>
      <c r="G211" s="6">
        <v>119062</v>
      </c>
      <c r="H211" s="7">
        <v>45319</v>
      </c>
      <c r="I211" s="6" t="str">
        <v>Purchase - SIP</v>
      </c>
      <c r="J211" s="8">
        <v>5000</v>
      </c>
      <c r="K211" s="9">
        <v>107.786</v>
      </c>
      <c r="L211" s="9">
        <v>46.388199999999998</v>
      </c>
      <c r="M211" s="9">
        <v>16756.946</v>
      </c>
      <c r="N211" s="5" t="str">
        <v>PURCHASE_SIP</v>
      </c>
      <c r="O211" s="10">
        <v>0</v>
      </c>
    </row>
    <row r="212" spans="1:15" ht="17" x14ac:dyDescent="0.2">
      <c r="A212" s="5" t="str">
        <v>HDFC Mutual Fund</v>
      </c>
      <c r="B212" s="5" t="str">
        <v>AAAA9990</v>
      </c>
      <c r="C212" s="5" t="str">
        <v>AAAAA1111A</v>
      </c>
      <c r="D212" s="6" t="str">
        <v>HDFC Flexi Cap Fund - Direct Plan - Growth</v>
      </c>
      <c r="E212" s="6" t="str">
        <v>DIRECT</v>
      </c>
      <c r="F212" s="6" t="str">
        <v>CAMS</v>
      </c>
      <c r="G212" s="6">
        <v>119062</v>
      </c>
      <c r="H212" s="7">
        <v>45349</v>
      </c>
      <c r="I212" s="6" t="str">
        <v>Purchase - SIP</v>
      </c>
      <c r="J212" s="8">
        <v>5000</v>
      </c>
      <c r="K212" s="9">
        <v>109.538</v>
      </c>
      <c r="L212" s="9">
        <v>45.646099999999997</v>
      </c>
      <c r="M212" s="9">
        <v>16866.485000000001</v>
      </c>
      <c r="N212" s="5" t="str">
        <v>PURCHASE_SIP</v>
      </c>
      <c r="O212" s="10">
        <v>0</v>
      </c>
    </row>
    <row r="213" spans="1:15" ht="17" x14ac:dyDescent="0.2">
      <c r="A213" s="5" t="str">
        <v>HDFC Mutual Fund</v>
      </c>
      <c r="B213" s="5" t="str">
        <v>AAAA9990</v>
      </c>
      <c r="C213" s="5" t="str">
        <v>AAAAA1111A</v>
      </c>
      <c r="D213" s="6" t="str">
        <v>HDFC Flexi Cap Fund - Direct Plan - Growth</v>
      </c>
      <c r="E213" s="6" t="str">
        <v>DIRECT</v>
      </c>
      <c r="F213" s="6" t="str">
        <v>CAMS</v>
      </c>
      <c r="G213" s="6">
        <v>119062</v>
      </c>
      <c r="H213" s="7">
        <v>45379</v>
      </c>
      <c r="I213" s="6" t="str">
        <v>Purchase - SIP</v>
      </c>
      <c r="J213" s="8">
        <v>5000</v>
      </c>
      <c r="K213" s="9">
        <v>111.751</v>
      </c>
      <c r="L213" s="9">
        <v>44.742400000000004</v>
      </c>
      <c r="M213" s="9">
        <v>16978.235000000001</v>
      </c>
      <c r="N213" s="5" t="str">
        <v>PURCHASE_SIP</v>
      </c>
      <c r="O213" s="10">
        <v>0</v>
      </c>
    </row>
    <row r="214" spans="1:15" ht="17" x14ac:dyDescent="0.2">
      <c r="A214" s="5" t="str">
        <v>HDFC Mutual Fund</v>
      </c>
      <c r="B214" s="5" t="str">
        <v>AAAA9990</v>
      </c>
      <c r="C214" s="5" t="str">
        <v>AAAAA1111A</v>
      </c>
      <c r="D214" s="6" t="str">
        <v>HDFC Flexi Cap Fund - Direct Plan - Growth</v>
      </c>
      <c r="E214" s="6" t="str">
        <v>DIRECT</v>
      </c>
      <c r="F214" s="6" t="str">
        <v>CAMS</v>
      </c>
      <c r="G214" s="6">
        <v>119062</v>
      </c>
      <c r="H214" s="7">
        <v>45409</v>
      </c>
      <c r="I214" s="6" t="str">
        <v>Purchase - SIP</v>
      </c>
      <c r="J214" s="8">
        <v>5000</v>
      </c>
      <c r="K214" s="9">
        <v>111.274</v>
      </c>
      <c r="L214" s="9">
        <v>44.933999999999997</v>
      </c>
      <c r="M214" s="9">
        <v>17089.509999999998</v>
      </c>
      <c r="N214" s="5" t="str">
        <v>PURCHASE_SIP</v>
      </c>
      <c r="O214" s="10">
        <v>0</v>
      </c>
    </row>
    <row r="215" spans="1:15" ht="17" x14ac:dyDescent="0.2">
      <c r="A215" s="5" t="str">
        <v>HDFC Mutual Fund</v>
      </c>
      <c r="B215" s="5" t="str">
        <v>AAAA9990</v>
      </c>
      <c r="C215" s="5" t="str">
        <v>AAAAA1111A</v>
      </c>
      <c r="D215" s="6" t="str">
        <v>HDFC Flexi Cap Fund - Direct Plan - Growth</v>
      </c>
      <c r="E215" s="6" t="str">
        <v>DIRECT</v>
      </c>
      <c r="F215" s="6" t="str">
        <v>CAMS</v>
      </c>
      <c r="G215" s="6">
        <v>119062</v>
      </c>
      <c r="H215" s="7">
        <v>45439</v>
      </c>
      <c r="I215" s="6" t="str">
        <v>Purchase - SIP</v>
      </c>
      <c r="J215" s="8">
        <v>5000</v>
      </c>
      <c r="K215" s="9">
        <v>112.452</v>
      </c>
      <c r="L215" s="9">
        <v>44.463299999999997</v>
      </c>
      <c r="M215" s="9">
        <v>17201.962</v>
      </c>
      <c r="N215" s="5" t="str">
        <v>PURCHASE_SIP</v>
      </c>
      <c r="O215" s="10">
        <v>0</v>
      </c>
    </row>
    <row r="216" spans="1:15" ht="17" x14ac:dyDescent="0.2">
      <c r="A216" s="5" t="str">
        <v>HDFC Mutual Fund</v>
      </c>
      <c r="B216" s="5" t="str">
        <v>AAAA9990</v>
      </c>
      <c r="C216" s="5" t="str">
        <v>AAAAA1111A</v>
      </c>
      <c r="D216" s="6" t="str">
        <v>HDFC Flexi Cap Fund - Direct Plan - Growth</v>
      </c>
      <c r="E216" s="6" t="str">
        <v>DIRECT</v>
      </c>
      <c r="F216" s="6" t="str">
        <v>CAMS</v>
      </c>
      <c r="G216" s="6">
        <v>119062</v>
      </c>
      <c r="H216" s="7">
        <v>45469</v>
      </c>
      <c r="I216" s="6" t="str">
        <v>Purchase - SIP</v>
      </c>
      <c r="J216" s="8">
        <v>5000</v>
      </c>
      <c r="K216" s="9">
        <v>114.41</v>
      </c>
      <c r="L216" s="9">
        <v>43.702399999999997</v>
      </c>
      <c r="M216" s="9">
        <v>17316.371999999999</v>
      </c>
      <c r="N216" s="5" t="str">
        <v>PURCHASE_SIP</v>
      </c>
      <c r="O216" s="10">
        <v>0</v>
      </c>
    </row>
    <row r="217" spans="1:15" ht="17" x14ac:dyDescent="0.2">
      <c r="A217" s="5" t="str">
        <v>HDFC Mutual Fund</v>
      </c>
      <c r="B217" s="5" t="str">
        <v>AAAA9990</v>
      </c>
      <c r="C217" s="5" t="str">
        <v>AAAAA1111A</v>
      </c>
      <c r="D217" s="6" t="str">
        <v>HDFC Flexi Cap Fund - Direct Plan - Growth</v>
      </c>
      <c r="E217" s="6" t="str">
        <v>DIRECT</v>
      </c>
      <c r="F217" s="6" t="str">
        <v>CAMS</v>
      </c>
      <c r="G217" s="6">
        <v>119062</v>
      </c>
      <c r="H217" s="7">
        <v>45499</v>
      </c>
      <c r="I217" s="6" t="str">
        <v>Purchase - SIP</v>
      </c>
      <c r="J217" s="8">
        <v>5000</v>
      </c>
      <c r="K217" s="9">
        <v>115.599</v>
      </c>
      <c r="L217" s="9">
        <v>43.252800000000001</v>
      </c>
      <c r="M217" s="9">
        <v>17431.972000000002</v>
      </c>
      <c r="N217" s="5" t="str">
        <v>PURCHASE_SIP</v>
      </c>
      <c r="O217" s="10">
        <v>0</v>
      </c>
    </row>
    <row r="218" spans="1:15" ht="17" x14ac:dyDescent="0.2">
      <c r="A218" s="5" t="str">
        <v>HDFC Mutual Fund</v>
      </c>
      <c r="B218" s="5" t="str">
        <v>AAAA9990</v>
      </c>
      <c r="C218" s="5" t="str">
        <v>AAAAA1111A</v>
      </c>
      <c r="D218" s="6" t="str">
        <v>HDFC Flexi Cap Fund - Direct Plan - Growth</v>
      </c>
      <c r="E218" s="6" t="str">
        <v>DIRECT</v>
      </c>
      <c r="F218" s="6" t="str">
        <v>CAMS</v>
      </c>
      <c r="G218" s="6">
        <v>119062</v>
      </c>
      <c r="H218" s="7">
        <v>45529</v>
      </c>
      <c r="I218" s="6" t="str">
        <v>Purchase - SIP</v>
      </c>
      <c r="J218" s="8">
        <v>5000</v>
      </c>
      <c r="K218" s="9">
        <v>113.608</v>
      </c>
      <c r="L218" s="9">
        <v>44.011099999999999</v>
      </c>
      <c r="M218" s="9">
        <v>17545.579000000002</v>
      </c>
      <c r="N218" s="5" t="str">
        <v>PURCHASE_SIP</v>
      </c>
      <c r="O218" s="10">
        <v>0</v>
      </c>
    </row>
    <row r="219" spans="1:15" ht="17" x14ac:dyDescent="0.2">
      <c r="A219" s="5" t="str">
        <v>HDFC Mutual Fund</v>
      </c>
      <c r="B219" s="5" t="str">
        <v>AAAA9990</v>
      </c>
      <c r="C219" s="5" t="str">
        <v>AAAAA1111A</v>
      </c>
      <c r="D219" s="6" t="str">
        <v>HDFC Flexi Cap Fund - Direct Plan - Growth</v>
      </c>
      <c r="E219" s="6" t="str">
        <v>DIRECT</v>
      </c>
      <c r="F219" s="6" t="str">
        <v>CAMS</v>
      </c>
      <c r="G219" s="6">
        <v>119062</v>
      </c>
      <c r="H219" s="7">
        <v>45559</v>
      </c>
      <c r="I219" s="6" t="str">
        <v>Purchase - SIP</v>
      </c>
      <c r="J219" s="8">
        <v>5000</v>
      </c>
      <c r="K219" s="9">
        <v>114.254</v>
      </c>
      <c r="L219" s="9">
        <v>43.762300000000003</v>
      </c>
      <c r="M219" s="9">
        <v>17659.832999999999</v>
      </c>
      <c r="N219" s="5" t="str">
        <v>PURCHASE_SIP</v>
      </c>
      <c r="O219" s="10">
        <v>0</v>
      </c>
    </row>
    <row r="220" spans="1:15" ht="17" x14ac:dyDescent="0.2">
      <c r="A220" s="5" t="str">
        <v>HDFC Mutual Fund</v>
      </c>
      <c r="B220" s="5" t="str">
        <v>AAAA9990</v>
      </c>
      <c r="C220" s="5" t="str">
        <v>AAAAA1111A</v>
      </c>
      <c r="D220" s="6" t="str">
        <v>HDFC Flexi Cap Fund - Direct Plan - Growth</v>
      </c>
      <c r="E220" s="6" t="str">
        <v>DIRECT</v>
      </c>
      <c r="F220" s="6" t="str">
        <v>CAMS</v>
      </c>
      <c r="G220" s="6">
        <v>119062</v>
      </c>
      <c r="H220" s="7">
        <v>45589</v>
      </c>
      <c r="I220" s="6" t="str">
        <v>Purchase - SIP</v>
      </c>
      <c r="J220" s="8">
        <v>5000</v>
      </c>
      <c r="K220" s="9">
        <v>112.654</v>
      </c>
      <c r="L220" s="9">
        <v>44.383800000000001</v>
      </c>
      <c r="M220" s="9">
        <v>17772.487000000001</v>
      </c>
      <c r="N220" s="5" t="str">
        <v>PURCHASE_SIP</v>
      </c>
      <c r="O220" s="10">
        <v>0</v>
      </c>
    </row>
    <row r="221" spans="1:15" ht="17" x14ac:dyDescent="0.2">
      <c r="A221" s="5" t="str">
        <v>HDFC Mutual Fund</v>
      </c>
      <c r="B221" s="5" t="str">
        <v>AAAA9990</v>
      </c>
      <c r="C221" s="5" t="str">
        <v>AAAAA1111A</v>
      </c>
      <c r="D221" s="6" t="str">
        <v>HDFC Flexi Cap Fund - Direct Plan - Growth</v>
      </c>
      <c r="E221" s="6" t="str">
        <v>DIRECT</v>
      </c>
      <c r="F221" s="6" t="str">
        <v>CAMS</v>
      </c>
      <c r="G221" s="6">
        <v>119062</v>
      </c>
      <c r="H221" s="7">
        <v>45619</v>
      </c>
      <c r="I221" s="6" t="str">
        <v>Purchase - SIP</v>
      </c>
      <c r="J221" s="8">
        <v>5000</v>
      </c>
      <c r="K221" s="9">
        <v>113.803</v>
      </c>
      <c r="L221" s="9">
        <v>43.935400000000001</v>
      </c>
      <c r="M221" s="9">
        <v>17886.29</v>
      </c>
      <c r="N221" s="5" t="str">
        <v>PURCHASE_SIP</v>
      </c>
      <c r="O221" s="10">
        <v>0</v>
      </c>
    </row>
    <row r="222" spans="1:15" ht="17" x14ac:dyDescent="0.2">
      <c r="A222" s="5" t="str">
        <v>HDFC Mutual Fund</v>
      </c>
      <c r="B222" s="5" t="str">
        <v>AAAA9990</v>
      </c>
      <c r="C222" s="5" t="str">
        <v>AAAAA1111A</v>
      </c>
      <c r="D222" s="6" t="str">
        <v>HDFC Flexi Cap Fund - Direct Plan - Growth</v>
      </c>
      <c r="E222" s="6" t="str">
        <v>DIRECT</v>
      </c>
      <c r="F222" s="6" t="str">
        <v>CAMS</v>
      </c>
      <c r="G222" s="6">
        <v>119062</v>
      </c>
      <c r="H222" s="7">
        <v>45649</v>
      </c>
      <c r="I222" s="6" t="str">
        <v>Purchase - SIP</v>
      </c>
      <c r="J222" s="8">
        <v>5000</v>
      </c>
      <c r="K222" s="9">
        <v>114.05500000000001</v>
      </c>
      <c r="L222" s="9">
        <v>43.838500000000003</v>
      </c>
      <c r="M222" s="9">
        <v>18000.345000000001</v>
      </c>
      <c r="N222" s="5" t="str">
        <v>PURCHASE_SIP</v>
      </c>
      <c r="O222" s="10">
        <v>0</v>
      </c>
    </row>
    <row r="223" spans="1:15" ht="17" x14ac:dyDescent="0.2">
      <c r="A223" s="5" t="str">
        <v>HDFC Mutual Fund</v>
      </c>
      <c r="B223" s="5" t="str">
        <v>AAAA9990</v>
      </c>
      <c r="C223" s="5" t="str">
        <v>AAAAA1111A</v>
      </c>
      <c r="D223" s="6" t="str">
        <v>HDFC Flexi Cap Fund - Direct Plan - Growth</v>
      </c>
      <c r="E223" s="6" t="str">
        <v>DIRECT</v>
      </c>
      <c r="F223" s="6" t="str">
        <v>CAMS</v>
      </c>
      <c r="G223" s="6">
        <v>119062</v>
      </c>
      <c r="H223" s="7">
        <v>45679</v>
      </c>
      <c r="I223" s="6" t="str">
        <v>Purchase - SIP</v>
      </c>
      <c r="J223" s="8">
        <v>5000</v>
      </c>
      <c r="K223" s="9">
        <v>113.023</v>
      </c>
      <c r="L223" s="9">
        <v>44.238700000000001</v>
      </c>
      <c r="M223" s="9">
        <v>18113.368999999999</v>
      </c>
      <c r="N223" s="5" t="str">
        <v>PURCHASE_SIP</v>
      </c>
      <c r="O223" s="10">
        <v>0</v>
      </c>
    </row>
    <row r="224" spans="1:15" ht="17" x14ac:dyDescent="0.2">
      <c r="A224" s="5" t="str">
        <v>HDFC Mutual Fund</v>
      </c>
      <c r="B224" s="5" t="str">
        <v>AAAA9990</v>
      </c>
      <c r="C224" s="5" t="str">
        <v>AAAAA1111A</v>
      </c>
      <c r="D224" s="6" t="str">
        <v>HDFC Flexi Cap Fund - Direct Plan - Growth</v>
      </c>
      <c r="E224" s="6" t="str">
        <v>DIRECT</v>
      </c>
      <c r="F224" s="6" t="str">
        <v>CAMS</v>
      </c>
      <c r="G224" s="6">
        <v>119062</v>
      </c>
      <c r="H224" s="7">
        <v>45709</v>
      </c>
      <c r="I224" s="6" t="str">
        <v>Purchase - SIP</v>
      </c>
      <c r="J224" s="8">
        <v>5000</v>
      </c>
      <c r="K224" s="9">
        <v>112.476</v>
      </c>
      <c r="L224" s="9">
        <v>44.453800000000001</v>
      </c>
      <c r="M224" s="9">
        <v>18225.845000000001</v>
      </c>
      <c r="N224" s="5" t="str">
        <v>PURCHASE_SIP</v>
      </c>
      <c r="O224" s="10">
        <v>0</v>
      </c>
    </row>
    <row r="225" spans="1:15" ht="17" x14ac:dyDescent="0.2">
      <c r="A225" s="5" t="str">
        <v>HDFC Mutual Fund</v>
      </c>
      <c r="B225" s="5" t="str">
        <v>AAAA9990</v>
      </c>
      <c r="C225" s="5" t="str">
        <v>AAAAA1111A</v>
      </c>
      <c r="D225" s="6" t="str">
        <v>HDFC Flexi Cap Fund - Direct Plan - Growth</v>
      </c>
      <c r="E225" s="6" t="str">
        <v>DIRECT</v>
      </c>
      <c r="F225" s="6" t="str">
        <v>CAMS</v>
      </c>
      <c r="G225" s="6">
        <v>119062</v>
      </c>
      <c r="H225" s="7">
        <v>45709</v>
      </c>
      <c r="I225" s="6" t="str">
        <v>STAMP DUTY</v>
      </c>
      <c r="J225" s="8">
        <v>2.5</v>
      </c>
      <c r="K225" s="9">
        <v>0</v>
      </c>
      <c r="L225" s="9">
        <v>0</v>
      </c>
      <c r="M225" s="9">
        <v>18225.845000000001</v>
      </c>
      <c r="N225" s="5" t="str">
        <v>STAMP_DUTY</v>
      </c>
      <c r="O225" s="10">
        <v>0</v>
      </c>
    </row>
    <row r="226" spans="1:15" ht="17" x14ac:dyDescent="0.2">
      <c r="A226" s="5" t="str">
        <v>HDFC Mutual Fund</v>
      </c>
      <c r="B226" s="5" t="str">
        <v>AAAA9990</v>
      </c>
      <c r="C226" s="5" t="str">
        <v>AAAAA1111A</v>
      </c>
      <c r="D226" s="6" t="str">
        <v>HDFC Flexi Cap Fund - Direct Plan - Growth</v>
      </c>
      <c r="E226" s="6" t="str">
        <v>DIRECT</v>
      </c>
      <c r="F226" s="6" t="str">
        <v>CAMS</v>
      </c>
      <c r="G226" s="6">
        <v>119062</v>
      </c>
      <c r="H226" s="7">
        <v>45739</v>
      </c>
      <c r="I226" s="6" t="str">
        <v>Purchase - SIP</v>
      </c>
      <c r="J226" s="8">
        <v>5000</v>
      </c>
      <c r="K226" s="9">
        <v>114.32</v>
      </c>
      <c r="L226" s="9">
        <v>43.736899999999999</v>
      </c>
      <c r="M226" s="9">
        <v>18340.165000000001</v>
      </c>
      <c r="N226" s="5" t="str">
        <v>PURCHASE_SIP</v>
      </c>
      <c r="O226" s="10">
        <v>0</v>
      </c>
    </row>
    <row r="227" spans="1:15" ht="17" x14ac:dyDescent="0.2">
      <c r="A227" s="5" t="str">
        <v>HDFC Mutual Fund</v>
      </c>
      <c r="B227" s="5" t="str">
        <v>AAAA9990</v>
      </c>
      <c r="C227" s="5" t="str">
        <v>AAAAA1111A</v>
      </c>
      <c r="D227" s="6" t="str">
        <v>HDFC Flexi Cap Fund - Direct Plan - Growth</v>
      </c>
      <c r="E227" s="6" t="str">
        <v>DIRECT</v>
      </c>
      <c r="F227" s="6" t="str">
        <v>CAMS</v>
      </c>
      <c r="G227" s="6">
        <v>119062</v>
      </c>
      <c r="H227" s="7">
        <v>45769</v>
      </c>
      <c r="I227" s="6" t="str">
        <v>Purchase - SIP</v>
      </c>
      <c r="J227" s="8">
        <v>5000</v>
      </c>
      <c r="K227" s="9">
        <v>111.068</v>
      </c>
      <c r="L227" s="9">
        <v>45.017499999999998</v>
      </c>
      <c r="M227" s="9">
        <v>18451.233</v>
      </c>
      <c r="N227" s="5" t="str">
        <v>PURCHASE_SIP</v>
      </c>
      <c r="O227" s="10">
        <v>0</v>
      </c>
    </row>
    <row r="228" spans="1:15" ht="17" x14ac:dyDescent="0.2">
      <c r="A228" s="5" t="str">
        <v>HDFC Mutual Fund</v>
      </c>
      <c r="B228" s="5" t="str">
        <v>AAAA9990</v>
      </c>
      <c r="C228" s="5" t="str">
        <v>AAAAA1111A</v>
      </c>
      <c r="D228" s="6" t="str">
        <v>HDFC Flexi Cap Fund - Direct Plan - Growth</v>
      </c>
      <c r="E228" s="6" t="str">
        <v>DIRECT</v>
      </c>
      <c r="F228" s="6" t="str">
        <v>CAMS</v>
      </c>
      <c r="G228" s="6">
        <v>119062</v>
      </c>
      <c r="H228" s="7">
        <v>45799</v>
      </c>
      <c r="I228" s="6" t="str">
        <v>Purchase - SIP</v>
      </c>
      <c r="J228" s="8">
        <v>5000</v>
      </c>
      <c r="K228" s="9">
        <v>110.578</v>
      </c>
      <c r="L228" s="9">
        <v>45.216799999999999</v>
      </c>
      <c r="M228" s="9">
        <v>18561.811000000002</v>
      </c>
      <c r="N228" s="5" t="str">
        <v>PURCHASE_SIP</v>
      </c>
      <c r="O228" s="10">
        <v>0</v>
      </c>
    </row>
    <row r="229" spans="1:15" ht="17" x14ac:dyDescent="0.2">
      <c r="A229" s="5" t="str">
        <v>HDFC Mutual Fund</v>
      </c>
      <c r="B229" s="5" t="str">
        <v>AAAA9990</v>
      </c>
      <c r="C229" s="5" t="str">
        <v>AAAAA1111A</v>
      </c>
      <c r="D229" s="6" t="str">
        <v>HDFC Flexi Cap Fund - Direct Plan - Growth</v>
      </c>
      <c r="E229" s="6" t="str">
        <v>DIRECT</v>
      </c>
      <c r="F229" s="6" t="str">
        <v>CAMS</v>
      </c>
      <c r="G229" s="6">
        <v>119062</v>
      </c>
      <c r="H229" s="7">
        <v>45829</v>
      </c>
      <c r="I229" s="6" t="str">
        <v>Purchase - SIP</v>
      </c>
      <c r="J229" s="8">
        <v>5000</v>
      </c>
      <c r="K229" s="9">
        <v>112.34</v>
      </c>
      <c r="L229" s="9">
        <v>44.507899999999999</v>
      </c>
      <c r="M229" s="9">
        <v>18674.151000000002</v>
      </c>
      <c r="N229" s="5" t="str">
        <v>PURCHASE_SIP</v>
      </c>
      <c r="O229" s="10">
        <v>0</v>
      </c>
    </row>
    <row r="230" spans="1:15" ht="17" x14ac:dyDescent="0.2">
      <c r="A230" s="5" t="str">
        <v>HDFC Mutual Fund</v>
      </c>
      <c r="B230" s="5" t="str">
        <v>AAAA9990</v>
      </c>
      <c r="C230" s="5" t="str">
        <v>AAAAA1111A</v>
      </c>
      <c r="D230" s="6" t="str">
        <v>HDFC Flexi Cap Fund - Direct Plan - Growth</v>
      </c>
      <c r="E230" s="6" t="str">
        <v>DIRECT</v>
      </c>
      <c r="F230" s="6" t="str">
        <v>CAMS</v>
      </c>
      <c r="G230" s="6">
        <v>119062</v>
      </c>
      <c r="H230" s="7">
        <v>45829</v>
      </c>
      <c r="I230" s="6" t="str">
        <v>STAMP DUTY</v>
      </c>
      <c r="J230" s="8">
        <v>2.5</v>
      </c>
      <c r="K230" s="9">
        <v>0</v>
      </c>
      <c r="L230" s="9">
        <v>0</v>
      </c>
      <c r="M230" s="9">
        <v>18674.151000000002</v>
      </c>
      <c r="N230" s="5" t="str">
        <v>STAMP_DUTY</v>
      </c>
      <c r="O230" s="10">
        <v>0</v>
      </c>
    </row>
    <row r="231" spans="1:15" ht="17" x14ac:dyDescent="0.2">
      <c r="A231" s="5" t="str">
        <v>HDFC Mutual Fund</v>
      </c>
      <c r="B231" s="5" t="str">
        <v>AAAA9990</v>
      </c>
      <c r="C231" s="5" t="str">
        <v>AAAAA1111A</v>
      </c>
      <c r="D231" s="6" t="str">
        <v>HDFC Flexi Cap Fund - Direct Plan - Growth</v>
      </c>
      <c r="E231" s="6" t="str">
        <v>DIRECT</v>
      </c>
      <c r="F231" s="6" t="str">
        <v>CAMS</v>
      </c>
      <c r="G231" s="6">
        <v>119062</v>
      </c>
      <c r="H231" s="7">
        <v>45859</v>
      </c>
      <c r="I231" s="6" t="str">
        <v>Purchase - SIP</v>
      </c>
      <c r="J231" s="8">
        <v>5000</v>
      </c>
      <c r="K231" s="9">
        <v>111.68600000000001</v>
      </c>
      <c r="L231" s="9">
        <v>44.768599999999999</v>
      </c>
      <c r="M231" s="9">
        <v>18785.835999999999</v>
      </c>
      <c r="N231" s="5" t="str">
        <v>PURCHASE_SIP</v>
      </c>
      <c r="O231" s="10">
        <v>0</v>
      </c>
    </row>
    <row r="232" spans="1:15" ht="17" x14ac:dyDescent="0.2">
      <c r="A232" s="5" t="str">
        <v>HDFC Mutual Fund</v>
      </c>
      <c r="B232" s="5" t="str">
        <v>AAAA9990</v>
      </c>
      <c r="C232" s="5" t="str">
        <v>AAAAA1111A</v>
      </c>
      <c r="D232" s="6" t="str">
        <v>HDFC Flexi Cap Fund - Direct Plan - Growth</v>
      </c>
      <c r="E232" s="6" t="str">
        <v>DIRECT</v>
      </c>
      <c r="F232" s="6" t="str">
        <v>CAMS</v>
      </c>
      <c r="G232" s="6">
        <v>119062</v>
      </c>
      <c r="H232" s="7">
        <v>45889</v>
      </c>
      <c r="I232" s="6" t="str">
        <v>Purchase - SIP</v>
      </c>
      <c r="J232" s="8">
        <v>5000</v>
      </c>
      <c r="K232" s="9">
        <v>111.898</v>
      </c>
      <c r="L232" s="9">
        <v>44.683399999999999</v>
      </c>
      <c r="M232" s="9">
        <v>18897.735000000001</v>
      </c>
      <c r="N232" s="5" t="str">
        <v>PURCHASE_SIP</v>
      </c>
      <c r="O232" s="10">
        <v>0</v>
      </c>
    </row>
    <row r="233" spans="1:15" ht="17" x14ac:dyDescent="0.2">
      <c r="A233" s="5" t="str">
        <v>HDFC Mutual Fund</v>
      </c>
      <c r="B233" s="5" t="str">
        <v>AAAA9990</v>
      </c>
      <c r="C233" s="5" t="str">
        <v>AAAAA1111A</v>
      </c>
      <c r="D233" s="6" t="str">
        <v>HDFC Flexi Cap Fund - Direct Plan - Growth</v>
      </c>
      <c r="E233" s="6" t="str">
        <v>DIRECT</v>
      </c>
      <c r="F233" s="6" t="str">
        <v>CAMS</v>
      </c>
      <c r="G233" s="6">
        <v>119062</v>
      </c>
      <c r="H233" s="7">
        <v>45919</v>
      </c>
      <c r="I233" s="6" t="str">
        <v>Purchase - SIP</v>
      </c>
      <c r="J233" s="8">
        <v>5000</v>
      </c>
      <c r="K233" s="9">
        <v>110.06399999999999</v>
      </c>
      <c r="L233" s="9">
        <v>45.428100000000001</v>
      </c>
      <c r="M233" s="9">
        <v>19007.798999999999</v>
      </c>
      <c r="N233" s="5" t="str">
        <v>PURCHASE_SIP</v>
      </c>
      <c r="O233" s="10">
        <v>0</v>
      </c>
    </row>
    <row r="234" spans="1:15" ht="17" x14ac:dyDescent="0.2">
      <c r="A234" s="5" t="str">
        <v>HDFC Mutual Fund</v>
      </c>
      <c r="B234" s="5" t="str">
        <v>AAAA9990</v>
      </c>
      <c r="C234" s="5" t="str">
        <v>AAAAA1111A</v>
      </c>
      <c r="D234" s="6" t="str">
        <v>HDFC Flexi Cap Fund - Direct Plan - Growth</v>
      </c>
      <c r="E234" s="6" t="str">
        <v>DIRECT</v>
      </c>
      <c r="F234" s="6" t="str">
        <v>CAMS</v>
      </c>
      <c r="G234" s="6">
        <v>119062</v>
      </c>
      <c r="H234" s="7">
        <v>45949</v>
      </c>
      <c r="I234" s="6" t="str">
        <v>Purchase - SIP</v>
      </c>
      <c r="J234" s="8">
        <v>5000</v>
      </c>
      <c r="K234" s="9">
        <v>112.214</v>
      </c>
      <c r="L234" s="9">
        <v>44.557499999999997</v>
      </c>
      <c r="M234" s="9">
        <v>19120.012999999999</v>
      </c>
      <c r="N234" s="5" t="str">
        <v>PURCHASE_SIP</v>
      </c>
      <c r="O234" s="10">
        <v>0</v>
      </c>
    </row>
    <row r="235" spans="1:15" ht="17" x14ac:dyDescent="0.2">
      <c r="A235" s="5" t="str">
        <v>HDFC Mutual Fund</v>
      </c>
      <c r="B235" s="5" t="str">
        <v>AAAA9990</v>
      </c>
      <c r="C235" s="5" t="str">
        <v>AAAAA1111A</v>
      </c>
      <c r="D235" s="6" t="str">
        <v>HDFC Flexi Cap Fund - Direct Plan - Growth</v>
      </c>
      <c r="E235" s="6" t="str">
        <v>DIRECT</v>
      </c>
      <c r="F235" s="6" t="str">
        <v>CAMS</v>
      </c>
      <c r="G235" s="6">
        <v>119062</v>
      </c>
      <c r="H235" s="7">
        <v>45979</v>
      </c>
      <c r="I235" s="6" t="str">
        <v>Purchase - SIP</v>
      </c>
      <c r="J235" s="8">
        <v>5000</v>
      </c>
      <c r="K235" s="9">
        <v>110.55200000000001</v>
      </c>
      <c r="L235" s="9">
        <v>45.227800000000002</v>
      </c>
      <c r="M235" s="9">
        <v>19230.564999999999</v>
      </c>
      <c r="N235" s="5" t="str">
        <v>PURCHASE_SIP</v>
      </c>
      <c r="O235" s="10">
        <v>0</v>
      </c>
    </row>
    <row r="236" spans="1:15" ht="17" x14ac:dyDescent="0.2">
      <c r="A236" s="5" t="str">
        <v>HDFC Mutual Fund</v>
      </c>
      <c r="B236" s="5" t="str">
        <v>AAAA9990</v>
      </c>
      <c r="C236" s="5" t="str">
        <v>AAAAA1111A</v>
      </c>
      <c r="D236" s="6" t="str">
        <v>HDFC Flexi Cap Fund - Direct Plan - Growth</v>
      </c>
      <c r="E236" s="6" t="str">
        <v>DIRECT</v>
      </c>
      <c r="F236" s="6" t="str">
        <v>CAMS</v>
      </c>
      <c r="G236" s="6">
        <v>119062</v>
      </c>
      <c r="H236" s="7">
        <v>46009</v>
      </c>
      <c r="I236" s="6" t="str">
        <v>Purchase - SIP</v>
      </c>
      <c r="J236" s="8">
        <v>5000</v>
      </c>
      <c r="K236" s="9">
        <v>112.74</v>
      </c>
      <c r="L236" s="9">
        <v>44.349699999999999</v>
      </c>
      <c r="M236" s="9">
        <v>19343.305</v>
      </c>
      <c r="N236" s="5" t="str">
        <v>PURCHASE_SIP</v>
      </c>
      <c r="O236" s="10">
        <v>0</v>
      </c>
    </row>
    <row r="237" spans="1:15" ht="17" x14ac:dyDescent="0.2">
      <c r="A237" s="5" t="str">
        <v>HDFC Mutual Fund</v>
      </c>
      <c r="B237" s="5" t="str">
        <v>AAAA9990</v>
      </c>
      <c r="C237" s="5" t="str">
        <v>AAAAA1111A</v>
      </c>
      <c r="D237" s="6" t="str">
        <v>HDFC Flexi Cap Fund - Direct Plan - Growth</v>
      </c>
      <c r="E237" s="6" t="str">
        <v>DIRECT</v>
      </c>
      <c r="F237" s="6" t="str">
        <v>CAMS</v>
      </c>
      <c r="G237" s="6">
        <v>119062</v>
      </c>
      <c r="H237" s="7">
        <v>46009</v>
      </c>
      <c r="I237" s="6" t="str">
        <v>Dividend Paid</v>
      </c>
      <c r="J237" s="8">
        <v>9671.65</v>
      </c>
      <c r="K237" s="9">
        <v>0</v>
      </c>
      <c r="L237" s="9">
        <v>0</v>
      </c>
      <c r="M237" s="9">
        <v>19343.305</v>
      </c>
      <c r="N237" s="5" t="str">
        <v>DIVIDEND_PAYOUT</v>
      </c>
      <c r="O237" s="10">
        <v>9671.65</v>
      </c>
    </row>
    <row r="238" spans="1:15" ht="17" x14ac:dyDescent="0.2">
      <c r="A238" s="5" t="str">
        <v>HDFC Mutual Fund</v>
      </c>
      <c r="B238" s="5" t="str">
        <v>AAAA9990</v>
      </c>
      <c r="C238" s="5" t="str">
        <v>AAAAA1111A</v>
      </c>
      <c r="D238" s="6" t="str">
        <v>HDFC Flexi Cap Fund - Direct Plan - Growth</v>
      </c>
      <c r="E238" s="6" t="str">
        <v>DIRECT</v>
      </c>
      <c r="F238" s="6" t="str">
        <v>CAMS</v>
      </c>
      <c r="G238" s="6">
        <v>119062</v>
      </c>
      <c r="H238" s="7">
        <v>46039</v>
      </c>
      <c r="I238" s="6" t="str">
        <v>Purchase - SIP</v>
      </c>
      <c r="J238" s="8">
        <v>5000</v>
      </c>
      <c r="K238" s="9">
        <v>113.33499999999999</v>
      </c>
      <c r="L238" s="9">
        <v>44.117100000000001</v>
      </c>
      <c r="M238" s="9">
        <v>19456.64</v>
      </c>
      <c r="N238" s="5" t="str">
        <v>PURCHASE_SIP</v>
      </c>
      <c r="O238" s="10">
        <v>0</v>
      </c>
    </row>
    <row r="239" spans="1:15" ht="17" x14ac:dyDescent="0.2">
      <c r="A239" s="5" t="str">
        <v>HDFC Mutual Fund</v>
      </c>
      <c r="B239" s="5" t="str">
        <v>AAAA9990</v>
      </c>
      <c r="C239" s="5" t="str">
        <v>AAAAA1111A</v>
      </c>
      <c r="D239" s="6" t="str">
        <v>HDFC Flexi Cap Fund - Direct Plan - Growth</v>
      </c>
      <c r="E239" s="6" t="str">
        <v>DIRECT</v>
      </c>
      <c r="F239" s="6" t="str">
        <v>CAMS</v>
      </c>
      <c r="G239" s="6">
        <v>119062</v>
      </c>
      <c r="H239" s="7">
        <v>46069</v>
      </c>
      <c r="I239" s="6" t="str">
        <v>Purchase - SIP</v>
      </c>
      <c r="J239" s="8">
        <v>5000</v>
      </c>
      <c r="K239" s="9">
        <v>110.84</v>
      </c>
      <c r="L239" s="9">
        <v>45.109900000000003</v>
      </c>
      <c r="M239" s="9">
        <v>19567.48</v>
      </c>
      <c r="N239" s="5" t="str">
        <v>PURCHASE_SIP</v>
      </c>
      <c r="O239" s="10">
        <v>0</v>
      </c>
    </row>
    <row r="240" spans="1:15" ht="17" x14ac:dyDescent="0.2">
      <c r="A240" s="5" t="str">
        <v>HDFC Mutual Fund</v>
      </c>
      <c r="B240" s="5" t="str">
        <v>AAAA9990</v>
      </c>
      <c r="C240" s="5" t="str">
        <v>AAAAA1111A</v>
      </c>
      <c r="D240" s="6" t="str">
        <v>HDFC Flexi Cap Fund - Direct Plan - Growth</v>
      </c>
      <c r="E240" s="6" t="str">
        <v>DIRECT</v>
      </c>
      <c r="F240" s="6" t="str">
        <v>CAMS</v>
      </c>
      <c r="G240" s="6">
        <v>119062</v>
      </c>
      <c r="H240" s="7">
        <v>46099</v>
      </c>
      <c r="I240" s="6" t="str">
        <v>Purchase - SIP</v>
      </c>
      <c r="J240" s="8">
        <v>5000</v>
      </c>
      <c r="K240" s="9">
        <v>108.03100000000001</v>
      </c>
      <c r="L240" s="9">
        <v>46.282800000000002</v>
      </c>
      <c r="M240" s="9">
        <v>19675.511999999999</v>
      </c>
      <c r="N240" s="5" t="str">
        <v>PURCHASE_SIP</v>
      </c>
      <c r="O240" s="10">
        <v>0</v>
      </c>
    </row>
    <row r="241" spans="1:15" ht="17" x14ac:dyDescent="0.2">
      <c r="A241" s="5" t="str">
        <v>HDFC Mutual Fund</v>
      </c>
      <c r="B241" s="5" t="str">
        <v>AAAA9990</v>
      </c>
      <c r="C241" s="5" t="str">
        <v>AAAAA1111A</v>
      </c>
      <c r="D241" s="6" t="str">
        <v>HDFC Flexi Cap Fund - Direct Plan - Growth</v>
      </c>
      <c r="E241" s="6" t="str">
        <v>DIRECT</v>
      </c>
      <c r="F241" s="6" t="str">
        <v>CAMS</v>
      </c>
      <c r="G241" s="6">
        <v>119062</v>
      </c>
      <c r="H241" s="7">
        <v>46099</v>
      </c>
      <c r="I241" s="6" t="str">
        <v>STAMP DUTY</v>
      </c>
      <c r="J241" s="8">
        <v>2.5</v>
      </c>
      <c r="K241" s="9">
        <v>0</v>
      </c>
      <c r="L241" s="9">
        <v>0</v>
      </c>
      <c r="M241" s="9">
        <v>19675.511999999999</v>
      </c>
      <c r="N241" s="5" t="str">
        <v>STAMP_DUTY</v>
      </c>
      <c r="O241" s="10">
        <v>0</v>
      </c>
    </row>
    <row r="242" spans="1:15" ht="17" x14ac:dyDescent="0.2">
      <c r="A242" s="5" t="str">
        <v>HDFC Mutual Fund</v>
      </c>
      <c r="B242" s="5" t="str">
        <v>AAAA9990</v>
      </c>
      <c r="C242" s="5" t="str">
        <v>AAAAA1111A</v>
      </c>
      <c r="D242" s="6" t="str">
        <v>HDFC Flexi Cap Fund - Direct Plan - Growth</v>
      </c>
      <c r="E242" s="6" t="str">
        <v>DIRECT</v>
      </c>
      <c r="F242" s="6" t="str">
        <v>CAMS</v>
      </c>
      <c r="G242" s="6">
        <v>119062</v>
      </c>
      <c r="H242" s="7">
        <v>46129</v>
      </c>
      <c r="I242" s="6" t="str">
        <v>Purchase - SIP</v>
      </c>
      <c r="J242" s="8">
        <v>5000</v>
      </c>
      <c r="K242" s="9">
        <v>105.944</v>
      </c>
      <c r="L242" s="9">
        <v>47.194600000000001</v>
      </c>
      <c r="M242" s="9">
        <v>19781.455999999998</v>
      </c>
      <c r="N242" s="5" t="str">
        <v>PURCHASE_SIP</v>
      </c>
      <c r="O242" s="10">
        <v>0</v>
      </c>
    </row>
    <row r="243" spans="1:15" ht="17" x14ac:dyDescent="0.2">
      <c r="A243" s="5" t="str">
        <v>HDFC Mutual Fund</v>
      </c>
      <c r="B243" s="5" t="str">
        <v>AAAA9990</v>
      </c>
      <c r="C243" s="5" t="str">
        <v>AAAAA1111A</v>
      </c>
      <c r="D243" s="6" t="str">
        <v>HDFC Flexi Cap Fund - Direct Plan - Growth</v>
      </c>
      <c r="E243" s="6" t="str">
        <v>DIRECT</v>
      </c>
      <c r="F243" s="6" t="str">
        <v>CAMS</v>
      </c>
      <c r="G243" s="6">
        <v>119062</v>
      </c>
      <c r="H243" s="7">
        <v>46159</v>
      </c>
      <c r="I243" s="6" t="str">
        <v>Purchase - SIP</v>
      </c>
      <c r="J243" s="8">
        <v>5000</v>
      </c>
      <c r="K243" s="9">
        <v>103.33199999999999</v>
      </c>
      <c r="L243" s="9">
        <v>48.387599999999999</v>
      </c>
      <c r="M243" s="9">
        <v>19884.788</v>
      </c>
      <c r="N243" s="5" t="str">
        <v>PURCHASE_SIP</v>
      </c>
      <c r="O243" s="10">
        <v>0</v>
      </c>
    </row>
    <row r="244" spans="1:15" ht="17" x14ac:dyDescent="0.2">
      <c r="A244" s="5" t="str">
        <v>HDFC Mutual Fund</v>
      </c>
      <c r="B244" s="5" t="str">
        <v>AAAA9990</v>
      </c>
      <c r="C244" s="5" t="str">
        <v>AAAAA1111A</v>
      </c>
      <c r="D244" s="6" t="str">
        <v>HDFC Flexi Cap Fund - Direct Plan - Growth</v>
      </c>
      <c r="E244" s="6" t="str">
        <v>DIRECT</v>
      </c>
      <c r="F244" s="6" t="str">
        <v>CAMS</v>
      </c>
      <c r="G244" s="6">
        <v>119062</v>
      </c>
      <c r="H244" s="7">
        <v>46189</v>
      </c>
      <c r="I244" s="6" t="str">
        <v>Purchase - SIP</v>
      </c>
      <c r="J244" s="8">
        <v>5000</v>
      </c>
      <c r="K244" s="9">
        <v>101.68</v>
      </c>
      <c r="L244" s="9">
        <v>49.1738</v>
      </c>
      <c r="M244" s="9">
        <v>19986.469000000001</v>
      </c>
      <c r="N244" s="5" t="str">
        <v>PURCHASE_SIP</v>
      </c>
      <c r="O244" s="10">
        <v>0</v>
      </c>
    </row>
    <row r="245" spans="1:15" ht="17" x14ac:dyDescent="0.2">
      <c r="A245" s="5" t="str">
        <v>HDFC Mutual Fund</v>
      </c>
      <c r="B245" s="5" t="str">
        <v>AAAA9990</v>
      </c>
      <c r="C245" s="5" t="str">
        <v>AAAAA1111A</v>
      </c>
      <c r="D245" s="6" t="str">
        <v>HDFC Flexi Cap Fund - Direct Plan - Growth</v>
      </c>
      <c r="E245" s="6" t="str">
        <v>DIRECT</v>
      </c>
      <c r="F245" s="6" t="str">
        <v>CAMS</v>
      </c>
      <c r="G245" s="6">
        <v>119062</v>
      </c>
      <c r="H245" s="7">
        <v>46189</v>
      </c>
      <c r="I245" s="6" t="str">
        <v>STT TAX</v>
      </c>
      <c r="J245" s="8">
        <v>2.5</v>
      </c>
      <c r="K245" s="9">
        <v>0</v>
      </c>
      <c r="L245" s="9">
        <v>0</v>
      </c>
      <c r="M245" s="9">
        <v>19986.469000000001</v>
      </c>
      <c r="N245" s="5" t="str">
        <v>STT_TAX</v>
      </c>
      <c r="O245" s="10">
        <v>0</v>
      </c>
    </row>
    <row r="246" spans="1:15" ht="17" x14ac:dyDescent="0.2">
      <c r="A246" s="5" t="str">
        <v>Parag Parikh Mutual Fund</v>
      </c>
      <c r="B246" s="5" t="str">
        <v>AAAA9991</v>
      </c>
      <c r="C246" s="5" t="str">
        <v>AAAAA1111A</v>
      </c>
      <c r="D246" s="6" t="str">
        <v>Parag Parikh Flexi Cap Fund - Direct Growth</v>
      </c>
      <c r="E246" s="6" t="str">
        <v>DIRECT</v>
      </c>
      <c r="F246" s="6" t="str">
        <v>CAMS</v>
      </c>
      <c r="G246" s="6">
        <v>122639</v>
      </c>
      <c r="H246" s="7">
        <v>40265</v>
      </c>
      <c r="I246" s="6" t="str">
        <v>Purchase - SIP</v>
      </c>
      <c r="J246" s="8">
        <v>5000</v>
      </c>
      <c r="K246" s="9">
        <v>243.77</v>
      </c>
      <c r="L246" s="9">
        <v>20.511099999999999</v>
      </c>
      <c r="M246" s="9">
        <v>243.77</v>
      </c>
      <c r="N246" s="5" t="str">
        <v>PURCHASE_SIP</v>
      </c>
      <c r="O246" s="10">
        <v>0</v>
      </c>
    </row>
    <row r="247" spans="1:15" ht="17" x14ac:dyDescent="0.2">
      <c r="A247" s="5" t="str">
        <v>Parag Parikh Mutual Fund</v>
      </c>
      <c r="B247" s="5" t="str">
        <v>AAAA9991</v>
      </c>
      <c r="C247" s="5" t="str">
        <v>AAAAA1111A</v>
      </c>
      <c r="D247" s="6" t="str">
        <v>Parag Parikh Flexi Cap Fund - Direct Growth</v>
      </c>
      <c r="E247" s="6" t="str">
        <v>DIRECT</v>
      </c>
      <c r="F247" s="6" t="str">
        <v>CAMS</v>
      </c>
      <c r="G247" s="6">
        <v>122639</v>
      </c>
      <c r="H247" s="7">
        <v>40295</v>
      </c>
      <c r="I247" s="6" t="str">
        <v>Purchase - SIP</v>
      </c>
      <c r="J247" s="8">
        <v>5000</v>
      </c>
      <c r="K247" s="9">
        <v>238.386</v>
      </c>
      <c r="L247" s="9">
        <v>20.974399999999999</v>
      </c>
      <c r="M247" s="9">
        <v>482.15600000000001</v>
      </c>
      <c r="N247" s="5" t="str">
        <v>PURCHASE_SIP</v>
      </c>
      <c r="O247" s="10">
        <v>0</v>
      </c>
    </row>
    <row r="248" spans="1:15" ht="17" x14ac:dyDescent="0.2">
      <c r="A248" s="5" t="str">
        <v>Parag Parikh Mutual Fund</v>
      </c>
      <c r="B248" s="5" t="str">
        <v>AAAA9991</v>
      </c>
      <c r="C248" s="5" t="str">
        <v>AAAAA1111A</v>
      </c>
      <c r="D248" s="6" t="str">
        <v>Parag Parikh Flexi Cap Fund - Direct Growth</v>
      </c>
      <c r="E248" s="6" t="str">
        <v>DIRECT</v>
      </c>
      <c r="F248" s="6" t="str">
        <v>CAMS</v>
      </c>
      <c r="G248" s="6">
        <v>122639</v>
      </c>
      <c r="H248" s="7">
        <v>40325</v>
      </c>
      <c r="I248" s="6" t="str">
        <v>Purchase - SIP</v>
      </c>
      <c r="J248" s="8">
        <v>5000</v>
      </c>
      <c r="K248" s="9">
        <v>240.45</v>
      </c>
      <c r="L248" s="9">
        <v>20.7944</v>
      </c>
      <c r="M248" s="9">
        <v>722.60500000000002</v>
      </c>
      <c r="N248" s="5" t="str">
        <v>PURCHASE_SIP</v>
      </c>
      <c r="O248" s="10">
        <v>0</v>
      </c>
    </row>
    <row r="249" spans="1:15" ht="17" x14ac:dyDescent="0.2">
      <c r="A249" s="5" t="str">
        <v>Parag Parikh Mutual Fund</v>
      </c>
      <c r="B249" s="5" t="str">
        <v>AAAA9991</v>
      </c>
      <c r="C249" s="5" t="str">
        <v>AAAAA1111A</v>
      </c>
      <c r="D249" s="6" t="str">
        <v>Parag Parikh Flexi Cap Fund - Direct Growth</v>
      </c>
      <c r="E249" s="6" t="str">
        <v>DIRECT</v>
      </c>
      <c r="F249" s="6" t="str">
        <v>CAMS</v>
      </c>
      <c r="G249" s="6">
        <v>122639</v>
      </c>
      <c r="H249" s="7">
        <v>40325</v>
      </c>
      <c r="I249" s="6" t="str">
        <v>STT TAX</v>
      </c>
      <c r="J249" s="8">
        <v>2.5</v>
      </c>
      <c r="K249" s="9">
        <v>0</v>
      </c>
      <c r="L249" s="9">
        <v>0</v>
      </c>
      <c r="M249" s="9">
        <v>722.60500000000002</v>
      </c>
      <c r="N249" s="5" t="str">
        <v>STT_TAX</v>
      </c>
      <c r="O249" s="10">
        <v>0</v>
      </c>
    </row>
    <row r="250" spans="1:15" ht="17" x14ac:dyDescent="0.2">
      <c r="A250" s="5" t="str">
        <v>Parag Parikh Mutual Fund</v>
      </c>
      <c r="B250" s="5" t="str">
        <v>AAAA9991</v>
      </c>
      <c r="C250" s="5" t="str">
        <v>AAAAA1111A</v>
      </c>
      <c r="D250" s="6" t="str">
        <v>Parag Parikh Flexi Cap Fund - Direct Growth</v>
      </c>
      <c r="E250" s="6" t="str">
        <v>DIRECT</v>
      </c>
      <c r="F250" s="6" t="str">
        <v>CAMS</v>
      </c>
      <c r="G250" s="6">
        <v>122639</v>
      </c>
      <c r="H250" s="7">
        <v>40355</v>
      </c>
      <c r="I250" s="6" t="str">
        <v>Purchase - SIP</v>
      </c>
      <c r="J250" s="8">
        <v>5000</v>
      </c>
      <c r="K250" s="9">
        <v>234.50200000000001</v>
      </c>
      <c r="L250" s="9">
        <v>21.3218</v>
      </c>
      <c r="M250" s="9">
        <v>957.10699999999997</v>
      </c>
      <c r="N250" s="5" t="str">
        <v>PURCHASE_SIP</v>
      </c>
      <c r="O250" s="10">
        <v>0</v>
      </c>
    </row>
    <row r="251" spans="1:15" ht="17" x14ac:dyDescent="0.2">
      <c r="A251" s="5" t="str">
        <v>Parag Parikh Mutual Fund</v>
      </c>
      <c r="B251" s="5" t="str">
        <v>AAAA9991</v>
      </c>
      <c r="C251" s="5" t="str">
        <v>AAAAA1111A</v>
      </c>
      <c r="D251" s="6" t="str">
        <v>Parag Parikh Flexi Cap Fund - Direct Growth</v>
      </c>
      <c r="E251" s="6" t="str">
        <v>DIRECT</v>
      </c>
      <c r="F251" s="6" t="str">
        <v>CAMS</v>
      </c>
      <c r="G251" s="6">
        <v>122639</v>
      </c>
      <c r="H251" s="7">
        <v>40385</v>
      </c>
      <c r="I251" s="6" t="str">
        <v>Purchase - SIP</v>
      </c>
      <c r="J251" s="8">
        <v>5000</v>
      </c>
      <c r="K251" s="9">
        <v>228.34200000000001</v>
      </c>
      <c r="L251" s="9">
        <v>21.896999999999998</v>
      </c>
      <c r="M251" s="9">
        <v>1185.4490000000001</v>
      </c>
      <c r="N251" s="5" t="str">
        <v>PURCHASE_SIP</v>
      </c>
      <c r="O251" s="10">
        <v>0</v>
      </c>
    </row>
    <row r="252" spans="1:15" ht="17" x14ac:dyDescent="0.2">
      <c r="A252" s="5" t="str">
        <v>Parag Parikh Mutual Fund</v>
      </c>
      <c r="B252" s="5" t="str">
        <v>AAAA9991</v>
      </c>
      <c r="C252" s="5" t="str">
        <v>AAAAA1111A</v>
      </c>
      <c r="D252" s="6" t="str">
        <v>Parag Parikh Flexi Cap Fund - Direct Growth</v>
      </c>
      <c r="E252" s="6" t="str">
        <v>DIRECT</v>
      </c>
      <c r="F252" s="6" t="str">
        <v>CAMS</v>
      </c>
      <c r="G252" s="6">
        <v>122639</v>
      </c>
      <c r="H252" s="7">
        <v>40415</v>
      </c>
      <c r="I252" s="6" t="str">
        <v>Purchase - SIP</v>
      </c>
      <c r="J252" s="8">
        <v>5000</v>
      </c>
      <c r="K252" s="9">
        <v>224.786</v>
      </c>
      <c r="L252" s="9">
        <v>22.243400000000001</v>
      </c>
      <c r="M252" s="9">
        <v>1410.2349999999999</v>
      </c>
      <c r="N252" s="5" t="str">
        <v>PURCHASE_SIP</v>
      </c>
      <c r="O252" s="10">
        <v>0</v>
      </c>
    </row>
    <row r="253" spans="1:15" ht="17" x14ac:dyDescent="0.2">
      <c r="A253" s="5" t="str">
        <v>Parag Parikh Mutual Fund</v>
      </c>
      <c r="B253" s="5" t="str">
        <v>AAAA9991</v>
      </c>
      <c r="C253" s="5" t="str">
        <v>AAAAA1111A</v>
      </c>
      <c r="D253" s="6" t="str">
        <v>Parag Parikh Flexi Cap Fund - Direct Growth</v>
      </c>
      <c r="E253" s="6" t="str">
        <v>DIRECT</v>
      </c>
      <c r="F253" s="6" t="str">
        <v>CAMS</v>
      </c>
      <c r="G253" s="6">
        <v>122639</v>
      </c>
      <c r="H253" s="7">
        <v>40445</v>
      </c>
      <c r="I253" s="6" t="str">
        <v>Purchase - SIP</v>
      </c>
      <c r="J253" s="8">
        <v>5000</v>
      </c>
      <c r="K253" s="9">
        <v>218.75399999999999</v>
      </c>
      <c r="L253" s="9">
        <v>22.8568</v>
      </c>
      <c r="M253" s="9">
        <v>1628.9880000000001</v>
      </c>
      <c r="N253" s="5" t="str">
        <v>PURCHASE_SIP</v>
      </c>
      <c r="O253" s="10">
        <v>0</v>
      </c>
    </row>
    <row r="254" spans="1:15" ht="17" x14ac:dyDescent="0.2">
      <c r="A254" s="5" t="str">
        <v>Parag Parikh Mutual Fund</v>
      </c>
      <c r="B254" s="5" t="str">
        <v>AAAA9991</v>
      </c>
      <c r="C254" s="5" t="str">
        <v>AAAAA1111A</v>
      </c>
      <c r="D254" s="6" t="str">
        <v>Parag Parikh Flexi Cap Fund - Direct Growth</v>
      </c>
      <c r="E254" s="6" t="str">
        <v>DIRECT</v>
      </c>
      <c r="F254" s="6" t="str">
        <v>CAMS</v>
      </c>
      <c r="G254" s="6">
        <v>122639</v>
      </c>
      <c r="H254" s="7">
        <v>40475</v>
      </c>
      <c r="I254" s="6" t="str">
        <v>Purchase - SIP</v>
      </c>
      <c r="J254" s="8">
        <v>5000</v>
      </c>
      <c r="K254" s="9">
        <v>222.62100000000001</v>
      </c>
      <c r="L254" s="9">
        <v>22.459700000000002</v>
      </c>
      <c r="M254" s="9">
        <v>1851.6089999999999</v>
      </c>
      <c r="N254" s="5" t="str">
        <v>PURCHASE_SIP</v>
      </c>
      <c r="O254" s="10">
        <v>0</v>
      </c>
    </row>
    <row r="255" spans="1:15" ht="17" x14ac:dyDescent="0.2">
      <c r="A255" s="5" t="str">
        <v>Parag Parikh Mutual Fund</v>
      </c>
      <c r="B255" s="5" t="str">
        <v>AAAA9991</v>
      </c>
      <c r="C255" s="5" t="str">
        <v>AAAAA1111A</v>
      </c>
      <c r="D255" s="6" t="str">
        <v>Parag Parikh Flexi Cap Fund - Direct Growth</v>
      </c>
      <c r="E255" s="6" t="str">
        <v>DIRECT</v>
      </c>
      <c r="F255" s="6" t="str">
        <v>CAMS</v>
      </c>
      <c r="G255" s="6">
        <v>122639</v>
      </c>
      <c r="H255" s="7">
        <v>40505</v>
      </c>
      <c r="I255" s="6" t="str">
        <v>Purchase - SIP</v>
      </c>
      <c r="J255" s="8">
        <v>5000</v>
      </c>
      <c r="K255" s="9">
        <v>224.24700000000001</v>
      </c>
      <c r="L255" s="9">
        <v>22.296900000000001</v>
      </c>
      <c r="M255" s="9">
        <v>2075.855</v>
      </c>
      <c r="N255" s="5" t="str">
        <v>PURCHASE_SIP</v>
      </c>
      <c r="O255" s="10">
        <v>0</v>
      </c>
    </row>
    <row r="256" spans="1:15" ht="17" x14ac:dyDescent="0.2">
      <c r="A256" s="5" t="str">
        <v>Parag Parikh Mutual Fund</v>
      </c>
      <c r="B256" s="5" t="str">
        <v>AAAA9991</v>
      </c>
      <c r="C256" s="5" t="str">
        <v>AAAAA1111A</v>
      </c>
      <c r="D256" s="6" t="str">
        <v>Parag Parikh Flexi Cap Fund - Direct Growth</v>
      </c>
      <c r="E256" s="6" t="str">
        <v>DIRECT</v>
      </c>
      <c r="F256" s="6" t="str">
        <v>CAMS</v>
      </c>
      <c r="G256" s="6">
        <v>122639</v>
      </c>
      <c r="H256" s="7">
        <v>40505</v>
      </c>
      <c r="I256" s="6" t="str">
        <v>STAMP DUTY</v>
      </c>
      <c r="J256" s="8">
        <v>2.5</v>
      </c>
      <c r="K256" s="9">
        <v>0</v>
      </c>
      <c r="L256" s="9">
        <v>0</v>
      </c>
      <c r="M256" s="9">
        <v>2075.855</v>
      </c>
      <c r="N256" s="5" t="str">
        <v>STAMP_DUTY</v>
      </c>
      <c r="O256" s="10">
        <v>0</v>
      </c>
    </row>
    <row r="257" spans="1:15" ht="17" x14ac:dyDescent="0.2">
      <c r="A257" s="5" t="str">
        <v>Parag Parikh Mutual Fund</v>
      </c>
      <c r="B257" s="5" t="str">
        <v>AAAA9991</v>
      </c>
      <c r="C257" s="5" t="str">
        <v>AAAAA1111A</v>
      </c>
      <c r="D257" s="6" t="str">
        <v>Parag Parikh Flexi Cap Fund - Direct Growth</v>
      </c>
      <c r="E257" s="6" t="str">
        <v>DIRECT</v>
      </c>
      <c r="F257" s="6" t="str">
        <v>CAMS</v>
      </c>
      <c r="G257" s="6">
        <v>122639</v>
      </c>
      <c r="H257" s="7">
        <v>40535</v>
      </c>
      <c r="I257" s="6" t="str">
        <v>Purchase - SIP</v>
      </c>
      <c r="J257" s="8">
        <v>5000</v>
      </c>
      <c r="K257" s="9">
        <v>221.86699999999999</v>
      </c>
      <c r="L257" s="9">
        <v>22.536000000000001</v>
      </c>
      <c r="M257" s="9">
        <v>2297.7220000000002</v>
      </c>
      <c r="N257" s="5" t="str">
        <v>PURCHASE_SIP</v>
      </c>
      <c r="O257" s="10">
        <v>0</v>
      </c>
    </row>
    <row r="258" spans="1:15" ht="17" x14ac:dyDescent="0.2">
      <c r="A258" s="5" t="str">
        <v>Parag Parikh Mutual Fund</v>
      </c>
      <c r="B258" s="5" t="str">
        <v>AAAA9991</v>
      </c>
      <c r="C258" s="5" t="str">
        <v>AAAAA1111A</v>
      </c>
      <c r="D258" s="6" t="str">
        <v>Parag Parikh Flexi Cap Fund - Direct Growth</v>
      </c>
      <c r="E258" s="6" t="str">
        <v>DIRECT</v>
      </c>
      <c r="F258" s="6" t="str">
        <v>CAMS</v>
      </c>
      <c r="G258" s="6">
        <v>122639</v>
      </c>
      <c r="H258" s="7">
        <v>40565</v>
      </c>
      <c r="I258" s="6" t="str">
        <v>Purchase - SIP</v>
      </c>
      <c r="J258" s="8">
        <v>5000</v>
      </c>
      <c r="K258" s="9">
        <v>220.10499999999999</v>
      </c>
      <c r="L258" s="9">
        <v>22.7164</v>
      </c>
      <c r="M258" s="9">
        <v>2517.8270000000002</v>
      </c>
      <c r="N258" s="5" t="str">
        <v>PURCHASE_SIP</v>
      </c>
      <c r="O258" s="10">
        <v>0</v>
      </c>
    </row>
    <row r="259" spans="1:15" ht="17" x14ac:dyDescent="0.2">
      <c r="A259" s="5" t="str">
        <v>Parag Parikh Mutual Fund</v>
      </c>
      <c r="B259" s="5" t="str">
        <v>AAAA9991</v>
      </c>
      <c r="C259" s="5" t="str">
        <v>AAAAA1111A</v>
      </c>
      <c r="D259" s="6" t="str">
        <v>Parag Parikh Flexi Cap Fund - Direct Growth</v>
      </c>
      <c r="E259" s="6" t="str">
        <v>DIRECT</v>
      </c>
      <c r="F259" s="6" t="str">
        <v>CAMS</v>
      </c>
      <c r="G259" s="6">
        <v>122639</v>
      </c>
      <c r="H259" s="7">
        <v>40595</v>
      </c>
      <c r="I259" s="6" t="str">
        <v>Purchase - SIP</v>
      </c>
      <c r="J259" s="8">
        <v>5000</v>
      </c>
      <c r="K259" s="9">
        <v>216.441</v>
      </c>
      <c r="L259" s="9">
        <v>23.100999999999999</v>
      </c>
      <c r="M259" s="9">
        <v>2734.268</v>
      </c>
      <c r="N259" s="5" t="str">
        <v>PURCHASE_SIP</v>
      </c>
      <c r="O259" s="10">
        <v>0</v>
      </c>
    </row>
    <row r="260" spans="1:15" ht="17" x14ac:dyDescent="0.2">
      <c r="A260" s="5" t="str">
        <v>Parag Parikh Mutual Fund</v>
      </c>
      <c r="B260" s="5" t="str">
        <v>AAAA9991</v>
      </c>
      <c r="C260" s="5" t="str">
        <v>AAAAA1111A</v>
      </c>
      <c r="D260" s="6" t="str">
        <v>Parag Parikh Flexi Cap Fund - Direct Growth</v>
      </c>
      <c r="E260" s="6" t="str">
        <v>DIRECT</v>
      </c>
      <c r="F260" s="6" t="str">
        <v>CAMS</v>
      </c>
      <c r="G260" s="6">
        <v>122639</v>
      </c>
      <c r="H260" s="7">
        <v>40625</v>
      </c>
      <c r="I260" s="6" t="str">
        <v>Purchase - SIP</v>
      </c>
      <c r="J260" s="8">
        <v>5000</v>
      </c>
      <c r="K260" s="9">
        <v>215.244</v>
      </c>
      <c r="L260" s="9">
        <v>23.229500000000002</v>
      </c>
      <c r="M260" s="9">
        <v>2949.5120000000002</v>
      </c>
      <c r="N260" s="5" t="str">
        <v>PURCHASE_SIP</v>
      </c>
      <c r="O260" s="10">
        <v>0</v>
      </c>
    </row>
    <row r="261" spans="1:15" ht="17" x14ac:dyDescent="0.2">
      <c r="A261" s="5" t="str">
        <v>Parag Parikh Mutual Fund</v>
      </c>
      <c r="B261" s="5" t="str">
        <v>AAAA9991</v>
      </c>
      <c r="C261" s="5" t="str">
        <v>AAAAA1111A</v>
      </c>
      <c r="D261" s="6" t="str">
        <v>Parag Parikh Flexi Cap Fund - Direct Growth</v>
      </c>
      <c r="E261" s="6" t="str">
        <v>DIRECT</v>
      </c>
      <c r="F261" s="6" t="str">
        <v>CAMS</v>
      </c>
      <c r="G261" s="6">
        <v>122639</v>
      </c>
      <c r="H261" s="7">
        <v>40655</v>
      </c>
      <c r="I261" s="6" t="str">
        <v>Purchase - SIP</v>
      </c>
      <c r="J261" s="8">
        <v>5000</v>
      </c>
      <c r="K261" s="9">
        <v>219.02</v>
      </c>
      <c r="L261" s="9">
        <v>22.829000000000001</v>
      </c>
      <c r="M261" s="9">
        <v>3168.5320000000002</v>
      </c>
      <c r="N261" s="5" t="str">
        <v>PURCHASE_SIP</v>
      </c>
      <c r="O261" s="10">
        <v>0</v>
      </c>
    </row>
    <row r="262" spans="1:15" ht="17" x14ac:dyDescent="0.2">
      <c r="A262" s="5" t="str">
        <v>Parag Parikh Mutual Fund</v>
      </c>
      <c r="B262" s="5" t="str">
        <v>AAAA9991</v>
      </c>
      <c r="C262" s="5" t="str">
        <v>AAAAA1111A</v>
      </c>
      <c r="D262" s="6" t="str">
        <v>Parag Parikh Flexi Cap Fund - Direct Growth</v>
      </c>
      <c r="E262" s="6" t="str">
        <v>DIRECT</v>
      </c>
      <c r="F262" s="6" t="str">
        <v>CAMS</v>
      </c>
      <c r="G262" s="6">
        <v>122639</v>
      </c>
      <c r="H262" s="7">
        <v>40655</v>
      </c>
      <c r="I262" s="6" t="str">
        <v>STT TAX</v>
      </c>
      <c r="J262" s="8">
        <v>2.5</v>
      </c>
      <c r="K262" s="9">
        <v>0</v>
      </c>
      <c r="L262" s="9">
        <v>0</v>
      </c>
      <c r="M262" s="9">
        <v>3168.5320000000002</v>
      </c>
      <c r="N262" s="5" t="str">
        <v>STT_TAX</v>
      </c>
      <c r="O262" s="10">
        <v>0</v>
      </c>
    </row>
    <row r="263" spans="1:15" ht="17" x14ac:dyDescent="0.2">
      <c r="A263" s="5" t="str">
        <v>Parag Parikh Mutual Fund</v>
      </c>
      <c r="B263" s="5" t="str">
        <v>AAAA9991</v>
      </c>
      <c r="C263" s="5" t="str">
        <v>AAAAA1111A</v>
      </c>
      <c r="D263" s="6" t="str">
        <v>Parag Parikh Flexi Cap Fund - Direct Growth</v>
      </c>
      <c r="E263" s="6" t="str">
        <v>DIRECT</v>
      </c>
      <c r="F263" s="6" t="str">
        <v>CAMS</v>
      </c>
      <c r="G263" s="6">
        <v>122639</v>
      </c>
      <c r="H263" s="7">
        <v>40685</v>
      </c>
      <c r="I263" s="6" t="str">
        <v>Purchase - SIP</v>
      </c>
      <c r="J263" s="8">
        <v>5000</v>
      </c>
      <c r="K263" s="9">
        <v>219.06800000000001</v>
      </c>
      <c r="L263" s="9">
        <v>22.823899999999998</v>
      </c>
      <c r="M263" s="9">
        <v>3387.6</v>
      </c>
      <c r="N263" s="5" t="str">
        <v>PURCHASE_SIP</v>
      </c>
      <c r="O263" s="10">
        <v>0</v>
      </c>
    </row>
    <row r="264" spans="1:15" ht="17" x14ac:dyDescent="0.2">
      <c r="A264" s="5" t="str">
        <v>Parag Parikh Mutual Fund</v>
      </c>
      <c r="B264" s="5" t="str">
        <v>AAAA9991</v>
      </c>
      <c r="C264" s="5" t="str">
        <v>AAAAA1111A</v>
      </c>
      <c r="D264" s="6" t="str">
        <v>Parag Parikh Flexi Cap Fund - Direct Growth</v>
      </c>
      <c r="E264" s="6" t="str">
        <v>DIRECT</v>
      </c>
      <c r="F264" s="6" t="str">
        <v>CAMS</v>
      </c>
      <c r="G264" s="6">
        <v>122639</v>
      </c>
      <c r="H264" s="7">
        <v>40715</v>
      </c>
      <c r="I264" s="6" t="str">
        <v>Purchase - SIP</v>
      </c>
      <c r="J264" s="8">
        <v>5000</v>
      </c>
      <c r="K264" s="9">
        <v>214.51900000000001</v>
      </c>
      <c r="L264" s="9">
        <v>23.308</v>
      </c>
      <c r="M264" s="9">
        <v>3602.1190000000001</v>
      </c>
      <c r="N264" s="5" t="str">
        <v>PURCHASE_SIP</v>
      </c>
      <c r="O264" s="10">
        <v>0</v>
      </c>
    </row>
    <row r="265" spans="1:15" ht="17" x14ac:dyDescent="0.2">
      <c r="A265" s="5" t="str">
        <v>Parag Parikh Mutual Fund</v>
      </c>
      <c r="B265" s="5" t="str">
        <v>AAAA9991</v>
      </c>
      <c r="C265" s="5" t="str">
        <v>AAAAA1111A</v>
      </c>
      <c r="D265" s="6" t="str">
        <v>Parag Parikh Flexi Cap Fund - Direct Growth</v>
      </c>
      <c r="E265" s="6" t="str">
        <v>DIRECT</v>
      </c>
      <c r="F265" s="6" t="str">
        <v>CAMS</v>
      </c>
      <c r="G265" s="6">
        <v>122639</v>
      </c>
      <c r="H265" s="7">
        <v>40745</v>
      </c>
      <c r="I265" s="6" t="str">
        <v>Purchase - SIP</v>
      </c>
      <c r="J265" s="8">
        <v>5000</v>
      </c>
      <c r="K265" s="9">
        <v>218.57400000000001</v>
      </c>
      <c r="L265" s="9">
        <v>22.875599999999999</v>
      </c>
      <c r="M265" s="9">
        <v>3820.692</v>
      </c>
      <c r="N265" s="5" t="str">
        <v>PURCHASE_SIP</v>
      </c>
      <c r="O265" s="10">
        <v>0</v>
      </c>
    </row>
    <row r="266" spans="1:15" ht="17" x14ac:dyDescent="0.2">
      <c r="A266" s="5" t="str">
        <v>Parag Parikh Mutual Fund</v>
      </c>
      <c r="B266" s="5" t="str">
        <v>AAAA9991</v>
      </c>
      <c r="C266" s="5" t="str">
        <v>AAAAA1111A</v>
      </c>
      <c r="D266" s="6" t="str">
        <v>Parag Parikh Flexi Cap Fund - Direct Growth</v>
      </c>
      <c r="E266" s="6" t="str">
        <v>DIRECT</v>
      </c>
      <c r="F266" s="6" t="str">
        <v>CAMS</v>
      </c>
      <c r="G266" s="6">
        <v>122639</v>
      </c>
      <c r="H266" s="7">
        <v>40775</v>
      </c>
      <c r="I266" s="6" t="str">
        <v>Purchase - SIP</v>
      </c>
      <c r="J266" s="8">
        <v>5000</v>
      </c>
      <c r="K266" s="9">
        <v>222.05</v>
      </c>
      <c r="L266" s="9">
        <v>22.517499999999998</v>
      </c>
      <c r="M266" s="9">
        <v>4042.7420000000002</v>
      </c>
      <c r="N266" s="5" t="str">
        <v>PURCHASE_SIP</v>
      </c>
      <c r="O266" s="10">
        <v>0</v>
      </c>
    </row>
    <row r="267" spans="1:15" ht="17" x14ac:dyDescent="0.2">
      <c r="A267" s="5" t="str">
        <v>Parag Parikh Mutual Fund</v>
      </c>
      <c r="B267" s="5" t="str">
        <v>AAAA9991</v>
      </c>
      <c r="C267" s="5" t="str">
        <v>AAAAA1111A</v>
      </c>
      <c r="D267" s="6" t="str">
        <v>Parag Parikh Flexi Cap Fund - Direct Growth</v>
      </c>
      <c r="E267" s="6" t="str">
        <v>DIRECT</v>
      </c>
      <c r="F267" s="6" t="str">
        <v>CAMS</v>
      </c>
      <c r="G267" s="6">
        <v>122639</v>
      </c>
      <c r="H267" s="7">
        <v>40775</v>
      </c>
      <c r="I267" s="6" t="str">
        <v>Dividend Paid</v>
      </c>
      <c r="J267" s="8">
        <v>2021.37</v>
      </c>
      <c r="K267" s="9">
        <v>0</v>
      </c>
      <c r="L267" s="9">
        <v>0</v>
      </c>
      <c r="M267" s="9">
        <v>4042.7420000000002</v>
      </c>
      <c r="N267" s="5" t="str">
        <v>DIVIDEND_PAYOUT</v>
      </c>
      <c r="O267" s="10">
        <v>2021.37</v>
      </c>
    </row>
    <row r="268" spans="1:15" ht="17" x14ac:dyDescent="0.2">
      <c r="A268" s="5" t="str">
        <v>Parag Parikh Mutual Fund</v>
      </c>
      <c r="B268" s="5" t="str">
        <v>AAAA9991</v>
      </c>
      <c r="C268" s="5" t="str">
        <v>AAAAA1111A</v>
      </c>
      <c r="D268" s="6" t="str">
        <v>Parag Parikh Flexi Cap Fund - Direct Growth</v>
      </c>
      <c r="E268" s="6" t="str">
        <v>DIRECT</v>
      </c>
      <c r="F268" s="6" t="str">
        <v>CAMS</v>
      </c>
      <c r="G268" s="6">
        <v>122639</v>
      </c>
      <c r="H268" s="7">
        <v>40805</v>
      </c>
      <c r="I268" s="6" t="str">
        <v>Purchase - SIP</v>
      </c>
      <c r="J268" s="8">
        <v>5000</v>
      </c>
      <c r="K268" s="9">
        <v>223.57900000000001</v>
      </c>
      <c r="L268" s="9">
        <v>22.363499999999998</v>
      </c>
      <c r="M268" s="9">
        <v>4266.3209999999999</v>
      </c>
      <c r="N268" s="5" t="str">
        <v>PURCHASE_SIP</v>
      </c>
      <c r="O268" s="10">
        <v>0</v>
      </c>
    </row>
    <row r="269" spans="1:15" ht="17" x14ac:dyDescent="0.2">
      <c r="A269" s="5" t="str">
        <v>Parag Parikh Mutual Fund</v>
      </c>
      <c r="B269" s="5" t="str">
        <v>AAAA9991</v>
      </c>
      <c r="C269" s="5" t="str">
        <v>AAAAA1111A</v>
      </c>
      <c r="D269" s="6" t="str">
        <v>Parag Parikh Flexi Cap Fund - Direct Growth</v>
      </c>
      <c r="E269" s="6" t="str">
        <v>DIRECT</v>
      </c>
      <c r="F269" s="6" t="str">
        <v>CAMS</v>
      </c>
      <c r="G269" s="6">
        <v>122639</v>
      </c>
      <c r="H269" s="7">
        <v>40805</v>
      </c>
      <c r="I269" s="6" t="str">
        <v>STT TAX</v>
      </c>
      <c r="J269" s="8">
        <v>2.5</v>
      </c>
      <c r="K269" s="9">
        <v>0</v>
      </c>
      <c r="L269" s="9">
        <v>0</v>
      </c>
      <c r="M269" s="9">
        <v>4266.3209999999999</v>
      </c>
      <c r="N269" s="5" t="str">
        <v>STT_TAX</v>
      </c>
      <c r="O269" s="10">
        <v>0</v>
      </c>
    </row>
    <row r="270" spans="1:15" ht="17" x14ac:dyDescent="0.2">
      <c r="A270" s="5" t="str">
        <v>Parag Parikh Mutual Fund</v>
      </c>
      <c r="B270" s="5" t="str">
        <v>AAAA9991</v>
      </c>
      <c r="C270" s="5" t="str">
        <v>AAAAA1111A</v>
      </c>
      <c r="D270" s="6" t="str">
        <v>Parag Parikh Flexi Cap Fund - Direct Growth</v>
      </c>
      <c r="E270" s="6" t="str">
        <v>DIRECT</v>
      </c>
      <c r="F270" s="6" t="str">
        <v>CAMS</v>
      </c>
      <c r="G270" s="6">
        <v>122639</v>
      </c>
      <c r="H270" s="7">
        <v>40835</v>
      </c>
      <c r="I270" s="6" t="str">
        <v>Purchase - SIP</v>
      </c>
      <c r="J270" s="8">
        <v>5000</v>
      </c>
      <c r="K270" s="9">
        <v>225.90199999999999</v>
      </c>
      <c r="L270" s="9">
        <v>22.133500000000002</v>
      </c>
      <c r="M270" s="9">
        <v>4492.223</v>
      </c>
      <c r="N270" s="5" t="str">
        <v>PURCHASE_SIP</v>
      </c>
      <c r="O270" s="10">
        <v>0</v>
      </c>
    </row>
    <row r="271" spans="1:15" ht="17" x14ac:dyDescent="0.2">
      <c r="A271" s="5" t="str">
        <v>Parag Parikh Mutual Fund</v>
      </c>
      <c r="B271" s="5" t="str">
        <v>AAAA9991</v>
      </c>
      <c r="C271" s="5" t="str">
        <v>AAAAA1111A</v>
      </c>
      <c r="D271" s="6" t="str">
        <v>Parag Parikh Flexi Cap Fund - Direct Growth</v>
      </c>
      <c r="E271" s="6" t="str">
        <v>DIRECT</v>
      </c>
      <c r="F271" s="6" t="str">
        <v>CAMS</v>
      </c>
      <c r="G271" s="6">
        <v>122639</v>
      </c>
      <c r="H271" s="7">
        <v>40865</v>
      </c>
      <c r="I271" s="6" t="str">
        <v>Purchase - SIP</v>
      </c>
      <c r="J271" s="8">
        <v>5000</v>
      </c>
      <c r="K271" s="9">
        <v>230.256</v>
      </c>
      <c r="L271" s="9">
        <v>21.7149</v>
      </c>
      <c r="M271" s="9">
        <v>4722.4799999999996</v>
      </c>
      <c r="N271" s="5" t="str">
        <v>PURCHASE_SIP</v>
      </c>
      <c r="O271" s="10">
        <v>0</v>
      </c>
    </row>
    <row r="272" spans="1:15" ht="17" x14ac:dyDescent="0.2">
      <c r="A272" s="5" t="str">
        <v>Parag Parikh Mutual Fund</v>
      </c>
      <c r="B272" s="5" t="str">
        <v>AAAA9991</v>
      </c>
      <c r="C272" s="5" t="str">
        <v>AAAAA1111A</v>
      </c>
      <c r="D272" s="6" t="str">
        <v>Parag Parikh Flexi Cap Fund - Direct Growth</v>
      </c>
      <c r="E272" s="6" t="str">
        <v>DIRECT</v>
      </c>
      <c r="F272" s="6" t="str">
        <v>CAMS</v>
      </c>
      <c r="G272" s="6">
        <v>122639</v>
      </c>
      <c r="H272" s="7">
        <v>40895</v>
      </c>
      <c r="I272" s="6" t="str">
        <v>Purchase - SIP</v>
      </c>
      <c r="J272" s="8">
        <v>5000</v>
      </c>
      <c r="K272" s="9">
        <v>234.155</v>
      </c>
      <c r="L272" s="9">
        <v>21.353400000000001</v>
      </c>
      <c r="M272" s="9">
        <v>4956.6350000000002</v>
      </c>
      <c r="N272" s="5" t="str">
        <v>PURCHASE_SIP</v>
      </c>
      <c r="O272" s="10">
        <v>0</v>
      </c>
    </row>
    <row r="273" spans="1:15" ht="17" x14ac:dyDescent="0.2">
      <c r="A273" s="5" t="str">
        <v>Parag Parikh Mutual Fund</v>
      </c>
      <c r="B273" s="5" t="str">
        <v>AAAA9991</v>
      </c>
      <c r="C273" s="5" t="str">
        <v>AAAAA1111A</v>
      </c>
      <c r="D273" s="6" t="str">
        <v>Parag Parikh Flexi Cap Fund - Direct Growth</v>
      </c>
      <c r="E273" s="6" t="str">
        <v>DIRECT</v>
      </c>
      <c r="F273" s="6" t="str">
        <v>CAMS</v>
      </c>
      <c r="G273" s="6">
        <v>122639</v>
      </c>
      <c r="H273" s="7">
        <v>40925</v>
      </c>
      <c r="I273" s="6" t="str">
        <v>Purchase - SIP</v>
      </c>
      <c r="J273" s="8">
        <v>5000</v>
      </c>
      <c r="K273" s="9">
        <v>234.64599999999999</v>
      </c>
      <c r="L273" s="9">
        <v>21.308700000000002</v>
      </c>
      <c r="M273" s="9">
        <v>5191.2809999999999</v>
      </c>
      <c r="N273" s="5" t="str">
        <v>PURCHASE_SIP</v>
      </c>
      <c r="O273" s="10">
        <v>0</v>
      </c>
    </row>
    <row r="274" spans="1:15" ht="17" x14ac:dyDescent="0.2">
      <c r="A274" s="5" t="str">
        <v>Parag Parikh Mutual Fund</v>
      </c>
      <c r="B274" s="5" t="str">
        <v>AAAA9991</v>
      </c>
      <c r="C274" s="5" t="str">
        <v>AAAAA1111A</v>
      </c>
      <c r="D274" s="6" t="str">
        <v>Parag Parikh Flexi Cap Fund - Direct Growth</v>
      </c>
      <c r="E274" s="6" t="str">
        <v>DIRECT</v>
      </c>
      <c r="F274" s="6" t="str">
        <v>CAMS</v>
      </c>
      <c r="G274" s="6">
        <v>122639</v>
      </c>
      <c r="H274" s="7">
        <v>40925</v>
      </c>
      <c r="I274" s="6" t="str">
        <v>Dividend Paid</v>
      </c>
      <c r="J274" s="8">
        <v>2595.64</v>
      </c>
      <c r="K274" s="9">
        <v>0</v>
      </c>
      <c r="L274" s="9">
        <v>0</v>
      </c>
      <c r="M274" s="9">
        <v>5191.2809999999999</v>
      </c>
      <c r="N274" s="5" t="str">
        <v>DIVIDEND_PAYOUT</v>
      </c>
      <c r="O274" s="10">
        <v>2595.64</v>
      </c>
    </row>
    <row r="275" spans="1:15" ht="17" x14ac:dyDescent="0.2">
      <c r="A275" s="5" t="str">
        <v>Parag Parikh Mutual Fund</v>
      </c>
      <c r="B275" s="5" t="str">
        <v>AAAA9991</v>
      </c>
      <c r="C275" s="5" t="str">
        <v>AAAAA1111A</v>
      </c>
      <c r="D275" s="6" t="str">
        <v>Parag Parikh Flexi Cap Fund - Direct Growth</v>
      </c>
      <c r="E275" s="6" t="str">
        <v>DIRECT</v>
      </c>
      <c r="F275" s="6" t="str">
        <v>CAMS</v>
      </c>
      <c r="G275" s="6">
        <v>122639</v>
      </c>
      <c r="H275" s="7">
        <v>40955</v>
      </c>
      <c r="I275" s="6" t="str">
        <v>Purchase - SIP</v>
      </c>
      <c r="J275" s="8">
        <v>5000</v>
      </c>
      <c r="K275" s="9">
        <v>229.37200000000001</v>
      </c>
      <c r="L275" s="9">
        <v>21.7987</v>
      </c>
      <c r="M275" s="9">
        <v>5420.652</v>
      </c>
      <c r="N275" s="5" t="str">
        <v>PURCHASE_SIP</v>
      </c>
      <c r="O275" s="10">
        <v>0</v>
      </c>
    </row>
    <row r="276" spans="1:15" ht="17" x14ac:dyDescent="0.2">
      <c r="A276" s="5" t="str">
        <v>Parag Parikh Mutual Fund</v>
      </c>
      <c r="B276" s="5" t="str">
        <v>AAAA9991</v>
      </c>
      <c r="C276" s="5" t="str">
        <v>AAAAA1111A</v>
      </c>
      <c r="D276" s="6" t="str">
        <v>Parag Parikh Flexi Cap Fund - Direct Growth</v>
      </c>
      <c r="E276" s="6" t="str">
        <v>DIRECT</v>
      </c>
      <c r="F276" s="6" t="str">
        <v>CAMS</v>
      </c>
      <c r="G276" s="6">
        <v>122639</v>
      </c>
      <c r="H276" s="7">
        <v>40955</v>
      </c>
      <c r="I276" s="6" t="str">
        <v>STT TAX</v>
      </c>
      <c r="J276" s="8">
        <v>2.5</v>
      </c>
      <c r="K276" s="9">
        <v>0</v>
      </c>
      <c r="L276" s="9">
        <v>0</v>
      </c>
      <c r="M276" s="9">
        <v>5420.652</v>
      </c>
      <c r="N276" s="5" t="str">
        <v>STT_TAX</v>
      </c>
      <c r="O276" s="10">
        <v>0</v>
      </c>
    </row>
    <row r="277" spans="1:15" ht="17" x14ac:dyDescent="0.2">
      <c r="A277" s="5" t="str">
        <v>Parag Parikh Mutual Fund</v>
      </c>
      <c r="B277" s="5" t="str">
        <v>AAAA9991</v>
      </c>
      <c r="C277" s="5" t="str">
        <v>AAAAA1111A</v>
      </c>
      <c r="D277" s="6" t="str">
        <v>Parag Parikh Flexi Cap Fund - Direct Growth</v>
      </c>
      <c r="E277" s="6" t="str">
        <v>DIRECT</v>
      </c>
      <c r="F277" s="6" t="str">
        <v>CAMS</v>
      </c>
      <c r="G277" s="6">
        <v>122639</v>
      </c>
      <c r="H277" s="7">
        <v>40985</v>
      </c>
      <c r="I277" s="6" t="str">
        <v>Purchase - SIP</v>
      </c>
      <c r="J277" s="8">
        <v>5000</v>
      </c>
      <c r="K277" s="9">
        <v>231.69</v>
      </c>
      <c r="L277" s="9">
        <v>21.580500000000001</v>
      </c>
      <c r="M277" s="9">
        <v>5652.3419999999996</v>
      </c>
      <c r="N277" s="5" t="str">
        <v>PURCHASE_SIP</v>
      </c>
      <c r="O277" s="10">
        <v>0</v>
      </c>
    </row>
    <row r="278" spans="1:15" ht="17" x14ac:dyDescent="0.2">
      <c r="A278" s="5" t="str">
        <v>Parag Parikh Mutual Fund</v>
      </c>
      <c r="B278" s="5" t="str">
        <v>AAAA9991</v>
      </c>
      <c r="C278" s="5" t="str">
        <v>AAAAA1111A</v>
      </c>
      <c r="D278" s="6" t="str">
        <v>Parag Parikh Flexi Cap Fund - Direct Growth</v>
      </c>
      <c r="E278" s="6" t="str">
        <v>DIRECT</v>
      </c>
      <c r="F278" s="6" t="str">
        <v>CAMS</v>
      </c>
      <c r="G278" s="6">
        <v>122639</v>
      </c>
      <c r="H278" s="7">
        <v>41015</v>
      </c>
      <c r="I278" s="6" t="str">
        <v>Purchase - SIP</v>
      </c>
      <c r="J278" s="8">
        <v>5000</v>
      </c>
      <c r="K278" s="9">
        <v>225.51400000000001</v>
      </c>
      <c r="L278" s="9">
        <v>22.171600000000002</v>
      </c>
      <c r="M278" s="9">
        <v>5877.8559999999998</v>
      </c>
      <c r="N278" s="5" t="str">
        <v>PURCHASE_SIP</v>
      </c>
      <c r="O278" s="10">
        <v>0</v>
      </c>
    </row>
    <row r="279" spans="1:15" ht="17" x14ac:dyDescent="0.2">
      <c r="A279" s="5" t="str">
        <v>Parag Parikh Mutual Fund</v>
      </c>
      <c r="B279" s="5" t="str">
        <v>AAAA9991</v>
      </c>
      <c r="C279" s="5" t="str">
        <v>AAAAA1111A</v>
      </c>
      <c r="D279" s="6" t="str">
        <v>Parag Parikh Flexi Cap Fund - Direct Growth</v>
      </c>
      <c r="E279" s="6" t="str">
        <v>DIRECT</v>
      </c>
      <c r="F279" s="6" t="str">
        <v>CAMS</v>
      </c>
      <c r="G279" s="6">
        <v>122639</v>
      </c>
      <c r="H279" s="7">
        <v>41045</v>
      </c>
      <c r="I279" s="6" t="str">
        <v>Purchase - SIP</v>
      </c>
      <c r="J279" s="8">
        <v>5000</v>
      </c>
      <c r="K279" s="9">
        <v>224.30600000000001</v>
      </c>
      <c r="L279" s="9">
        <v>22.290900000000001</v>
      </c>
      <c r="M279" s="9">
        <v>6102.1629999999996</v>
      </c>
      <c r="N279" s="5" t="str">
        <v>PURCHASE_SIP</v>
      </c>
      <c r="O279" s="10">
        <v>0</v>
      </c>
    </row>
    <row r="280" spans="1:15" ht="17" x14ac:dyDescent="0.2">
      <c r="A280" s="5" t="str">
        <v>Parag Parikh Mutual Fund</v>
      </c>
      <c r="B280" s="5" t="str">
        <v>AAAA9991</v>
      </c>
      <c r="C280" s="5" t="str">
        <v>AAAAA1111A</v>
      </c>
      <c r="D280" s="6" t="str">
        <v>Parag Parikh Flexi Cap Fund - Direct Growth</v>
      </c>
      <c r="E280" s="6" t="str">
        <v>DIRECT</v>
      </c>
      <c r="F280" s="6" t="str">
        <v>CAMS</v>
      </c>
      <c r="G280" s="6">
        <v>122639</v>
      </c>
      <c r="H280" s="7">
        <v>41075</v>
      </c>
      <c r="I280" s="6" t="str">
        <v>Purchase - SIP</v>
      </c>
      <c r="J280" s="8">
        <v>5000</v>
      </c>
      <c r="K280" s="9">
        <v>227.15700000000001</v>
      </c>
      <c r="L280" s="9">
        <v>22.011199999999999</v>
      </c>
      <c r="M280" s="9">
        <v>6329.32</v>
      </c>
      <c r="N280" s="5" t="str">
        <v>PURCHASE_SIP</v>
      </c>
      <c r="O280" s="10">
        <v>0</v>
      </c>
    </row>
    <row r="281" spans="1:15" ht="17" x14ac:dyDescent="0.2">
      <c r="A281" s="5" t="str">
        <v>Parag Parikh Mutual Fund</v>
      </c>
      <c r="B281" s="5" t="str">
        <v>AAAA9991</v>
      </c>
      <c r="C281" s="5" t="str">
        <v>AAAAA1111A</v>
      </c>
      <c r="D281" s="6" t="str">
        <v>Parag Parikh Flexi Cap Fund - Direct Growth</v>
      </c>
      <c r="E281" s="6" t="str">
        <v>DIRECT</v>
      </c>
      <c r="F281" s="6" t="str">
        <v>CAMS</v>
      </c>
      <c r="G281" s="6">
        <v>122639</v>
      </c>
      <c r="H281" s="7">
        <v>41105</v>
      </c>
      <c r="I281" s="6" t="str">
        <v>Purchase - SIP</v>
      </c>
      <c r="J281" s="8">
        <v>5000</v>
      </c>
      <c r="K281" s="9">
        <v>225.119</v>
      </c>
      <c r="L281" s="9">
        <v>22.2105</v>
      </c>
      <c r="M281" s="9">
        <v>6554.4390000000003</v>
      </c>
      <c r="N281" s="5" t="str">
        <v>PURCHASE_SIP</v>
      </c>
      <c r="O281" s="10">
        <v>0</v>
      </c>
    </row>
    <row r="282" spans="1:15" ht="17" x14ac:dyDescent="0.2">
      <c r="A282" s="5" t="str">
        <v>Parag Parikh Mutual Fund</v>
      </c>
      <c r="B282" s="5" t="str">
        <v>AAAA9991</v>
      </c>
      <c r="C282" s="5" t="str">
        <v>AAAAA1111A</v>
      </c>
      <c r="D282" s="6" t="str">
        <v>Parag Parikh Flexi Cap Fund - Direct Growth</v>
      </c>
      <c r="E282" s="6" t="str">
        <v>DIRECT</v>
      </c>
      <c r="F282" s="6" t="str">
        <v>CAMS</v>
      </c>
      <c r="G282" s="6">
        <v>122639</v>
      </c>
      <c r="H282" s="7">
        <v>41135</v>
      </c>
      <c r="I282" s="6" t="str">
        <v>Purchase - SIP</v>
      </c>
      <c r="J282" s="8">
        <v>5000</v>
      </c>
      <c r="K282" s="9">
        <v>220.452</v>
      </c>
      <c r="L282" s="9">
        <v>22.680599999999998</v>
      </c>
      <c r="M282" s="9">
        <v>6774.8919999999998</v>
      </c>
      <c r="N282" s="5" t="str">
        <v>PURCHASE_SIP</v>
      </c>
      <c r="O282" s="10">
        <v>0</v>
      </c>
    </row>
    <row r="283" spans="1:15" ht="17" x14ac:dyDescent="0.2">
      <c r="A283" s="5" t="str">
        <v>Parag Parikh Mutual Fund</v>
      </c>
      <c r="B283" s="5" t="str">
        <v>AAAA9991</v>
      </c>
      <c r="C283" s="5" t="str">
        <v>AAAAA1111A</v>
      </c>
      <c r="D283" s="6" t="str">
        <v>Parag Parikh Flexi Cap Fund - Direct Growth</v>
      </c>
      <c r="E283" s="6" t="str">
        <v>DIRECT</v>
      </c>
      <c r="F283" s="6" t="str">
        <v>CAMS</v>
      </c>
      <c r="G283" s="6">
        <v>122639</v>
      </c>
      <c r="H283" s="7">
        <v>41135</v>
      </c>
      <c r="I283" s="6" t="str">
        <v>STAMP DUTY</v>
      </c>
      <c r="J283" s="8">
        <v>2.5</v>
      </c>
      <c r="K283" s="9">
        <v>0</v>
      </c>
      <c r="L283" s="9">
        <v>0</v>
      </c>
      <c r="M283" s="9">
        <v>6774.8919999999998</v>
      </c>
      <c r="N283" s="5" t="str">
        <v>STAMP_DUTY</v>
      </c>
      <c r="O283" s="10">
        <v>0</v>
      </c>
    </row>
    <row r="284" spans="1:15" ht="17" x14ac:dyDescent="0.2">
      <c r="A284" s="5" t="str">
        <v>Parag Parikh Mutual Fund</v>
      </c>
      <c r="B284" s="5" t="str">
        <v>AAAA9991</v>
      </c>
      <c r="C284" s="5" t="str">
        <v>AAAAA1111A</v>
      </c>
      <c r="D284" s="6" t="str">
        <v>Parag Parikh Flexi Cap Fund - Direct Growth</v>
      </c>
      <c r="E284" s="6" t="str">
        <v>DIRECT</v>
      </c>
      <c r="F284" s="6" t="str">
        <v>CAMS</v>
      </c>
      <c r="G284" s="6">
        <v>122639</v>
      </c>
      <c r="H284" s="7">
        <v>41165</v>
      </c>
      <c r="I284" s="6" t="str">
        <v>Purchase - SIP</v>
      </c>
      <c r="J284" s="8">
        <v>5000</v>
      </c>
      <c r="K284" s="9">
        <v>216.94800000000001</v>
      </c>
      <c r="L284" s="9">
        <v>23.047000000000001</v>
      </c>
      <c r="M284" s="9">
        <v>6991.8389999999999</v>
      </c>
      <c r="N284" s="5" t="str">
        <v>PURCHASE_SIP</v>
      </c>
      <c r="O284" s="10">
        <v>0</v>
      </c>
    </row>
    <row r="285" spans="1:15" ht="17" x14ac:dyDescent="0.2">
      <c r="A285" s="5" t="str">
        <v>Parag Parikh Mutual Fund</v>
      </c>
      <c r="B285" s="5" t="str">
        <v>AAAA9991</v>
      </c>
      <c r="C285" s="5" t="str">
        <v>AAAAA1111A</v>
      </c>
      <c r="D285" s="6" t="str">
        <v>Parag Parikh Flexi Cap Fund - Direct Growth</v>
      </c>
      <c r="E285" s="6" t="str">
        <v>DIRECT</v>
      </c>
      <c r="F285" s="6" t="str">
        <v>CAMS</v>
      </c>
      <c r="G285" s="6">
        <v>122639</v>
      </c>
      <c r="H285" s="7">
        <v>41195</v>
      </c>
      <c r="I285" s="6" t="str">
        <v>Purchase - SIP</v>
      </c>
      <c r="J285" s="8">
        <v>5000</v>
      </c>
      <c r="K285" s="9">
        <v>216.661</v>
      </c>
      <c r="L285" s="9">
        <v>23.077500000000001</v>
      </c>
      <c r="M285" s="9">
        <v>7208.5010000000002</v>
      </c>
      <c r="N285" s="5" t="str">
        <v>PURCHASE_SIP</v>
      </c>
      <c r="O285" s="10">
        <v>0</v>
      </c>
    </row>
    <row r="286" spans="1:15" ht="17" x14ac:dyDescent="0.2">
      <c r="A286" s="5" t="str">
        <v>Parag Parikh Mutual Fund</v>
      </c>
      <c r="B286" s="5" t="str">
        <v>AAAA9991</v>
      </c>
      <c r="C286" s="5" t="str">
        <v>AAAAA1111A</v>
      </c>
      <c r="D286" s="6" t="str">
        <v>Parag Parikh Flexi Cap Fund - Direct Growth</v>
      </c>
      <c r="E286" s="6" t="str">
        <v>DIRECT</v>
      </c>
      <c r="F286" s="6" t="str">
        <v>CAMS</v>
      </c>
      <c r="G286" s="6">
        <v>122639</v>
      </c>
      <c r="H286" s="7">
        <v>41225</v>
      </c>
      <c r="I286" s="6" t="str">
        <v>Purchase - SIP</v>
      </c>
      <c r="J286" s="8">
        <v>5000</v>
      </c>
      <c r="K286" s="9">
        <v>215.30799999999999</v>
      </c>
      <c r="L286" s="9">
        <v>23.2225</v>
      </c>
      <c r="M286" s="9">
        <v>7423.8090000000002</v>
      </c>
      <c r="N286" s="5" t="str">
        <v>PURCHASE_SIP</v>
      </c>
      <c r="O286" s="10">
        <v>0</v>
      </c>
    </row>
    <row r="287" spans="1:15" ht="17" x14ac:dyDescent="0.2">
      <c r="A287" s="5" t="str">
        <v>Parag Parikh Mutual Fund</v>
      </c>
      <c r="B287" s="5" t="str">
        <v>AAAA9991</v>
      </c>
      <c r="C287" s="5" t="str">
        <v>AAAAA1111A</v>
      </c>
      <c r="D287" s="6" t="str">
        <v>Parag Parikh Flexi Cap Fund - Direct Growth</v>
      </c>
      <c r="E287" s="6" t="str">
        <v>DIRECT</v>
      </c>
      <c r="F287" s="6" t="str">
        <v>CAMS</v>
      </c>
      <c r="G287" s="6">
        <v>122639</v>
      </c>
      <c r="H287" s="7">
        <v>41225</v>
      </c>
      <c r="I287" s="6" t="str">
        <v>STAMP DUTY</v>
      </c>
      <c r="J287" s="8">
        <v>2.5</v>
      </c>
      <c r="K287" s="9">
        <v>0</v>
      </c>
      <c r="L287" s="9">
        <v>0</v>
      </c>
      <c r="M287" s="9">
        <v>7423.8090000000002</v>
      </c>
      <c r="N287" s="5" t="str">
        <v>STAMP_DUTY</v>
      </c>
      <c r="O287" s="10">
        <v>0</v>
      </c>
    </row>
    <row r="288" spans="1:15" ht="17" x14ac:dyDescent="0.2">
      <c r="A288" s="5" t="str">
        <v>Parag Parikh Mutual Fund</v>
      </c>
      <c r="B288" s="5" t="str">
        <v>AAAA9991</v>
      </c>
      <c r="C288" s="5" t="str">
        <v>AAAAA1111A</v>
      </c>
      <c r="D288" s="6" t="str">
        <v>Parag Parikh Flexi Cap Fund - Direct Growth</v>
      </c>
      <c r="E288" s="6" t="str">
        <v>DIRECT</v>
      </c>
      <c r="F288" s="6" t="str">
        <v>CAMS</v>
      </c>
      <c r="G288" s="6">
        <v>122639</v>
      </c>
      <c r="H288" s="7">
        <v>41255</v>
      </c>
      <c r="I288" s="6" t="str">
        <v>Purchase - SIP</v>
      </c>
      <c r="J288" s="8">
        <v>5000</v>
      </c>
      <c r="K288" s="9">
        <v>210.072</v>
      </c>
      <c r="L288" s="9">
        <v>23.801300000000001</v>
      </c>
      <c r="M288" s="9">
        <v>7633.8810000000003</v>
      </c>
      <c r="N288" s="5" t="str">
        <v>PURCHASE_SIP</v>
      </c>
      <c r="O288" s="10">
        <v>0</v>
      </c>
    </row>
    <row r="289" spans="1:15" ht="17" x14ac:dyDescent="0.2">
      <c r="A289" s="5" t="str">
        <v>Parag Parikh Mutual Fund</v>
      </c>
      <c r="B289" s="5" t="str">
        <v>AAAA9991</v>
      </c>
      <c r="C289" s="5" t="str">
        <v>AAAAA1111A</v>
      </c>
      <c r="D289" s="6" t="str">
        <v>Parag Parikh Flexi Cap Fund - Direct Growth</v>
      </c>
      <c r="E289" s="6" t="str">
        <v>DIRECT</v>
      </c>
      <c r="F289" s="6" t="str">
        <v>CAMS</v>
      </c>
      <c r="G289" s="6">
        <v>122639</v>
      </c>
      <c r="H289" s="7">
        <v>41285</v>
      </c>
      <c r="I289" s="6" t="str">
        <v>Purchase - SIP</v>
      </c>
      <c r="J289" s="8">
        <v>5000</v>
      </c>
      <c r="K289" s="9">
        <v>207.52099999999999</v>
      </c>
      <c r="L289" s="9">
        <v>24.094000000000001</v>
      </c>
      <c r="M289" s="9">
        <v>7841.402</v>
      </c>
      <c r="N289" s="5" t="str">
        <v>PURCHASE_SIP</v>
      </c>
      <c r="O289" s="10">
        <v>0</v>
      </c>
    </row>
    <row r="290" spans="1:15" ht="17" x14ac:dyDescent="0.2">
      <c r="A290" s="5" t="str">
        <v>Parag Parikh Mutual Fund</v>
      </c>
      <c r="B290" s="5" t="str">
        <v>AAAA9991</v>
      </c>
      <c r="C290" s="5" t="str">
        <v>AAAAA1111A</v>
      </c>
      <c r="D290" s="6" t="str">
        <v>Parag Parikh Flexi Cap Fund - Direct Growth</v>
      </c>
      <c r="E290" s="6" t="str">
        <v>DIRECT</v>
      </c>
      <c r="F290" s="6" t="str">
        <v>CAMS</v>
      </c>
      <c r="G290" s="6">
        <v>122639</v>
      </c>
      <c r="H290" s="7">
        <v>41285</v>
      </c>
      <c r="I290" s="6" t="str">
        <v>STT TAX</v>
      </c>
      <c r="J290" s="8">
        <v>2.5</v>
      </c>
      <c r="K290" s="9">
        <v>0</v>
      </c>
      <c r="L290" s="9">
        <v>0</v>
      </c>
      <c r="M290" s="9">
        <v>7841.402</v>
      </c>
      <c r="N290" s="5" t="str">
        <v>STT_TAX</v>
      </c>
      <c r="O290" s="10">
        <v>0</v>
      </c>
    </row>
    <row r="291" spans="1:15" ht="17" x14ac:dyDescent="0.2">
      <c r="A291" s="5" t="str">
        <v>Parag Parikh Mutual Fund</v>
      </c>
      <c r="B291" s="5" t="str">
        <v>AAAA9991</v>
      </c>
      <c r="C291" s="5" t="str">
        <v>AAAAA1111A</v>
      </c>
      <c r="D291" s="6" t="str">
        <v>Parag Parikh Flexi Cap Fund - Direct Growth</v>
      </c>
      <c r="E291" s="6" t="str">
        <v>DIRECT</v>
      </c>
      <c r="F291" s="6" t="str">
        <v>CAMS</v>
      </c>
      <c r="G291" s="6">
        <v>122639</v>
      </c>
      <c r="H291" s="7">
        <v>41315</v>
      </c>
      <c r="I291" s="6" t="str">
        <v>Purchase - SIP</v>
      </c>
      <c r="J291" s="8">
        <v>5000</v>
      </c>
      <c r="K291" s="9">
        <v>206.453</v>
      </c>
      <c r="L291" s="9">
        <v>24.218599999999999</v>
      </c>
      <c r="M291" s="9">
        <v>8047.8549999999996</v>
      </c>
      <c r="N291" s="5" t="str">
        <v>PURCHASE_SIP</v>
      </c>
      <c r="O291" s="10">
        <v>0</v>
      </c>
    </row>
    <row r="292" spans="1:15" ht="17" x14ac:dyDescent="0.2">
      <c r="A292" s="5" t="str">
        <v>Parag Parikh Mutual Fund</v>
      </c>
      <c r="B292" s="5" t="str">
        <v>AAAA9991</v>
      </c>
      <c r="C292" s="5" t="str">
        <v>AAAAA1111A</v>
      </c>
      <c r="D292" s="6" t="str">
        <v>Parag Parikh Flexi Cap Fund - Direct Growth</v>
      </c>
      <c r="E292" s="6" t="str">
        <v>DIRECT</v>
      </c>
      <c r="F292" s="6" t="str">
        <v>CAMS</v>
      </c>
      <c r="G292" s="6">
        <v>122639</v>
      </c>
      <c r="H292" s="7">
        <v>41345</v>
      </c>
      <c r="I292" s="6" t="str">
        <v>Purchase - SIP</v>
      </c>
      <c r="J292" s="8">
        <v>5000</v>
      </c>
      <c r="K292" s="9">
        <v>205.75800000000001</v>
      </c>
      <c r="L292" s="9">
        <v>24.3004</v>
      </c>
      <c r="M292" s="9">
        <v>8253.6129999999994</v>
      </c>
      <c r="N292" s="5" t="str">
        <v>PURCHASE_SIP</v>
      </c>
      <c r="O292" s="10">
        <v>0</v>
      </c>
    </row>
    <row r="293" spans="1:15" ht="17" x14ac:dyDescent="0.2">
      <c r="A293" s="5" t="str">
        <v>Parag Parikh Mutual Fund</v>
      </c>
      <c r="B293" s="5" t="str">
        <v>AAAA9991</v>
      </c>
      <c r="C293" s="5" t="str">
        <v>AAAAA1111A</v>
      </c>
      <c r="D293" s="6" t="str">
        <v>Parag Parikh Flexi Cap Fund - Direct Growth</v>
      </c>
      <c r="E293" s="6" t="str">
        <v>DIRECT</v>
      </c>
      <c r="F293" s="6" t="str">
        <v>CAMS</v>
      </c>
      <c r="G293" s="6">
        <v>122639</v>
      </c>
      <c r="H293" s="7">
        <v>41345</v>
      </c>
      <c r="I293" s="6" t="str">
        <v>STT TAX</v>
      </c>
      <c r="J293" s="8">
        <v>2.5</v>
      </c>
      <c r="K293" s="9">
        <v>0</v>
      </c>
      <c r="L293" s="9">
        <v>0</v>
      </c>
      <c r="M293" s="9">
        <v>8253.6129999999994</v>
      </c>
      <c r="N293" s="5" t="str">
        <v>STT_TAX</v>
      </c>
      <c r="O293" s="10">
        <v>0</v>
      </c>
    </row>
    <row r="294" spans="1:15" ht="17" x14ac:dyDescent="0.2">
      <c r="A294" s="5" t="str">
        <v>Parag Parikh Mutual Fund</v>
      </c>
      <c r="B294" s="5" t="str">
        <v>AAAA9991</v>
      </c>
      <c r="C294" s="5" t="str">
        <v>AAAAA1111A</v>
      </c>
      <c r="D294" s="6" t="str">
        <v>Parag Parikh Flexi Cap Fund - Direct Growth</v>
      </c>
      <c r="E294" s="6" t="str">
        <v>DIRECT</v>
      </c>
      <c r="F294" s="6" t="str">
        <v>CAMS</v>
      </c>
      <c r="G294" s="6">
        <v>122639</v>
      </c>
      <c r="H294" s="7">
        <v>41375</v>
      </c>
      <c r="I294" s="6" t="str">
        <v>Purchase - SIP</v>
      </c>
      <c r="J294" s="8">
        <v>5000</v>
      </c>
      <c r="K294" s="9">
        <v>200.636</v>
      </c>
      <c r="L294" s="9">
        <v>24.9207</v>
      </c>
      <c r="M294" s="9">
        <v>8454.2489999999998</v>
      </c>
      <c r="N294" s="5" t="str">
        <v>PURCHASE_SIP</v>
      </c>
      <c r="O294" s="10">
        <v>0</v>
      </c>
    </row>
    <row r="295" spans="1:15" ht="17" x14ac:dyDescent="0.2">
      <c r="A295" s="5" t="str">
        <v>Parag Parikh Mutual Fund</v>
      </c>
      <c r="B295" s="5" t="str">
        <v>AAAA9991</v>
      </c>
      <c r="C295" s="5" t="str">
        <v>AAAAA1111A</v>
      </c>
      <c r="D295" s="6" t="str">
        <v>Parag Parikh Flexi Cap Fund - Direct Growth</v>
      </c>
      <c r="E295" s="6" t="str">
        <v>DIRECT</v>
      </c>
      <c r="F295" s="6" t="str">
        <v>CAMS</v>
      </c>
      <c r="G295" s="6">
        <v>122639</v>
      </c>
      <c r="H295" s="7">
        <v>41375</v>
      </c>
      <c r="I295" s="6" t="str">
        <v>STAMP DUTY</v>
      </c>
      <c r="J295" s="8">
        <v>2.5</v>
      </c>
      <c r="K295" s="9">
        <v>0</v>
      </c>
      <c r="L295" s="9">
        <v>0</v>
      </c>
      <c r="M295" s="9">
        <v>8454.2489999999998</v>
      </c>
      <c r="N295" s="5" t="str">
        <v>STAMP_DUTY</v>
      </c>
      <c r="O295" s="10">
        <v>0</v>
      </c>
    </row>
    <row r="296" spans="1:15" ht="17" x14ac:dyDescent="0.2">
      <c r="A296" s="5" t="str">
        <v>Parag Parikh Mutual Fund</v>
      </c>
      <c r="B296" s="5" t="str">
        <v>AAAA9991</v>
      </c>
      <c r="C296" s="5" t="str">
        <v>AAAAA1111A</v>
      </c>
      <c r="D296" s="6" t="str">
        <v>Parag Parikh Flexi Cap Fund - Direct Growth</v>
      </c>
      <c r="E296" s="6" t="str">
        <v>DIRECT</v>
      </c>
      <c r="F296" s="6" t="str">
        <v>CAMS</v>
      </c>
      <c r="G296" s="6">
        <v>122639</v>
      </c>
      <c r="H296" s="7">
        <v>41405</v>
      </c>
      <c r="I296" s="6" t="str">
        <v>Purchase - SIP</v>
      </c>
      <c r="J296" s="8">
        <v>5000</v>
      </c>
      <c r="K296" s="9">
        <v>198.28299999999999</v>
      </c>
      <c r="L296" s="9">
        <v>25.2165</v>
      </c>
      <c r="M296" s="9">
        <v>8652.5319999999992</v>
      </c>
      <c r="N296" s="5" t="str">
        <v>PURCHASE_SIP</v>
      </c>
      <c r="O296" s="10">
        <v>0</v>
      </c>
    </row>
    <row r="297" spans="1:15" ht="17" x14ac:dyDescent="0.2">
      <c r="A297" s="5" t="str">
        <v>Parag Parikh Mutual Fund</v>
      </c>
      <c r="B297" s="5" t="str">
        <v>AAAA9991</v>
      </c>
      <c r="C297" s="5" t="str">
        <v>AAAAA1111A</v>
      </c>
      <c r="D297" s="6" t="str">
        <v>Parag Parikh Flexi Cap Fund - Direct Growth</v>
      </c>
      <c r="E297" s="6" t="str">
        <v>DIRECT</v>
      </c>
      <c r="F297" s="6" t="str">
        <v>CAMS</v>
      </c>
      <c r="G297" s="6">
        <v>122639</v>
      </c>
      <c r="H297" s="7">
        <v>41435</v>
      </c>
      <c r="I297" s="6" t="str">
        <v>Purchase - SIP</v>
      </c>
      <c r="J297" s="8">
        <v>5000</v>
      </c>
      <c r="K297" s="9">
        <v>193.96199999999999</v>
      </c>
      <c r="L297" s="9">
        <v>25.778199999999998</v>
      </c>
      <c r="M297" s="9">
        <v>8846.4940000000006</v>
      </c>
      <c r="N297" s="5" t="str">
        <v>PURCHASE_SIP</v>
      </c>
      <c r="O297" s="10">
        <v>0</v>
      </c>
    </row>
    <row r="298" spans="1:15" ht="17" x14ac:dyDescent="0.2">
      <c r="A298" s="5" t="str">
        <v>Parag Parikh Mutual Fund</v>
      </c>
      <c r="B298" s="5" t="str">
        <v>AAAA9991</v>
      </c>
      <c r="C298" s="5" t="str">
        <v>AAAAA1111A</v>
      </c>
      <c r="D298" s="6" t="str">
        <v>Parag Parikh Flexi Cap Fund - Direct Growth</v>
      </c>
      <c r="E298" s="6" t="str">
        <v>DIRECT</v>
      </c>
      <c r="F298" s="6" t="str">
        <v>CAMS</v>
      </c>
      <c r="G298" s="6">
        <v>122639</v>
      </c>
      <c r="H298" s="7">
        <v>41465</v>
      </c>
      <c r="I298" s="6" t="str">
        <v>Purchase - SIP</v>
      </c>
      <c r="J298" s="8">
        <v>5000</v>
      </c>
      <c r="K298" s="9">
        <v>196.834</v>
      </c>
      <c r="L298" s="9">
        <v>25.402100000000001</v>
      </c>
      <c r="M298" s="9">
        <v>9043.3279999999995</v>
      </c>
      <c r="N298" s="5" t="str">
        <v>PURCHASE_SIP</v>
      </c>
      <c r="O298" s="10">
        <v>0</v>
      </c>
    </row>
    <row r="299" spans="1:15" ht="17" x14ac:dyDescent="0.2">
      <c r="A299" s="5" t="str">
        <v>Parag Parikh Mutual Fund</v>
      </c>
      <c r="B299" s="5" t="str">
        <v>AAAA9991</v>
      </c>
      <c r="C299" s="5" t="str">
        <v>AAAAA1111A</v>
      </c>
      <c r="D299" s="6" t="str">
        <v>Parag Parikh Flexi Cap Fund - Direct Growth</v>
      </c>
      <c r="E299" s="6" t="str">
        <v>DIRECT</v>
      </c>
      <c r="F299" s="6" t="str">
        <v>CAMS</v>
      </c>
      <c r="G299" s="6">
        <v>122639</v>
      </c>
      <c r="H299" s="7">
        <v>41495</v>
      </c>
      <c r="I299" s="6" t="str">
        <v>Purchase - SIP</v>
      </c>
      <c r="J299" s="8">
        <v>5000</v>
      </c>
      <c r="K299" s="9">
        <v>199.90600000000001</v>
      </c>
      <c r="L299" s="9">
        <v>25.011800000000001</v>
      </c>
      <c r="M299" s="9">
        <v>9243.2340000000004</v>
      </c>
      <c r="N299" s="5" t="str">
        <v>PURCHASE_SIP</v>
      </c>
      <c r="O299" s="10">
        <v>0</v>
      </c>
    </row>
    <row r="300" spans="1:15" ht="17" x14ac:dyDescent="0.2">
      <c r="A300" s="5" t="str">
        <v>Parag Parikh Mutual Fund</v>
      </c>
      <c r="B300" s="5" t="str">
        <v>AAAA9991</v>
      </c>
      <c r="C300" s="5" t="str">
        <v>AAAAA1111A</v>
      </c>
      <c r="D300" s="6" t="str">
        <v>Parag Parikh Flexi Cap Fund - Direct Growth</v>
      </c>
      <c r="E300" s="6" t="str">
        <v>DIRECT</v>
      </c>
      <c r="F300" s="6" t="str">
        <v>CAMS</v>
      </c>
      <c r="G300" s="6">
        <v>122639</v>
      </c>
      <c r="H300" s="7">
        <v>41495</v>
      </c>
      <c r="I300" s="6" t="str">
        <v>STAMP DUTY</v>
      </c>
      <c r="J300" s="8">
        <v>2.5</v>
      </c>
      <c r="K300" s="9">
        <v>0</v>
      </c>
      <c r="L300" s="9">
        <v>0</v>
      </c>
      <c r="M300" s="9">
        <v>9243.2340000000004</v>
      </c>
      <c r="N300" s="5" t="str">
        <v>STAMP_DUTY</v>
      </c>
      <c r="O300" s="10">
        <v>0</v>
      </c>
    </row>
    <row r="301" spans="1:15" ht="17" x14ac:dyDescent="0.2">
      <c r="A301" s="5" t="str">
        <v>Parag Parikh Mutual Fund</v>
      </c>
      <c r="B301" s="5" t="str">
        <v>AAAA9991</v>
      </c>
      <c r="C301" s="5" t="str">
        <v>AAAAA1111A</v>
      </c>
      <c r="D301" s="6" t="str">
        <v>Parag Parikh Flexi Cap Fund - Direct Growth</v>
      </c>
      <c r="E301" s="6" t="str">
        <v>DIRECT</v>
      </c>
      <c r="F301" s="6" t="str">
        <v>CAMS</v>
      </c>
      <c r="G301" s="6">
        <v>122639</v>
      </c>
      <c r="H301" s="7">
        <v>41495</v>
      </c>
      <c r="I301" s="6" t="str">
        <v>Redemption</v>
      </c>
      <c r="J301" s="8">
        <v>-46237.98</v>
      </c>
      <c r="K301" s="9">
        <v>-1848.6469999999999</v>
      </c>
      <c r="L301" s="9">
        <v>25.011800000000001</v>
      </c>
      <c r="M301" s="9">
        <v>7394.5870000000004</v>
      </c>
      <c r="N301" s="5" t="str">
        <v>REDEMPTION</v>
      </c>
      <c r="O301" s="10">
        <v>0</v>
      </c>
    </row>
    <row r="302" spans="1:15" ht="17" x14ac:dyDescent="0.2">
      <c r="A302" s="5" t="str">
        <v>Parag Parikh Mutual Fund</v>
      </c>
      <c r="B302" s="5" t="str">
        <v>AAAA9991</v>
      </c>
      <c r="C302" s="5" t="str">
        <v>AAAAA1111A</v>
      </c>
      <c r="D302" s="6" t="str">
        <v>Parag Parikh Flexi Cap Fund - Direct Growth</v>
      </c>
      <c r="E302" s="6" t="str">
        <v>DIRECT</v>
      </c>
      <c r="F302" s="6" t="str">
        <v>CAMS</v>
      </c>
      <c r="G302" s="6">
        <v>122639</v>
      </c>
      <c r="H302" s="7">
        <v>41525</v>
      </c>
      <c r="I302" s="6" t="str">
        <v>Purchase - SIP</v>
      </c>
      <c r="J302" s="8">
        <v>5000</v>
      </c>
      <c r="K302" s="9">
        <v>198.41900000000001</v>
      </c>
      <c r="L302" s="9">
        <v>25.199200000000001</v>
      </c>
      <c r="M302" s="9">
        <v>7593.0050000000001</v>
      </c>
      <c r="N302" s="5" t="str">
        <v>PURCHASE_SIP</v>
      </c>
      <c r="O302" s="10">
        <v>0</v>
      </c>
    </row>
    <row r="303" spans="1:15" ht="17" x14ac:dyDescent="0.2">
      <c r="A303" s="5" t="str">
        <v>Parag Parikh Mutual Fund</v>
      </c>
      <c r="B303" s="5" t="str">
        <v>AAAA9991</v>
      </c>
      <c r="C303" s="5" t="str">
        <v>AAAAA1111A</v>
      </c>
      <c r="D303" s="6" t="str">
        <v>Parag Parikh Flexi Cap Fund - Direct Growth</v>
      </c>
      <c r="E303" s="6" t="str">
        <v>DIRECT</v>
      </c>
      <c r="F303" s="6" t="str">
        <v>CAMS</v>
      </c>
      <c r="G303" s="6">
        <v>122639</v>
      </c>
      <c r="H303" s="7">
        <v>41555</v>
      </c>
      <c r="I303" s="6" t="str">
        <v>Purchase - SIP</v>
      </c>
      <c r="J303" s="8">
        <v>5000</v>
      </c>
      <c r="K303" s="9">
        <v>194.46299999999999</v>
      </c>
      <c r="L303" s="9">
        <v>25.7119</v>
      </c>
      <c r="M303" s="9">
        <v>7787.4679999999998</v>
      </c>
      <c r="N303" s="5" t="str">
        <v>PURCHASE_SIP</v>
      </c>
      <c r="O303" s="10">
        <v>0</v>
      </c>
    </row>
    <row r="304" spans="1:15" ht="17" x14ac:dyDescent="0.2">
      <c r="A304" s="5" t="str">
        <v>Parag Parikh Mutual Fund</v>
      </c>
      <c r="B304" s="5" t="str">
        <v>AAAA9991</v>
      </c>
      <c r="C304" s="5" t="str">
        <v>AAAAA1111A</v>
      </c>
      <c r="D304" s="6" t="str">
        <v>Parag Parikh Flexi Cap Fund - Direct Growth</v>
      </c>
      <c r="E304" s="6" t="str">
        <v>DIRECT</v>
      </c>
      <c r="F304" s="6" t="str">
        <v>CAMS</v>
      </c>
      <c r="G304" s="6">
        <v>122639</v>
      </c>
      <c r="H304" s="7">
        <v>41555</v>
      </c>
      <c r="I304" s="6" t="str">
        <v>STT TAX</v>
      </c>
      <c r="J304" s="8">
        <v>2.5</v>
      </c>
      <c r="K304" s="9">
        <v>0</v>
      </c>
      <c r="L304" s="9">
        <v>0</v>
      </c>
      <c r="M304" s="9">
        <v>7787.4679999999998</v>
      </c>
      <c r="N304" s="5" t="str">
        <v>STT_TAX</v>
      </c>
      <c r="O304" s="10">
        <v>0</v>
      </c>
    </row>
    <row r="305" spans="1:15" ht="17" x14ac:dyDescent="0.2">
      <c r="A305" s="5" t="str">
        <v>Parag Parikh Mutual Fund</v>
      </c>
      <c r="B305" s="5" t="str">
        <v>AAAA9991</v>
      </c>
      <c r="C305" s="5" t="str">
        <v>AAAAA1111A</v>
      </c>
      <c r="D305" s="6" t="str">
        <v>Parag Parikh Flexi Cap Fund - Direct Growth</v>
      </c>
      <c r="E305" s="6" t="str">
        <v>DIRECT</v>
      </c>
      <c r="F305" s="6" t="str">
        <v>CAMS</v>
      </c>
      <c r="G305" s="6">
        <v>122639</v>
      </c>
      <c r="H305" s="7">
        <v>41585</v>
      </c>
      <c r="I305" s="6" t="str">
        <v>Purchase - SIP</v>
      </c>
      <c r="J305" s="8">
        <v>5000</v>
      </c>
      <c r="K305" s="9">
        <v>196.637</v>
      </c>
      <c r="L305" s="9">
        <v>25.427600000000002</v>
      </c>
      <c r="M305" s="9">
        <v>7984.1049999999996</v>
      </c>
      <c r="N305" s="5" t="str">
        <v>PURCHASE_SIP</v>
      </c>
      <c r="O305" s="10">
        <v>0</v>
      </c>
    </row>
    <row r="306" spans="1:15" ht="17" x14ac:dyDescent="0.2">
      <c r="A306" s="5" t="str">
        <v>Parag Parikh Mutual Fund</v>
      </c>
      <c r="B306" s="5" t="str">
        <v>AAAA9991</v>
      </c>
      <c r="C306" s="5" t="str">
        <v>AAAAA1111A</v>
      </c>
      <c r="D306" s="6" t="str">
        <v>Parag Parikh Flexi Cap Fund - Direct Growth</v>
      </c>
      <c r="E306" s="6" t="str">
        <v>DIRECT</v>
      </c>
      <c r="F306" s="6" t="str">
        <v>CAMS</v>
      </c>
      <c r="G306" s="6">
        <v>122639</v>
      </c>
      <c r="H306" s="7">
        <v>41615</v>
      </c>
      <c r="I306" s="6" t="str">
        <v>Purchase - SIP</v>
      </c>
      <c r="J306" s="8">
        <v>5000</v>
      </c>
      <c r="K306" s="9">
        <v>193.42</v>
      </c>
      <c r="L306" s="9">
        <v>25.8505</v>
      </c>
      <c r="M306" s="9">
        <v>8177.5249999999996</v>
      </c>
      <c r="N306" s="5" t="str">
        <v>PURCHASE_SIP</v>
      </c>
      <c r="O306" s="10">
        <v>0</v>
      </c>
    </row>
    <row r="307" spans="1:15" ht="17" x14ac:dyDescent="0.2">
      <c r="A307" s="5" t="str">
        <v>Parag Parikh Mutual Fund</v>
      </c>
      <c r="B307" s="5" t="str">
        <v>AAAA9991</v>
      </c>
      <c r="C307" s="5" t="str">
        <v>AAAAA1111A</v>
      </c>
      <c r="D307" s="6" t="str">
        <v>Parag Parikh Flexi Cap Fund - Direct Growth</v>
      </c>
      <c r="E307" s="6" t="str">
        <v>DIRECT</v>
      </c>
      <c r="F307" s="6" t="str">
        <v>CAMS</v>
      </c>
      <c r="G307" s="6">
        <v>122639</v>
      </c>
      <c r="H307" s="7">
        <v>41615</v>
      </c>
      <c r="I307" s="6" t="str">
        <v>STT TAX</v>
      </c>
      <c r="J307" s="8">
        <v>2.5</v>
      </c>
      <c r="K307" s="9">
        <v>0</v>
      </c>
      <c r="L307" s="9">
        <v>0</v>
      </c>
      <c r="M307" s="9">
        <v>8177.5249999999996</v>
      </c>
      <c r="N307" s="5" t="str">
        <v>STT_TAX</v>
      </c>
      <c r="O307" s="10">
        <v>0</v>
      </c>
    </row>
    <row r="308" spans="1:15" ht="17" x14ac:dyDescent="0.2">
      <c r="A308" s="5" t="str">
        <v>Parag Parikh Mutual Fund</v>
      </c>
      <c r="B308" s="5" t="str">
        <v>AAAA9991</v>
      </c>
      <c r="C308" s="5" t="str">
        <v>AAAAA1111A</v>
      </c>
      <c r="D308" s="6" t="str">
        <v>Parag Parikh Flexi Cap Fund - Direct Growth</v>
      </c>
      <c r="E308" s="6" t="str">
        <v>DIRECT</v>
      </c>
      <c r="F308" s="6" t="str">
        <v>CAMS</v>
      </c>
      <c r="G308" s="6">
        <v>122639</v>
      </c>
      <c r="H308" s="7">
        <v>41645</v>
      </c>
      <c r="I308" s="6" t="str">
        <v>Purchase - SIP</v>
      </c>
      <c r="J308" s="8">
        <v>5000</v>
      </c>
      <c r="K308" s="9">
        <v>190.916</v>
      </c>
      <c r="L308" s="9">
        <v>26.189499999999999</v>
      </c>
      <c r="M308" s="9">
        <v>8368.4410000000007</v>
      </c>
      <c r="N308" s="5" t="str">
        <v>PURCHASE_SIP</v>
      </c>
      <c r="O308" s="10">
        <v>0</v>
      </c>
    </row>
    <row r="309" spans="1:15" ht="17" x14ac:dyDescent="0.2">
      <c r="A309" s="5" t="str">
        <v>Parag Parikh Mutual Fund</v>
      </c>
      <c r="B309" s="5" t="str">
        <v>AAAA9991</v>
      </c>
      <c r="C309" s="5" t="str">
        <v>AAAAA1111A</v>
      </c>
      <c r="D309" s="6" t="str">
        <v>Parag Parikh Flexi Cap Fund - Direct Growth</v>
      </c>
      <c r="E309" s="6" t="str">
        <v>DIRECT</v>
      </c>
      <c r="F309" s="6" t="str">
        <v>CAMS</v>
      </c>
      <c r="G309" s="6">
        <v>122639</v>
      </c>
      <c r="H309" s="7">
        <v>41645</v>
      </c>
      <c r="I309" s="6" t="str">
        <v>STAMP DUTY</v>
      </c>
      <c r="J309" s="8">
        <v>2.5</v>
      </c>
      <c r="K309" s="9">
        <v>0</v>
      </c>
      <c r="L309" s="9">
        <v>0</v>
      </c>
      <c r="M309" s="9">
        <v>8368.4410000000007</v>
      </c>
      <c r="N309" s="5" t="str">
        <v>STAMP_DUTY</v>
      </c>
      <c r="O309" s="10">
        <v>0</v>
      </c>
    </row>
    <row r="310" spans="1:15" ht="17" x14ac:dyDescent="0.2">
      <c r="A310" s="5" t="str">
        <v>Parag Parikh Mutual Fund</v>
      </c>
      <c r="B310" s="5" t="str">
        <v>AAAA9991</v>
      </c>
      <c r="C310" s="5" t="str">
        <v>AAAAA1111A</v>
      </c>
      <c r="D310" s="6" t="str">
        <v>Parag Parikh Flexi Cap Fund - Direct Growth</v>
      </c>
      <c r="E310" s="6" t="str">
        <v>DIRECT</v>
      </c>
      <c r="F310" s="6" t="str">
        <v>CAMS</v>
      </c>
      <c r="G310" s="6">
        <v>122639</v>
      </c>
      <c r="H310" s="7">
        <v>41675</v>
      </c>
      <c r="I310" s="6" t="str">
        <v>Purchase - SIP</v>
      </c>
      <c r="J310" s="8">
        <v>5000</v>
      </c>
      <c r="K310" s="9">
        <v>191.87</v>
      </c>
      <c r="L310" s="9">
        <v>26.0593</v>
      </c>
      <c r="M310" s="9">
        <v>8560.3109999999997</v>
      </c>
      <c r="N310" s="5" t="str">
        <v>PURCHASE_SIP</v>
      </c>
      <c r="O310" s="10">
        <v>0</v>
      </c>
    </row>
    <row r="311" spans="1:15" ht="17" x14ac:dyDescent="0.2">
      <c r="A311" s="5" t="str">
        <v>Parag Parikh Mutual Fund</v>
      </c>
      <c r="B311" s="5" t="str">
        <v>AAAA9991</v>
      </c>
      <c r="C311" s="5" t="str">
        <v>AAAAA1111A</v>
      </c>
      <c r="D311" s="6" t="str">
        <v>Parag Parikh Flexi Cap Fund - Direct Growth</v>
      </c>
      <c r="E311" s="6" t="str">
        <v>DIRECT</v>
      </c>
      <c r="F311" s="6" t="str">
        <v>CAMS</v>
      </c>
      <c r="G311" s="6">
        <v>122639</v>
      </c>
      <c r="H311" s="7">
        <v>41705</v>
      </c>
      <c r="I311" s="6" t="str">
        <v>Purchase - SIP</v>
      </c>
      <c r="J311" s="8">
        <v>5000</v>
      </c>
      <c r="K311" s="9">
        <v>189.16200000000001</v>
      </c>
      <c r="L311" s="9">
        <v>26.432400000000001</v>
      </c>
      <c r="M311" s="9">
        <v>8749.473</v>
      </c>
      <c r="N311" s="5" t="str">
        <v>PURCHASE_SIP</v>
      </c>
      <c r="O311" s="10">
        <v>0</v>
      </c>
    </row>
    <row r="312" spans="1:15" ht="17" x14ac:dyDescent="0.2">
      <c r="A312" s="5" t="str">
        <v>Parag Parikh Mutual Fund</v>
      </c>
      <c r="B312" s="5" t="str">
        <v>AAAA9991</v>
      </c>
      <c r="C312" s="5" t="str">
        <v>AAAAA1111A</v>
      </c>
      <c r="D312" s="6" t="str">
        <v>Parag Parikh Flexi Cap Fund - Direct Growth</v>
      </c>
      <c r="E312" s="6" t="str">
        <v>DIRECT</v>
      </c>
      <c r="F312" s="6" t="str">
        <v>CAMS</v>
      </c>
      <c r="G312" s="6">
        <v>122639</v>
      </c>
      <c r="H312" s="7">
        <v>41705</v>
      </c>
      <c r="I312" s="6" t="str">
        <v>STAMP DUTY</v>
      </c>
      <c r="J312" s="8">
        <v>2.5</v>
      </c>
      <c r="K312" s="9">
        <v>0</v>
      </c>
      <c r="L312" s="9">
        <v>0</v>
      </c>
      <c r="M312" s="9">
        <v>8749.473</v>
      </c>
      <c r="N312" s="5" t="str">
        <v>STAMP_DUTY</v>
      </c>
      <c r="O312" s="10">
        <v>0</v>
      </c>
    </row>
    <row r="313" spans="1:15" ht="17" x14ac:dyDescent="0.2">
      <c r="A313" s="5" t="str">
        <v>Parag Parikh Mutual Fund</v>
      </c>
      <c r="B313" s="5" t="str">
        <v>AAAA9991</v>
      </c>
      <c r="C313" s="5" t="str">
        <v>AAAAA1111A</v>
      </c>
      <c r="D313" s="6" t="str">
        <v>Parag Parikh Flexi Cap Fund - Direct Growth</v>
      </c>
      <c r="E313" s="6" t="str">
        <v>DIRECT</v>
      </c>
      <c r="F313" s="6" t="str">
        <v>CAMS</v>
      </c>
      <c r="G313" s="6">
        <v>122639</v>
      </c>
      <c r="H313" s="7">
        <v>41735</v>
      </c>
      <c r="I313" s="6" t="str">
        <v>Purchase - SIP</v>
      </c>
      <c r="J313" s="8">
        <v>5000</v>
      </c>
      <c r="K313" s="9">
        <v>189.178</v>
      </c>
      <c r="L313" s="9">
        <v>26.430199999999999</v>
      </c>
      <c r="M313" s="9">
        <v>8938.65</v>
      </c>
      <c r="N313" s="5" t="str">
        <v>PURCHASE_SIP</v>
      </c>
      <c r="O313" s="10">
        <v>0</v>
      </c>
    </row>
    <row r="314" spans="1:15" ht="17" x14ac:dyDescent="0.2">
      <c r="A314" s="5" t="str">
        <v>Parag Parikh Mutual Fund</v>
      </c>
      <c r="B314" s="5" t="str">
        <v>AAAA9991</v>
      </c>
      <c r="C314" s="5" t="str">
        <v>AAAAA1111A</v>
      </c>
      <c r="D314" s="6" t="str">
        <v>Parag Parikh Flexi Cap Fund - Direct Growth</v>
      </c>
      <c r="E314" s="6" t="str">
        <v>DIRECT</v>
      </c>
      <c r="F314" s="6" t="str">
        <v>CAMS</v>
      </c>
      <c r="G314" s="6">
        <v>122639</v>
      </c>
      <c r="H314" s="7">
        <v>41765</v>
      </c>
      <c r="I314" s="6" t="str">
        <v>Purchase - SIP</v>
      </c>
      <c r="J314" s="8">
        <v>5000</v>
      </c>
      <c r="K314" s="9">
        <v>186.197</v>
      </c>
      <c r="L314" s="9">
        <v>26.853300000000001</v>
      </c>
      <c r="M314" s="9">
        <v>9124.8469999999998</v>
      </c>
      <c r="N314" s="5" t="str">
        <v>PURCHASE_SIP</v>
      </c>
      <c r="O314" s="10">
        <v>0</v>
      </c>
    </row>
    <row r="315" spans="1:15" ht="17" x14ac:dyDescent="0.2">
      <c r="A315" s="5" t="str">
        <v>Parag Parikh Mutual Fund</v>
      </c>
      <c r="B315" s="5" t="str">
        <v>AAAA9991</v>
      </c>
      <c r="C315" s="5" t="str">
        <v>AAAAA1111A</v>
      </c>
      <c r="D315" s="6" t="str">
        <v>Parag Parikh Flexi Cap Fund - Direct Growth</v>
      </c>
      <c r="E315" s="6" t="str">
        <v>DIRECT</v>
      </c>
      <c r="F315" s="6" t="str">
        <v>CAMS</v>
      </c>
      <c r="G315" s="6">
        <v>122639</v>
      </c>
      <c r="H315" s="7">
        <v>41795</v>
      </c>
      <c r="I315" s="6" t="str">
        <v>Purchase - SIP</v>
      </c>
      <c r="J315" s="8">
        <v>5000</v>
      </c>
      <c r="K315" s="9">
        <v>184.25200000000001</v>
      </c>
      <c r="L315" s="9">
        <v>27.136700000000001</v>
      </c>
      <c r="M315" s="9">
        <v>9309.0990000000002</v>
      </c>
      <c r="N315" s="5" t="str">
        <v>PURCHASE_SIP</v>
      </c>
      <c r="O315" s="10">
        <v>0</v>
      </c>
    </row>
    <row r="316" spans="1:15" ht="17" x14ac:dyDescent="0.2">
      <c r="A316" s="5" t="str">
        <v>Parag Parikh Mutual Fund</v>
      </c>
      <c r="B316" s="5" t="str">
        <v>AAAA9991</v>
      </c>
      <c r="C316" s="5" t="str">
        <v>AAAAA1111A</v>
      </c>
      <c r="D316" s="6" t="str">
        <v>Parag Parikh Flexi Cap Fund - Direct Growth</v>
      </c>
      <c r="E316" s="6" t="str">
        <v>DIRECT</v>
      </c>
      <c r="F316" s="6" t="str">
        <v>CAMS</v>
      </c>
      <c r="G316" s="6">
        <v>122639</v>
      </c>
      <c r="H316" s="7">
        <v>41825</v>
      </c>
      <c r="I316" s="6" t="str">
        <v>Purchase - SIP</v>
      </c>
      <c r="J316" s="8">
        <v>5000</v>
      </c>
      <c r="K316" s="9">
        <v>181.20699999999999</v>
      </c>
      <c r="L316" s="9">
        <v>27.592700000000001</v>
      </c>
      <c r="M316" s="9">
        <v>9490.3060000000005</v>
      </c>
      <c r="N316" s="5" t="str">
        <v>PURCHASE_SIP</v>
      </c>
      <c r="O316" s="10">
        <v>0</v>
      </c>
    </row>
    <row r="317" spans="1:15" ht="17" x14ac:dyDescent="0.2">
      <c r="A317" s="5" t="str">
        <v>Parag Parikh Mutual Fund</v>
      </c>
      <c r="B317" s="5" t="str">
        <v>AAAA9991</v>
      </c>
      <c r="C317" s="5" t="str">
        <v>AAAAA1111A</v>
      </c>
      <c r="D317" s="6" t="str">
        <v>Parag Parikh Flexi Cap Fund - Direct Growth</v>
      </c>
      <c r="E317" s="6" t="str">
        <v>DIRECT</v>
      </c>
      <c r="F317" s="6" t="str">
        <v>CAMS</v>
      </c>
      <c r="G317" s="6">
        <v>122639</v>
      </c>
      <c r="H317" s="7">
        <v>41855</v>
      </c>
      <c r="I317" s="6" t="str">
        <v>Purchase - SIP</v>
      </c>
      <c r="J317" s="8">
        <v>5000</v>
      </c>
      <c r="K317" s="9">
        <v>184.565</v>
      </c>
      <c r="L317" s="9">
        <v>27.090800000000002</v>
      </c>
      <c r="M317" s="9">
        <v>9674.8709999999992</v>
      </c>
      <c r="N317" s="5" t="str">
        <v>PURCHASE_SIP</v>
      </c>
      <c r="O317" s="10">
        <v>0</v>
      </c>
    </row>
    <row r="318" spans="1:15" ht="17" x14ac:dyDescent="0.2">
      <c r="A318" s="5" t="str">
        <v>Parag Parikh Mutual Fund</v>
      </c>
      <c r="B318" s="5" t="str">
        <v>AAAA9991</v>
      </c>
      <c r="C318" s="5" t="str">
        <v>AAAAA1111A</v>
      </c>
      <c r="D318" s="6" t="str">
        <v>Parag Parikh Flexi Cap Fund - Direct Growth</v>
      </c>
      <c r="E318" s="6" t="str">
        <v>DIRECT</v>
      </c>
      <c r="F318" s="6" t="str">
        <v>CAMS</v>
      </c>
      <c r="G318" s="6">
        <v>122639</v>
      </c>
      <c r="H318" s="7">
        <v>41855</v>
      </c>
      <c r="I318" s="6" t="str">
        <v>STAMP DUTY</v>
      </c>
      <c r="J318" s="8">
        <v>2.5</v>
      </c>
      <c r="K318" s="9">
        <v>0</v>
      </c>
      <c r="L318" s="9">
        <v>0</v>
      </c>
      <c r="M318" s="9">
        <v>9674.8709999999992</v>
      </c>
      <c r="N318" s="5" t="str">
        <v>STAMP_DUTY</v>
      </c>
      <c r="O318" s="10">
        <v>0</v>
      </c>
    </row>
    <row r="319" spans="1:15" ht="17" x14ac:dyDescent="0.2">
      <c r="A319" s="5" t="str">
        <v>Parag Parikh Mutual Fund</v>
      </c>
      <c r="B319" s="5" t="str">
        <v>AAAA9991</v>
      </c>
      <c r="C319" s="5" t="str">
        <v>AAAAA1111A</v>
      </c>
      <c r="D319" s="6" t="str">
        <v>Parag Parikh Flexi Cap Fund - Direct Growth</v>
      </c>
      <c r="E319" s="6" t="str">
        <v>DIRECT</v>
      </c>
      <c r="F319" s="6" t="str">
        <v>CAMS</v>
      </c>
      <c r="G319" s="6">
        <v>122639</v>
      </c>
      <c r="H319" s="7">
        <v>41885</v>
      </c>
      <c r="I319" s="6" t="str">
        <v>Purchase - SIP</v>
      </c>
      <c r="J319" s="8">
        <v>5000</v>
      </c>
      <c r="K319" s="9">
        <v>182.96899999999999</v>
      </c>
      <c r="L319" s="9">
        <v>27.327000000000002</v>
      </c>
      <c r="M319" s="9">
        <v>9857.84</v>
      </c>
      <c r="N319" s="5" t="str">
        <v>PURCHASE_SIP</v>
      </c>
      <c r="O319" s="10">
        <v>0</v>
      </c>
    </row>
    <row r="320" spans="1:15" ht="17" x14ac:dyDescent="0.2">
      <c r="A320" s="5" t="str">
        <v>Parag Parikh Mutual Fund</v>
      </c>
      <c r="B320" s="5" t="str">
        <v>AAAA9991</v>
      </c>
      <c r="C320" s="5" t="str">
        <v>AAAAA1111A</v>
      </c>
      <c r="D320" s="6" t="str">
        <v>Parag Parikh Flexi Cap Fund - Direct Growth</v>
      </c>
      <c r="E320" s="6" t="str">
        <v>DIRECT</v>
      </c>
      <c r="F320" s="6" t="str">
        <v>CAMS</v>
      </c>
      <c r="G320" s="6">
        <v>122639</v>
      </c>
      <c r="H320" s="7">
        <v>41915</v>
      </c>
      <c r="I320" s="6" t="str">
        <v>Purchase - SIP</v>
      </c>
      <c r="J320" s="8">
        <v>5000</v>
      </c>
      <c r="K320" s="9">
        <v>186.68799999999999</v>
      </c>
      <c r="L320" s="9">
        <v>26.782599999999999</v>
      </c>
      <c r="M320" s="9">
        <v>10044.528</v>
      </c>
      <c r="N320" s="5" t="str">
        <v>PURCHASE_SIP</v>
      </c>
      <c r="O320" s="10">
        <v>0</v>
      </c>
    </row>
    <row r="321" spans="1:15" ht="17" x14ac:dyDescent="0.2">
      <c r="A321" s="5" t="str">
        <v>Parag Parikh Mutual Fund</v>
      </c>
      <c r="B321" s="5" t="str">
        <v>AAAA9991</v>
      </c>
      <c r="C321" s="5" t="str">
        <v>AAAAA1111A</v>
      </c>
      <c r="D321" s="6" t="str">
        <v>Parag Parikh Flexi Cap Fund - Direct Growth</v>
      </c>
      <c r="E321" s="6" t="str">
        <v>DIRECT</v>
      </c>
      <c r="F321" s="6" t="str">
        <v>CAMS</v>
      </c>
      <c r="G321" s="6">
        <v>122639</v>
      </c>
      <c r="H321" s="7">
        <v>41915</v>
      </c>
      <c r="I321" s="6" t="str">
        <v>STT TAX</v>
      </c>
      <c r="J321" s="8">
        <v>2.5</v>
      </c>
      <c r="K321" s="9">
        <v>0</v>
      </c>
      <c r="L321" s="9">
        <v>0</v>
      </c>
      <c r="M321" s="9">
        <v>10044.528</v>
      </c>
      <c r="N321" s="5" t="str">
        <v>STT_TAX</v>
      </c>
      <c r="O321" s="10">
        <v>0</v>
      </c>
    </row>
    <row r="322" spans="1:15" ht="17" x14ac:dyDescent="0.2">
      <c r="A322" s="5" t="str">
        <v>Parag Parikh Mutual Fund</v>
      </c>
      <c r="B322" s="5" t="str">
        <v>AAAA9991</v>
      </c>
      <c r="C322" s="5" t="str">
        <v>AAAAA1111A</v>
      </c>
      <c r="D322" s="6" t="str">
        <v>Parag Parikh Flexi Cap Fund - Direct Growth</v>
      </c>
      <c r="E322" s="6" t="str">
        <v>DIRECT</v>
      </c>
      <c r="F322" s="6" t="str">
        <v>CAMS</v>
      </c>
      <c r="G322" s="6">
        <v>122639</v>
      </c>
      <c r="H322" s="7">
        <v>41945</v>
      </c>
      <c r="I322" s="6" t="str">
        <v>Purchase - SIP</v>
      </c>
      <c r="J322" s="8">
        <v>5000</v>
      </c>
      <c r="K322" s="9">
        <v>188.685</v>
      </c>
      <c r="L322" s="9">
        <v>26.499199999999998</v>
      </c>
      <c r="M322" s="9">
        <v>10233.214</v>
      </c>
      <c r="N322" s="5" t="str">
        <v>PURCHASE_SIP</v>
      </c>
      <c r="O322" s="10">
        <v>0</v>
      </c>
    </row>
    <row r="323" spans="1:15" ht="17" x14ac:dyDescent="0.2">
      <c r="A323" s="5" t="str">
        <v>Parag Parikh Mutual Fund</v>
      </c>
      <c r="B323" s="5" t="str">
        <v>AAAA9991</v>
      </c>
      <c r="C323" s="5" t="str">
        <v>AAAAA1111A</v>
      </c>
      <c r="D323" s="6" t="str">
        <v>Parag Parikh Flexi Cap Fund - Direct Growth</v>
      </c>
      <c r="E323" s="6" t="str">
        <v>DIRECT</v>
      </c>
      <c r="F323" s="6" t="str">
        <v>CAMS</v>
      </c>
      <c r="G323" s="6">
        <v>122639</v>
      </c>
      <c r="H323" s="7">
        <v>41975</v>
      </c>
      <c r="I323" s="6" t="str">
        <v>Purchase - SIP</v>
      </c>
      <c r="J323" s="8">
        <v>5000</v>
      </c>
      <c r="K323" s="9">
        <v>183.96600000000001</v>
      </c>
      <c r="L323" s="9">
        <v>27.178899999999999</v>
      </c>
      <c r="M323" s="9">
        <v>10417.18</v>
      </c>
      <c r="N323" s="5" t="str">
        <v>PURCHASE_SIP</v>
      </c>
      <c r="O323" s="10">
        <v>0</v>
      </c>
    </row>
    <row r="324" spans="1:15" ht="17" x14ac:dyDescent="0.2">
      <c r="A324" s="5" t="str">
        <v>Parag Parikh Mutual Fund</v>
      </c>
      <c r="B324" s="5" t="str">
        <v>AAAA9991</v>
      </c>
      <c r="C324" s="5" t="str">
        <v>AAAAA1111A</v>
      </c>
      <c r="D324" s="6" t="str">
        <v>Parag Parikh Flexi Cap Fund - Direct Growth</v>
      </c>
      <c r="E324" s="6" t="str">
        <v>DIRECT</v>
      </c>
      <c r="F324" s="6" t="str">
        <v>CAMS</v>
      </c>
      <c r="G324" s="6">
        <v>122639</v>
      </c>
      <c r="H324" s="7">
        <v>42005</v>
      </c>
      <c r="I324" s="6" t="str">
        <v>Purchase - SIP</v>
      </c>
      <c r="J324" s="8">
        <v>5000</v>
      </c>
      <c r="K324" s="9">
        <v>181.29</v>
      </c>
      <c r="L324" s="9">
        <v>27.580100000000002</v>
      </c>
      <c r="M324" s="9">
        <v>10598.47</v>
      </c>
      <c r="N324" s="5" t="str">
        <v>PURCHASE_SIP</v>
      </c>
      <c r="O324" s="10">
        <v>0</v>
      </c>
    </row>
    <row r="325" spans="1:15" ht="17" x14ac:dyDescent="0.2">
      <c r="A325" s="5" t="str">
        <v>Parag Parikh Mutual Fund</v>
      </c>
      <c r="B325" s="5" t="str">
        <v>AAAA9991</v>
      </c>
      <c r="C325" s="5" t="str">
        <v>AAAAA1111A</v>
      </c>
      <c r="D325" s="6" t="str">
        <v>Parag Parikh Flexi Cap Fund - Direct Growth</v>
      </c>
      <c r="E325" s="6" t="str">
        <v>DIRECT</v>
      </c>
      <c r="F325" s="6" t="str">
        <v>CAMS</v>
      </c>
      <c r="G325" s="6">
        <v>122639</v>
      </c>
      <c r="H325" s="7">
        <v>42035</v>
      </c>
      <c r="I325" s="6" t="str">
        <v>Purchase - SIP</v>
      </c>
      <c r="J325" s="8">
        <v>5000</v>
      </c>
      <c r="K325" s="9">
        <v>177.744</v>
      </c>
      <c r="L325" s="9">
        <v>28.130400000000002</v>
      </c>
      <c r="M325" s="9">
        <v>10776.214</v>
      </c>
      <c r="N325" s="5" t="str">
        <v>PURCHASE_SIP</v>
      </c>
      <c r="O325" s="10">
        <v>0</v>
      </c>
    </row>
    <row r="326" spans="1:15" ht="17" x14ac:dyDescent="0.2">
      <c r="A326" s="5" t="str">
        <v>Parag Parikh Mutual Fund</v>
      </c>
      <c r="B326" s="5" t="str">
        <v>AAAA9991</v>
      </c>
      <c r="C326" s="5" t="str">
        <v>AAAAA1111A</v>
      </c>
      <c r="D326" s="6" t="str">
        <v>Parag Parikh Flexi Cap Fund - Direct Growth</v>
      </c>
      <c r="E326" s="6" t="str">
        <v>DIRECT</v>
      </c>
      <c r="F326" s="6" t="str">
        <v>CAMS</v>
      </c>
      <c r="G326" s="6">
        <v>122639</v>
      </c>
      <c r="H326" s="7">
        <v>42065</v>
      </c>
      <c r="I326" s="6" t="str">
        <v>Purchase - SIP</v>
      </c>
      <c r="J326" s="8">
        <v>5000</v>
      </c>
      <c r="K326" s="9">
        <v>175.56</v>
      </c>
      <c r="L326" s="9">
        <v>28.480399999999999</v>
      </c>
      <c r="M326" s="9">
        <v>10951.772999999999</v>
      </c>
      <c r="N326" s="5" t="str">
        <v>PURCHASE_SIP</v>
      </c>
      <c r="O326" s="10">
        <v>0</v>
      </c>
    </row>
    <row r="327" spans="1:15" ht="17" x14ac:dyDescent="0.2">
      <c r="A327" s="5" t="str">
        <v>Parag Parikh Mutual Fund</v>
      </c>
      <c r="B327" s="5" t="str">
        <v>AAAA9991</v>
      </c>
      <c r="C327" s="5" t="str">
        <v>AAAAA1111A</v>
      </c>
      <c r="D327" s="6" t="str">
        <v>Parag Parikh Flexi Cap Fund - Direct Growth</v>
      </c>
      <c r="E327" s="6" t="str">
        <v>DIRECT</v>
      </c>
      <c r="F327" s="6" t="str">
        <v>CAMS</v>
      </c>
      <c r="G327" s="6">
        <v>122639</v>
      </c>
      <c r="H327" s="7">
        <v>42095</v>
      </c>
      <c r="I327" s="6" t="str">
        <v>Purchase - SIP</v>
      </c>
      <c r="J327" s="8">
        <v>5000</v>
      </c>
      <c r="K327" s="9">
        <v>171.43700000000001</v>
      </c>
      <c r="L327" s="9">
        <v>29.165099999999999</v>
      </c>
      <c r="M327" s="9">
        <v>11123.210999999999</v>
      </c>
      <c r="N327" s="5" t="str">
        <v>PURCHASE_SIP</v>
      </c>
      <c r="O327" s="10">
        <v>0</v>
      </c>
    </row>
    <row r="328" spans="1:15" ht="17" x14ac:dyDescent="0.2">
      <c r="A328" s="5" t="str">
        <v>Parag Parikh Mutual Fund</v>
      </c>
      <c r="B328" s="5" t="str">
        <v>AAAA9991</v>
      </c>
      <c r="C328" s="5" t="str">
        <v>AAAAA1111A</v>
      </c>
      <c r="D328" s="6" t="str">
        <v>Parag Parikh Flexi Cap Fund - Direct Growth</v>
      </c>
      <c r="E328" s="6" t="str">
        <v>DIRECT</v>
      </c>
      <c r="F328" s="6" t="str">
        <v>CAMS</v>
      </c>
      <c r="G328" s="6">
        <v>122639</v>
      </c>
      <c r="H328" s="7">
        <v>42125</v>
      </c>
      <c r="I328" s="6" t="str">
        <v>Purchase - SIP</v>
      </c>
      <c r="J328" s="8">
        <v>5000</v>
      </c>
      <c r="K328" s="9">
        <v>174.261</v>
      </c>
      <c r="L328" s="9">
        <v>28.692599999999999</v>
      </c>
      <c r="M328" s="9">
        <v>11297.472</v>
      </c>
      <c r="N328" s="5" t="str">
        <v>PURCHASE_SIP</v>
      </c>
      <c r="O328" s="10">
        <v>0</v>
      </c>
    </row>
    <row r="329" spans="1:15" ht="17" x14ac:dyDescent="0.2">
      <c r="A329" s="5" t="str">
        <v>Parag Parikh Mutual Fund</v>
      </c>
      <c r="B329" s="5" t="str">
        <v>AAAA9991</v>
      </c>
      <c r="C329" s="5" t="str">
        <v>AAAAA1111A</v>
      </c>
      <c r="D329" s="6" t="str">
        <v>Parag Parikh Flexi Cap Fund - Direct Growth</v>
      </c>
      <c r="E329" s="6" t="str">
        <v>DIRECT</v>
      </c>
      <c r="F329" s="6" t="str">
        <v>CAMS</v>
      </c>
      <c r="G329" s="6">
        <v>122639</v>
      </c>
      <c r="H329" s="7">
        <v>42155</v>
      </c>
      <c r="I329" s="6" t="str">
        <v>Purchase - SIP</v>
      </c>
      <c r="J329" s="8">
        <v>5000</v>
      </c>
      <c r="K329" s="9">
        <v>170.518</v>
      </c>
      <c r="L329" s="9">
        <v>29.322500000000002</v>
      </c>
      <c r="M329" s="9">
        <v>11467.989</v>
      </c>
      <c r="N329" s="5" t="str">
        <v>PURCHASE_SIP</v>
      </c>
      <c r="O329" s="10">
        <v>0</v>
      </c>
    </row>
    <row r="330" spans="1:15" ht="17" x14ac:dyDescent="0.2">
      <c r="A330" s="5" t="str">
        <v>Parag Parikh Mutual Fund</v>
      </c>
      <c r="B330" s="5" t="str">
        <v>AAAA9991</v>
      </c>
      <c r="C330" s="5" t="str">
        <v>AAAAA1111A</v>
      </c>
      <c r="D330" s="6" t="str">
        <v>Parag Parikh Flexi Cap Fund - Direct Growth</v>
      </c>
      <c r="E330" s="6" t="str">
        <v>DIRECT</v>
      </c>
      <c r="F330" s="6" t="str">
        <v>CAMS</v>
      </c>
      <c r="G330" s="6">
        <v>122639</v>
      </c>
      <c r="H330" s="7">
        <v>42155</v>
      </c>
      <c r="I330" s="6" t="str">
        <v>STAMP DUTY</v>
      </c>
      <c r="J330" s="8">
        <v>2.5</v>
      </c>
      <c r="K330" s="9">
        <v>0</v>
      </c>
      <c r="L330" s="9">
        <v>0</v>
      </c>
      <c r="M330" s="9">
        <v>11467.989</v>
      </c>
      <c r="N330" s="5" t="str">
        <v>STAMP_DUTY</v>
      </c>
      <c r="O330" s="10">
        <v>0</v>
      </c>
    </row>
    <row r="331" spans="1:15" ht="17" x14ac:dyDescent="0.2">
      <c r="A331" s="5" t="str">
        <v>Parag Parikh Mutual Fund</v>
      </c>
      <c r="B331" s="5" t="str">
        <v>AAAA9991</v>
      </c>
      <c r="C331" s="5" t="str">
        <v>AAAAA1111A</v>
      </c>
      <c r="D331" s="6" t="str">
        <v>Parag Parikh Flexi Cap Fund - Direct Growth</v>
      </c>
      <c r="E331" s="6" t="str">
        <v>DIRECT</v>
      </c>
      <c r="F331" s="6" t="str">
        <v>CAMS</v>
      </c>
      <c r="G331" s="6">
        <v>122639</v>
      </c>
      <c r="H331" s="7">
        <v>42185</v>
      </c>
      <c r="I331" s="6" t="str">
        <v>Purchase - SIP</v>
      </c>
      <c r="J331" s="8">
        <v>5000</v>
      </c>
      <c r="K331" s="9">
        <v>169.34</v>
      </c>
      <c r="L331" s="9">
        <v>29.526399999999999</v>
      </c>
      <c r="M331" s="9">
        <v>11637.329</v>
      </c>
      <c r="N331" s="5" t="str">
        <v>PURCHASE_SIP</v>
      </c>
      <c r="O331" s="10">
        <v>0</v>
      </c>
    </row>
    <row r="332" spans="1:15" ht="17" x14ac:dyDescent="0.2">
      <c r="A332" s="5" t="str">
        <v>Parag Parikh Mutual Fund</v>
      </c>
      <c r="B332" s="5" t="str">
        <v>AAAA9991</v>
      </c>
      <c r="C332" s="5" t="str">
        <v>AAAAA1111A</v>
      </c>
      <c r="D332" s="6" t="str">
        <v>Parag Parikh Flexi Cap Fund - Direct Growth</v>
      </c>
      <c r="E332" s="6" t="str">
        <v>DIRECT</v>
      </c>
      <c r="F332" s="6" t="str">
        <v>CAMS</v>
      </c>
      <c r="G332" s="6">
        <v>122639</v>
      </c>
      <c r="H332" s="7">
        <v>42215</v>
      </c>
      <c r="I332" s="6" t="str">
        <v>Purchase - SIP</v>
      </c>
      <c r="J332" s="8">
        <v>5000</v>
      </c>
      <c r="K332" s="9">
        <v>164.577</v>
      </c>
      <c r="L332" s="9">
        <v>30.381</v>
      </c>
      <c r="M332" s="9">
        <v>11801.906000000001</v>
      </c>
      <c r="N332" s="5" t="str">
        <v>PURCHASE_SIP</v>
      </c>
      <c r="O332" s="10">
        <v>0</v>
      </c>
    </row>
    <row r="333" spans="1:15" ht="17" x14ac:dyDescent="0.2">
      <c r="A333" s="5" t="str">
        <v>Parag Parikh Mutual Fund</v>
      </c>
      <c r="B333" s="5" t="str">
        <v>AAAA9991</v>
      </c>
      <c r="C333" s="5" t="str">
        <v>AAAAA1111A</v>
      </c>
      <c r="D333" s="6" t="str">
        <v>Parag Parikh Flexi Cap Fund - Direct Growth</v>
      </c>
      <c r="E333" s="6" t="str">
        <v>DIRECT</v>
      </c>
      <c r="F333" s="6" t="str">
        <v>CAMS</v>
      </c>
      <c r="G333" s="6">
        <v>122639</v>
      </c>
      <c r="H333" s="7">
        <v>42245</v>
      </c>
      <c r="I333" s="6" t="str">
        <v>Purchase - SIP</v>
      </c>
      <c r="J333" s="8">
        <v>5000</v>
      </c>
      <c r="K333" s="9">
        <v>162.96</v>
      </c>
      <c r="L333" s="9">
        <v>30.682400000000001</v>
      </c>
      <c r="M333" s="9">
        <v>11964.866</v>
      </c>
      <c r="N333" s="5" t="str">
        <v>PURCHASE_SIP</v>
      </c>
      <c r="O333" s="10">
        <v>0</v>
      </c>
    </row>
    <row r="334" spans="1:15" ht="17" x14ac:dyDescent="0.2">
      <c r="A334" s="5" t="str">
        <v>Parag Parikh Mutual Fund</v>
      </c>
      <c r="B334" s="5" t="str">
        <v>AAAA9991</v>
      </c>
      <c r="C334" s="5" t="str">
        <v>AAAAA1111A</v>
      </c>
      <c r="D334" s="6" t="str">
        <v>Parag Parikh Flexi Cap Fund - Direct Growth</v>
      </c>
      <c r="E334" s="6" t="str">
        <v>DIRECT</v>
      </c>
      <c r="F334" s="6" t="str">
        <v>CAMS</v>
      </c>
      <c r="G334" s="6">
        <v>122639</v>
      </c>
      <c r="H334" s="7">
        <v>42275</v>
      </c>
      <c r="I334" s="6" t="str">
        <v>Purchase - SIP</v>
      </c>
      <c r="J334" s="8">
        <v>5000</v>
      </c>
      <c r="K334" s="9">
        <v>165.76</v>
      </c>
      <c r="L334" s="9">
        <v>30.164000000000001</v>
      </c>
      <c r="M334" s="9">
        <v>12130.626</v>
      </c>
      <c r="N334" s="5" t="str">
        <v>PURCHASE_SIP</v>
      </c>
      <c r="O334" s="10">
        <v>0</v>
      </c>
    </row>
    <row r="335" spans="1:15" ht="17" x14ac:dyDescent="0.2">
      <c r="A335" s="5" t="str">
        <v>Parag Parikh Mutual Fund</v>
      </c>
      <c r="B335" s="5" t="str">
        <v>AAAA9991</v>
      </c>
      <c r="C335" s="5" t="str">
        <v>AAAAA1111A</v>
      </c>
      <c r="D335" s="6" t="str">
        <v>Parag Parikh Flexi Cap Fund - Direct Growth</v>
      </c>
      <c r="E335" s="6" t="str">
        <v>DIRECT</v>
      </c>
      <c r="F335" s="6" t="str">
        <v>CAMS</v>
      </c>
      <c r="G335" s="6">
        <v>122639</v>
      </c>
      <c r="H335" s="7">
        <v>42305</v>
      </c>
      <c r="I335" s="6" t="str">
        <v>Purchase - SIP</v>
      </c>
      <c r="J335" s="8">
        <v>5000</v>
      </c>
      <c r="K335" s="9">
        <v>163.50800000000001</v>
      </c>
      <c r="L335" s="9">
        <v>30.579499999999999</v>
      </c>
      <c r="M335" s="9">
        <v>12294.135</v>
      </c>
      <c r="N335" s="5" t="str">
        <v>PURCHASE_SIP</v>
      </c>
      <c r="O335" s="10">
        <v>0</v>
      </c>
    </row>
    <row r="336" spans="1:15" ht="17" x14ac:dyDescent="0.2">
      <c r="A336" s="5" t="str">
        <v>Parag Parikh Mutual Fund</v>
      </c>
      <c r="B336" s="5" t="str">
        <v>AAAA9991</v>
      </c>
      <c r="C336" s="5" t="str">
        <v>AAAAA1111A</v>
      </c>
      <c r="D336" s="6" t="str">
        <v>Parag Parikh Flexi Cap Fund - Direct Growth</v>
      </c>
      <c r="E336" s="6" t="str">
        <v>DIRECT</v>
      </c>
      <c r="F336" s="6" t="str">
        <v>CAMS</v>
      </c>
      <c r="G336" s="6">
        <v>122639</v>
      </c>
      <c r="H336" s="7">
        <v>42335</v>
      </c>
      <c r="I336" s="6" t="str">
        <v>Purchase - SIP</v>
      </c>
      <c r="J336" s="8">
        <v>5000</v>
      </c>
      <c r="K336" s="9">
        <v>158.78399999999999</v>
      </c>
      <c r="L336" s="9">
        <v>31.4894</v>
      </c>
      <c r="M336" s="9">
        <v>12452.919</v>
      </c>
      <c r="N336" s="5" t="str">
        <v>PURCHASE_SIP</v>
      </c>
      <c r="O336" s="10">
        <v>0</v>
      </c>
    </row>
    <row r="337" spans="1:15" ht="17" x14ac:dyDescent="0.2">
      <c r="A337" s="5" t="str">
        <v>Parag Parikh Mutual Fund</v>
      </c>
      <c r="B337" s="5" t="str">
        <v>AAAA9991</v>
      </c>
      <c r="C337" s="5" t="str">
        <v>AAAAA1111A</v>
      </c>
      <c r="D337" s="6" t="str">
        <v>Parag Parikh Flexi Cap Fund - Direct Growth</v>
      </c>
      <c r="E337" s="6" t="str">
        <v>DIRECT</v>
      </c>
      <c r="F337" s="6" t="str">
        <v>CAMS</v>
      </c>
      <c r="G337" s="6">
        <v>122639</v>
      </c>
      <c r="H337" s="7">
        <v>42365</v>
      </c>
      <c r="I337" s="6" t="str">
        <v>Purchase - SIP</v>
      </c>
      <c r="J337" s="8">
        <v>5000</v>
      </c>
      <c r="K337" s="9">
        <v>159.66499999999999</v>
      </c>
      <c r="L337" s="9">
        <v>31.3155</v>
      </c>
      <c r="M337" s="9">
        <v>12612.584000000001</v>
      </c>
      <c r="N337" s="5" t="str">
        <v>PURCHASE_SIP</v>
      </c>
      <c r="O337" s="10">
        <v>0</v>
      </c>
    </row>
    <row r="338" spans="1:15" ht="17" x14ac:dyDescent="0.2">
      <c r="A338" s="5" t="str">
        <v>Parag Parikh Mutual Fund</v>
      </c>
      <c r="B338" s="5" t="str">
        <v>AAAA9991</v>
      </c>
      <c r="C338" s="5" t="str">
        <v>AAAAA1111A</v>
      </c>
      <c r="D338" s="6" t="str">
        <v>Parag Parikh Flexi Cap Fund - Direct Growth</v>
      </c>
      <c r="E338" s="6" t="str">
        <v>DIRECT</v>
      </c>
      <c r="F338" s="6" t="str">
        <v>CAMS</v>
      </c>
      <c r="G338" s="6">
        <v>122639</v>
      </c>
      <c r="H338" s="7">
        <v>42365</v>
      </c>
      <c r="I338" s="6" t="str">
        <v>STAMP DUTY</v>
      </c>
      <c r="J338" s="8">
        <v>2.5</v>
      </c>
      <c r="K338" s="9">
        <v>0</v>
      </c>
      <c r="L338" s="9">
        <v>0</v>
      </c>
      <c r="M338" s="9">
        <v>12612.584000000001</v>
      </c>
      <c r="N338" s="5" t="str">
        <v>STAMP_DUTY</v>
      </c>
      <c r="O338" s="10">
        <v>0</v>
      </c>
    </row>
    <row r="339" spans="1:15" ht="17" x14ac:dyDescent="0.2">
      <c r="A339" s="5" t="str">
        <v>Parag Parikh Mutual Fund</v>
      </c>
      <c r="B339" s="5" t="str">
        <v>AAAA9991</v>
      </c>
      <c r="C339" s="5" t="str">
        <v>AAAAA1111A</v>
      </c>
      <c r="D339" s="6" t="str">
        <v>Parag Parikh Flexi Cap Fund - Direct Growth</v>
      </c>
      <c r="E339" s="6" t="str">
        <v>DIRECT</v>
      </c>
      <c r="F339" s="6" t="str">
        <v>CAMS</v>
      </c>
      <c r="G339" s="6">
        <v>122639</v>
      </c>
      <c r="H339" s="7">
        <v>42395</v>
      </c>
      <c r="I339" s="6" t="str">
        <v>Purchase - SIP</v>
      </c>
      <c r="J339" s="8">
        <v>5000</v>
      </c>
      <c r="K339" s="9">
        <v>161.46100000000001</v>
      </c>
      <c r="L339" s="9">
        <v>30.967300000000002</v>
      </c>
      <c r="M339" s="9">
        <v>12774.045</v>
      </c>
      <c r="N339" s="5" t="str">
        <v>PURCHASE_SIP</v>
      </c>
      <c r="O339" s="10">
        <v>0</v>
      </c>
    </row>
    <row r="340" spans="1:15" ht="17" x14ac:dyDescent="0.2">
      <c r="A340" s="5" t="str">
        <v>Parag Parikh Mutual Fund</v>
      </c>
      <c r="B340" s="5" t="str">
        <v>AAAA9991</v>
      </c>
      <c r="C340" s="5" t="str">
        <v>AAAAA1111A</v>
      </c>
      <c r="D340" s="6" t="str">
        <v>Parag Parikh Flexi Cap Fund - Direct Growth</v>
      </c>
      <c r="E340" s="6" t="str">
        <v>DIRECT</v>
      </c>
      <c r="F340" s="6" t="str">
        <v>CAMS</v>
      </c>
      <c r="G340" s="6">
        <v>122639</v>
      </c>
      <c r="H340" s="7">
        <v>42425</v>
      </c>
      <c r="I340" s="6" t="str">
        <v>Purchase - SIP</v>
      </c>
      <c r="J340" s="8">
        <v>5000</v>
      </c>
      <c r="K340" s="9">
        <v>162.07400000000001</v>
      </c>
      <c r="L340" s="9">
        <v>30.85</v>
      </c>
      <c r="M340" s="9">
        <v>12936.119000000001</v>
      </c>
      <c r="N340" s="5" t="str">
        <v>PURCHASE_SIP</v>
      </c>
      <c r="O340" s="10">
        <v>0</v>
      </c>
    </row>
    <row r="341" spans="1:15" ht="17" x14ac:dyDescent="0.2">
      <c r="A341" s="5" t="str">
        <v>Parag Parikh Mutual Fund</v>
      </c>
      <c r="B341" s="5" t="str">
        <v>AAAA9991</v>
      </c>
      <c r="C341" s="5" t="str">
        <v>AAAAA1111A</v>
      </c>
      <c r="D341" s="6" t="str">
        <v>Parag Parikh Flexi Cap Fund - Direct Growth</v>
      </c>
      <c r="E341" s="6" t="str">
        <v>DIRECT</v>
      </c>
      <c r="F341" s="6" t="str">
        <v>CAMS</v>
      </c>
      <c r="G341" s="6">
        <v>122639</v>
      </c>
      <c r="H341" s="7">
        <v>42425</v>
      </c>
      <c r="I341" s="6" t="str">
        <v>STT TAX</v>
      </c>
      <c r="J341" s="8">
        <v>2.5</v>
      </c>
      <c r="K341" s="9">
        <v>0</v>
      </c>
      <c r="L341" s="9">
        <v>0</v>
      </c>
      <c r="M341" s="9">
        <v>12936.119000000001</v>
      </c>
      <c r="N341" s="5" t="str">
        <v>STT_TAX</v>
      </c>
      <c r="O341" s="10">
        <v>0</v>
      </c>
    </row>
    <row r="342" spans="1:15" ht="17" x14ac:dyDescent="0.2">
      <c r="A342" s="5" t="str">
        <v>Parag Parikh Mutual Fund</v>
      </c>
      <c r="B342" s="5" t="str">
        <v>AAAA9991</v>
      </c>
      <c r="C342" s="5" t="str">
        <v>AAAAA1111A</v>
      </c>
      <c r="D342" s="6" t="str">
        <v>Parag Parikh Flexi Cap Fund - Direct Growth</v>
      </c>
      <c r="E342" s="6" t="str">
        <v>DIRECT</v>
      </c>
      <c r="F342" s="6" t="str">
        <v>CAMS</v>
      </c>
      <c r="G342" s="6">
        <v>122639</v>
      </c>
      <c r="H342" s="7">
        <v>42455</v>
      </c>
      <c r="I342" s="6" t="str">
        <v>Purchase - SIP</v>
      </c>
      <c r="J342" s="8">
        <v>5000</v>
      </c>
      <c r="K342" s="9">
        <v>163.352</v>
      </c>
      <c r="L342" s="9">
        <v>30.608799999999999</v>
      </c>
      <c r="M342" s="9">
        <v>13099.471</v>
      </c>
      <c r="N342" s="5" t="str">
        <v>PURCHASE_SIP</v>
      </c>
      <c r="O342" s="10">
        <v>0</v>
      </c>
    </row>
    <row r="343" spans="1:15" ht="17" x14ac:dyDescent="0.2">
      <c r="A343" s="5" t="str">
        <v>Parag Parikh Mutual Fund</v>
      </c>
      <c r="B343" s="5" t="str">
        <v>AAAA9991</v>
      </c>
      <c r="C343" s="5" t="str">
        <v>AAAAA1111A</v>
      </c>
      <c r="D343" s="6" t="str">
        <v>Parag Parikh Flexi Cap Fund - Direct Growth</v>
      </c>
      <c r="E343" s="6" t="str">
        <v>DIRECT</v>
      </c>
      <c r="F343" s="6" t="str">
        <v>CAMS</v>
      </c>
      <c r="G343" s="6">
        <v>122639</v>
      </c>
      <c r="H343" s="7">
        <v>42485</v>
      </c>
      <c r="I343" s="6" t="str">
        <v>Purchase - SIP</v>
      </c>
      <c r="J343" s="8">
        <v>5000</v>
      </c>
      <c r="K343" s="9">
        <v>159.60400000000001</v>
      </c>
      <c r="L343" s="9">
        <v>31.327500000000001</v>
      </c>
      <c r="M343" s="9">
        <v>13259.075000000001</v>
      </c>
      <c r="N343" s="5" t="str">
        <v>PURCHASE_SIP</v>
      </c>
      <c r="O343" s="10">
        <v>0</v>
      </c>
    </row>
    <row r="344" spans="1:15" ht="17" x14ac:dyDescent="0.2">
      <c r="A344" s="5" t="str">
        <v>Parag Parikh Mutual Fund</v>
      </c>
      <c r="B344" s="5" t="str">
        <v>AAAA9991</v>
      </c>
      <c r="C344" s="5" t="str">
        <v>AAAAA1111A</v>
      </c>
      <c r="D344" s="6" t="str">
        <v>Parag Parikh Flexi Cap Fund - Direct Growth</v>
      </c>
      <c r="E344" s="6" t="str">
        <v>DIRECT</v>
      </c>
      <c r="F344" s="6" t="str">
        <v>CAMS</v>
      </c>
      <c r="G344" s="6">
        <v>122639</v>
      </c>
      <c r="H344" s="7">
        <v>42515</v>
      </c>
      <c r="I344" s="6" t="str">
        <v>Purchase - SIP</v>
      </c>
      <c r="J344" s="8">
        <v>5000</v>
      </c>
      <c r="K344" s="9">
        <v>161.928</v>
      </c>
      <c r="L344" s="9">
        <v>30.878</v>
      </c>
      <c r="M344" s="9">
        <v>13421.003000000001</v>
      </c>
      <c r="N344" s="5" t="str">
        <v>PURCHASE_SIP</v>
      </c>
      <c r="O344" s="10">
        <v>0</v>
      </c>
    </row>
    <row r="345" spans="1:15" ht="17" x14ac:dyDescent="0.2">
      <c r="A345" s="5" t="str">
        <v>Parag Parikh Mutual Fund</v>
      </c>
      <c r="B345" s="5" t="str">
        <v>AAAA9991</v>
      </c>
      <c r="C345" s="5" t="str">
        <v>AAAAA1111A</v>
      </c>
      <c r="D345" s="6" t="str">
        <v>Parag Parikh Flexi Cap Fund - Direct Growth</v>
      </c>
      <c r="E345" s="6" t="str">
        <v>DIRECT</v>
      </c>
      <c r="F345" s="6" t="str">
        <v>CAMS</v>
      </c>
      <c r="G345" s="6">
        <v>122639</v>
      </c>
      <c r="H345" s="7">
        <v>42515</v>
      </c>
      <c r="I345" s="6" t="str">
        <v>STT TAX</v>
      </c>
      <c r="J345" s="8">
        <v>2.5</v>
      </c>
      <c r="K345" s="9">
        <v>0</v>
      </c>
      <c r="L345" s="9">
        <v>0</v>
      </c>
      <c r="M345" s="9">
        <v>13421.003000000001</v>
      </c>
      <c r="N345" s="5" t="str">
        <v>STT_TAX</v>
      </c>
      <c r="O345" s="10">
        <v>0</v>
      </c>
    </row>
    <row r="346" spans="1:15" ht="17" x14ac:dyDescent="0.2">
      <c r="A346" s="5" t="str">
        <v>Parag Parikh Mutual Fund</v>
      </c>
      <c r="B346" s="5" t="str">
        <v>AAAA9991</v>
      </c>
      <c r="C346" s="5" t="str">
        <v>AAAAA1111A</v>
      </c>
      <c r="D346" s="6" t="str">
        <v>Parag Parikh Flexi Cap Fund - Direct Growth</v>
      </c>
      <c r="E346" s="6" t="str">
        <v>DIRECT</v>
      </c>
      <c r="F346" s="6" t="str">
        <v>CAMS</v>
      </c>
      <c r="G346" s="6">
        <v>122639</v>
      </c>
      <c r="H346" s="7">
        <v>42545</v>
      </c>
      <c r="I346" s="6" t="str">
        <v>Purchase - SIP</v>
      </c>
      <c r="J346" s="8">
        <v>5000</v>
      </c>
      <c r="K346" s="9">
        <v>160.53700000000001</v>
      </c>
      <c r="L346" s="9">
        <v>31.145399999999999</v>
      </c>
      <c r="M346" s="9">
        <v>13581.54</v>
      </c>
      <c r="N346" s="5" t="str">
        <v>PURCHASE_SIP</v>
      </c>
      <c r="O346" s="10">
        <v>0</v>
      </c>
    </row>
    <row r="347" spans="1:15" ht="17" x14ac:dyDescent="0.2">
      <c r="A347" s="5" t="str">
        <v>Parag Parikh Mutual Fund</v>
      </c>
      <c r="B347" s="5" t="str">
        <v>AAAA9991</v>
      </c>
      <c r="C347" s="5" t="str">
        <v>AAAAA1111A</v>
      </c>
      <c r="D347" s="6" t="str">
        <v>Parag Parikh Flexi Cap Fund - Direct Growth</v>
      </c>
      <c r="E347" s="6" t="str">
        <v>DIRECT</v>
      </c>
      <c r="F347" s="6" t="str">
        <v>CAMS</v>
      </c>
      <c r="G347" s="6">
        <v>122639</v>
      </c>
      <c r="H347" s="7">
        <v>42545</v>
      </c>
      <c r="I347" s="6" t="str">
        <v>STAMP DUTY</v>
      </c>
      <c r="J347" s="8">
        <v>2.5</v>
      </c>
      <c r="K347" s="9">
        <v>0</v>
      </c>
      <c r="L347" s="9">
        <v>0</v>
      </c>
      <c r="M347" s="9">
        <v>13581.54</v>
      </c>
      <c r="N347" s="5" t="str">
        <v>STAMP_DUTY</v>
      </c>
      <c r="O347" s="10">
        <v>0</v>
      </c>
    </row>
    <row r="348" spans="1:15" ht="17" x14ac:dyDescent="0.2">
      <c r="A348" s="5" t="str">
        <v>Parag Parikh Mutual Fund</v>
      </c>
      <c r="B348" s="5" t="str">
        <v>AAAA9991</v>
      </c>
      <c r="C348" s="5" t="str">
        <v>AAAAA1111A</v>
      </c>
      <c r="D348" s="6" t="str">
        <v>Parag Parikh Flexi Cap Fund - Direct Growth</v>
      </c>
      <c r="E348" s="6" t="str">
        <v>DIRECT</v>
      </c>
      <c r="F348" s="6" t="str">
        <v>CAMS</v>
      </c>
      <c r="G348" s="6">
        <v>122639</v>
      </c>
      <c r="H348" s="7">
        <v>42575</v>
      </c>
      <c r="I348" s="6" t="str">
        <v>Purchase - SIP</v>
      </c>
      <c r="J348" s="8">
        <v>5000</v>
      </c>
      <c r="K348" s="9">
        <v>161.83099999999999</v>
      </c>
      <c r="L348" s="9">
        <v>30.8964</v>
      </c>
      <c r="M348" s="9">
        <v>13743.370999999999</v>
      </c>
      <c r="N348" s="5" t="str">
        <v>PURCHASE_SIP</v>
      </c>
      <c r="O348" s="10">
        <v>0</v>
      </c>
    </row>
    <row r="349" spans="1:15" ht="17" x14ac:dyDescent="0.2">
      <c r="A349" s="5" t="str">
        <v>Parag Parikh Mutual Fund</v>
      </c>
      <c r="B349" s="5" t="str">
        <v>AAAA9991</v>
      </c>
      <c r="C349" s="5" t="str">
        <v>AAAAA1111A</v>
      </c>
      <c r="D349" s="6" t="str">
        <v>Parag Parikh Flexi Cap Fund - Direct Growth</v>
      </c>
      <c r="E349" s="6" t="str">
        <v>DIRECT</v>
      </c>
      <c r="F349" s="6" t="str">
        <v>CAMS</v>
      </c>
      <c r="G349" s="6">
        <v>122639</v>
      </c>
      <c r="H349" s="7">
        <v>42605</v>
      </c>
      <c r="I349" s="6" t="str">
        <v>Purchase - SIP</v>
      </c>
      <c r="J349" s="8">
        <v>5000</v>
      </c>
      <c r="K349" s="9">
        <v>160.80000000000001</v>
      </c>
      <c r="L349" s="9">
        <v>31.0944</v>
      </c>
      <c r="M349" s="9">
        <v>13904.171</v>
      </c>
      <c r="N349" s="5" t="str">
        <v>PURCHASE_SIP</v>
      </c>
      <c r="O349" s="10">
        <v>0</v>
      </c>
    </row>
    <row r="350" spans="1:15" ht="17" x14ac:dyDescent="0.2">
      <c r="A350" s="5" t="str">
        <v>Parag Parikh Mutual Fund</v>
      </c>
      <c r="B350" s="5" t="str">
        <v>AAAA9991</v>
      </c>
      <c r="C350" s="5" t="str">
        <v>AAAAA1111A</v>
      </c>
      <c r="D350" s="6" t="str">
        <v>Parag Parikh Flexi Cap Fund - Direct Growth</v>
      </c>
      <c r="E350" s="6" t="str">
        <v>DIRECT</v>
      </c>
      <c r="F350" s="6" t="str">
        <v>CAMS</v>
      </c>
      <c r="G350" s="6">
        <v>122639</v>
      </c>
      <c r="H350" s="7">
        <v>42635</v>
      </c>
      <c r="I350" s="6" t="str">
        <v>Purchase - SIP</v>
      </c>
      <c r="J350" s="8">
        <v>5000</v>
      </c>
      <c r="K350" s="9">
        <v>156.32400000000001</v>
      </c>
      <c r="L350" s="9">
        <v>31.9848</v>
      </c>
      <c r="M350" s="9">
        <v>14060.495000000001</v>
      </c>
      <c r="N350" s="5" t="str">
        <v>PURCHASE_SIP</v>
      </c>
      <c r="O350" s="10">
        <v>0</v>
      </c>
    </row>
    <row r="351" spans="1:15" ht="17" x14ac:dyDescent="0.2">
      <c r="A351" s="5" t="str">
        <v>Parag Parikh Mutual Fund</v>
      </c>
      <c r="B351" s="5" t="str">
        <v>AAAA9991</v>
      </c>
      <c r="C351" s="5" t="str">
        <v>AAAAA1111A</v>
      </c>
      <c r="D351" s="6" t="str">
        <v>Parag Parikh Flexi Cap Fund - Direct Growth</v>
      </c>
      <c r="E351" s="6" t="str">
        <v>DIRECT</v>
      </c>
      <c r="F351" s="6" t="str">
        <v>CAMS</v>
      </c>
      <c r="G351" s="6">
        <v>122639</v>
      </c>
      <c r="H351" s="7">
        <v>42665</v>
      </c>
      <c r="I351" s="6" t="str">
        <v>Purchase - SIP</v>
      </c>
      <c r="J351" s="8">
        <v>5000</v>
      </c>
      <c r="K351" s="9">
        <v>159.01499999999999</v>
      </c>
      <c r="L351" s="9">
        <v>31.4436</v>
      </c>
      <c r="M351" s="9">
        <v>14219.51</v>
      </c>
      <c r="N351" s="5" t="str">
        <v>PURCHASE_SIP</v>
      </c>
      <c r="O351" s="10">
        <v>0</v>
      </c>
    </row>
    <row r="352" spans="1:15" ht="17" x14ac:dyDescent="0.2">
      <c r="A352" s="5" t="str">
        <v>Parag Parikh Mutual Fund</v>
      </c>
      <c r="B352" s="5" t="str">
        <v>AAAA9991</v>
      </c>
      <c r="C352" s="5" t="str">
        <v>AAAAA1111A</v>
      </c>
      <c r="D352" s="6" t="str">
        <v>Parag Parikh Flexi Cap Fund - Direct Growth</v>
      </c>
      <c r="E352" s="6" t="str">
        <v>DIRECT</v>
      </c>
      <c r="F352" s="6" t="str">
        <v>CAMS</v>
      </c>
      <c r="G352" s="6">
        <v>122639</v>
      </c>
      <c r="H352" s="7">
        <v>42695</v>
      </c>
      <c r="I352" s="6" t="str">
        <v>Purchase - SIP</v>
      </c>
      <c r="J352" s="8">
        <v>5000</v>
      </c>
      <c r="K352" s="9">
        <v>157.82900000000001</v>
      </c>
      <c r="L352" s="9">
        <v>31.6798</v>
      </c>
      <c r="M352" s="9">
        <v>14377.34</v>
      </c>
      <c r="N352" s="5" t="str">
        <v>PURCHASE_SIP</v>
      </c>
      <c r="O352" s="10">
        <v>0</v>
      </c>
    </row>
    <row r="353" spans="1:15" ht="17" x14ac:dyDescent="0.2">
      <c r="A353" s="5" t="str">
        <v>Parag Parikh Mutual Fund</v>
      </c>
      <c r="B353" s="5" t="str">
        <v>AAAA9991</v>
      </c>
      <c r="C353" s="5" t="str">
        <v>AAAAA1111A</v>
      </c>
      <c r="D353" s="6" t="str">
        <v>Parag Parikh Flexi Cap Fund - Direct Growth</v>
      </c>
      <c r="E353" s="6" t="str">
        <v>DIRECT</v>
      </c>
      <c r="F353" s="6" t="str">
        <v>CAMS</v>
      </c>
      <c r="G353" s="6">
        <v>122639</v>
      </c>
      <c r="H353" s="7">
        <v>42725</v>
      </c>
      <c r="I353" s="6" t="str">
        <v>Purchase - SIP</v>
      </c>
      <c r="J353" s="8">
        <v>5000</v>
      </c>
      <c r="K353" s="9">
        <v>160.81100000000001</v>
      </c>
      <c r="L353" s="9">
        <v>31.092400000000001</v>
      </c>
      <c r="M353" s="9">
        <v>14538.151</v>
      </c>
      <c r="N353" s="5" t="str">
        <v>PURCHASE_SIP</v>
      </c>
      <c r="O353" s="10">
        <v>0</v>
      </c>
    </row>
    <row r="354" spans="1:15" ht="17" x14ac:dyDescent="0.2">
      <c r="A354" s="5" t="str">
        <v>Parag Parikh Mutual Fund</v>
      </c>
      <c r="B354" s="5" t="str">
        <v>AAAA9991</v>
      </c>
      <c r="C354" s="5" t="str">
        <v>AAAAA1111A</v>
      </c>
      <c r="D354" s="6" t="str">
        <v>Parag Parikh Flexi Cap Fund - Direct Growth</v>
      </c>
      <c r="E354" s="6" t="str">
        <v>DIRECT</v>
      </c>
      <c r="F354" s="6" t="str">
        <v>CAMS</v>
      </c>
      <c r="G354" s="6">
        <v>122639</v>
      </c>
      <c r="H354" s="7">
        <v>42755</v>
      </c>
      <c r="I354" s="6" t="str">
        <v>Purchase - SIP</v>
      </c>
      <c r="J354" s="8">
        <v>5000</v>
      </c>
      <c r="K354" s="9">
        <v>161.94300000000001</v>
      </c>
      <c r="L354" s="9">
        <v>30.875</v>
      </c>
      <c r="M354" s="9">
        <v>14700.093999999999</v>
      </c>
      <c r="N354" s="5" t="str">
        <v>PURCHASE_SIP</v>
      </c>
      <c r="O354" s="10">
        <v>0</v>
      </c>
    </row>
    <row r="355" spans="1:15" ht="17" x14ac:dyDescent="0.2">
      <c r="A355" s="5" t="str">
        <v>Parag Parikh Mutual Fund</v>
      </c>
      <c r="B355" s="5" t="str">
        <v>AAAA9991</v>
      </c>
      <c r="C355" s="5" t="str">
        <v>AAAAA1111A</v>
      </c>
      <c r="D355" s="6" t="str">
        <v>Parag Parikh Flexi Cap Fund - Direct Growth</v>
      </c>
      <c r="E355" s="6" t="str">
        <v>DIRECT</v>
      </c>
      <c r="F355" s="6" t="str">
        <v>CAMS</v>
      </c>
      <c r="G355" s="6">
        <v>122639</v>
      </c>
      <c r="H355" s="7">
        <v>42785</v>
      </c>
      <c r="I355" s="6" t="str">
        <v>Purchase - SIP</v>
      </c>
      <c r="J355" s="8">
        <v>5000</v>
      </c>
      <c r="K355" s="9">
        <v>159.11099999999999</v>
      </c>
      <c r="L355" s="9">
        <v>31.424700000000001</v>
      </c>
      <c r="M355" s="9">
        <v>14859.204</v>
      </c>
      <c r="N355" s="5" t="str">
        <v>PURCHASE_SIP</v>
      </c>
      <c r="O355" s="10">
        <v>0</v>
      </c>
    </row>
    <row r="356" spans="1:15" ht="17" x14ac:dyDescent="0.2">
      <c r="A356" s="5" t="str">
        <v>Parag Parikh Mutual Fund</v>
      </c>
      <c r="B356" s="5" t="str">
        <v>AAAA9991</v>
      </c>
      <c r="C356" s="5" t="str">
        <v>AAAAA1111A</v>
      </c>
      <c r="D356" s="6" t="str">
        <v>Parag Parikh Flexi Cap Fund - Direct Growth</v>
      </c>
      <c r="E356" s="6" t="str">
        <v>DIRECT</v>
      </c>
      <c r="F356" s="6" t="str">
        <v>CAMS</v>
      </c>
      <c r="G356" s="6">
        <v>122639</v>
      </c>
      <c r="H356" s="7">
        <v>42815</v>
      </c>
      <c r="I356" s="6" t="str">
        <v>Purchase - SIP</v>
      </c>
      <c r="J356" s="8">
        <v>5000</v>
      </c>
      <c r="K356" s="9">
        <v>159.18600000000001</v>
      </c>
      <c r="L356" s="9">
        <v>31.409800000000001</v>
      </c>
      <c r="M356" s="9">
        <v>15018.391</v>
      </c>
      <c r="N356" s="5" t="str">
        <v>PURCHASE_SIP</v>
      </c>
      <c r="O356" s="10">
        <v>0</v>
      </c>
    </row>
    <row r="357" spans="1:15" ht="17" x14ac:dyDescent="0.2">
      <c r="A357" s="5" t="str">
        <v>Parag Parikh Mutual Fund</v>
      </c>
      <c r="B357" s="5" t="str">
        <v>AAAA9991</v>
      </c>
      <c r="C357" s="5" t="str">
        <v>AAAAA1111A</v>
      </c>
      <c r="D357" s="6" t="str">
        <v>Parag Parikh Flexi Cap Fund - Direct Growth</v>
      </c>
      <c r="E357" s="6" t="str">
        <v>DIRECT</v>
      </c>
      <c r="F357" s="6" t="str">
        <v>CAMS</v>
      </c>
      <c r="G357" s="6">
        <v>122639</v>
      </c>
      <c r="H357" s="7">
        <v>42845</v>
      </c>
      <c r="I357" s="6" t="str">
        <v>Purchase - SIP</v>
      </c>
      <c r="J357" s="8">
        <v>5000</v>
      </c>
      <c r="K357" s="9">
        <v>159.864</v>
      </c>
      <c r="L357" s="9">
        <v>31.276499999999999</v>
      </c>
      <c r="M357" s="9">
        <v>15178.254999999999</v>
      </c>
      <c r="N357" s="5" t="str">
        <v>PURCHASE_SIP</v>
      </c>
      <c r="O357" s="10">
        <v>0</v>
      </c>
    </row>
    <row r="358" spans="1:15" ht="17" x14ac:dyDescent="0.2">
      <c r="A358" s="5" t="str">
        <v>Parag Parikh Mutual Fund</v>
      </c>
      <c r="B358" s="5" t="str">
        <v>AAAA9991</v>
      </c>
      <c r="C358" s="5" t="str">
        <v>AAAAA1111A</v>
      </c>
      <c r="D358" s="6" t="str">
        <v>Parag Parikh Flexi Cap Fund - Direct Growth</v>
      </c>
      <c r="E358" s="6" t="str">
        <v>DIRECT</v>
      </c>
      <c r="F358" s="6" t="str">
        <v>CAMS</v>
      </c>
      <c r="G358" s="6">
        <v>122639</v>
      </c>
      <c r="H358" s="7">
        <v>42875</v>
      </c>
      <c r="I358" s="6" t="str">
        <v>Purchase - SIP</v>
      </c>
      <c r="J358" s="8">
        <v>5000</v>
      </c>
      <c r="K358" s="9">
        <v>155.77600000000001</v>
      </c>
      <c r="L358" s="9">
        <v>32.097299999999997</v>
      </c>
      <c r="M358" s="9">
        <v>15334.031000000001</v>
      </c>
      <c r="N358" s="5" t="str">
        <v>PURCHASE_SIP</v>
      </c>
      <c r="O358" s="10">
        <v>0</v>
      </c>
    </row>
    <row r="359" spans="1:15" ht="17" x14ac:dyDescent="0.2">
      <c r="A359" s="5" t="str">
        <v>Parag Parikh Mutual Fund</v>
      </c>
      <c r="B359" s="5" t="str">
        <v>AAAA9991</v>
      </c>
      <c r="C359" s="5" t="str">
        <v>AAAAA1111A</v>
      </c>
      <c r="D359" s="6" t="str">
        <v>Parag Parikh Flexi Cap Fund - Direct Growth</v>
      </c>
      <c r="E359" s="6" t="str">
        <v>DIRECT</v>
      </c>
      <c r="F359" s="6" t="str">
        <v>CAMS</v>
      </c>
      <c r="G359" s="6">
        <v>122639</v>
      </c>
      <c r="H359" s="7">
        <v>42905</v>
      </c>
      <c r="I359" s="6" t="str">
        <v>Purchase - SIP</v>
      </c>
      <c r="J359" s="8">
        <v>5000</v>
      </c>
      <c r="K359" s="9">
        <v>157.34200000000001</v>
      </c>
      <c r="L359" s="9">
        <v>31.777899999999999</v>
      </c>
      <c r="M359" s="9">
        <v>15491.373</v>
      </c>
      <c r="N359" s="5" t="str">
        <v>PURCHASE_SIP</v>
      </c>
      <c r="O359" s="10">
        <v>0</v>
      </c>
    </row>
    <row r="360" spans="1:15" ht="17" x14ac:dyDescent="0.2">
      <c r="A360" s="5" t="str">
        <v>Parag Parikh Mutual Fund</v>
      </c>
      <c r="B360" s="5" t="str">
        <v>AAAA9991</v>
      </c>
      <c r="C360" s="5" t="str">
        <v>AAAAA1111A</v>
      </c>
      <c r="D360" s="6" t="str">
        <v>Parag Parikh Flexi Cap Fund - Direct Growth</v>
      </c>
      <c r="E360" s="6" t="str">
        <v>DIRECT</v>
      </c>
      <c r="F360" s="6" t="str">
        <v>CAMS</v>
      </c>
      <c r="G360" s="6">
        <v>122639</v>
      </c>
      <c r="H360" s="7">
        <v>42905</v>
      </c>
      <c r="I360" s="6" t="str">
        <v>STT TAX</v>
      </c>
      <c r="J360" s="8">
        <v>2.5</v>
      </c>
      <c r="K360" s="9">
        <v>0</v>
      </c>
      <c r="L360" s="9">
        <v>0</v>
      </c>
      <c r="M360" s="9">
        <v>15491.373</v>
      </c>
      <c r="N360" s="5" t="str">
        <v>STT_TAX</v>
      </c>
      <c r="O360" s="10">
        <v>0</v>
      </c>
    </row>
    <row r="361" spans="1:15" ht="17" x14ac:dyDescent="0.2">
      <c r="A361" s="5" t="str">
        <v>Parag Parikh Mutual Fund</v>
      </c>
      <c r="B361" s="5" t="str">
        <v>AAAA9991</v>
      </c>
      <c r="C361" s="5" t="str">
        <v>AAAAA1111A</v>
      </c>
      <c r="D361" s="6" t="str">
        <v>Parag Parikh Flexi Cap Fund - Direct Growth</v>
      </c>
      <c r="E361" s="6" t="str">
        <v>DIRECT</v>
      </c>
      <c r="F361" s="6" t="str">
        <v>CAMS</v>
      </c>
      <c r="G361" s="6">
        <v>122639</v>
      </c>
      <c r="H361" s="7">
        <v>42935</v>
      </c>
      <c r="I361" s="6" t="str">
        <v>Purchase - SIP</v>
      </c>
      <c r="J361" s="8">
        <v>5000</v>
      </c>
      <c r="K361" s="9">
        <v>153.642</v>
      </c>
      <c r="L361" s="9">
        <v>32.543100000000003</v>
      </c>
      <c r="M361" s="9">
        <v>15645.014999999999</v>
      </c>
      <c r="N361" s="5" t="str">
        <v>PURCHASE_SIP</v>
      </c>
      <c r="O361" s="10">
        <v>0</v>
      </c>
    </row>
    <row r="362" spans="1:15" ht="17" x14ac:dyDescent="0.2">
      <c r="A362" s="5" t="str">
        <v>Parag Parikh Mutual Fund</v>
      </c>
      <c r="B362" s="5" t="str">
        <v>AAAA9991</v>
      </c>
      <c r="C362" s="5" t="str">
        <v>AAAAA1111A</v>
      </c>
      <c r="D362" s="6" t="str">
        <v>Parag Parikh Flexi Cap Fund - Direct Growth</v>
      </c>
      <c r="E362" s="6" t="str">
        <v>DIRECT</v>
      </c>
      <c r="F362" s="6" t="str">
        <v>CAMS</v>
      </c>
      <c r="G362" s="6">
        <v>122639</v>
      </c>
      <c r="H362" s="7">
        <v>42965</v>
      </c>
      <c r="I362" s="6" t="str">
        <v>Purchase - SIP</v>
      </c>
      <c r="J362" s="8">
        <v>5000</v>
      </c>
      <c r="K362" s="9">
        <v>150.232</v>
      </c>
      <c r="L362" s="9">
        <v>33.2819</v>
      </c>
      <c r="M362" s="9">
        <v>15795.246999999999</v>
      </c>
      <c r="N362" s="5" t="str">
        <v>PURCHASE_SIP</v>
      </c>
      <c r="O362" s="10">
        <v>0</v>
      </c>
    </row>
    <row r="363" spans="1:15" ht="17" x14ac:dyDescent="0.2">
      <c r="A363" s="5" t="str">
        <v>Parag Parikh Mutual Fund</v>
      </c>
      <c r="B363" s="5" t="str">
        <v>AAAA9991</v>
      </c>
      <c r="C363" s="5" t="str">
        <v>AAAAA1111A</v>
      </c>
      <c r="D363" s="6" t="str">
        <v>Parag Parikh Flexi Cap Fund - Direct Growth</v>
      </c>
      <c r="E363" s="6" t="str">
        <v>DIRECT</v>
      </c>
      <c r="F363" s="6" t="str">
        <v>CAMS</v>
      </c>
      <c r="G363" s="6">
        <v>122639</v>
      </c>
      <c r="H363" s="7">
        <v>42995</v>
      </c>
      <c r="I363" s="6" t="str">
        <v>Purchase - SIP</v>
      </c>
      <c r="J363" s="8">
        <v>5000</v>
      </c>
      <c r="K363" s="9">
        <v>147.97499999999999</v>
      </c>
      <c r="L363" s="9">
        <v>33.789499999999997</v>
      </c>
      <c r="M363" s="9">
        <v>15943.222</v>
      </c>
      <c r="N363" s="5" t="str">
        <v>PURCHASE_SIP</v>
      </c>
      <c r="O363" s="10">
        <v>0</v>
      </c>
    </row>
    <row r="364" spans="1:15" ht="17" x14ac:dyDescent="0.2">
      <c r="A364" s="5" t="str">
        <v>Parag Parikh Mutual Fund</v>
      </c>
      <c r="B364" s="5" t="str">
        <v>AAAA9991</v>
      </c>
      <c r="C364" s="5" t="str">
        <v>AAAAA1111A</v>
      </c>
      <c r="D364" s="6" t="str">
        <v>Parag Parikh Flexi Cap Fund - Direct Growth</v>
      </c>
      <c r="E364" s="6" t="str">
        <v>DIRECT</v>
      </c>
      <c r="F364" s="6" t="str">
        <v>CAMS</v>
      </c>
      <c r="G364" s="6">
        <v>122639</v>
      </c>
      <c r="H364" s="7">
        <v>43025</v>
      </c>
      <c r="I364" s="6" t="str">
        <v>Purchase - SIP</v>
      </c>
      <c r="J364" s="8">
        <v>5000</v>
      </c>
      <c r="K364" s="9">
        <v>147.34299999999999</v>
      </c>
      <c r="L364" s="9">
        <v>33.934399999999997</v>
      </c>
      <c r="M364" s="9">
        <v>16090.565000000001</v>
      </c>
      <c r="N364" s="5" t="str">
        <v>PURCHASE_SIP</v>
      </c>
      <c r="O364" s="10">
        <v>0</v>
      </c>
    </row>
    <row r="365" spans="1:15" ht="17" x14ac:dyDescent="0.2">
      <c r="A365" s="5" t="str">
        <v>Parag Parikh Mutual Fund</v>
      </c>
      <c r="B365" s="5" t="str">
        <v>AAAA9991</v>
      </c>
      <c r="C365" s="5" t="str">
        <v>AAAAA1111A</v>
      </c>
      <c r="D365" s="6" t="str">
        <v>Parag Parikh Flexi Cap Fund - Direct Growth</v>
      </c>
      <c r="E365" s="6" t="str">
        <v>DIRECT</v>
      </c>
      <c r="F365" s="6" t="str">
        <v>CAMS</v>
      </c>
      <c r="G365" s="6">
        <v>122639</v>
      </c>
      <c r="H365" s="7">
        <v>43055</v>
      </c>
      <c r="I365" s="6" t="str">
        <v>Purchase - SIP</v>
      </c>
      <c r="J365" s="8">
        <v>5000</v>
      </c>
      <c r="K365" s="9">
        <v>149.095</v>
      </c>
      <c r="L365" s="9">
        <v>33.535699999999999</v>
      </c>
      <c r="M365" s="9">
        <v>16239.66</v>
      </c>
      <c r="N365" s="5" t="str">
        <v>PURCHASE_SIP</v>
      </c>
      <c r="O365" s="10">
        <v>0</v>
      </c>
    </row>
    <row r="366" spans="1:15" ht="17" x14ac:dyDescent="0.2">
      <c r="A366" s="5" t="str">
        <v>Parag Parikh Mutual Fund</v>
      </c>
      <c r="B366" s="5" t="str">
        <v>AAAA9991</v>
      </c>
      <c r="C366" s="5" t="str">
        <v>AAAAA1111A</v>
      </c>
      <c r="D366" s="6" t="str">
        <v>Parag Parikh Flexi Cap Fund - Direct Growth</v>
      </c>
      <c r="E366" s="6" t="str">
        <v>DIRECT</v>
      </c>
      <c r="F366" s="6" t="str">
        <v>CAMS</v>
      </c>
      <c r="G366" s="6">
        <v>122639</v>
      </c>
      <c r="H366" s="7">
        <v>43085</v>
      </c>
      <c r="I366" s="6" t="str">
        <v>Purchase - SIP</v>
      </c>
      <c r="J366" s="8">
        <v>5000</v>
      </c>
      <c r="K366" s="9">
        <v>144.898</v>
      </c>
      <c r="L366" s="9">
        <v>34.506999999999998</v>
      </c>
      <c r="M366" s="9">
        <v>16384.559000000001</v>
      </c>
      <c r="N366" s="5" t="str">
        <v>PURCHASE_SIP</v>
      </c>
      <c r="O366" s="10">
        <v>0</v>
      </c>
    </row>
    <row r="367" spans="1:15" ht="17" x14ac:dyDescent="0.2">
      <c r="A367" s="5" t="str">
        <v>Parag Parikh Mutual Fund</v>
      </c>
      <c r="B367" s="5" t="str">
        <v>AAAA9991</v>
      </c>
      <c r="C367" s="5" t="str">
        <v>AAAAA1111A</v>
      </c>
      <c r="D367" s="6" t="str">
        <v>Parag Parikh Flexi Cap Fund - Direct Growth</v>
      </c>
      <c r="E367" s="6" t="str">
        <v>DIRECT</v>
      </c>
      <c r="F367" s="6" t="str">
        <v>CAMS</v>
      </c>
      <c r="G367" s="6">
        <v>122639</v>
      </c>
      <c r="H367" s="7">
        <v>43115</v>
      </c>
      <c r="I367" s="6" t="str">
        <v>Purchase - SIP</v>
      </c>
      <c r="J367" s="8">
        <v>5000</v>
      </c>
      <c r="K367" s="9">
        <v>142.86000000000001</v>
      </c>
      <c r="L367" s="9">
        <v>34.999400000000001</v>
      </c>
      <c r="M367" s="9">
        <v>16527.418000000001</v>
      </c>
      <c r="N367" s="5" t="str">
        <v>PURCHASE_SIP</v>
      </c>
      <c r="O367" s="10">
        <v>0</v>
      </c>
    </row>
    <row r="368" spans="1:15" ht="17" x14ac:dyDescent="0.2">
      <c r="A368" s="5" t="str">
        <v>Parag Parikh Mutual Fund</v>
      </c>
      <c r="B368" s="5" t="str">
        <v>AAAA9991</v>
      </c>
      <c r="C368" s="5" t="str">
        <v>AAAAA1111A</v>
      </c>
      <c r="D368" s="6" t="str">
        <v>Parag Parikh Flexi Cap Fund - Direct Growth</v>
      </c>
      <c r="E368" s="6" t="str">
        <v>DIRECT</v>
      </c>
      <c r="F368" s="6" t="str">
        <v>CAMS</v>
      </c>
      <c r="G368" s="6">
        <v>122639</v>
      </c>
      <c r="H368" s="7">
        <v>43145</v>
      </c>
      <c r="I368" s="6" t="str">
        <v>Purchase - SIP</v>
      </c>
      <c r="J368" s="8">
        <v>5000</v>
      </c>
      <c r="K368" s="9">
        <v>143.625</v>
      </c>
      <c r="L368" s="9">
        <v>34.812899999999999</v>
      </c>
      <c r="M368" s="9">
        <v>16671.043000000001</v>
      </c>
      <c r="N368" s="5" t="str">
        <v>PURCHASE_SIP</v>
      </c>
      <c r="O368" s="10">
        <v>0</v>
      </c>
    </row>
    <row r="369" spans="1:15" ht="17" x14ac:dyDescent="0.2">
      <c r="A369" s="5" t="str">
        <v>Parag Parikh Mutual Fund</v>
      </c>
      <c r="B369" s="5" t="str">
        <v>AAAA9991</v>
      </c>
      <c r="C369" s="5" t="str">
        <v>AAAAA1111A</v>
      </c>
      <c r="D369" s="6" t="str">
        <v>Parag Parikh Flexi Cap Fund - Direct Growth</v>
      </c>
      <c r="E369" s="6" t="str">
        <v>DIRECT</v>
      </c>
      <c r="F369" s="6" t="str">
        <v>CAMS</v>
      </c>
      <c r="G369" s="6">
        <v>122639</v>
      </c>
      <c r="H369" s="7">
        <v>43145</v>
      </c>
      <c r="I369" s="6" t="str">
        <v>STAMP DUTY</v>
      </c>
      <c r="J369" s="8">
        <v>2.5</v>
      </c>
      <c r="K369" s="9">
        <v>0</v>
      </c>
      <c r="L369" s="9">
        <v>0</v>
      </c>
      <c r="M369" s="9">
        <v>16671.043000000001</v>
      </c>
      <c r="N369" s="5" t="str">
        <v>STAMP_DUTY</v>
      </c>
      <c r="O369" s="10">
        <v>0</v>
      </c>
    </row>
    <row r="370" spans="1:15" ht="17" x14ac:dyDescent="0.2">
      <c r="A370" s="5" t="str">
        <v>Parag Parikh Mutual Fund</v>
      </c>
      <c r="B370" s="5" t="str">
        <v>AAAA9991</v>
      </c>
      <c r="C370" s="5" t="str">
        <v>AAAAA1111A</v>
      </c>
      <c r="D370" s="6" t="str">
        <v>Parag Parikh Flexi Cap Fund - Direct Growth</v>
      </c>
      <c r="E370" s="6" t="str">
        <v>DIRECT</v>
      </c>
      <c r="F370" s="6" t="str">
        <v>CAMS</v>
      </c>
      <c r="G370" s="6">
        <v>122639</v>
      </c>
      <c r="H370" s="7">
        <v>43175</v>
      </c>
      <c r="I370" s="6" t="str">
        <v>Purchase - SIP</v>
      </c>
      <c r="J370" s="8">
        <v>5000</v>
      </c>
      <c r="K370" s="9">
        <v>145.50399999999999</v>
      </c>
      <c r="L370" s="9">
        <v>34.363399999999999</v>
      </c>
      <c r="M370" s="9">
        <v>16816.546999999999</v>
      </c>
      <c r="N370" s="5" t="str">
        <v>PURCHASE_SIP</v>
      </c>
      <c r="O370" s="10">
        <v>0</v>
      </c>
    </row>
    <row r="371" spans="1:15" ht="17" x14ac:dyDescent="0.2">
      <c r="A371" s="5" t="str">
        <v>Parag Parikh Mutual Fund</v>
      </c>
      <c r="B371" s="5" t="str">
        <v>AAAA9991</v>
      </c>
      <c r="C371" s="5" t="str">
        <v>AAAAA1111A</v>
      </c>
      <c r="D371" s="6" t="str">
        <v>Parag Parikh Flexi Cap Fund - Direct Growth</v>
      </c>
      <c r="E371" s="6" t="str">
        <v>DIRECT</v>
      </c>
      <c r="F371" s="6" t="str">
        <v>CAMS</v>
      </c>
      <c r="G371" s="6">
        <v>122639</v>
      </c>
      <c r="H371" s="7">
        <v>43205</v>
      </c>
      <c r="I371" s="6" t="str">
        <v>Purchase - SIP</v>
      </c>
      <c r="J371" s="8">
        <v>5000</v>
      </c>
      <c r="K371" s="9">
        <v>148.40199999999999</v>
      </c>
      <c r="L371" s="9">
        <v>33.6922</v>
      </c>
      <c r="M371" s="9">
        <v>16964.949000000001</v>
      </c>
      <c r="N371" s="5" t="str">
        <v>PURCHASE_SIP</v>
      </c>
      <c r="O371" s="10">
        <v>0</v>
      </c>
    </row>
    <row r="372" spans="1:15" ht="17" x14ac:dyDescent="0.2">
      <c r="A372" s="5" t="str">
        <v>Parag Parikh Mutual Fund</v>
      </c>
      <c r="B372" s="5" t="str">
        <v>AAAA9991</v>
      </c>
      <c r="C372" s="5" t="str">
        <v>AAAAA1111A</v>
      </c>
      <c r="D372" s="6" t="str">
        <v>Parag Parikh Flexi Cap Fund - Direct Growth</v>
      </c>
      <c r="E372" s="6" t="str">
        <v>DIRECT</v>
      </c>
      <c r="F372" s="6" t="str">
        <v>CAMS</v>
      </c>
      <c r="G372" s="6">
        <v>122639</v>
      </c>
      <c r="H372" s="7">
        <v>43205</v>
      </c>
      <c r="I372" s="6" t="str">
        <v>STAMP DUTY</v>
      </c>
      <c r="J372" s="8">
        <v>2.5</v>
      </c>
      <c r="K372" s="9">
        <v>0</v>
      </c>
      <c r="L372" s="9">
        <v>0</v>
      </c>
      <c r="M372" s="9">
        <v>16964.949000000001</v>
      </c>
      <c r="N372" s="5" t="str">
        <v>STAMP_DUTY</v>
      </c>
      <c r="O372" s="10">
        <v>0</v>
      </c>
    </row>
    <row r="373" spans="1:15" ht="17" x14ac:dyDescent="0.2">
      <c r="A373" s="5" t="str">
        <v>Parag Parikh Mutual Fund</v>
      </c>
      <c r="B373" s="5" t="str">
        <v>AAAA9991</v>
      </c>
      <c r="C373" s="5" t="str">
        <v>AAAAA1111A</v>
      </c>
      <c r="D373" s="6" t="str">
        <v>Parag Parikh Flexi Cap Fund - Direct Growth</v>
      </c>
      <c r="E373" s="6" t="str">
        <v>DIRECT</v>
      </c>
      <c r="F373" s="6" t="str">
        <v>CAMS</v>
      </c>
      <c r="G373" s="6">
        <v>122639</v>
      </c>
      <c r="H373" s="7">
        <v>43235</v>
      </c>
      <c r="I373" s="6" t="str">
        <v>Purchase - SIP</v>
      </c>
      <c r="J373" s="8">
        <v>5000</v>
      </c>
      <c r="K373" s="9">
        <v>148.095</v>
      </c>
      <c r="L373" s="9">
        <v>33.762</v>
      </c>
      <c r="M373" s="9">
        <v>17113.044000000002</v>
      </c>
      <c r="N373" s="5" t="str">
        <v>PURCHASE_SIP</v>
      </c>
      <c r="O373" s="10">
        <v>0</v>
      </c>
    </row>
    <row r="374" spans="1:15" ht="17" x14ac:dyDescent="0.2">
      <c r="A374" s="5" t="str">
        <v>Parag Parikh Mutual Fund</v>
      </c>
      <c r="B374" s="5" t="str">
        <v>AAAA9991</v>
      </c>
      <c r="C374" s="5" t="str">
        <v>AAAAA1111A</v>
      </c>
      <c r="D374" s="6" t="str">
        <v>Parag Parikh Flexi Cap Fund - Direct Growth</v>
      </c>
      <c r="E374" s="6" t="str">
        <v>DIRECT</v>
      </c>
      <c r="F374" s="6" t="str">
        <v>CAMS</v>
      </c>
      <c r="G374" s="6">
        <v>122639</v>
      </c>
      <c r="H374" s="7">
        <v>43265</v>
      </c>
      <c r="I374" s="6" t="str">
        <v>Purchase - SIP</v>
      </c>
      <c r="J374" s="8">
        <v>5000</v>
      </c>
      <c r="K374" s="9">
        <v>143.84100000000001</v>
      </c>
      <c r="L374" s="9">
        <v>34.7607</v>
      </c>
      <c r="M374" s="9">
        <v>17256.884999999998</v>
      </c>
      <c r="N374" s="5" t="str">
        <v>PURCHASE_SIP</v>
      </c>
      <c r="O374" s="10">
        <v>0</v>
      </c>
    </row>
    <row r="375" spans="1:15" ht="17" x14ac:dyDescent="0.2">
      <c r="A375" s="5" t="str">
        <v>Parag Parikh Mutual Fund</v>
      </c>
      <c r="B375" s="5" t="str">
        <v>AAAA9991</v>
      </c>
      <c r="C375" s="5" t="str">
        <v>AAAAA1111A</v>
      </c>
      <c r="D375" s="6" t="str">
        <v>Parag Parikh Flexi Cap Fund - Direct Growth</v>
      </c>
      <c r="E375" s="6" t="str">
        <v>DIRECT</v>
      </c>
      <c r="F375" s="6" t="str">
        <v>CAMS</v>
      </c>
      <c r="G375" s="6">
        <v>122639</v>
      </c>
      <c r="H375" s="7">
        <v>43295</v>
      </c>
      <c r="I375" s="6" t="str">
        <v>Purchase - SIP</v>
      </c>
      <c r="J375" s="8">
        <v>5000</v>
      </c>
      <c r="K375" s="9">
        <v>141.30199999999999</v>
      </c>
      <c r="L375" s="9">
        <v>35.385100000000001</v>
      </c>
      <c r="M375" s="9">
        <v>17398.187999999998</v>
      </c>
      <c r="N375" s="5" t="str">
        <v>PURCHASE_SIP</v>
      </c>
      <c r="O375" s="10">
        <v>0</v>
      </c>
    </row>
    <row r="376" spans="1:15" ht="17" x14ac:dyDescent="0.2">
      <c r="A376" s="5" t="str">
        <v>Parag Parikh Mutual Fund</v>
      </c>
      <c r="B376" s="5" t="str">
        <v>AAAA9991</v>
      </c>
      <c r="C376" s="5" t="str">
        <v>AAAAA1111A</v>
      </c>
      <c r="D376" s="6" t="str">
        <v>Parag Parikh Flexi Cap Fund - Direct Growth</v>
      </c>
      <c r="E376" s="6" t="str">
        <v>DIRECT</v>
      </c>
      <c r="F376" s="6" t="str">
        <v>CAMS</v>
      </c>
      <c r="G376" s="6">
        <v>122639</v>
      </c>
      <c r="H376" s="7">
        <v>43325</v>
      </c>
      <c r="I376" s="6" t="str">
        <v>Purchase - SIP</v>
      </c>
      <c r="J376" s="8">
        <v>5000</v>
      </c>
      <c r="K376" s="9">
        <v>142.08799999999999</v>
      </c>
      <c r="L376" s="9">
        <v>35.189399999999999</v>
      </c>
      <c r="M376" s="9">
        <v>17540.276000000002</v>
      </c>
      <c r="N376" s="5" t="str">
        <v>PURCHASE_SIP</v>
      </c>
      <c r="O376" s="10">
        <v>0</v>
      </c>
    </row>
    <row r="377" spans="1:15" ht="17" x14ac:dyDescent="0.2">
      <c r="A377" s="5" t="str">
        <v>Parag Parikh Mutual Fund</v>
      </c>
      <c r="B377" s="5" t="str">
        <v>AAAA9991</v>
      </c>
      <c r="C377" s="5" t="str">
        <v>AAAAA1111A</v>
      </c>
      <c r="D377" s="6" t="str">
        <v>Parag Parikh Flexi Cap Fund - Direct Growth</v>
      </c>
      <c r="E377" s="6" t="str">
        <v>DIRECT</v>
      </c>
      <c r="F377" s="6" t="str">
        <v>CAMS</v>
      </c>
      <c r="G377" s="6">
        <v>122639</v>
      </c>
      <c r="H377" s="7">
        <v>43355</v>
      </c>
      <c r="I377" s="6" t="str">
        <v>Purchase - SIP</v>
      </c>
      <c r="J377" s="8">
        <v>5000</v>
      </c>
      <c r="K377" s="9">
        <v>141.15</v>
      </c>
      <c r="L377" s="9">
        <v>35.423400000000001</v>
      </c>
      <c r="M377" s="9">
        <v>17681.424999999999</v>
      </c>
      <c r="N377" s="5" t="str">
        <v>PURCHASE_SIP</v>
      </c>
      <c r="O377" s="10">
        <v>0</v>
      </c>
    </row>
    <row r="378" spans="1:15" ht="17" x14ac:dyDescent="0.2">
      <c r="A378" s="5" t="str">
        <v>Parag Parikh Mutual Fund</v>
      </c>
      <c r="B378" s="5" t="str">
        <v>AAAA9991</v>
      </c>
      <c r="C378" s="5" t="str">
        <v>AAAAA1111A</v>
      </c>
      <c r="D378" s="6" t="str">
        <v>Parag Parikh Flexi Cap Fund - Direct Growth</v>
      </c>
      <c r="E378" s="6" t="str">
        <v>DIRECT</v>
      </c>
      <c r="F378" s="6" t="str">
        <v>CAMS</v>
      </c>
      <c r="G378" s="6">
        <v>122639</v>
      </c>
      <c r="H378" s="7">
        <v>43355</v>
      </c>
      <c r="I378" s="6" t="str">
        <v>STT TAX</v>
      </c>
      <c r="J378" s="8">
        <v>2.5</v>
      </c>
      <c r="K378" s="9">
        <v>0</v>
      </c>
      <c r="L378" s="9">
        <v>0</v>
      </c>
      <c r="M378" s="9">
        <v>17681.424999999999</v>
      </c>
      <c r="N378" s="5" t="str">
        <v>STT_TAX</v>
      </c>
      <c r="O378" s="10">
        <v>0</v>
      </c>
    </row>
    <row r="379" spans="1:15" ht="17" x14ac:dyDescent="0.2">
      <c r="A379" s="5" t="str">
        <v>Parag Parikh Mutual Fund</v>
      </c>
      <c r="B379" s="5" t="str">
        <v>AAAA9991</v>
      </c>
      <c r="C379" s="5" t="str">
        <v>AAAAA1111A</v>
      </c>
      <c r="D379" s="6" t="str">
        <v>Parag Parikh Flexi Cap Fund - Direct Growth</v>
      </c>
      <c r="E379" s="6" t="str">
        <v>DIRECT</v>
      </c>
      <c r="F379" s="6" t="str">
        <v>CAMS</v>
      </c>
      <c r="G379" s="6">
        <v>122639</v>
      </c>
      <c r="H379" s="7">
        <v>43385</v>
      </c>
      <c r="I379" s="6" t="str">
        <v>Purchase - SIP</v>
      </c>
      <c r="J379" s="8">
        <v>5000</v>
      </c>
      <c r="K379" s="9">
        <v>143.833</v>
      </c>
      <c r="L379" s="9">
        <v>34.7624</v>
      </c>
      <c r="M379" s="9">
        <v>17825.258999999998</v>
      </c>
      <c r="N379" s="5" t="str">
        <v>PURCHASE_SIP</v>
      </c>
      <c r="O379" s="10">
        <v>0</v>
      </c>
    </row>
    <row r="380" spans="1:15" ht="17" x14ac:dyDescent="0.2">
      <c r="A380" s="5" t="str">
        <v>Parag Parikh Mutual Fund</v>
      </c>
      <c r="B380" s="5" t="str">
        <v>AAAA9991</v>
      </c>
      <c r="C380" s="5" t="str">
        <v>AAAAA1111A</v>
      </c>
      <c r="D380" s="6" t="str">
        <v>Parag Parikh Flexi Cap Fund - Direct Growth</v>
      </c>
      <c r="E380" s="6" t="str">
        <v>DIRECT</v>
      </c>
      <c r="F380" s="6" t="str">
        <v>CAMS</v>
      </c>
      <c r="G380" s="6">
        <v>122639</v>
      </c>
      <c r="H380" s="7">
        <v>43385</v>
      </c>
      <c r="I380" s="6" t="str">
        <v>Dividend Paid</v>
      </c>
      <c r="J380" s="8">
        <v>8912.6299999999992</v>
      </c>
      <c r="K380" s="9">
        <v>0</v>
      </c>
      <c r="L380" s="9">
        <v>0</v>
      </c>
      <c r="M380" s="9">
        <v>17825.258999999998</v>
      </c>
      <c r="N380" s="5" t="str">
        <v>DIVIDEND_PAYOUT</v>
      </c>
      <c r="O380" s="10">
        <v>8912.6299999999992</v>
      </c>
    </row>
    <row r="381" spans="1:15" ht="17" x14ac:dyDescent="0.2">
      <c r="A381" s="5" t="str">
        <v>Parag Parikh Mutual Fund</v>
      </c>
      <c r="B381" s="5" t="str">
        <v>AAAA9991</v>
      </c>
      <c r="C381" s="5" t="str">
        <v>AAAAA1111A</v>
      </c>
      <c r="D381" s="6" t="str">
        <v>Parag Parikh Flexi Cap Fund - Direct Growth</v>
      </c>
      <c r="E381" s="6" t="str">
        <v>DIRECT</v>
      </c>
      <c r="F381" s="6" t="str">
        <v>CAMS</v>
      </c>
      <c r="G381" s="6">
        <v>122639</v>
      </c>
      <c r="H381" s="7">
        <v>43415</v>
      </c>
      <c r="I381" s="6" t="str">
        <v>Purchase - SIP</v>
      </c>
      <c r="J381" s="8">
        <v>5000</v>
      </c>
      <c r="K381" s="9">
        <v>140.38300000000001</v>
      </c>
      <c r="L381" s="9">
        <v>35.616900000000001</v>
      </c>
      <c r="M381" s="9">
        <v>17965.641</v>
      </c>
      <c r="N381" s="5" t="str">
        <v>PURCHASE_SIP</v>
      </c>
      <c r="O381" s="10">
        <v>0</v>
      </c>
    </row>
    <row r="382" spans="1:15" ht="17" x14ac:dyDescent="0.2">
      <c r="A382" s="5" t="str">
        <v>Parag Parikh Mutual Fund</v>
      </c>
      <c r="B382" s="5" t="str">
        <v>AAAA9991</v>
      </c>
      <c r="C382" s="5" t="str">
        <v>AAAAA1111A</v>
      </c>
      <c r="D382" s="6" t="str">
        <v>Parag Parikh Flexi Cap Fund - Direct Growth</v>
      </c>
      <c r="E382" s="6" t="str">
        <v>DIRECT</v>
      </c>
      <c r="F382" s="6" t="str">
        <v>CAMS</v>
      </c>
      <c r="G382" s="6">
        <v>122639</v>
      </c>
      <c r="H382" s="7">
        <v>43445</v>
      </c>
      <c r="I382" s="6" t="str">
        <v>Purchase - SIP</v>
      </c>
      <c r="J382" s="8">
        <v>5000</v>
      </c>
      <c r="K382" s="9">
        <v>139.886</v>
      </c>
      <c r="L382" s="9">
        <v>35.743400000000001</v>
      </c>
      <c r="M382" s="9">
        <v>18105.526999999998</v>
      </c>
      <c r="N382" s="5" t="str">
        <v>PURCHASE_SIP</v>
      </c>
      <c r="O382" s="10">
        <v>0</v>
      </c>
    </row>
    <row r="383" spans="1:15" ht="17" x14ac:dyDescent="0.2">
      <c r="A383" s="5" t="str">
        <v>Parag Parikh Mutual Fund</v>
      </c>
      <c r="B383" s="5" t="str">
        <v>AAAA9991</v>
      </c>
      <c r="C383" s="5" t="str">
        <v>AAAAA1111A</v>
      </c>
      <c r="D383" s="6" t="str">
        <v>Parag Parikh Flexi Cap Fund - Direct Growth</v>
      </c>
      <c r="E383" s="6" t="str">
        <v>DIRECT</v>
      </c>
      <c r="F383" s="6" t="str">
        <v>CAMS</v>
      </c>
      <c r="G383" s="6">
        <v>122639</v>
      </c>
      <c r="H383" s="7">
        <v>43445</v>
      </c>
      <c r="I383" s="6" t="str">
        <v>STAMP DUTY</v>
      </c>
      <c r="J383" s="8">
        <v>2.5</v>
      </c>
      <c r="K383" s="9">
        <v>0</v>
      </c>
      <c r="L383" s="9">
        <v>0</v>
      </c>
      <c r="M383" s="9">
        <v>18105.526999999998</v>
      </c>
      <c r="N383" s="5" t="str">
        <v>STAMP_DUTY</v>
      </c>
      <c r="O383" s="10">
        <v>0</v>
      </c>
    </row>
    <row r="384" spans="1:15" ht="17" x14ac:dyDescent="0.2">
      <c r="A384" s="5" t="str">
        <v>Parag Parikh Mutual Fund</v>
      </c>
      <c r="B384" s="5" t="str">
        <v>AAAA9991</v>
      </c>
      <c r="C384" s="5" t="str">
        <v>AAAAA1111A</v>
      </c>
      <c r="D384" s="6" t="str">
        <v>Parag Parikh Flexi Cap Fund - Direct Growth</v>
      </c>
      <c r="E384" s="6" t="str">
        <v>DIRECT</v>
      </c>
      <c r="F384" s="6" t="str">
        <v>CAMS</v>
      </c>
      <c r="G384" s="6">
        <v>122639</v>
      </c>
      <c r="H384" s="7">
        <v>43475</v>
      </c>
      <c r="I384" s="6" t="str">
        <v>Purchase - SIP</v>
      </c>
      <c r="J384" s="8">
        <v>5000</v>
      </c>
      <c r="K384" s="9">
        <v>136.78899999999999</v>
      </c>
      <c r="L384" s="9">
        <v>36.552599999999998</v>
      </c>
      <c r="M384" s="9">
        <v>18242.316999999999</v>
      </c>
      <c r="N384" s="5" t="str">
        <v>PURCHASE_SIP</v>
      </c>
      <c r="O384" s="10">
        <v>0</v>
      </c>
    </row>
    <row r="385" spans="1:15" ht="17" x14ac:dyDescent="0.2">
      <c r="A385" s="5" t="str">
        <v>Parag Parikh Mutual Fund</v>
      </c>
      <c r="B385" s="5" t="str">
        <v>AAAA9991</v>
      </c>
      <c r="C385" s="5" t="str">
        <v>AAAAA1111A</v>
      </c>
      <c r="D385" s="6" t="str">
        <v>Parag Parikh Flexi Cap Fund - Direct Growth</v>
      </c>
      <c r="E385" s="6" t="str">
        <v>DIRECT</v>
      </c>
      <c r="F385" s="6" t="str">
        <v>CAMS</v>
      </c>
      <c r="G385" s="6">
        <v>122639</v>
      </c>
      <c r="H385" s="7">
        <v>43475</v>
      </c>
      <c r="I385" s="6" t="str">
        <v>STAMP DUTY</v>
      </c>
      <c r="J385" s="8">
        <v>2.5</v>
      </c>
      <c r="K385" s="9">
        <v>0</v>
      </c>
      <c r="L385" s="9">
        <v>0</v>
      </c>
      <c r="M385" s="9">
        <v>18242.316999999999</v>
      </c>
      <c r="N385" s="5" t="str">
        <v>STAMP_DUTY</v>
      </c>
      <c r="O385" s="10">
        <v>0</v>
      </c>
    </row>
    <row r="386" spans="1:15" ht="17" x14ac:dyDescent="0.2">
      <c r="A386" s="5" t="str">
        <v>Parag Parikh Mutual Fund</v>
      </c>
      <c r="B386" s="5" t="str">
        <v>AAAA9991</v>
      </c>
      <c r="C386" s="5" t="str">
        <v>AAAAA1111A</v>
      </c>
      <c r="D386" s="6" t="str">
        <v>Parag Parikh Flexi Cap Fund - Direct Growth</v>
      </c>
      <c r="E386" s="6" t="str">
        <v>DIRECT</v>
      </c>
      <c r="F386" s="6" t="str">
        <v>CAMS</v>
      </c>
      <c r="G386" s="6">
        <v>122639</v>
      </c>
      <c r="H386" s="7">
        <v>43505</v>
      </c>
      <c r="I386" s="6" t="str">
        <v>Purchase - SIP</v>
      </c>
      <c r="J386" s="8">
        <v>5000</v>
      </c>
      <c r="K386" s="9">
        <v>135.73400000000001</v>
      </c>
      <c r="L386" s="9">
        <v>36.836799999999997</v>
      </c>
      <c r="M386" s="9">
        <v>18378.05</v>
      </c>
      <c r="N386" s="5" t="str">
        <v>PURCHASE_SIP</v>
      </c>
      <c r="O386" s="10">
        <v>0</v>
      </c>
    </row>
    <row r="387" spans="1:15" ht="17" x14ac:dyDescent="0.2">
      <c r="A387" s="5" t="str">
        <v>Parag Parikh Mutual Fund</v>
      </c>
      <c r="B387" s="5" t="str">
        <v>AAAA9991</v>
      </c>
      <c r="C387" s="5" t="str">
        <v>AAAAA1111A</v>
      </c>
      <c r="D387" s="6" t="str">
        <v>Parag Parikh Flexi Cap Fund - Direct Growth</v>
      </c>
      <c r="E387" s="6" t="str">
        <v>DIRECT</v>
      </c>
      <c r="F387" s="6" t="str">
        <v>CAMS</v>
      </c>
      <c r="G387" s="6">
        <v>122639</v>
      </c>
      <c r="H387" s="7">
        <v>43505</v>
      </c>
      <c r="I387" s="6" t="str">
        <v>Redemption</v>
      </c>
      <c r="J387" s="8">
        <v>-135397.59</v>
      </c>
      <c r="K387" s="9">
        <v>-3675.61</v>
      </c>
      <c r="L387" s="9">
        <v>36.836799999999997</v>
      </c>
      <c r="M387" s="9">
        <v>14702.44</v>
      </c>
      <c r="N387" s="5" t="str">
        <v>REDEMPTION</v>
      </c>
      <c r="O387" s="10">
        <v>0</v>
      </c>
    </row>
    <row r="388" spans="1:15" ht="17" x14ac:dyDescent="0.2">
      <c r="A388" s="5" t="str">
        <v>Parag Parikh Mutual Fund</v>
      </c>
      <c r="B388" s="5" t="str">
        <v>AAAA9991</v>
      </c>
      <c r="C388" s="5" t="str">
        <v>AAAAA1111A</v>
      </c>
      <c r="D388" s="6" t="str">
        <v>Parag Parikh Flexi Cap Fund - Direct Growth</v>
      </c>
      <c r="E388" s="6" t="str">
        <v>DIRECT</v>
      </c>
      <c r="F388" s="6" t="str">
        <v>CAMS</v>
      </c>
      <c r="G388" s="6">
        <v>122639</v>
      </c>
      <c r="H388" s="7">
        <v>43535</v>
      </c>
      <c r="I388" s="6" t="str">
        <v>Purchase - SIP</v>
      </c>
      <c r="J388" s="8">
        <v>5000</v>
      </c>
      <c r="K388" s="9">
        <v>133.82499999999999</v>
      </c>
      <c r="L388" s="9">
        <v>37.362299999999998</v>
      </c>
      <c r="M388" s="9">
        <v>14836.264999999999</v>
      </c>
      <c r="N388" s="5" t="str">
        <v>PURCHASE_SIP</v>
      </c>
      <c r="O388" s="10">
        <v>0</v>
      </c>
    </row>
    <row r="389" spans="1:15" ht="17" x14ac:dyDescent="0.2">
      <c r="A389" s="5" t="str">
        <v>Parag Parikh Mutual Fund</v>
      </c>
      <c r="B389" s="5" t="str">
        <v>AAAA9991</v>
      </c>
      <c r="C389" s="5" t="str">
        <v>AAAAA1111A</v>
      </c>
      <c r="D389" s="6" t="str">
        <v>Parag Parikh Flexi Cap Fund - Direct Growth</v>
      </c>
      <c r="E389" s="6" t="str">
        <v>DIRECT</v>
      </c>
      <c r="F389" s="6" t="str">
        <v>CAMS</v>
      </c>
      <c r="G389" s="6">
        <v>122639</v>
      </c>
      <c r="H389" s="7">
        <v>43565</v>
      </c>
      <c r="I389" s="6" t="str">
        <v>Purchase - SIP</v>
      </c>
      <c r="J389" s="8">
        <v>5000</v>
      </c>
      <c r="K389" s="9">
        <v>132.66399999999999</v>
      </c>
      <c r="L389" s="9">
        <v>37.689100000000003</v>
      </c>
      <c r="M389" s="9">
        <v>14968.93</v>
      </c>
      <c r="N389" s="5" t="str">
        <v>PURCHASE_SIP</v>
      </c>
      <c r="O389" s="10">
        <v>0</v>
      </c>
    </row>
    <row r="390" spans="1:15" ht="17" x14ac:dyDescent="0.2">
      <c r="A390" s="5" t="str">
        <v>Parag Parikh Mutual Fund</v>
      </c>
      <c r="B390" s="5" t="str">
        <v>AAAA9991</v>
      </c>
      <c r="C390" s="5" t="str">
        <v>AAAAA1111A</v>
      </c>
      <c r="D390" s="6" t="str">
        <v>Parag Parikh Flexi Cap Fund - Direct Growth</v>
      </c>
      <c r="E390" s="6" t="str">
        <v>DIRECT</v>
      </c>
      <c r="F390" s="6" t="str">
        <v>CAMS</v>
      </c>
      <c r="G390" s="6">
        <v>122639</v>
      </c>
      <c r="H390" s="7">
        <v>43595</v>
      </c>
      <c r="I390" s="6" t="str">
        <v>Purchase - SIP</v>
      </c>
      <c r="J390" s="8">
        <v>5000</v>
      </c>
      <c r="K390" s="9">
        <v>135.03200000000001</v>
      </c>
      <c r="L390" s="9">
        <v>37.028399999999998</v>
      </c>
      <c r="M390" s="9">
        <v>15103.960999999999</v>
      </c>
      <c r="N390" s="5" t="str">
        <v>PURCHASE_SIP</v>
      </c>
      <c r="O390" s="10">
        <v>0</v>
      </c>
    </row>
    <row r="391" spans="1:15" ht="17" x14ac:dyDescent="0.2">
      <c r="A391" s="5" t="str">
        <v>Parag Parikh Mutual Fund</v>
      </c>
      <c r="B391" s="5" t="str">
        <v>AAAA9991</v>
      </c>
      <c r="C391" s="5" t="str">
        <v>AAAAA1111A</v>
      </c>
      <c r="D391" s="6" t="str">
        <v>Parag Parikh Flexi Cap Fund - Direct Growth</v>
      </c>
      <c r="E391" s="6" t="str">
        <v>DIRECT</v>
      </c>
      <c r="F391" s="6" t="str">
        <v>CAMS</v>
      </c>
      <c r="G391" s="6">
        <v>122639</v>
      </c>
      <c r="H391" s="7">
        <v>43625</v>
      </c>
      <c r="I391" s="6" t="str">
        <v>Purchase - SIP</v>
      </c>
      <c r="J391" s="8">
        <v>5000</v>
      </c>
      <c r="K391" s="9">
        <v>132.36600000000001</v>
      </c>
      <c r="L391" s="9">
        <v>37.774000000000001</v>
      </c>
      <c r="M391" s="9">
        <v>15236.326999999999</v>
      </c>
      <c r="N391" s="5" t="str">
        <v>PURCHASE_SIP</v>
      </c>
      <c r="O391" s="10">
        <v>0</v>
      </c>
    </row>
    <row r="392" spans="1:15" ht="17" x14ac:dyDescent="0.2">
      <c r="A392" s="5" t="str">
        <v>Parag Parikh Mutual Fund</v>
      </c>
      <c r="B392" s="5" t="str">
        <v>AAAA9991</v>
      </c>
      <c r="C392" s="5" t="str">
        <v>AAAAA1111A</v>
      </c>
      <c r="D392" s="6" t="str">
        <v>Parag Parikh Flexi Cap Fund - Direct Growth</v>
      </c>
      <c r="E392" s="6" t="str">
        <v>DIRECT</v>
      </c>
      <c r="F392" s="6" t="str">
        <v>CAMS</v>
      </c>
      <c r="G392" s="6">
        <v>122639</v>
      </c>
      <c r="H392" s="7">
        <v>43655</v>
      </c>
      <c r="I392" s="6" t="str">
        <v>Purchase - SIP</v>
      </c>
      <c r="J392" s="8">
        <v>5000</v>
      </c>
      <c r="K392" s="9">
        <v>130.80099999999999</v>
      </c>
      <c r="L392" s="9">
        <v>38.226100000000002</v>
      </c>
      <c r="M392" s="9">
        <v>15367.128000000001</v>
      </c>
      <c r="N392" s="5" t="str">
        <v>PURCHASE_SIP</v>
      </c>
      <c r="O392" s="10">
        <v>0</v>
      </c>
    </row>
    <row r="393" spans="1:15" ht="17" x14ac:dyDescent="0.2">
      <c r="A393" s="5" t="str">
        <v>Parag Parikh Mutual Fund</v>
      </c>
      <c r="B393" s="5" t="str">
        <v>AAAA9991</v>
      </c>
      <c r="C393" s="5" t="str">
        <v>AAAAA1111A</v>
      </c>
      <c r="D393" s="6" t="str">
        <v>Parag Parikh Flexi Cap Fund - Direct Growth</v>
      </c>
      <c r="E393" s="6" t="str">
        <v>DIRECT</v>
      </c>
      <c r="F393" s="6" t="str">
        <v>CAMS</v>
      </c>
      <c r="G393" s="6">
        <v>122639</v>
      </c>
      <c r="H393" s="7">
        <v>43685</v>
      </c>
      <c r="I393" s="6" t="str">
        <v>Purchase - SIP</v>
      </c>
      <c r="J393" s="8">
        <v>5000</v>
      </c>
      <c r="K393" s="9">
        <v>133.136</v>
      </c>
      <c r="L393" s="9">
        <v>37.555700000000002</v>
      </c>
      <c r="M393" s="9">
        <v>15500.263999999999</v>
      </c>
      <c r="N393" s="5" t="str">
        <v>PURCHASE_SIP</v>
      </c>
      <c r="O393" s="10">
        <v>0</v>
      </c>
    </row>
    <row r="394" spans="1:15" ht="17" x14ac:dyDescent="0.2">
      <c r="A394" s="5" t="str">
        <v>Parag Parikh Mutual Fund</v>
      </c>
      <c r="B394" s="5" t="str">
        <v>AAAA9991</v>
      </c>
      <c r="C394" s="5" t="str">
        <v>AAAAA1111A</v>
      </c>
      <c r="D394" s="6" t="str">
        <v>Parag Parikh Flexi Cap Fund - Direct Growth</v>
      </c>
      <c r="E394" s="6" t="str">
        <v>DIRECT</v>
      </c>
      <c r="F394" s="6" t="str">
        <v>CAMS</v>
      </c>
      <c r="G394" s="6">
        <v>122639</v>
      </c>
      <c r="H394" s="7">
        <v>43715</v>
      </c>
      <c r="I394" s="6" t="str">
        <v>Purchase - SIP</v>
      </c>
      <c r="J394" s="8">
        <v>5000</v>
      </c>
      <c r="K394" s="9">
        <v>130.97300000000001</v>
      </c>
      <c r="L394" s="9">
        <v>38.175699999999999</v>
      </c>
      <c r="M394" s="9">
        <v>15631.236999999999</v>
      </c>
      <c r="N394" s="5" t="str">
        <v>PURCHASE_SIP</v>
      </c>
      <c r="O394" s="10">
        <v>0</v>
      </c>
    </row>
    <row r="395" spans="1:15" ht="17" x14ac:dyDescent="0.2">
      <c r="A395" s="5" t="str">
        <v>Parag Parikh Mutual Fund</v>
      </c>
      <c r="B395" s="5" t="str">
        <v>AAAA9991</v>
      </c>
      <c r="C395" s="5" t="str">
        <v>AAAAA1111A</v>
      </c>
      <c r="D395" s="6" t="str">
        <v>Parag Parikh Flexi Cap Fund - Direct Growth</v>
      </c>
      <c r="E395" s="6" t="str">
        <v>DIRECT</v>
      </c>
      <c r="F395" s="6" t="str">
        <v>CAMS</v>
      </c>
      <c r="G395" s="6">
        <v>122639</v>
      </c>
      <c r="H395" s="7">
        <v>43745</v>
      </c>
      <c r="I395" s="6" t="str">
        <v>Purchase - SIP</v>
      </c>
      <c r="J395" s="8">
        <v>5000</v>
      </c>
      <c r="K395" s="9">
        <v>129.34700000000001</v>
      </c>
      <c r="L395" s="9">
        <v>38.655700000000003</v>
      </c>
      <c r="M395" s="9">
        <v>15760.584000000001</v>
      </c>
      <c r="N395" s="5" t="str">
        <v>PURCHASE_SIP</v>
      </c>
      <c r="O395" s="10">
        <v>0</v>
      </c>
    </row>
    <row r="396" spans="1:15" ht="17" x14ac:dyDescent="0.2">
      <c r="A396" s="5" t="str">
        <v>Parag Parikh Mutual Fund</v>
      </c>
      <c r="B396" s="5" t="str">
        <v>AAAA9991</v>
      </c>
      <c r="C396" s="5" t="str">
        <v>AAAAA1111A</v>
      </c>
      <c r="D396" s="6" t="str">
        <v>Parag Parikh Flexi Cap Fund - Direct Growth</v>
      </c>
      <c r="E396" s="6" t="str">
        <v>DIRECT</v>
      </c>
      <c r="F396" s="6" t="str">
        <v>CAMS</v>
      </c>
      <c r="G396" s="6">
        <v>122639</v>
      </c>
      <c r="H396" s="7">
        <v>43775</v>
      </c>
      <c r="I396" s="6" t="str">
        <v>Purchase - SIP</v>
      </c>
      <c r="J396" s="8">
        <v>5000</v>
      </c>
      <c r="K396" s="9">
        <v>125.866</v>
      </c>
      <c r="L396" s="9">
        <v>39.724600000000002</v>
      </c>
      <c r="M396" s="9">
        <v>15886.45</v>
      </c>
      <c r="N396" s="5" t="str">
        <v>PURCHASE_SIP</v>
      </c>
      <c r="O396" s="10">
        <v>0</v>
      </c>
    </row>
    <row r="397" spans="1:15" ht="17" x14ac:dyDescent="0.2">
      <c r="A397" s="5" t="str">
        <v>Parag Parikh Mutual Fund</v>
      </c>
      <c r="B397" s="5" t="str">
        <v>AAAA9991</v>
      </c>
      <c r="C397" s="5" t="str">
        <v>AAAAA1111A</v>
      </c>
      <c r="D397" s="6" t="str">
        <v>Parag Parikh Flexi Cap Fund - Direct Growth</v>
      </c>
      <c r="E397" s="6" t="str">
        <v>DIRECT</v>
      </c>
      <c r="F397" s="6" t="str">
        <v>CAMS</v>
      </c>
      <c r="G397" s="6">
        <v>122639</v>
      </c>
      <c r="H397" s="7">
        <v>43805</v>
      </c>
      <c r="I397" s="6" t="str">
        <v>Purchase - SIP</v>
      </c>
      <c r="J397" s="8">
        <v>5000</v>
      </c>
      <c r="K397" s="9">
        <v>126.488</v>
      </c>
      <c r="L397" s="9">
        <v>39.529400000000003</v>
      </c>
      <c r="M397" s="9">
        <v>16012.938</v>
      </c>
      <c r="N397" s="5" t="str">
        <v>PURCHASE_SIP</v>
      </c>
      <c r="O397" s="10">
        <v>0</v>
      </c>
    </row>
    <row r="398" spans="1:15" ht="17" x14ac:dyDescent="0.2">
      <c r="A398" s="5" t="str">
        <v>Parag Parikh Mutual Fund</v>
      </c>
      <c r="B398" s="5" t="str">
        <v>AAAA9991</v>
      </c>
      <c r="C398" s="5" t="str">
        <v>AAAAA1111A</v>
      </c>
      <c r="D398" s="6" t="str">
        <v>Parag Parikh Flexi Cap Fund - Direct Growth</v>
      </c>
      <c r="E398" s="6" t="str">
        <v>DIRECT</v>
      </c>
      <c r="F398" s="6" t="str">
        <v>CAMS</v>
      </c>
      <c r="G398" s="6">
        <v>122639</v>
      </c>
      <c r="H398" s="7">
        <v>43835</v>
      </c>
      <c r="I398" s="6" t="str">
        <v>Purchase - SIP</v>
      </c>
      <c r="J398" s="8">
        <v>5000</v>
      </c>
      <c r="K398" s="9">
        <v>123.23699999999999</v>
      </c>
      <c r="L398" s="9">
        <v>40.572299999999998</v>
      </c>
      <c r="M398" s="9">
        <v>16136.174999999999</v>
      </c>
      <c r="N398" s="5" t="str">
        <v>PURCHASE_SIP</v>
      </c>
      <c r="O398" s="10">
        <v>0</v>
      </c>
    </row>
    <row r="399" spans="1:15" ht="17" x14ac:dyDescent="0.2">
      <c r="A399" s="5" t="str">
        <v>Parag Parikh Mutual Fund</v>
      </c>
      <c r="B399" s="5" t="str">
        <v>AAAA9991</v>
      </c>
      <c r="C399" s="5" t="str">
        <v>AAAAA1111A</v>
      </c>
      <c r="D399" s="6" t="str">
        <v>Parag Parikh Flexi Cap Fund - Direct Growth</v>
      </c>
      <c r="E399" s="6" t="str">
        <v>DIRECT</v>
      </c>
      <c r="F399" s="6" t="str">
        <v>CAMS</v>
      </c>
      <c r="G399" s="6">
        <v>122639</v>
      </c>
      <c r="H399" s="7">
        <v>43865</v>
      </c>
      <c r="I399" s="6" t="str">
        <v>Purchase - SIP</v>
      </c>
      <c r="J399" s="8">
        <v>5000</v>
      </c>
      <c r="K399" s="9">
        <v>123.774</v>
      </c>
      <c r="L399" s="9">
        <v>40.3962</v>
      </c>
      <c r="M399" s="9">
        <v>16259.949000000001</v>
      </c>
      <c r="N399" s="5" t="str">
        <v>PURCHASE_SIP</v>
      </c>
      <c r="O399" s="10">
        <v>0</v>
      </c>
    </row>
    <row r="400" spans="1:15" ht="17" x14ac:dyDescent="0.2">
      <c r="A400" s="5" t="str">
        <v>Parag Parikh Mutual Fund</v>
      </c>
      <c r="B400" s="5" t="str">
        <v>AAAA9991</v>
      </c>
      <c r="C400" s="5" t="str">
        <v>AAAAA1111A</v>
      </c>
      <c r="D400" s="6" t="str">
        <v>Parag Parikh Flexi Cap Fund - Direct Growth</v>
      </c>
      <c r="E400" s="6" t="str">
        <v>DIRECT</v>
      </c>
      <c r="F400" s="6" t="str">
        <v>CAMS</v>
      </c>
      <c r="G400" s="6">
        <v>122639</v>
      </c>
      <c r="H400" s="7">
        <v>43895</v>
      </c>
      <c r="I400" s="6" t="str">
        <v>Purchase - SIP</v>
      </c>
      <c r="J400" s="8">
        <v>5000</v>
      </c>
      <c r="K400" s="9">
        <v>124.21299999999999</v>
      </c>
      <c r="L400" s="9">
        <v>40.253300000000003</v>
      </c>
      <c r="M400" s="9">
        <v>16384.162</v>
      </c>
      <c r="N400" s="5" t="str">
        <v>PURCHASE_SIP</v>
      </c>
      <c r="O400" s="10">
        <v>0</v>
      </c>
    </row>
    <row r="401" spans="1:15" ht="17" x14ac:dyDescent="0.2">
      <c r="A401" s="5" t="str">
        <v>Parag Parikh Mutual Fund</v>
      </c>
      <c r="B401" s="5" t="str">
        <v>AAAA9991</v>
      </c>
      <c r="C401" s="5" t="str">
        <v>AAAAA1111A</v>
      </c>
      <c r="D401" s="6" t="str">
        <v>Parag Parikh Flexi Cap Fund - Direct Growth</v>
      </c>
      <c r="E401" s="6" t="str">
        <v>DIRECT</v>
      </c>
      <c r="F401" s="6" t="str">
        <v>CAMS</v>
      </c>
      <c r="G401" s="6">
        <v>122639</v>
      </c>
      <c r="H401" s="7">
        <v>43895</v>
      </c>
      <c r="I401" s="6" t="str">
        <v>Dividend Paid</v>
      </c>
      <c r="J401" s="8">
        <v>8192.08</v>
      </c>
      <c r="K401" s="9">
        <v>0</v>
      </c>
      <c r="L401" s="9">
        <v>0</v>
      </c>
      <c r="M401" s="9">
        <v>16384.162</v>
      </c>
      <c r="N401" s="5" t="str">
        <v>DIVIDEND_PAYOUT</v>
      </c>
      <c r="O401" s="10">
        <v>8192.08</v>
      </c>
    </row>
    <row r="402" spans="1:15" ht="17" x14ac:dyDescent="0.2">
      <c r="A402" s="5" t="str">
        <v>Parag Parikh Mutual Fund</v>
      </c>
      <c r="B402" s="5" t="str">
        <v>AAAA9991</v>
      </c>
      <c r="C402" s="5" t="str">
        <v>AAAAA1111A</v>
      </c>
      <c r="D402" s="6" t="str">
        <v>Parag Parikh Flexi Cap Fund - Direct Growth</v>
      </c>
      <c r="E402" s="6" t="str">
        <v>DIRECT</v>
      </c>
      <c r="F402" s="6" t="str">
        <v>CAMS</v>
      </c>
      <c r="G402" s="6">
        <v>122639</v>
      </c>
      <c r="H402" s="7">
        <v>43925</v>
      </c>
      <c r="I402" s="6" t="str">
        <v>Purchase - SIP</v>
      </c>
      <c r="J402" s="8">
        <v>5000</v>
      </c>
      <c r="K402" s="9">
        <v>123.64400000000001</v>
      </c>
      <c r="L402" s="9">
        <v>40.438699999999997</v>
      </c>
      <c r="M402" s="9">
        <v>16507.806</v>
      </c>
      <c r="N402" s="5" t="str">
        <v>PURCHASE_SIP</v>
      </c>
      <c r="O402" s="10">
        <v>0</v>
      </c>
    </row>
    <row r="403" spans="1:15" ht="17" x14ac:dyDescent="0.2">
      <c r="A403" s="5" t="str">
        <v>Parag Parikh Mutual Fund</v>
      </c>
      <c r="B403" s="5" t="str">
        <v>AAAA9991</v>
      </c>
      <c r="C403" s="5" t="str">
        <v>AAAAA1111A</v>
      </c>
      <c r="D403" s="6" t="str">
        <v>Parag Parikh Flexi Cap Fund - Direct Growth</v>
      </c>
      <c r="E403" s="6" t="str">
        <v>DIRECT</v>
      </c>
      <c r="F403" s="6" t="str">
        <v>CAMS</v>
      </c>
      <c r="G403" s="6">
        <v>122639</v>
      </c>
      <c r="H403" s="7">
        <v>43955</v>
      </c>
      <c r="I403" s="6" t="str">
        <v>Purchase - SIP</v>
      </c>
      <c r="J403" s="8">
        <v>5000</v>
      </c>
      <c r="K403" s="9">
        <v>120.86799999999999</v>
      </c>
      <c r="L403" s="9">
        <v>41.3673</v>
      </c>
      <c r="M403" s="9">
        <v>16628.674999999999</v>
      </c>
      <c r="N403" s="5" t="str">
        <v>PURCHASE_SIP</v>
      </c>
      <c r="O403" s="10">
        <v>0</v>
      </c>
    </row>
    <row r="404" spans="1:15" ht="17" x14ac:dyDescent="0.2">
      <c r="A404" s="5" t="str">
        <v>Parag Parikh Mutual Fund</v>
      </c>
      <c r="B404" s="5" t="str">
        <v>AAAA9991</v>
      </c>
      <c r="C404" s="5" t="str">
        <v>AAAAA1111A</v>
      </c>
      <c r="D404" s="6" t="str">
        <v>Parag Parikh Flexi Cap Fund - Direct Growth</v>
      </c>
      <c r="E404" s="6" t="str">
        <v>DIRECT</v>
      </c>
      <c r="F404" s="6" t="str">
        <v>CAMS</v>
      </c>
      <c r="G404" s="6">
        <v>122639</v>
      </c>
      <c r="H404" s="7">
        <v>43985</v>
      </c>
      <c r="I404" s="6" t="str">
        <v>Purchase - SIP</v>
      </c>
      <c r="J404" s="8">
        <v>5000</v>
      </c>
      <c r="K404" s="9">
        <v>120.524</v>
      </c>
      <c r="L404" s="9">
        <v>41.485399999999998</v>
      </c>
      <c r="M404" s="9">
        <v>16749.199000000001</v>
      </c>
      <c r="N404" s="5" t="str">
        <v>PURCHASE_SIP</v>
      </c>
      <c r="O404" s="10">
        <v>0</v>
      </c>
    </row>
    <row r="405" spans="1:15" ht="17" x14ac:dyDescent="0.2">
      <c r="A405" s="5" t="str">
        <v>Parag Parikh Mutual Fund</v>
      </c>
      <c r="B405" s="5" t="str">
        <v>AAAA9991</v>
      </c>
      <c r="C405" s="5" t="str">
        <v>AAAAA1111A</v>
      </c>
      <c r="D405" s="6" t="str">
        <v>Parag Parikh Flexi Cap Fund - Direct Growth</v>
      </c>
      <c r="E405" s="6" t="str">
        <v>DIRECT</v>
      </c>
      <c r="F405" s="6" t="str">
        <v>CAMS</v>
      </c>
      <c r="G405" s="6">
        <v>122639</v>
      </c>
      <c r="H405" s="7">
        <v>44015</v>
      </c>
      <c r="I405" s="6" t="str">
        <v>Purchase - SIP</v>
      </c>
      <c r="J405" s="8">
        <v>5000</v>
      </c>
      <c r="K405" s="9">
        <v>121.61799999999999</v>
      </c>
      <c r="L405" s="9">
        <v>41.112299999999998</v>
      </c>
      <c r="M405" s="9">
        <v>16870.816999999999</v>
      </c>
      <c r="N405" s="5" t="str">
        <v>PURCHASE_SIP</v>
      </c>
      <c r="O405" s="10">
        <v>0</v>
      </c>
    </row>
    <row r="406" spans="1:15" ht="17" x14ac:dyDescent="0.2">
      <c r="A406" s="5" t="str">
        <v>Parag Parikh Mutual Fund</v>
      </c>
      <c r="B406" s="5" t="str">
        <v>AAAA9991</v>
      </c>
      <c r="C406" s="5" t="str">
        <v>AAAAA1111A</v>
      </c>
      <c r="D406" s="6" t="str">
        <v>Parag Parikh Flexi Cap Fund - Direct Growth</v>
      </c>
      <c r="E406" s="6" t="str">
        <v>DIRECT</v>
      </c>
      <c r="F406" s="6" t="str">
        <v>CAMS</v>
      </c>
      <c r="G406" s="6">
        <v>122639</v>
      </c>
      <c r="H406" s="7">
        <v>44045</v>
      </c>
      <c r="I406" s="6" t="str">
        <v>Purchase - SIP</v>
      </c>
      <c r="J406" s="8">
        <v>5000</v>
      </c>
      <c r="K406" s="9">
        <v>118.33199999999999</v>
      </c>
      <c r="L406" s="9">
        <v>42.254100000000001</v>
      </c>
      <c r="M406" s="9">
        <v>16989.149000000001</v>
      </c>
      <c r="N406" s="5" t="str">
        <v>PURCHASE_SIP</v>
      </c>
      <c r="O406" s="10">
        <v>0</v>
      </c>
    </row>
    <row r="407" spans="1:15" ht="17" x14ac:dyDescent="0.2">
      <c r="A407" s="5" t="str">
        <v>Parag Parikh Mutual Fund</v>
      </c>
      <c r="B407" s="5" t="str">
        <v>AAAA9991</v>
      </c>
      <c r="C407" s="5" t="str">
        <v>AAAAA1111A</v>
      </c>
      <c r="D407" s="6" t="str">
        <v>Parag Parikh Flexi Cap Fund - Direct Growth</v>
      </c>
      <c r="E407" s="6" t="str">
        <v>DIRECT</v>
      </c>
      <c r="F407" s="6" t="str">
        <v>CAMS</v>
      </c>
      <c r="G407" s="6">
        <v>122639</v>
      </c>
      <c r="H407" s="7">
        <v>44075</v>
      </c>
      <c r="I407" s="6" t="str">
        <v>Purchase - SIP</v>
      </c>
      <c r="J407" s="8">
        <v>5000</v>
      </c>
      <c r="K407" s="9">
        <v>116.032</v>
      </c>
      <c r="L407" s="9">
        <v>43.0914</v>
      </c>
      <c r="M407" s="9">
        <v>17105.181</v>
      </c>
      <c r="N407" s="5" t="str">
        <v>PURCHASE_SIP</v>
      </c>
      <c r="O407" s="10">
        <v>0</v>
      </c>
    </row>
    <row r="408" spans="1:15" ht="17" x14ac:dyDescent="0.2">
      <c r="A408" s="5" t="str">
        <v>Parag Parikh Mutual Fund</v>
      </c>
      <c r="B408" s="5" t="str">
        <v>AAAA9991</v>
      </c>
      <c r="C408" s="5" t="str">
        <v>AAAAA1111A</v>
      </c>
      <c r="D408" s="6" t="str">
        <v>Parag Parikh Flexi Cap Fund - Direct Growth</v>
      </c>
      <c r="E408" s="6" t="str">
        <v>DIRECT</v>
      </c>
      <c r="F408" s="6" t="str">
        <v>CAMS</v>
      </c>
      <c r="G408" s="6">
        <v>122639</v>
      </c>
      <c r="H408" s="7">
        <v>44105</v>
      </c>
      <c r="I408" s="6" t="str">
        <v>Purchase - SIP</v>
      </c>
      <c r="J408" s="8">
        <v>5000</v>
      </c>
      <c r="K408" s="9">
        <v>113.535</v>
      </c>
      <c r="L408" s="9">
        <v>44.039400000000001</v>
      </c>
      <c r="M408" s="9">
        <v>17218.716</v>
      </c>
      <c r="N408" s="5" t="str">
        <v>PURCHASE_SIP</v>
      </c>
      <c r="O408" s="10">
        <v>0</v>
      </c>
    </row>
    <row r="409" spans="1:15" ht="17" x14ac:dyDescent="0.2">
      <c r="A409" s="5" t="str">
        <v>Parag Parikh Mutual Fund</v>
      </c>
      <c r="B409" s="5" t="str">
        <v>AAAA9991</v>
      </c>
      <c r="C409" s="5" t="str">
        <v>AAAAA1111A</v>
      </c>
      <c r="D409" s="6" t="str">
        <v>Parag Parikh Flexi Cap Fund - Direct Growth</v>
      </c>
      <c r="E409" s="6" t="str">
        <v>DIRECT</v>
      </c>
      <c r="F409" s="6" t="str">
        <v>CAMS</v>
      </c>
      <c r="G409" s="6">
        <v>122639</v>
      </c>
      <c r="H409" s="7">
        <v>44135</v>
      </c>
      <c r="I409" s="6" t="str">
        <v>Purchase - SIP</v>
      </c>
      <c r="J409" s="8">
        <v>5000</v>
      </c>
      <c r="K409" s="9">
        <v>114.05200000000001</v>
      </c>
      <c r="L409" s="9">
        <v>43.839500000000001</v>
      </c>
      <c r="M409" s="9">
        <v>17332.769</v>
      </c>
      <c r="N409" s="5" t="str">
        <v>PURCHASE_SIP</v>
      </c>
      <c r="O409" s="10">
        <v>0</v>
      </c>
    </row>
    <row r="410" spans="1:15" ht="17" x14ac:dyDescent="0.2">
      <c r="A410" s="5" t="str">
        <v>Parag Parikh Mutual Fund</v>
      </c>
      <c r="B410" s="5" t="str">
        <v>AAAA9991</v>
      </c>
      <c r="C410" s="5" t="str">
        <v>AAAAA1111A</v>
      </c>
      <c r="D410" s="6" t="str">
        <v>Parag Parikh Flexi Cap Fund - Direct Growth</v>
      </c>
      <c r="E410" s="6" t="str">
        <v>DIRECT</v>
      </c>
      <c r="F410" s="6" t="str">
        <v>CAMS</v>
      </c>
      <c r="G410" s="6">
        <v>122639</v>
      </c>
      <c r="H410" s="7">
        <v>44165</v>
      </c>
      <c r="I410" s="6" t="str">
        <v>Purchase - SIP</v>
      </c>
      <c r="J410" s="8">
        <v>5000</v>
      </c>
      <c r="K410" s="9">
        <v>111.339</v>
      </c>
      <c r="L410" s="9">
        <v>44.907899999999998</v>
      </c>
      <c r="M410" s="9">
        <v>17444.107</v>
      </c>
      <c r="N410" s="5" t="str">
        <v>PURCHASE_SIP</v>
      </c>
      <c r="O410" s="10">
        <v>0</v>
      </c>
    </row>
    <row r="411" spans="1:15" ht="17" x14ac:dyDescent="0.2">
      <c r="A411" s="5" t="str">
        <v>Parag Parikh Mutual Fund</v>
      </c>
      <c r="B411" s="5" t="str">
        <v>AAAA9991</v>
      </c>
      <c r="C411" s="5" t="str">
        <v>AAAAA1111A</v>
      </c>
      <c r="D411" s="6" t="str">
        <v>Parag Parikh Flexi Cap Fund - Direct Growth</v>
      </c>
      <c r="E411" s="6" t="str">
        <v>DIRECT</v>
      </c>
      <c r="F411" s="6" t="str">
        <v>CAMS</v>
      </c>
      <c r="G411" s="6">
        <v>122639</v>
      </c>
      <c r="H411" s="7">
        <v>44195</v>
      </c>
      <c r="I411" s="6" t="str">
        <v>Purchase - SIP</v>
      </c>
      <c r="J411" s="8">
        <v>5000</v>
      </c>
      <c r="K411" s="9">
        <v>112.455</v>
      </c>
      <c r="L411" s="9">
        <v>44.462000000000003</v>
      </c>
      <c r="M411" s="9">
        <v>17556.562999999998</v>
      </c>
      <c r="N411" s="5" t="str">
        <v>PURCHASE_SIP</v>
      </c>
      <c r="O411" s="10">
        <v>0</v>
      </c>
    </row>
    <row r="412" spans="1:15" ht="17" x14ac:dyDescent="0.2">
      <c r="A412" s="5" t="str">
        <v>Parag Parikh Mutual Fund</v>
      </c>
      <c r="B412" s="5" t="str">
        <v>AAAA9991</v>
      </c>
      <c r="C412" s="5" t="str">
        <v>AAAAA1111A</v>
      </c>
      <c r="D412" s="6" t="str">
        <v>Parag Parikh Flexi Cap Fund - Direct Growth</v>
      </c>
      <c r="E412" s="6" t="str">
        <v>DIRECT</v>
      </c>
      <c r="F412" s="6" t="str">
        <v>CAMS</v>
      </c>
      <c r="G412" s="6">
        <v>122639</v>
      </c>
      <c r="H412" s="7">
        <v>44225</v>
      </c>
      <c r="I412" s="6" t="str">
        <v>Purchase - SIP</v>
      </c>
      <c r="J412" s="8">
        <v>5000</v>
      </c>
      <c r="K412" s="9">
        <v>109.389</v>
      </c>
      <c r="L412" s="9">
        <v>45.708199999999998</v>
      </c>
      <c r="M412" s="9">
        <v>17665.952000000001</v>
      </c>
      <c r="N412" s="5" t="str">
        <v>PURCHASE_SIP</v>
      </c>
      <c r="O412" s="10">
        <v>0</v>
      </c>
    </row>
    <row r="413" spans="1:15" ht="17" x14ac:dyDescent="0.2">
      <c r="A413" s="5" t="str">
        <v>Parag Parikh Mutual Fund</v>
      </c>
      <c r="B413" s="5" t="str">
        <v>AAAA9991</v>
      </c>
      <c r="C413" s="5" t="str">
        <v>AAAAA1111A</v>
      </c>
      <c r="D413" s="6" t="str">
        <v>Parag Parikh Flexi Cap Fund - Direct Growth</v>
      </c>
      <c r="E413" s="6" t="str">
        <v>DIRECT</v>
      </c>
      <c r="F413" s="6" t="str">
        <v>CAMS</v>
      </c>
      <c r="G413" s="6">
        <v>122639</v>
      </c>
      <c r="H413" s="7">
        <v>44255</v>
      </c>
      <c r="I413" s="6" t="str">
        <v>Purchase - SIP</v>
      </c>
      <c r="J413" s="8">
        <v>5000</v>
      </c>
      <c r="K413" s="9">
        <v>107.056</v>
      </c>
      <c r="L413" s="9">
        <v>46.704300000000003</v>
      </c>
      <c r="M413" s="9">
        <v>17773.008999999998</v>
      </c>
      <c r="N413" s="5" t="str">
        <v>PURCHASE_SIP</v>
      </c>
      <c r="O413" s="10">
        <v>0</v>
      </c>
    </row>
    <row r="414" spans="1:15" ht="17" x14ac:dyDescent="0.2">
      <c r="A414" s="5" t="str">
        <v>Parag Parikh Mutual Fund</v>
      </c>
      <c r="B414" s="5" t="str">
        <v>AAAA9991</v>
      </c>
      <c r="C414" s="5" t="str">
        <v>AAAAA1111A</v>
      </c>
      <c r="D414" s="6" t="str">
        <v>Parag Parikh Flexi Cap Fund - Direct Growth</v>
      </c>
      <c r="E414" s="6" t="str">
        <v>DIRECT</v>
      </c>
      <c r="F414" s="6" t="str">
        <v>CAMS</v>
      </c>
      <c r="G414" s="6">
        <v>122639</v>
      </c>
      <c r="H414" s="7">
        <v>44285</v>
      </c>
      <c r="I414" s="6" t="str">
        <v>Purchase - SIP</v>
      </c>
      <c r="J414" s="8">
        <v>5000</v>
      </c>
      <c r="K414" s="9">
        <v>106.42700000000001</v>
      </c>
      <c r="L414" s="9">
        <v>46.980699999999999</v>
      </c>
      <c r="M414" s="9">
        <v>17879.436000000002</v>
      </c>
      <c r="N414" s="5" t="str">
        <v>PURCHASE_SIP</v>
      </c>
      <c r="O414" s="10">
        <v>0</v>
      </c>
    </row>
    <row r="415" spans="1:15" ht="17" x14ac:dyDescent="0.2">
      <c r="A415" s="5" t="str">
        <v>Parag Parikh Mutual Fund</v>
      </c>
      <c r="B415" s="5" t="str">
        <v>AAAA9991</v>
      </c>
      <c r="C415" s="5" t="str">
        <v>AAAAA1111A</v>
      </c>
      <c r="D415" s="6" t="str">
        <v>Parag Parikh Flexi Cap Fund - Direct Growth</v>
      </c>
      <c r="E415" s="6" t="str">
        <v>DIRECT</v>
      </c>
      <c r="F415" s="6" t="str">
        <v>CAMS</v>
      </c>
      <c r="G415" s="6">
        <v>122639</v>
      </c>
      <c r="H415" s="7">
        <v>44285</v>
      </c>
      <c r="I415" s="6" t="str">
        <v>STT TAX</v>
      </c>
      <c r="J415" s="8">
        <v>2.5</v>
      </c>
      <c r="K415" s="9">
        <v>0</v>
      </c>
      <c r="L415" s="9">
        <v>0</v>
      </c>
      <c r="M415" s="9">
        <v>17879.436000000002</v>
      </c>
      <c r="N415" s="5" t="str">
        <v>STT_TAX</v>
      </c>
      <c r="O415" s="10">
        <v>0</v>
      </c>
    </row>
    <row r="416" spans="1:15" ht="17" x14ac:dyDescent="0.2">
      <c r="A416" s="5" t="str">
        <v>Parag Parikh Mutual Fund</v>
      </c>
      <c r="B416" s="5" t="str">
        <v>AAAA9991</v>
      </c>
      <c r="C416" s="5" t="str">
        <v>AAAAA1111A</v>
      </c>
      <c r="D416" s="6" t="str">
        <v>Parag Parikh Flexi Cap Fund - Direct Growth</v>
      </c>
      <c r="E416" s="6" t="str">
        <v>DIRECT</v>
      </c>
      <c r="F416" s="6" t="str">
        <v>CAMS</v>
      </c>
      <c r="G416" s="6">
        <v>122639</v>
      </c>
      <c r="H416" s="7">
        <v>44315</v>
      </c>
      <c r="I416" s="6" t="str">
        <v>Purchase - SIP</v>
      </c>
      <c r="J416" s="8">
        <v>5000</v>
      </c>
      <c r="K416" s="9">
        <v>107.11499999999999</v>
      </c>
      <c r="L416" s="9">
        <v>46.678699999999999</v>
      </c>
      <c r="M416" s="9">
        <v>17986.550999999999</v>
      </c>
      <c r="N416" s="5" t="str">
        <v>PURCHASE_SIP</v>
      </c>
      <c r="O416" s="10">
        <v>0</v>
      </c>
    </row>
    <row r="417" spans="1:15" ht="17" x14ac:dyDescent="0.2">
      <c r="A417" s="5" t="str">
        <v>Parag Parikh Mutual Fund</v>
      </c>
      <c r="B417" s="5" t="str">
        <v>AAAA9991</v>
      </c>
      <c r="C417" s="5" t="str">
        <v>AAAAA1111A</v>
      </c>
      <c r="D417" s="6" t="str">
        <v>Parag Parikh Flexi Cap Fund - Direct Growth</v>
      </c>
      <c r="E417" s="6" t="str">
        <v>DIRECT</v>
      </c>
      <c r="F417" s="6" t="str">
        <v>CAMS</v>
      </c>
      <c r="G417" s="6">
        <v>122639</v>
      </c>
      <c r="H417" s="7">
        <v>44345</v>
      </c>
      <c r="I417" s="6" t="str">
        <v>Purchase - SIP</v>
      </c>
      <c r="J417" s="8">
        <v>5000</v>
      </c>
      <c r="K417" s="9">
        <v>107.55200000000001</v>
      </c>
      <c r="L417" s="9">
        <v>46.489199999999997</v>
      </c>
      <c r="M417" s="9">
        <v>18094.102999999999</v>
      </c>
      <c r="N417" s="5" t="str">
        <v>PURCHASE_SIP</v>
      </c>
      <c r="O417" s="10">
        <v>0</v>
      </c>
    </row>
    <row r="418" spans="1:15" ht="17" x14ac:dyDescent="0.2">
      <c r="A418" s="5" t="str">
        <v>Parag Parikh Mutual Fund</v>
      </c>
      <c r="B418" s="5" t="str">
        <v>AAAA9991</v>
      </c>
      <c r="C418" s="5" t="str">
        <v>AAAAA1111A</v>
      </c>
      <c r="D418" s="6" t="str">
        <v>Parag Parikh Flexi Cap Fund - Direct Growth</v>
      </c>
      <c r="E418" s="6" t="str">
        <v>DIRECT</v>
      </c>
      <c r="F418" s="6" t="str">
        <v>CAMS</v>
      </c>
      <c r="G418" s="6">
        <v>122639</v>
      </c>
      <c r="H418" s="7">
        <v>44375</v>
      </c>
      <c r="I418" s="6" t="str">
        <v>Purchase - SIP</v>
      </c>
      <c r="J418" s="8">
        <v>5000</v>
      </c>
      <c r="K418" s="9">
        <v>104.75</v>
      </c>
      <c r="L418" s="9">
        <v>47.732900000000001</v>
      </c>
      <c r="M418" s="9">
        <v>18198.851999999999</v>
      </c>
      <c r="N418" s="5" t="str">
        <v>PURCHASE_SIP</v>
      </c>
      <c r="O418" s="10">
        <v>0</v>
      </c>
    </row>
    <row r="419" spans="1:15" ht="17" x14ac:dyDescent="0.2">
      <c r="A419" s="5" t="str">
        <v>Parag Parikh Mutual Fund</v>
      </c>
      <c r="B419" s="5" t="str">
        <v>AAAA9991</v>
      </c>
      <c r="C419" s="5" t="str">
        <v>AAAAA1111A</v>
      </c>
      <c r="D419" s="6" t="str">
        <v>Parag Parikh Flexi Cap Fund - Direct Growth</v>
      </c>
      <c r="E419" s="6" t="str">
        <v>DIRECT</v>
      </c>
      <c r="F419" s="6" t="str">
        <v>CAMS</v>
      </c>
      <c r="G419" s="6">
        <v>122639</v>
      </c>
      <c r="H419" s="7">
        <v>44405</v>
      </c>
      <c r="I419" s="6" t="str">
        <v>Purchase - SIP</v>
      </c>
      <c r="J419" s="8">
        <v>5000</v>
      </c>
      <c r="K419" s="9">
        <v>102.199</v>
      </c>
      <c r="L419" s="9">
        <v>48.924100000000003</v>
      </c>
      <c r="M419" s="9">
        <v>18301.050999999999</v>
      </c>
      <c r="N419" s="5" t="str">
        <v>PURCHASE_SIP</v>
      </c>
      <c r="O419" s="10">
        <v>0</v>
      </c>
    </row>
    <row r="420" spans="1:15" ht="17" x14ac:dyDescent="0.2">
      <c r="A420" s="5" t="str">
        <v>Parag Parikh Mutual Fund</v>
      </c>
      <c r="B420" s="5" t="str">
        <v>AAAA9991</v>
      </c>
      <c r="C420" s="5" t="str">
        <v>AAAAA1111A</v>
      </c>
      <c r="D420" s="6" t="str">
        <v>Parag Parikh Flexi Cap Fund - Direct Growth</v>
      </c>
      <c r="E420" s="6" t="str">
        <v>DIRECT</v>
      </c>
      <c r="F420" s="6" t="str">
        <v>CAMS</v>
      </c>
      <c r="G420" s="6">
        <v>122639</v>
      </c>
      <c r="H420" s="7">
        <v>44405</v>
      </c>
      <c r="I420" s="6" t="str">
        <v>STT TAX</v>
      </c>
      <c r="J420" s="8">
        <v>2.5</v>
      </c>
      <c r="K420" s="9">
        <v>0</v>
      </c>
      <c r="L420" s="9">
        <v>0</v>
      </c>
      <c r="M420" s="9">
        <v>18301.050999999999</v>
      </c>
      <c r="N420" s="5" t="str">
        <v>STT_TAX</v>
      </c>
      <c r="O420" s="10">
        <v>0</v>
      </c>
    </row>
    <row r="421" spans="1:15" ht="17" x14ac:dyDescent="0.2">
      <c r="A421" s="5" t="str">
        <v>Parag Parikh Mutual Fund</v>
      </c>
      <c r="B421" s="5" t="str">
        <v>AAAA9991</v>
      </c>
      <c r="C421" s="5" t="str">
        <v>AAAAA1111A</v>
      </c>
      <c r="D421" s="6" t="str">
        <v>Parag Parikh Flexi Cap Fund - Direct Growth</v>
      </c>
      <c r="E421" s="6" t="str">
        <v>DIRECT</v>
      </c>
      <c r="F421" s="6" t="str">
        <v>CAMS</v>
      </c>
      <c r="G421" s="6">
        <v>122639</v>
      </c>
      <c r="H421" s="7">
        <v>44435</v>
      </c>
      <c r="I421" s="6" t="str">
        <v>Purchase - SIP</v>
      </c>
      <c r="J421" s="8">
        <v>5000</v>
      </c>
      <c r="K421" s="9">
        <v>99.704999999999998</v>
      </c>
      <c r="L421" s="9">
        <v>50.1477</v>
      </c>
      <c r="M421" s="9">
        <v>18400.757000000001</v>
      </c>
      <c r="N421" s="5" t="str">
        <v>PURCHASE_SIP</v>
      </c>
      <c r="O421" s="10">
        <v>0</v>
      </c>
    </row>
    <row r="422" spans="1:15" ht="17" x14ac:dyDescent="0.2">
      <c r="A422" s="5" t="str">
        <v>Parag Parikh Mutual Fund</v>
      </c>
      <c r="B422" s="5" t="str">
        <v>AAAA9991</v>
      </c>
      <c r="C422" s="5" t="str">
        <v>AAAAA1111A</v>
      </c>
      <c r="D422" s="6" t="str">
        <v>Parag Parikh Flexi Cap Fund - Direct Growth</v>
      </c>
      <c r="E422" s="6" t="str">
        <v>DIRECT</v>
      </c>
      <c r="F422" s="6" t="str">
        <v>CAMS</v>
      </c>
      <c r="G422" s="6">
        <v>122639</v>
      </c>
      <c r="H422" s="7">
        <v>44465</v>
      </c>
      <c r="I422" s="6" t="str">
        <v>Purchase - SIP</v>
      </c>
      <c r="J422" s="8">
        <v>5000</v>
      </c>
      <c r="K422" s="9">
        <v>98.846000000000004</v>
      </c>
      <c r="L422" s="9">
        <v>50.5837</v>
      </c>
      <c r="M422" s="9">
        <v>18499.602999999999</v>
      </c>
      <c r="N422" s="5" t="str">
        <v>PURCHASE_SIP</v>
      </c>
      <c r="O422" s="10">
        <v>0</v>
      </c>
    </row>
    <row r="423" spans="1:15" ht="17" x14ac:dyDescent="0.2">
      <c r="A423" s="5" t="str">
        <v>Parag Parikh Mutual Fund</v>
      </c>
      <c r="B423" s="5" t="str">
        <v>AAAA9991</v>
      </c>
      <c r="C423" s="5" t="str">
        <v>AAAAA1111A</v>
      </c>
      <c r="D423" s="6" t="str">
        <v>Parag Parikh Flexi Cap Fund - Direct Growth</v>
      </c>
      <c r="E423" s="6" t="str">
        <v>DIRECT</v>
      </c>
      <c r="F423" s="6" t="str">
        <v>CAMS</v>
      </c>
      <c r="G423" s="6">
        <v>122639</v>
      </c>
      <c r="H423" s="7">
        <v>44495</v>
      </c>
      <c r="I423" s="6" t="str">
        <v>Purchase - SIP</v>
      </c>
      <c r="J423" s="8">
        <v>5000</v>
      </c>
      <c r="K423" s="9">
        <v>96.412000000000006</v>
      </c>
      <c r="L423" s="9">
        <v>51.860599999999998</v>
      </c>
      <c r="M423" s="9">
        <v>18596.014999999999</v>
      </c>
      <c r="N423" s="5" t="str">
        <v>PURCHASE_SIP</v>
      </c>
      <c r="O423" s="10">
        <v>0</v>
      </c>
    </row>
    <row r="424" spans="1:15" ht="17" x14ac:dyDescent="0.2">
      <c r="A424" s="5" t="str">
        <v>Parag Parikh Mutual Fund</v>
      </c>
      <c r="B424" s="5" t="str">
        <v>AAAA9991</v>
      </c>
      <c r="C424" s="5" t="str">
        <v>AAAAA1111A</v>
      </c>
      <c r="D424" s="6" t="str">
        <v>Parag Parikh Flexi Cap Fund - Direct Growth</v>
      </c>
      <c r="E424" s="6" t="str">
        <v>DIRECT</v>
      </c>
      <c r="F424" s="6" t="str">
        <v>CAMS</v>
      </c>
      <c r="G424" s="6">
        <v>122639</v>
      </c>
      <c r="H424" s="7">
        <v>44525</v>
      </c>
      <c r="I424" s="6" t="str">
        <v>Purchase - SIP</v>
      </c>
      <c r="J424" s="8">
        <v>5000</v>
      </c>
      <c r="K424" s="9">
        <v>94.888000000000005</v>
      </c>
      <c r="L424" s="9">
        <v>52.693800000000003</v>
      </c>
      <c r="M424" s="9">
        <v>18690.902999999998</v>
      </c>
      <c r="N424" s="5" t="str">
        <v>PURCHASE_SIP</v>
      </c>
      <c r="O424" s="10">
        <v>0</v>
      </c>
    </row>
    <row r="425" spans="1:15" ht="17" x14ac:dyDescent="0.2">
      <c r="A425" s="5" t="str">
        <v>Parag Parikh Mutual Fund</v>
      </c>
      <c r="B425" s="5" t="str">
        <v>AAAA9991</v>
      </c>
      <c r="C425" s="5" t="str">
        <v>AAAAA1111A</v>
      </c>
      <c r="D425" s="6" t="str">
        <v>Parag Parikh Flexi Cap Fund - Direct Growth</v>
      </c>
      <c r="E425" s="6" t="str">
        <v>DIRECT</v>
      </c>
      <c r="F425" s="6" t="str">
        <v>CAMS</v>
      </c>
      <c r="G425" s="6">
        <v>122639</v>
      </c>
      <c r="H425" s="7">
        <v>44555</v>
      </c>
      <c r="I425" s="6" t="str">
        <v>Purchase - SIP</v>
      </c>
      <c r="J425" s="8">
        <v>5000</v>
      </c>
      <c r="K425" s="9">
        <v>94.418999999999997</v>
      </c>
      <c r="L425" s="9">
        <v>52.9557</v>
      </c>
      <c r="M425" s="9">
        <v>18785.321</v>
      </c>
      <c r="N425" s="5" t="str">
        <v>PURCHASE_SIP</v>
      </c>
      <c r="O425" s="10">
        <v>0</v>
      </c>
    </row>
    <row r="426" spans="1:15" ht="17" x14ac:dyDescent="0.2">
      <c r="A426" s="5" t="str">
        <v>Parag Parikh Mutual Fund</v>
      </c>
      <c r="B426" s="5" t="str">
        <v>AAAA9991</v>
      </c>
      <c r="C426" s="5" t="str">
        <v>AAAAA1111A</v>
      </c>
      <c r="D426" s="6" t="str">
        <v>Parag Parikh Flexi Cap Fund - Direct Growth</v>
      </c>
      <c r="E426" s="6" t="str">
        <v>DIRECT</v>
      </c>
      <c r="F426" s="6" t="str">
        <v>CAMS</v>
      </c>
      <c r="G426" s="6">
        <v>122639</v>
      </c>
      <c r="H426" s="7">
        <v>44555</v>
      </c>
      <c r="I426" s="6" t="str">
        <v>STT TAX</v>
      </c>
      <c r="J426" s="8">
        <v>2.5</v>
      </c>
      <c r="K426" s="9">
        <v>0</v>
      </c>
      <c r="L426" s="9">
        <v>0</v>
      </c>
      <c r="M426" s="9">
        <v>18785.321</v>
      </c>
      <c r="N426" s="5" t="str">
        <v>STT_TAX</v>
      </c>
      <c r="O426" s="10">
        <v>0</v>
      </c>
    </row>
    <row r="427" spans="1:15" ht="17" x14ac:dyDescent="0.2">
      <c r="A427" s="5" t="str">
        <v>Parag Parikh Mutual Fund</v>
      </c>
      <c r="B427" s="5" t="str">
        <v>AAAA9991</v>
      </c>
      <c r="C427" s="5" t="str">
        <v>AAAAA1111A</v>
      </c>
      <c r="D427" s="6" t="str">
        <v>Parag Parikh Flexi Cap Fund - Direct Growth</v>
      </c>
      <c r="E427" s="6" t="str">
        <v>DIRECT</v>
      </c>
      <c r="F427" s="6" t="str">
        <v>CAMS</v>
      </c>
      <c r="G427" s="6">
        <v>122639</v>
      </c>
      <c r="H427" s="7">
        <v>44585</v>
      </c>
      <c r="I427" s="6" t="str">
        <v>Purchase - SIP</v>
      </c>
      <c r="J427" s="8">
        <v>5000</v>
      </c>
      <c r="K427" s="9">
        <v>96.224999999999994</v>
      </c>
      <c r="L427" s="9">
        <v>51.9617</v>
      </c>
      <c r="M427" s="9">
        <v>18881.545999999998</v>
      </c>
      <c r="N427" s="5" t="str">
        <v>PURCHASE_SIP</v>
      </c>
      <c r="O427" s="10">
        <v>0</v>
      </c>
    </row>
    <row r="428" spans="1:15" ht="17" x14ac:dyDescent="0.2">
      <c r="A428" s="5" t="str">
        <v>Parag Parikh Mutual Fund</v>
      </c>
      <c r="B428" s="5" t="str">
        <v>AAAA9991</v>
      </c>
      <c r="C428" s="5" t="str">
        <v>AAAAA1111A</v>
      </c>
      <c r="D428" s="6" t="str">
        <v>Parag Parikh Flexi Cap Fund - Direct Growth</v>
      </c>
      <c r="E428" s="6" t="str">
        <v>DIRECT</v>
      </c>
      <c r="F428" s="6" t="str">
        <v>CAMS</v>
      </c>
      <c r="G428" s="6">
        <v>122639</v>
      </c>
      <c r="H428" s="7">
        <v>44615</v>
      </c>
      <c r="I428" s="6" t="str">
        <v>Purchase - SIP</v>
      </c>
      <c r="J428" s="8">
        <v>5000</v>
      </c>
      <c r="K428" s="9">
        <v>97.879000000000005</v>
      </c>
      <c r="L428" s="9">
        <v>51.083399999999997</v>
      </c>
      <c r="M428" s="9">
        <v>18979.424999999999</v>
      </c>
      <c r="N428" s="5" t="str">
        <v>PURCHASE_SIP</v>
      </c>
      <c r="O428" s="10">
        <v>0</v>
      </c>
    </row>
    <row r="429" spans="1:15" ht="17" x14ac:dyDescent="0.2">
      <c r="A429" s="5" t="str">
        <v>Parag Parikh Mutual Fund</v>
      </c>
      <c r="B429" s="5" t="str">
        <v>AAAA9991</v>
      </c>
      <c r="C429" s="5" t="str">
        <v>AAAAA1111A</v>
      </c>
      <c r="D429" s="6" t="str">
        <v>Parag Parikh Flexi Cap Fund - Direct Growth</v>
      </c>
      <c r="E429" s="6" t="str">
        <v>DIRECT</v>
      </c>
      <c r="F429" s="6" t="str">
        <v>CAMS</v>
      </c>
      <c r="G429" s="6">
        <v>122639</v>
      </c>
      <c r="H429" s="7">
        <v>44645</v>
      </c>
      <c r="I429" s="6" t="str">
        <v>Purchase - SIP</v>
      </c>
      <c r="J429" s="8">
        <v>5000</v>
      </c>
      <c r="K429" s="9">
        <v>99.631</v>
      </c>
      <c r="L429" s="9">
        <v>50.185000000000002</v>
      </c>
      <c r="M429" s="9">
        <v>19079.057000000001</v>
      </c>
      <c r="N429" s="5" t="str">
        <v>PURCHASE_SIP</v>
      </c>
      <c r="O429" s="10">
        <v>0</v>
      </c>
    </row>
    <row r="430" spans="1:15" ht="17" x14ac:dyDescent="0.2">
      <c r="A430" s="5" t="str">
        <v>Parag Parikh Mutual Fund</v>
      </c>
      <c r="B430" s="5" t="str">
        <v>AAAA9991</v>
      </c>
      <c r="C430" s="5" t="str">
        <v>AAAAA1111A</v>
      </c>
      <c r="D430" s="6" t="str">
        <v>Parag Parikh Flexi Cap Fund - Direct Growth</v>
      </c>
      <c r="E430" s="6" t="str">
        <v>DIRECT</v>
      </c>
      <c r="F430" s="6" t="str">
        <v>CAMS</v>
      </c>
      <c r="G430" s="6">
        <v>122639</v>
      </c>
      <c r="H430" s="7">
        <v>44675</v>
      </c>
      <c r="I430" s="6" t="str">
        <v>Purchase - SIP</v>
      </c>
      <c r="J430" s="8">
        <v>5000</v>
      </c>
      <c r="K430" s="9">
        <v>97.072000000000003</v>
      </c>
      <c r="L430" s="9">
        <v>51.508400000000002</v>
      </c>
      <c r="M430" s="9">
        <v>19176.128000000001</v>
      </c>
      <c r="N430" s="5" t="str">
        <v>PURCHASE_SIP</v>
      </c>
      <c r="O430" s="10">
        <v>0</v>
      </c>
    </row>
    <row r="431" spans="1:15" ht="17" x14ac:dyDescent="0.2">
      <c r="A431" s="5" t="str">
        <v>Parag Parikh Mutual Fund</v>
      </c>
      <c r="B431" s="5" t="str">
        <v>AAAA9991</v>
      </c>
      <c r="C431" s="5" t="str">
        <v>AAAAA1111A</v>
      </c>
      <c r="D431" s="6" t="str">
        <v>Parag Parikh Flexi Cap Fund - Direct Growth</v>
      </c>
      <c r="E431" s="6" t="str">
        <v>DIRECT</v>
      </c>
      <c r="F431" s="6" t="str">
        <v>CAMS</v>
      </c>
      <c r="G431" s="6">
        <v>122639</v>
      </c>
      <c r="H431" s="7">
        <v>44705</v>
      </c>
      <c r="I431" s="6" t="str">
        <v>Purchase - SIP</v>
      </c>
      <c r="J431" s="8">
        <v>5000</v>
      </c>
      <c r="K431" s="9">
        <v>95.64</v>
      </c>
      <c r="L431" s="9">
        <v>52.279499999999999</v>
      </c>
      <c r="M431" s="9">
        <v>19271.768</v>
      </c>
      <c r="N431" s="5" t="str">
        <v>PURCHASE_SIP</v>
      </c>
      <c r="O431" s="10">
        <v>0</v>
      </c>
    </row>
    <row r="432" spans="1:15" ht="17" x14ac:dyDescent="0.2">
      <c r="A432" s="5" t="str">
        <v>Parag Parikh Mutual Fund</v>
      </c>
      <c r="B432" s="5" t="str">
        <v>AAAA9991</v>
      </c>
      <c r="C432" s="5" t="str">
        <v>AAAAA1111A</v>
      </c>
      <c r="D432" s="6" t="str">
        <v>Parag Parikh Flexi Cap Fund - Direct Growth</v>
      </c>
      <c r="E432" s="6" t="str">
        <v>DIRECT</v>
      </c>
      <c r="F432" s="6" t="str">
        <v>CAMS</v>
      </c>
      <c r="G432" s="6">
        <v>122639</v>
      </c>
      <c r="H432" s="7">
        <v>44705</v>
      </c>
      <c r="I432" s="6" t="str">
        <v>STAMP DUTY</v>
      </c>
      <c r="J432" s="8">
        <v>2.5</v>
      </c>
      <c r="K432" s="9">
        <v>0</v>
      </c>
      <c r="L432" s="9">
        <v>0</v>
      </c>
      <c r="M432" s="9">
        <v>19271.768</v>
      </c>
      <c r="N432" s="5" t="str">
        <v>STAMP_DUTY</v>
      </c>
      <c r="O432" s="10">
        <v>0</v>
      </c>
    </row>
    <row r="433" spans="1:15" ht="17" x14ac:dyDescent="0.2">
      <c r="A433" s="5" t="str">
        <v>Parag Parikh Mutual Fund</v>
      </c>
      <c r="B433" s="5" t="str">
        <v>AAAA9991</v>
      </c>
      <c r="C433" s="5" t="str">
        <v>AAAAA1111A</v>
      </c>
      <c r="D433" s="6" t="str">
        <v>Parag Parikh Flexi Cap Fund - Direct Growth</v>
      </c>
      <c r="E433" s="6" t="str">
        <v>DIRECT</v>
      </c>
      <c r="F433" s="6" t="str">
        <v>CAMS</v>
      </c>
      <c r="G433" s="6">
        <v>122639</v>
      </c>
      <c r="H433" s="7">
        <v>44735</v>
      </c>
      <c r="I433" s="6" t="str">
        <v>Purchase - SIP</v>
      </c>
      <c r="J433" s="8">
        <v>5000</v>
      </c>
      <c r="K433" s="9">
        <v>93.198999999999998</v>
      </c>
      <c r="L433" s="9">
        <v>53.648400000000002</v>
      </c>
      <c r="M433" s="9">
        <v>19364.967000000001</v>
      </c>
      <c r="N433" s="5" t="str">
        <v>PURCHASE_SIP</v>
      </c>
      <c r="O433" s="10">
        <v>0</v>
      </c>
    </row>
    <row r="434" spans="1:15" ht="17" x14ac:dyDescent="0.2">
      <c r="A434" s="5" t="str">
        <v>Parag Parikh Mutual Fund</v>
      </c>
      <c r="B434" s="5" t="str">
        <v>AAAA9991</v>
      </c>
      <c r="C434" s="5" t="str">
        <v>AAAAA1111A</v>
      </c>
      <c r="D434" s="6" t="str">
        <v>Parag Parikh Flexi Cap Fund - Direct Growth</v>
      </c>
      <c r="E434" s="6" t="str">
        <v>DIRECT</v>
      </c>
      <c r="F434" s="6" t="str">
        <v>CAMS</v>
      </c>
      <c r="G434" s="6">
        <v>122639</v>
      </c>
      <c r="H434" s="7">
        <v>44765</v>
      </c>
      <c r="I434" s="6" t="str">
        <v>Purchase - SIP</v>
      </c>
      <c r="J434" s="8">
        <v>5000</v>
      </c>
      <c r="K434" s="9">
        <v>91.453000000000003</v>
      </c>
      <c r="L434" s="9">
        <v>54.672800000000002</v>
      </c>
      <c r="M434" s="9">
        <v>19456.420999999998</v>
      </c>
      <c r="N434" s="5" t="str">
        <v>PURCHASE_SIP</v>
      </c>
      <c r="O434" s="10">
        <v>0</v>
      </c>
    </row>
    <row r="435" spans="1:15" ht="17" x14ac:dyDescent="0.2">
      <c r="A435" s="5" t="str">
        <v>Parag Parikh Mutual Fund</v>
      </c>
      <c r="B435" s="5" t="str">
        <v>AAAA9991</v>
      </c>
      <c r="C435" s="5" t="str">
        <v>AAAAA1111A</v>
      </c>
      <c r="D435" s="6" t="str">
        <v>Parag Parikh Flexi Cap Fund - Direct Growth</v>
      </c>
      <c r="E435" s="6" t="str">
        <v>DIRECT</v>
      </c>
      <c r="F435" s="6" t="str">
        <v>CAMS</v>
      </c>
      <c r="G435" s="6">
        <v>122639</v>
      </c>
      <c r="H435" s="7">
        <v>44795</v>
      </c>
      <c r="I435" s="6" t="str">
        <v>Purchase - SIP</v>
      </c>
      <c r="J435" s="8">
        <v>5000</v>
      </c>
      <c r="K435" s="9">
        <v>92.981999999999999</v>
      </c>
      <c r="L435" s="9">
        <v>53.773899999999998</v>
      </c>
      <c r="M435" s="9">
        <v>19549.402999999998</v>
      </c>
      <c r="N435" s="5" t="str">
        <v>PURCHASE_SIP</v>
      </c>
      <c r="O435" s="10">
        <v>0</v>
      </c>
    </row>
    <row r="436" spans="1:15" ht="17" x14ac:dyDescent="0.2">
      <c r="A436" s="5" t="str">
        <v>Parag Parikh Mutual Fund</v>
      </c>
      <c r="B436" s="5" t="str">
        <v>AAAA9991</v>
      </c>
      <c r="C436" s="5" t="str">
        <v>AAAAA1111A</v>
      </c>
      <c r="D436" s="6" t="str">
        <v>Parag Parikh Flexi Cap Fund - Direct Growth</v>
      </c>
      <c r="E436" s="6" t="str">
        <v>DIRECT</v>
      </c>
      <c r="F436" s="6" t="str">
        <v>CAMS</v>
      </c>
      <c r="G436" s="6">
        <v>122639</v>
      </c>
      <c r="H436" s="7">
        <v>44825</v>
      </c>
      <c r="I436" s="6" t="str">
        <v>Purchase - SIP</v>
      </c>
      <c r="J436" s="8">
        <v>5000</v>
      </c>
      <c r="K436" s="9">
        <v>94.058999999999997</v>
      </c>
      <c r="L436" s="9">
        <v>53.157899999999998</v>
      </c>
      <c r="M436" s="9">
        <v>19643.462</v>
      </c>
      <c r="N436" s="5" t="str">
        <v>PURCHASE_SIP</v>
      </c>
      <c r="O436" s="10">
        <v>0</v>
      </c>
    </row>
    <row r="437" spans="1:15" ht="17" x14ac:dyDescent="0.2">
      <c r="A437" s="5" t="str">
        <v>Parag Parikh Mutual Fund</v>
      </c>
      <c r="B437" s="5" t="str">
        <v>AAAA9991</v>
      </c>
      <c r="C437" s="5" t="str">
        <v>AAAAA1111A</v>
      </c>
      <c r="D437" s="6" t="str">
        <v>Parag Parikh Flexi Cap Fund - Direct Growth</v>
      </c>
      <c r="E437" s="6" t="str">
        <v>DIRECT</v>
      </c>
      <c r="F437" s="6" t="str">
        <v>CAMS</v>
      </c>
      <c r="G437" s="6">
        <v>122639</v>
      </c>
      <c r="H437" s="7">
        <v>44855</v>
      </c>
      <c r="I437" s="6" t="str">
        <v>Purchase - SIP</v>
      </c>
      <c r="J437" s="8">
        <v>5000</v>
      </c>
      <c r="K437" s="9">
        <v>92.89</v>
      </c>
      <c r="L437" s="9">
        <v>53.827100000000002</v>
      </c>
      <c r="M437" s="9">
        <v>19736.351999999999</v>
      </c>
      <c r="N437" s="5" t="str">
        <v>PURCHASE_SIP</v>
      </c>
      <c r="O437" s="10">
        <v>0</v>
      </c>
    </row>
    <row r="438" spans="1:15" ht="17" x14ac:dyDescent="0.2">
      <c r="A438" s="5" t="str">
        <v>Parag Parikh Mutual Fund</v>
      </c>
      <c r="B438" s="5" t="str">
        <v>AAAA9991</v>
      </c>
      <c r="C438" s="5" t="str">
        <v>AAAAA1111A</v>
      </c>
      <c r="D438" s="6" t="str">
        <v>Parag Parikh Flexi Cap Fund - Direct Growth</v>
      </c>
      <c r="E438" s="6" t="str">
        <v>DIRECT</v>
      </c>
      <c r="F438" s="6" t="str">
        <v>CAMS</v>
      </c>
      <c r="G438" s="6">
        <v>122639</v>
      </c>
      <c r="H438" s="7">
        <v>44855</v>
      </c>
      <c r="I438" s="6" t="str">
        <v>STAMP DUTY</v>
      </c>
      <c r="J438" s="8">
        <v>2.5</v>
      </c>
      <c r="K438" s="9">
        <v>0</v>
      </c>
      <c r="L438" s="9">
        <v>0</v>
      </c>
      <c r="M438" s="9">
        <v>19736.351999999999</v>
      </c>
      <c r="N438" s="5" t="str">
        <v>STAMP_DUTY</v>
      </c>
      <c r="O438" s="10">
        <v>0</v>
      </c>
    </row>
    <row r="439" spans="1:15" ht="17" x14ac:dyDescent="0.2">
      <c r="A439" s="5" t="str">
        <v>Parag Parikh Mutual Fund</v>
      </c>
      <c r="B439" s="5" t="str">
        <v>AAAA9991</v>
      </c>
      <c r="C439" s="5" t="str">
        <v>AAAAA1111A</v>
      </c>
      <c r="D439" s="6" t="str">
        <v>Parag Parikh Flexi Cap Fund - Direct Growth</v>
      </c>
      <c r="E439" s="6" t="str">
        <v>DIRECT</v>
      </c>
      <c r="F439" s="6" t="str">
        <v>CAMS</v>
      </c>
      <c r="G439" s="6">
        <v>122639</v>
      </c>
      <c r="H439" s="7">
        <v>44885</v>
      </c>
      <c r="I439" s="6" t="str">
        <v>Purchase - SIP</v>
      </c>
      <c r="J439" s="8">
        <v>5000</v>
      </c>
      <c r="K439" s="9">
        <v>94.66</v>
      </c>
      <c r="L439" s="9">
        <v>52.820500000000003</v>
      </c>
      <c r="M439" s="9">
        <v>19831.011999999999</v>
      </c>
      <c r="N439" s="5" t="str">
        <v>PURCHASE_SIP</v>
      </c>
      <c r="O439" s="10">
        <v>0</v>
      </c>
    </row>
    <row r="440" spans="1:15" ht="17" x14ac:dyDescent="0.2">
      <c r="A440" s="5" t="str">
        <v>Parag Parikh Mutual Fund</v>
      </c>
      <c r="B440" s="5" t="str">
        <v>AAAA9991</v>
      </c>
      <c r="C440" s="5" t="str">
        <v>AAAAA1111A</v>
      </c>
      <c r="D440" s="6" t="str">
        <v>Parag Parikh Flexi Cap Fund - Direct Growth</v>
      </c>
      <c r="E440" s="6" t="str">
        <v>DIRECT</v>
      </c>
      <c r="F440" s="6" t="str">
        <v>CAMS</v>
      </c>
      <c r="G440" s="6">
        <v>122639</v>
      </c>
      <c r="H440" s="7">
        <v>44915</v>
      </c>
      <c r="I440" s="6" t="str">
        <v>Purchase - SIP</v>
      </c>
      <c r="J440" s="8">
        <v>5000</v>
      </c>
      <c r="K440" s="9">
        <v>92.277000000000001</v>
      </c>
      <c r="L440" s="9">
        <v>54.184800000000003</v>
      </c>
      <c r="M440" s="9">
        <v>19923.289000000001</v>
      </c>
      <c r="N440" s="5" t="str">
        <v>PURCHASE_SIP</v>
      </c>
      <c r="O440" s="10">
        <v>0</v>
      </c>
    </row>
    <row r="441" spans="1:15" ht="17" x14ac:dyDescent="0.2">
      <c r="A441" s="5" t="str">
        <v>Parag Parikh Mutual Fund</v>
      </c>
      <c r="B441" s="5" t="str">
        <v>AAAA9991</v>
      </c>
      <c r="C441" s="5" t="str">
        <v>AAAAA1111A</v>
      </c>
      <c r="D441" s="6" t="str">
        <v>Parag Parikh Flexi Cap Fund - Direct Growth</v>
      </c>
      <c r="E441" s="6" t="str">
        <v>DIRECT</v>
      </c>
      <c r="F441" s="6" t="str">
        <v>CAMS</v>
      </c>
      <c r="G441" s="6">
        <v>122639</v>
      </c>
      <c r="H441" s="7">
        <v>44915</v>
      </c>
      <c r="I441" s="6" t="str">
        <v>STT TAX</v>
      </c>
      <c r="J441" s="8">
        <v>2.5</v>
      </c>
      <c r="K441" s="9">
        <v>0</v>
      </c>
      <c r="L441" s="9">
        <v>0</v>
      </c>
      <c r="M441" s="9">
        <v>19923.289000000001</v>
      </c>
      <c r="N441" s="5" t="str">
        <v>STT_TAX</v>
      </c>
      <c r="O441" s="10">
        <v>0</v>
      </c>
    </row>
    <row r="442" spans="1:15" ht="17" x14ac:dyDescent="0.2">
      <c r="A442" s="5" t="str">
        <v>Parag Parikh Mutual Fund</v>
      </c>
      <c r="B442" s="5" t="str">
        <v>AAAA9991</v>
      </c>
      <c r="C442" s="5" t="str">
        <v>AAAAA1111A</v>
      </c>
      <c r="D442" s="6" t="str">
        <v>Parag Parikh Flexi Cap Fund - Direct Growth</v>
      </c>
      <c r="E442" s="6" t="str">
        <v>DIRECT</v>
      </c>
      <c r="F442" s="6" t="str">
        <v>CAMS</v>
      </c>
      <c r="G442" s="6">
        <v>122639</v>
      </c>
      <c r="H442" s="7">
        <v>44945</v>
      </c>
      <c r="I442" s="6" t="str">
        <v>Purchase - SIP</v>
      </c>
      <c r="J442" s="8">
        <v>5000</v>
      </c>
      <c r="K442" s="9">
        <v>92.084000000000003</v>
      </c>
      <c r="L442" s="9">
        <v>54.298400000000001</v>
      </c>
      <c r="M442" s="9">
        <v>20015.373</v>
      </c>
      <c r="N442" s="5" t="str">
        <v>PURCHASE_SIP</v>
      </c>
      <c r="O442" s="10">
        <v>0</v>
      </c>
    </row>
    <row r="443" spans="1:15" ht="17" x14ac:dyDescent="0.2">
      <c r="A443" s="5" t="str">
        <v>Parag Parikh Mutual Fund</v>
      </c>
      <c r="B443" s="5" t="str">
        <v>AAAA9991</v>
      </c>
      <c r="C443" s="5" t="str">
        <v>AAAAA1111A</v>
      </c>
      <c r="D443" s="6" t="str">
        <v>Parag Parikh Flexi Cap Fund - Direct Growth</v>
      </c>
      <c r="E443" s="6" t="str">
        <v>DIRECT</v>
      </c>
      <c r="F443" s="6" t="str">
        <v>CAMS</v>
      </c>
      <c r="G443" s="6">
        <v>122639</v>
      </c>
      <c r="H443" s="7">
        <v>44975</v>
      </c>
      <c r="I443" s="6" t="str">
        <v>Purchase - SIP</v>
      </c>
      <c r="J443" s="8">
        <v>5000</v>
      </c>
      <c r="K443" s="9">
        <v>89.935000000000002</v>
      </c>
      <c r="L443" s="9">
        <v>55.595500000000001</v>
      </c>
      <c r="M443" s="9">
        <v>20105.308000000001</v>
      </c>
      <c r="N443" s="5" t="str">
        <v>PURCHASE_SIP</v>
      </c>
      <c r="O443" s="10">
        <v>0</v>
      </c>
    </row>
    <row r="444" spans="1:15" ht="17" x14ac:dyDescent="0.2">
      <c r="A444" s="5" t="str">
        <v>Parag Parikh Mutual Fund</v>
      </c>
      <c r="B444" s="5" t="str">
        <v>AAAA9991</v>
      </c>
      <c r="C444" s="5" t="str">
        <v>AAAAA1111A</v>
      </c>
      <c r="D444" s="6" t="str">
        <v>Parag Parikh Flexi Cap Fund - Direct Growth</v>
      </c>
      <c r="E444" s="6" t="str">
        <v>DIRECT</v>
      </c>
      <c r="F444" s="6" t="str">
        <v>CAMS</v>
      </c>
      <c r="G444" s="6">
        <v>122639</v>
      </c>
      <c r="H444" s="7">
        <v>45005</v>
      </c>
      <c r="I444" s="6" t="str">
        <v>Purchase - SIP</v>
      </c>
      <c r="J444" s="8">
        <v>5000</v>
      </c>
      <c r="K444" s="9">
        <v>90.111999999999995</v>
      </c>
      <c r="L444" s="9">
        <v>55.486600000000003</v>
      </c>
      <c r="M444" s="9">
        <v>20195.419999999998</v>
      </c>
      <c r="N444" s="5" t="str">
        <v>PURCHASE_SIP</v>
      </c>
      <c r="O444" s="10">
        <v>0</v>
      </c>
    </row>
    <row r="445" spans="1:15" ht="17" x14ac:dyDescent="0.2">
      <c r="A445" s="5" t="str">
        <v>Parag Parikh Mutual Fund</v>
      </c>
      <c r="B445" s="5" t="str">
        <v>AAAA9991</v>
      </c>
      <c r="C445" s="5" t="str">
        <v>AAAAA1111A</v>
      </c>
      <c r="D445" s="6" t="str">
        <v>Parag Parikh Flexi Cap Fund - Direct Growth</v>
      </c>
      <c r="E445" s="6" t="str">
        <v>DIRECT</v>
      </c>
      <c r="F445" s="6" t="str">
        <v>CAMS</v>
      </c>
      <c r="G445" s="6">
        <v>122639</v>
      </c>
      <c r="H445" s="7">
        <v>45035</v>
      </c>
      <c r="I445" s="6" t="str">
        <v>Purchase - SIP</v>
      </c>
      <c r="J445" s="8">
        <v>5000</v>
      </c>
      <c r="K445" s="9">
        <v>89.944000000000003</v>
      </c>
      <c r="L445" s="9">
        <v>55.5901</v>
      </c>
      <c r="M445" s="9">
        <v>20285.364000000001</v>
      </c>
      <c r="N445" s="5" t="str">
        <v>PURCHASE_SIP</v>
      </c>
      <c r="O445" s="10">
        <v>0</v>
      </c>
    </row>
    <row r="446" spans="1:15" ht="17" x14ac:dyDescent="0.2">
      <c r="A446" s="5" t="str">
        <v>Parag Parikh Mutual Fund</v>
      </c>
      <c r="B446" s="5" t="str">
        <v>AAAA9991</v>
      </c>
      <c r="C446" s="5" t="str">
        <v>AAAAA1111A</v>
      </c>
      <c r="D446" s="6" t="str">
        <v>Parag Parikh Flexi Cap Fund - Direct Growth</v>
      </c>
      <c r="E446" s="6" t="str">
        <v>DIRECT</v>
      </c>
      <c r="F446" s="6" t="str">
        <v>CAMS</v>
      </c>
      <c r="G446" s="6">
        <v>122639</v>
      </c>
      <c r="H446" s="7">
        <v>45065</v>
      </c>
      <c r="I446" s="6" t="str">
        <v>Purchase - SIP</v>
      </c>
      <c r="J446" s="8">
        <v>5000</v>
      </c>
      <c r="K446" s="9">
        <v>88.39</v>
      </c>
      <c r="L446" s="9">
        <v>56.5672</v>
      </c>
      <c r="M446" s="9">
        <v>20373.754000000001</v>
      </c>
      <c r="N446" s="5" t="str">
        <v>PURCHASE_SIP</v>
      </c>
      <c r="O446" s="10">
        <v>0</v>
      </c>
    </row>
    <row r="447" spans="1:15" ht="17" x14ac:dyDescent="0.2">
      <c r="A447" s="5" t="str">
        <v>Parag Parikh Mutual Fund</v>
      </c>
      <c r="B447" s="5" t="str">
        <v>AAAA9991</v>
      </c>
      <c r="C447" s="5" t="str">
        <v>AAAAA1111A</v>
      </c>
      <c r="D447" s="6" t="str">
        <v>Parag Parikh Flexi Cap Fund - Direct Growth</v>
      </c>
      <c r="E447" s="6" t="str">
        <v>DIRECT</v>
      </c>
      <c r="F447" s="6" t="str">
        <v>CAMS</v>
      </c>
      <c r="G447" s="6">
        <v>122639</v>
      </c>
      <c r="H447" s="7">
        <v>45095</v>
      </c>
      <c r="I447" s="6" t="str">
        <v>Purchase - SIP</v>
      </c>
      <c r="J447" s="8">
        <v>5000</v>
      </c>
      <c r="K447" s="9">
        <v>87.093000000000004</v>
      </c>
      <c r="L447" s="9">
        <v>57.410200000000003</v>
      </c>
      <c r="M447" s="9">
        <v>20460.847000000002</v>
      </c>
      <c r="N447" s="5" t="str">
        <v>PURCHASE_SIP</v>
      </c>
      <c r="O447" s="10">
        <v>0</v>
      </c>
    </row>
    <row r="448" spans="1:15" ht="17" x14ac:dyDescent="0.2">
      <c r="A448" s="5" t="str">
        <v>Parag Parikh Mutual Fund</v>
      </c>
      <c r="B448" s="5" t="str">
        <v>AAAA9991</v>
      </c>
      <c r="C448" s="5" t="str">
        <v>AAAAA1111A</v>
      </c>
      <c r="D448" s="6" t="str">
        <v>Parag Parikh Flexi Cap Fund - Direct Growth</v>
      </c>
      <c r="E448" s="6" t="str">
        <v>DIRECT</v>
      </c>
      <c r="F448" s="6" t="str">
        <v>CAMS</v>
      </c>
      <c r="G448" s="6">
        <v>122639</v>
      </c>
      <c r="H448" s="7">
        <v>45125</v>
      </c>
      <c r="I448" s="6" t="str">
        <v>Purchase - SIP</v>
      </c>
      <c r="J448" s="8">
        <v>5000</v>
      </c>
      <c r="K448" s="9">
        <v>88.486000000000004</v>
      </c>
      <c r="L448" s="9">
        <v>56.506300000000003</v>
      </c>
      <c r="M448" s="9">
        <v>20549.332999999999</v>
      </c>
      <c r="N448" s="5" t="str">
        <v>PURCHASE_SIP</v>
      </c>
      <c r="O448" s="10">
        <v>0</v>
      </c>
    </row>
    <row r="449" spans="1:15" ht="17" x14ac:dyDescent="0.2">
      <c r="A449" s="5" t="str">
        <v>Parag Parikh Mutual Fund</v>
      </c>
      <c r="B449" s="5" t="str">
        <v>AAAA9991</v>
      </c>
      <c r="C449" s="5" t="str">
        <v>AAAAA1111A</v>
      </c>
      <c r="D449" s="6" t="str">
        <v>Parag Parikh Flexi Cap Fund - Direct Growth</v>
      </c>
      <c r="E449" s="6" t="str">
        <v>DIRECT</v>
      </c>
      <c r="F449" s="6" t="str">
        <v>CAMS</v>
      </c>
      <c r="G449" s="6">
        <v>122639</v>
      </c>
      <c r="H449" s="7">
        <v>45155</v>
      </c>
      <c r="I449" s="6" t="str">
        <v>Purchase - SIP</v>
      </c>
      <c r="J449" s="8">
        <v>5000</v>
      </c>
      <c r="K449" s="9">
        <v>89.45</v>
      </c>
      <c r="L449" s="9">
        <v>55.897300000000001</v>
      </c>
      <c r="M449" s="9">
        <v>20638.781999999999</v>
      </c>
      <c r="N449" s="5" t="str">
        <v>PURCHASE_SIP</v>
      </c>
      <c r="O449" s="10">
        <v>0</v>
      </c>
    </row>
    <row r="450" spans="1:15" ht="17" x14ac:dyDescent="0.2">
      <c r="A450" s="5" t="str">
        <v>Parag Parikh Mutual Fund</v>
      </c>
      <c r="B450" s="5" t="str">
        <v>AAAA9991</v>
      </c>
      <c r="C450" s="5" t="str">
        <v>AAAAA1111A</v>
      </c>
      <c r="D450" s="6" t="str">
        <v>Parag Parikh Flexi Cap Fund - Direct Growth</v>
      </c>
      <c r="E450" s="6" t="str">
        <v>DIRECT</v>
      </c>
      <c r="F450" s="6" t="str">
        <v>CAMS</v>
      </c>
      <c r="G450" s="6">
        <v>122639</v>
      </c>
      <c r="H450" s="7">
        <v>45155</v>
      </c>
      <c r="I450" s="6" t="str">
        <v>STAMP DUTY</v>
      </c>
      <c r="J450" s="8">
        <v>2.5</v>
      </c>
      <c r="K450" s="9">
        <v>0</v>
      </c>
      <c r="L450" s="9">
        <v>0</v>
      </c>
      <c r="M450" s="9">
        <v>20638.781999999999</v>
      </c>
      <c r="N450" s="5" t="str">
        <v>STAMP_DUTY</v>
      </c>
      <c r="O450" s="10">
        <v>0</v>
      </c>
    </row>
    <row r="451" spans="1:15" ht="17" x14ac:dyDescent="0.2">
      <c r="A451" s="5" t="str">
        <v>Parag Parikh Mutual Fund</v>
      </c>
      <c r="B451" s="5" t="str">
        <v>AAAA9991</v>
      </c>
      <c r="C451" s="5" t="str">
        <v>AAAAA1111A</v>
      </c>
      <c r="D451" s="6" t="str">
        <v>Parag Parikh Flexi Cap Fund - Direct Growth</v>
      </c>
      <c r="E451" s="6" t="str">
        <v>DIRECT</v>
      </c>
      <c r="F451" s="6" t="str">
        <v>CAMS</v>
      </c>
      <c r="G451" s="6">
        <v>122639</v>
      </c>
      <c r="H451" s="7">
        <v>45185</v>
      </c>
      <c r="I451" s="6" t="str">
        <v>Purchase - SIP</v>
      </c>
      <c r="J451" s="8">
        <v>5000</v>
      </c>
      <c r="K451" s="9">
        <v>88.344999999999999</v>
      </c>
      <c r="L451" s="9">
        <v>56.595999999999997</v>
      </c>
      <c r="M451" s="9">
        <v>20727.128000000001</v>
      </c>
      <c r="N451" s="5" t="str">
        <v>PURCHASE_SIP</v>
      </c>
      <c r="O451" s="10">
        <v>0</v>
      </c>
    </row>
    <row r="452" spans="1:15" ht="17" x14ac:dyDescent="0.2">
      <c r="A452" s="5" t="str">
        <v>Parag Parikh Mutual Fund</v>
      </c>
      <c r="B452" s="5" t="str">
        <v>AAAA9991</v>
      </c>
      <c r="C452" s="5" t="str">
        <v>AAAAA1111A</v>
      </c>
      <c r="D452" s="6" t="str">
        <v>Parag Parikh Flexi Cap Fund - Direct Growth</v>
      </c>
      <c r="E452" s="6" t="str">
        <v>DIRECT</v>
      </c>
      <c r="F452" s="6" t="str">
        <v>CAMS</v>
      </c>
      <c r="G452" s="6">
        <v>122639</v>
      </c>
      <c r="H452" s="7">
        <v>45215</v>
      </c>
      <c r="I452" s="6" t="str">
        <v>Purchase - SIP</v>
      </c>
      <c r="J452" s="8">
        <v>5000</v>
      </c>
      <c r="K452" s="9">
        <v>88.037999999999997</v>
      </c>
      <c r="L452" s="9">
        <v>56.793700000000001</v>
      </c>
      <c r="M452" s="9">
        <v>20815.166000000001</v>
      </c>
      <c r="N452" s="5" t="str">
        <v>PURCHASE_SIP</v>
      </c>
      <c r="O452" s="10">
        <v>0</v>
      </c>
    </row>
    <row r="453" spans="1:15" ht="17" x14ac:dyDescent="0.2">
      <c r="A453" s="5" t="str">
        <v>Parag Parikh Mutual Fund</v>
      </c>
      <c r="B453" s="5" t="str">
        <v>AAAA9991</v>
      </c>
      <c r="C453" s="5" t="str">
        <v>AAAAA1111A</v>
      </c>
      <c r="D453" s="6" t="str">
        <v>Parag Parikh Flexi Cap Fund - Direct Growth</v>
      </c>
      <c r="E453" s="6" t="str">
        <v>DIRECT</v>
      </c>
      <c r="F453" s="6" t="str">
        <v>CAMS</v>
      </c>
      <c r="G453" s="6">
        <v>122639</v>
      </c>
      <c r="H453" s="7">
        <v>45245</v>
      </c>
      <c r="I453" s="6" t="str">
        <v>Purchase - SIP</v>
      </c>
      <c r="J453" s="8">
        <v>5000</v>
      </c>
      <c r="K453" s="9">
        <v>89.484999999999999</v>
      </c>
      <c r="L453" s="9">
        <v>55.875100000000003</v>
      </c>
      <c r="M453" s="9">
        <v>20904.651000000002</v>
      </c>
      <c r="N453" s="5" t="str">
        <v>PURCHASE_SIP</v>
      </c>
      <c r="O453" s="10">
        <v>0</v>
      </c>
    </row>
    <row r="454" spans="1:15" ht="17" x14ac:dyDescent="0.2">
      <c r="A454" s="5" t="str">
        <v>Parag Parikh Mutual Fund</v>
      </c>
      <c r="B454" s="5" t="str">
        <v>AAAA9991</v>
      </c>
      <c r="C454" s="5" t="str">
        <v>AAAAA1111A</v>
      </c>
      <c r="D454" s="6" t="str">
        <v>Parag Parikh Flexi Cap Fund - Direct Growth</v>
      </c>
      <c r="E454" s="6" t="str">
        <v>DIRECT</v>
      </c>
      <c r="F454" s="6" t="str">
        <v>CAMS</v>
      </c>
      <c r="G454" s="6">
        <v>122639</v>
      </c>
      <c r="H454" s="7">
        <v>45245</v>
      </c>
      <c r="I454" s="6" t="str">
        <v>STAMP DUTY</v>
      </c>
      <c r="J454" s="8">
        <v>2.5</v>
      </c>
      <c r="K454" s="9">
        <v>0</v>
      </c>
      <c r="L454" s="9">
        <v>0</v>
      </c>
      <c r="M454" s="9">
        <v>20904.651000000002</v>
      </c>
      <c r="N454" s="5" t="str">
        <v>STAMP_DUTY</v>
      </c>
      <c r="O454" s="10">
        <v>0</v>
      </c>
    </row>
    <row r="455" spans="1:15" ht="17" x14ac:dyDescent="0.2">
      <c r="A455" s="5" t="str">
        <v>Parag Parikh Mutual Fund</v>
      </c>
      <c r="B455" s="5" t="str">
        <v>AAAA9991</v>
      </c>
      <c r="C455" s="5" t="str">
        <v>AAAAA1111A</v>
      </c>
      <c r="D455" s="6" t="str">
        <v>Parag Parikh Flexi Cap Fund - Direct Growth</v>
      </c>
      <c r="E455" s="6" t="str">
        <v>DIRECT</v>
      </c>
      <c r="F455" s="6" t="str">
        <v>CAMS</v>
      </c>
      <c r="G455" s="6">
        <v>122639</v>
      </c>
      <c r="H455" s="7">
        <v>45275</v>
      </c>
      <c r="I455" s="6" t="str">
        <v>Purchase - SIP</v>
      </c>
      <c r="J455" s="8">
        <v>5000</v>
      </c>
      <c r="K455" s="9">
        <v>89.82</v>
      </c>
      <c r="L455" s="9">
        <v>55.667000000000002</v>
      </c>
      <c r="M455" s="9">
        <v>20994.471000000001</v>
      </c>
      <c r="N455" s="5" t="str">
        <v>PURCHASE_SIP</v>
      </c>
      <c r="O455" s="10">
        <v>0</v>
      </c>
    </row>
    <row r="456" spans="1:15" ht="17" x14ac:dyDescent="0.2">
      <c r="A456" s="5" t="str">
        <v>Parag Parikh Mutual Fund</v>
      </c>
      <c r="B456" s="5" t="str">
        <v>AAAA9991</v>
      </c>
      <c r="C456" s="5" t="str">
        <v>AAAAA1111A</v>
      </c>
      <c r="D456" s="6" t="str">
        <v>Parag Parikh Flexi Cap Fund - Direct Growth</v>
      </c>
      <c r="E456" s="6" t="str">
        <v>DIRECT</v>
      </c>
      <c r="F456" s="6" t="str">
        <v>CAMS</v>
      </c>
      <c r="G456" s="6">
        <v>122639</v>
      </c>
      <c r="H456" s="7">
        <v>45275</v>
      </c>
      <c r="I456" s="6" t="str">
        <v>Dividend Paid</v>
      </c>
      <c r="J456" s="8">
        <v>10497.24</v>
      </c>
      <c r="K456" s="9">
        <v>0</v>
      </c>
      <c r="L456" s="9">
        <v>0</v>
      </c>
      <c r="M456" s="9">
        <v>20994.471000000001</v>
      </c>
      <c r="N456" s="5" t="str">
        <v>DIVIDEND_PAYOUT</v>
      </c>
      <c r="O456" s="10">
        <v>10497.24</v>
      </c>
    </row>
    <row r="457" spans="1:15" ht="17" x14ac:dyDescent="0.2">
      <c r="A457" s="5" t="str">
        <v>Parag Parikh Mutual Fund</v>
      </c>
      <c r="B457" s="5" t="str">
        <v>AAAA9991</v>
      </c>
      <c r="C457" s="5" t="str">
        <v>AAAAA1111A</v>
      </c>
      <c r="D457" s="6" t="str">
        <v>Parag Parikh Flexi Cap Fund - Direct Growth</v>
      </c>
      <c r="E457" s="6" t="str">
        <v>DIRECT</v>
      </c>
      <c r="F457" s="6" t="str">
        <v>CAMS</v>
      </c>
      <c r="G457" s="6">
        <v>122639</v>
      </c>
      <c r="H457" s="7">
        <v>45305</v>
      </c>
      <c r="I457" s="6" t="str">
        <v>Purchase - SIP</v>
      </c>
      <c r="J457" s="8">
        <v>5000</v>
      </c>
      <c r="K457" s="9">
        <v>90.885000000000005</v>
      </c>
      <c r="L457" s="9">
        <v>55.014499999999998</v>
      </c>
      <c r="M457" s="9">
        <v>21085.356</v>
      </c>
      <c r="N457" s="5" t="str">
        <v>PURCHASE_SIP</v>
      </c>
      <c r="O457" s="10">
        <v>0</v>
      </c>
    </row>
    <row r="458" spans="1:15" ht="17" x14ac:dyDescent="0.2">
      <c r="A458" s="5" t="str">
        <v>Parag Parikh Mutual Fund</v>
      </c>
      <c r="B458" s="5" t="str">
        <v>AAAA9991</v>
      </c>
      <c r="C458" s="5" t="str">
        <v>AAAAA1111A</v>
      </c>
      <c r="D458" s="6" t="str">
        <v>Parag Parikh Flexi Cap Fund - Direct Growth</v>
      </c>
      <c r="E458" s="6" t="str">
        <v>DIRECT</v>
      </c>
      <c r="F458" s="6" t="str">
        <v>CAMS</v>
      </c>
      <c r="G458" s="6">
        <v>122639</v>
      </c>
      <c r="H458" s="7">
        <v>45305</v>
      </c>
      <c r="I458" s="6" t="str">
        <v>Dividend Paid</v>
      </c>
      <c r="J458" s="8">
        <v>10542.68</v>
      </c>
      <c r="K458" s="9">
        <v>0</v>
      </c>
      <c r="L458" s="9">
        <v>0</v>
      </c>
      <c r="M458" s="9">
        <v>21085.356</v>
      </c>
      <c r="N458" s="5" t="str">
        <v>DIVIDEND_PAYOUT</v>
      </c>
      <c r="O458" s="10">
        <v>10542.68</v>
      </c>
    </row>
    <row r="459" spans="1:15" ht="17" x14ac:dyDescent="0.2">
      <c r="A459" s="5" t="str">
        <v>Parag Parikh Mutual Fund</v>
      </c>
      <c r="B459" s="5" t="str">
        <v>AAAA9991</v>
      </c>
      <c r="C459" s="5" t="str">
        <v>AAAAA1111A</v>
      </c>
      <c r="D459" s="6" t="str">
        <v>Parag Parikh Flexi Cap Fund - Direct Growth</v>
      </c>
      <c r="E459" s="6" t="str">
        <v>DIRECT</v>
      </c>
      <c r="F459" s="6" t="str">
        <v>CAMS</v>
      </c>
      <c r="G459" s="6">
        <v>122639</v>
      </c>
      <c r="H459" s="7">
        <v>45335</v>
      </c>
      <c r="I459" s="6" t="str">
        <v>Purchase - SIP</v>
      </c>
      <c r="J459" s="8">
        <v>5000</v>
      </c>
      <c r="K459" s="9">
        <v>91.128</v>
      </c>
      <c r="L459" s="9">
        <v>54.867600000000003</v>
      </c>
      <c r="M459" s="9">
        <v>21176.484</v>
      </c>
      <c r="N459" s="5" t="str">
        <v>PURCHASE_SIP</v>
      </c>
      <c r="O459" s="10">
        <v>0</v>
      </c>
    </row>
    <row r="460" spans="1:15" ht="17" x14ac:dyDescent="0.2">
      <c r="A460" s="5" t="str">
        <v>Parag Parikh Mutual Fund</v>
      </c>
      <c r="B460" s="5" t="str">
        <v>AAAA9991</v>
      </c>
      <c r="C460" s="5" t="str">
        <v>AAAAA1111A</v>
      </c>
      <c r="D460" s="6" t="str">
        <v>Parag Parikh Flexi Cap Fund - Direct Growth</v>
      </c>
      <c r="E460" s="6" t="str">
        <v>DIRECT</v>
      </c>
      <c r="F460" s="6" t="str">
        <v>CAMS</v>
      </c>
      <c r="G460" s="6">
        <v>122639</v>
      </c>
      <c r="H460" s="7">
        <v>45365</v>
      </c>
      <c r="I460" s="6" t="str">
        <v>Purchase - SIP</v>
      </c>
      <c r="J460" s="8">
        <v>5000</v>
      </c>
      <c r="K460" s="9">
        <v>91.692999999999998</v>
      </c>
      <c r="L460" s="9">
        <v>54.529600000000002</v>
      </c>
      <c r="M460" s="9">
        <v>21268.178</v>
      </c>
      <c r="N460" s="5" t="str">
        <v>PURCHASE_SIP</v>
      </c>
      <c r="O460" s="10">
        <v>0</v>
      </c>
    </row>
    <row r="461" spans="1:15" ht="17" x14ac:dyDescent="0.2">
      <c r="A461" s="5" t="str">
        <v>Parag Parikh Mutual Fund</v>
      </c>
      <c r="B461" s="5" t="str">
        <v>AAAA9991</v>
      </c>
      <c r="C461" s="5" t="str">
        <v>AAAAA1111A</v>
      </c>
      <c r="D461" s="6" t="str">
        <v>Parag Parikh Flexi Cap Fund - Direct Growth</v>
      </c>
      <c r="E461" s="6" t="str">
        <v>DIRECT</v>
      </c>
      <c r="F461" s="6" t="str">
        <v>CAMS</v>
      </c>
      <c r="G461" s="6">
        <v>122639</v>
      </c>
      <c r="H461" s="7">
        <v>45365</v>
      </c>
      <c r="I461" s="6" t="str">
        <v>STT TAX</v>
      </c>
      <c r="J461" s="8">
        <v>2.5</v>
      </c>
      <c r="K461" s="9">
        <v>0</v>
      </c>
      <c r="L461" s="9">
        <v>0</v>
      </c>
      <c r="M461" s="9">
        <v>21268.178</v>
      </c>
      <c r="N461" s="5" t="str">
        <v>STT_TAX</v>
      </c>
      <c r="O461" s="10">
        <v>0</v>
      </c>
    </row>
    <row r="462" spans="1:15" ht="17" x14ac:dyDescent="0.2">
      <c r="A462" s="5" t="str">
        <v>Parag Parikh Mutual Fund</v>
      </c>
      <c r="B462" s="5" t="str">
        <v>AAAA9991</v>
      </c>
      <c r="C462" s="5" t="str">
        <v>AAAAA1111A</v>
      </c>
      <c r="D462" s="6" t="str">
        <v>Parag Parikh Flexi Cap Fund - Direct Growth</v>
      </c>
      <c r="E462" s="6" t="str">
        <v>DIRECT</v>
      </c>
      <c r="F462" s="6" t="str">
        <v>CAMS</v>
      </c>
      <c r="G462" s="6">
        <v>122639</v>
      </c>
      <c r="H462" s="7">
        <v>45395</v>
      </c>
      <c r="I462" s="6" t="str">
        <v>Purchase - SIP</v>
      </c>
      <c r="J462" s="8">
        <v>5000</v>
      </c>
      <c r="K462" s="9">
        <v>92.108999999999995</v>
      </c>
      <c r="L462" s="9">
        <v>54.283499999999997</v>
      </c>
      <c r="M462" s="9">
        <v>21360.287</v>
      </c>
      <c r="N462" s="5" t="str">
        <v>PURCHASE_SIP</v>
      </c>
      <c r="O462" s="10">
        <v>0</v>
      </c>
    </row>
    <row r="463" spans="1:15" ht="17" x14ac:dyDescent="0.2">
      <c r="A463" s="5" t="str">
        <v>Parag Parikh Mutual Fund</v>
      </c>
      <c r="B463" s="5" t="str">
        <v>AAAA9991</v>
      </c>
      <c r="C463" s="5" t="str">
        <v>AAAAA1111A</v>
      </c>
      <c r="D463" s="6" t="str">
        <v>Parag Parikh Flexi Cap Fund - Direct Growth</v>
      </c>
      <c r="E463" s="6" t="str">
        <v>DIRECT</v>
      </c>
      <c r="F463" s="6" t="str">
        <v>CAMS</v>
      </c>
      <c r="G463" s="6">
        <v>122639</v>
      </c>
      <c r="H463" s="7">
        <v>45425</v>
      </c>
      <c r="I463" s="6" t="str">
        <v>Purchase - SIP</v>
      </c>
      <c r="J463" s="8">
        <v>5000</v>
      </c>
      <c r="K463" s="9">
        <v>90.781999999999996</v>
      </c>
      <c r="L463" s="9">
        <v>55.076700000000002</v>
      </c>
      <c r="M463" s="9">
        <v>21451.069</v>
      </c>
      <c r="N463" s="5" t="str">
        <v>PURCHASE_SIP</v>
      </c>
      <c r="O463" s="10">
        <v>0</v>
      </c>
    </row>
    <row r="464" spans="1:15" ht="17" x14ac:dyDescent="0.2">
      <c r="A464" s="5" t="str">
        <v>Parag Parikh Mutual Fund</v>
      </c>
      <c r="B464" s="5" t="str">
        <v>AAAA9991</v>
      </c>
      <c r="C464" s="5" t="str">
        <v>AAAAA1111A</v>
      </c>
      <c r="D464" s="6" t="str">
        <v>Parag Parikh Flexi Cap Fund - Direct Growth</v>
      </c>
      <c r="E464" s="6" t="str">
        <v>DIRECT</v>
      </c>
      <c r="F464" s="6" t="str">
        <v>CAMS</v>
      </c>
      <c r="G464" s="6">
        <v>122639</v>
      </c>
      <c r="H464" s="7">
        <v>45455</v>
      </c>
      <c r="I464" s="6" t="str">
        <v>Purchase - SIP</v>
      </c>
      <c r="J464" s="8">
        <v>5000</v>
      </c>
      <c r="K464" s="9">
        <v>89.692999999999998</v>
      </c>
      <c r="L464" s="9">
        <v>55.745699999999999</v>
      </c>
      <c r="M464" s="9">
        <v>21540.761999999999</v>
      </c>
      <c r="N464" s="5" t="str">
        <v>PURCHASE_SIP</v>
      </c>
      <c r="O464" s="10">
        <v>0</v>
      </c>
    </row>
    <row r="465" spans="1:15" ht="17" x14ac:dyDescent="0.2">
      <c r="A465" s="5" t="str">
        <v>Parag Parikh Mutual Fund</v>
      </c>
      <c r="B465" s="5" t="str">
        <v>AAAA9991</v>
      </c>
      <c r="C465" s="5" t="str">
        <v>AAAAA1111A</v>
      </c>
      <c r="D465" s="6" t="str">
        <v>Parag Parikh Flexi Cap Fund - Direct Growth</v>
      </c>
      <c r="E465" s="6" t="str">
        <v>DIRECT</v>
      </c>
      <c r="F465" s="6" t="str">
        <v>CAMS</v>
      </c>
      <c r="G465" s="6">
        <v>122639</v>
      </c>
      <c r="H465" s="7">
        <v>45455</v>
      </c>
      <c r="I465" s="6" t="str">
        <v>STAMP DUTY</v>
      </c>
      <c r="J465" s="8">
        <v>2.5</v>
      </c>
      <c r="K465" s="9">
        <v>0</v>
      </c>
      <c r="L465" s="9">
        <v>0</v>
      </c>
      <c r="M465" s="9">
        <v>21540.761999999999</v>
      </c>
      <c r="N465" s="5" t="str">
        <v>STAMP_DUTY</v>
      </c>
      <c r="O465" s="10">
        <v>0</v>
      </c>
    </row>
    <row r="466" spans="1:15" ht="17" x14ac:dyDescent="0.2">
      <c r="A466" s="5" t="str">
        <v>Parag Parikh Mutual Fund</v>
      </c>
      <c r="B466" s="5" t="str">
        <v>AAAA9991</v>
      </c>
      <c r="C466" s="5" t="str">
        <v>AAAAA1111A</v>
      </c>
      <c r="D466" s="6" t="str">
        <v>Parag Parikh Flexi Cap Fund - Direct Growth</v>
      </c>
      <c r="E466" s="6" t="str">
        <v>DIRECT</v>
      </c>
      <c r="F466" s="6" t="str">
        <v>CAMS</v>
      </c>
      <c r="G466" s="6">
        <v>122639</v>
      </c>
      <c r="H466" s="7">
        <v>45485</v>
      </c>
      <c r="I466" s="6" t="str">
        <v>Purchase - SIP</v>
      </c>
      <c r="J466" s="8">
        <v>5000</v>
      </c>
      <c r="K466" s="9">
        <v>89.971999999999994</v>
      </c>
      <c r="L466" s="9">
        <v>55.573099999999997</v>
      </c>
      <c r="M466" s="9">
        <v>21630.734</v>
      </c>
      <c r="N466" s="5" t="str">
        <v>PURCHASE_SIP</v>
      </c>
      <c r="O466" s="10">
        <v>0</v>
      </c>
    </row>
    <row r="467" spans="1:15" ht="17" x14ac:dyDescent="0.2">
      <c r="A467" s="5" t="str">
        <v>Parag Parikh Mutual Fund</v>
      </c>
      <c r="B467" s="5" t="str">
        <v>AAAA9991</v>
      </c>
      <c r="C467" s="5" t="str">
        <v>AAAAA1111A</v>
      </c>
      <c r="D467" s="6" t="str">
        <v>Parag Parikh Flexi Cap Fund - Direct Growth</v>
      </c>
      <c r="E467" s="6" t="str">
        <v>DIRECT</v>
      </c>
      <c r="F467" s="6" t="str">
        <v>CAMS</v>
      </c>
      <c r="G467" s="6">
        <v>122639</v>
      </c>
      <c r="H467" s="7">
        <v>45485</v>
      </c>
      <c r="I467" s="6" t="str">
        <v>STAMP DUTY</v>
      </c>
      <c r="J467" s="8">
        <v>2.5</v>
      </c>
      <c r="K467" s="9">
        <v>0</v>
      </c>
      <c r="L467" s="9">
        <v>0</v>
      </c>
      <c r="M467" s="9">
        <v>21630.734</v>
      </c>
      <c r="N467" s="5" t="str">
        <v>STAMP_DUTY</v>
      </c>
      <c r="O467" s="10">
        <v>0</v>
      </c>
    </row>
    <row r="468" spans="1:15" ht="17" x14ac:dyDescent="0.2">
      <c r="A468" s="5" t="str">
        <v>Parag Parikh Mutual Fund</v>
      </c>
      <c r="B468" s="5" t="str">
        <v>AAAA9991</v>
      </c>
      <c r="C468" s="5" t="str">
        <v>AAAAA1111A</v>
      </c>
      <c r="D468" s="6" t="str">
        <v>Parag Parikh Flexi Cap Fund - Direct Growth</v>
      </c>
      <c r="E468" s="6" t="str">
        <v>DIRECT</v>
      </c>
      <c r="F468" s="6" t="str">
        <v>CAMS</v>
      </c>
      <c r="G468" s="6">
        <v>122639</v>
      </c>
      <c r="H468" s="7">
        <v>45515</v>
      </c>
      <c r="I468" s="6" t="str">
        <v>Purchase - SIP</v>
      </c>
      <c r="J468" s="8">
        <v>5000</v>
      </c>
      <c r="K468" s="9">
        <v>89.251999999999995</v>
      </c>
      <c r="L468" s="9">
        <v>56.0212</v>
      </c>
      <c r="M468" s="9">
        <v>21719.986000000001</v>
      </c>
      <c r="N468" s="5" t="str">
        <v>PURCHASE_SIP</v>
      </c>
      <c r="O468" s="10">
        <v>0</v>
      </c>
    </row>
    <row r="469" spans="1:15" ht="17" x14ac:dyDescent="0.2">
      <c r="A469" s="5" t="str">
        <v>Parag Parikh Mutual Fund</v>
      </c>
      <c r="B469" s="5" t="str">
        <v>AAAA9991</v>
      </c>
      <c r="C469" s="5" t="str">
        <v>AAAAA1111A</v>
      </c>
      <c r="D469" s="6" t="str">
        <v>Parag Parikh Flexi Cap Fund - Direct Growth</v>
      </c>
      <c r="E469" s="6" t="str">
        <v>DIRECT</v>
      </c>
      <c r="F469" s="6" t="str">
        <v>CAMS</v>
      </c>
      <c r="G469" s="6">
        <v>122639</v>
      </c>
      <c r="H469" s="7">
        <v>45545</v>
      </c>
      <c r="I469" s="6" t="str">
        <v>Purchase - SIP</v>
      </c>
      <c r="J469" s="8">
        <v>5000</v>
      </c>
      <c r="K469" s="9">
        <v>87.248000000000005</v>
      </c>
      <c r="L469" s="9">
        <v>57.307699999999997</v>
      </c>
      <c r="M469" s="9">
        <v>21807.234</v>
      </c>
      <c r="N469" s="5" t="str">
        <v>PURCHASE_SIP</v>
      </c>
      <c r="O469" s="10">
        <v>0</v>
      </c>
    </row>
    <row r="470" spans="1:15" ht="17" x14ac:dyDescent="0.2">
      <c r="A470" s="5" t="str">
        <v>Parag Parikh Mutual Fund</v>
      </c>
      <c r="B470" s="5" t="str">
        <v>AAAA9991</v>
      </c>
      <c r="C470" s="5" t="str">
        <v>AAAAA1111A</v>
      </c>
      <c r="D470" s="6" t="str">
        <v>Parag Parikh Flexi Cap Fund - Direct Growth</v>
      </c>
      <c r="E470" s="6" t="str">
        <v>DIRECT</v>
      </c>
      <c r="F470" s="6" t="str">
        <v>CAMS</v>
      </c>
      <c r="G470" s="6">
        <v>122639</v>
      </c>
      <c r="H470" s="7">
        <v>45575</v>
      </c>
      <c r="I470" s="6" t="str">
        <v>Purchase - SIP</v>
      </c>
      <c r="J470" s="8">
        <v>5000</v>
      </c>
      <c r="K470" s="9">
        <v>86.227999999999994</v>
      </c>
      <c r="L470" s="9">
        <v>57.985900000000001</v>
      </c>
      <c r="M470" s="9">
        <v>21893.462</v>
      </c>
      <c r="N470" s="5" t="str">
        <v>PURCHASE_SIP</v>
      </c>
      <c r="O470" s="10">
        <v>0</v>
      </c>
    </row>
    <row r="471" spans="1:15" ht="17" x14ac:dyDescent="0.2">
      <c r="A471" s="5" t="str">
        <v>Parag Parikh Mutual Fund</v>
      </c>
      <c r="B471" s="5" t="str">
        <v>AAAA9991</v>
      </c>
      <c r="C471" s="5" t="str">
        <v>AAAAA1111A</v>
      </c>
      <c r="D471" s="6" t="str">
        <v>Parag Parikh Flexi Cap Fund - Direct Growth</v>
      </c>
      <c r="E471" s="6" t="str">
        <v>DIRECT</v>
      </c>
      <c r="F471" s="6" t="str">
        <v>CAMS</v>
      </c>
      <c r="G471" s="6">
        <v>122639</v>
      </c>
      <c r="H471" s="7">
        <v>45605</v>
      </c>
      <c r="I471" s="6" t="str">
        <v>Purchase - SIP</v>
      </c>
      <c r="J471" s="8">
        <v>5000</v>
      </c>
      <c r="K471" s="9">
        <v>87.117999999999995</v>
      </c>
      <c r="L471" s="9">
        <v>57.393099999999997</v>
      </c>
      <c r="M471" s="9">
        <v>21980.58</v>
      </c>
      <c r="N471" s="5" t="str">
        <v>PURCHASE_SIP</v>
      </c>
      <c r="O471" s="10">
        <v>0</v>
      </c>
    </row>
    <row r="472" spans="1:15" ht="17" x14ac:dyDescent="0.2">
      <c r="A472" s="5" t="str">
        <v>Parag Parikh Mutual Fund</v>
      </c>
      <c r="B472" s="5" t="str">
        <v>AAAA9991</v>
      </c>
      <c r="C472" s="5" t="str">
        <v>AAAAA1111A</v>
      </c>
      <c r="D472" s="6" t="str">
        <v>Parag Parikh Flexi Cap Fund - Direct Growth</v>
      </c>
      <c r="E472" s="6" t="str">
        <v>DIRECT</v>
      </c>
      <c r="F472" s="6" t="str">
        <v>CAMS</v>
      </c>
      <c r="G472" s="6">
        <v>122639</v>
      </c>
      <c r="H472" s="7">
        <v>45605</v>
      </c>
      <c r="I472" s="6" t="str">
        <v>STAMP DUTY</v>
      </c>
      <c r="J472" s="8">
        <v>2.5</v>
      </c>
      <c r="K472" s="9">
        <v>0</v>
      </c>
      <c r="L472" s="9">
        <v>0</v>
      </c>
      <c r="M472" s="9">
        <v>21980.58</v>
      </c>
      <c r="N472" s="5" t="str">
        <v>STAMP_DUTY</v>
      </c>
      <c r="O472" s="10">
        <v>0</v>
      </c>
    </row>
    <row r="473" spans="1:15" ht="17" x14ac:dyDescent="0.2">
      <c r="A473" s="5" t="str">
        <v>Parag Parikh Mutual Fund</v>
      </c>
      <c r="B473" s="5" t="str">
        <v>AAAA9991</v>
      </c>
      <c r="C473" s="5" t="str">
        <v>AAAAA1111A</v>
      </c>
      <c r="D473" s="6" t="str">
        <v>Parag Parikh Flexi Cap Fund - Direct Growth</v>
      </c>
      <c r="E473" s="6" t="str">
        <v>DIRECT</v>
      </c>
      <c r="F473" s="6" t="str">
        <v>CAMS</v>
      </c>
      <c r="G473" s="6">
        <v>122639</v>
      </c>
      <c r="H473" s="6">
        <v>45635</v>
      </c>
      <c r="I473" s="6" t="str">
        <v>Purchase - SIP</v>
      </c>
      <c r="J473" s="5">
        <v>5000</v>
      </c>
      <c r="K473" s="5">
        <v>85.686000000000007</v>
      </c>
      <c r="L473" s="5">
        <v>58.352899999999998</v>
      </c>
      <c r="M473" s="5">
        <v>22066.266</v>
      </c>
      <c r="N473" s="5" t="str">
        <v>PURCHASE_SIP</v>
      </c>
      <c r="O473" s="5">
        <v>0</v>
      </c>
    </row>
    <row r="474" spans="1:15" ht="17" x14ac:dyDescent="0.2">
      <c r="A474" s="5" t="str">
        <v>Parag Parikh Mutual Fund</v>
      </c>
      <c r="B474" s="5" t="str">
        <v>AAAA9991</v>
      </c>
      <c r="C474" s="5" t="str">
        <v>AAAAA1111A</v>
      </c>
      <c r="D474" s="6" t="str">
        <v>Parag Parikh Flexi Cap Fund - Direct Growth</v>
      </c>
      <c r="E474" s="6" t="str">
        <v>DIRECT</v>
      </c>
      <c r="F474" s="6" t="str">
        <v>CAMS</v>
      </c>
      <c r="G474" s="6">
        <v>122639</v>
      </c>
      <c r="H474" s="6">
        <v>45665</v>
      </c>
      <c r="I474" s="6" t="str">
        <v>Purchase - SIP</v>
      </c>
      <c r="J474" s="5">
        <v>5000</v>
      </c>
      <c r="K474" s="5">
        <v>83.647999999999996</v>
      </c>
      <c r="L474" s="5">
        <v>59.773899999999998</v>
      </c>
      <c r="M474" s="5">
        <v>22149.914000000001</v>
      </c>
      <c r="N474" s="5" t="str">
        <v>PURCHASE_SIP</v>
      </c>
      <c r="O474" s="5">
        <v>0</v>
      </c>
    </row>
    <row r="475" spans="1:15" ht="17" x14ac:dyDescent="0.2">
      <c r="A475" s="5" t="str">
        <v>Parag Parikh Mutual Fund</v>
      </c>
      <c r="B475" s="5" t="str">
        <v>AAAA9991</v>
      </c>
      <c r="C475" s="5" t="str">
        <v>AAAAA1111A</v>
      </c>
      <c r="D475" s="6" t="str">
        <v>Parag Parikh Flexi Cap Fund - Direct Growth</v>
      </c>
      <c r="E475" s="6" t="str">
        <v>DIRECT</v>
      </c>
      <c r="F475" s="6" t="str">
        <v>CAMS</v>
      </c>
      <c r="G475" s="6">
        <v>122639</v>
      </c>
      <c r="H475" s="6">
        <v>45695</v>
      </c>
      <c r="I475" s="6" t="str">
        <v>Purchase - SIP</v>
      </c>
      <c r="J475" s="5">
        <v>5000</v>
      </c>
      <c r="K475" s="5">
        <v>81.447000000000003</v>
      </c>
      <c r="L475" s="5">
        <v>61.389400000000002</v>
      </c>
      <c r="M475" s="5">
        <v>22231.362000000001</v>
      </c>
      <c r="N475" s="5" t="str">
        <v>PURCHASE_SIP</v>
      </c>
      <c r="O475" s="5">
        <v>0</v>
      </c>
    </row>
    <row r="476" spans="1:15" ht="17" x14ac:dyDescent="0.2">
      <c r="A476" s="5" t="str">
        <v>Parag Parikh Mutual Fund</v>
      </c>
      <c r="B476" s="5" t="str">
        <v>AAAA9991</v>
      </c>
      <c r="C476" s="5" t="str">
        <v>AAAAA1111A</v>
      </c>
      <c r="D476" s="6" t="str">
        <v>Parag Parikh Flexi Cap Fund - Direct Growth</v>
      </c>
      <c r="E476" s="6" t="str">
        <v>DIRECT</v>
      </c>
      <c r="F476" s="6" t="str">
        <v>CAMS</v>
      </c>
      <c r="G476" s="6">
        <v>122639</v>
      </c>
      <c r="H476" s="6">
        <v>45725</v>
      </c>
      <c r="I476" s="6" t="str">
        <v>Purchase - SIP</v>
      </c>
      <c r="J476" s="5">
        <v>5000</v>
      </c>
      <c r="K476" s="5">
        <v>79.445999999999998</v>
      </c>
      <c r="L476" s="5">
        <v>62.935600000000001</v>
      </c>
      <c r="M476" s="5">
        <v>22310.808000000001</v>
      </c>
      <c r="N476" s="5" t="str">
        <v>PURCHASE_SIP</v>
      </c>
      <c r="O476" s="5">
        <v>0</v>
      </c>
    </row>
    <row r="477" spans="1:15" ht="17" x14ac:dyDescent="0.2">
      <c r="A477" s="5" t="str">
        <v>Parag Parikh Mutual Fund</v>
      </c>
      <c r="B477" s="5" t="str">
        <v>AAAA9991</v>
      </c>
      <c r="C477" s="5" t="str">
        <v>AAAAA1111A</v>
      </c>
      <c r="D477" s="6" t="str">
        <v>Parag Parikh Flexi Cap Fund - Direct Growth</v>
      </c>
      <c r="E477" s="6" t="str">
        <v>DIRECT</v>
      </c>
      <c r="F477" s="6" t="str">
        <v>CAMS</v>
      </c>
      <c r="G477" s="6">
        <v>122639</v>
      </c>
      <c r="H477" s="6">
        <v>45755</v>
      </c>
      <c r="I477" s="6" t="str">
        <v>Purchase - SIP</v>
      </c>
      <c r="J477" s="5">
        <v>5000</v>
      </c>
      <c r="K477" s="5">
        <v>78.480999999999995</v>
      </c>
      <c r="L477" s="5">
        <v>63.709400000000002</v>
      </c>
      <c r="M477" s="5">
        <v>22389.289000000001</v>
      </c>
      <c r="N477" s="5" t="str">
        <v>PURCHASE_SIP</v>
      </c>
      <c r="O477" s="5">
        <v>0</v>
      </c>
    </row>
    <row r="478" spans="1:15" ht="17" x14ac:dyDescent="0.2">
      <c r="A478" s="5" t="str">
        <v>Parag Parikh Mutual Fund</v>
      </c>
      <c r="B478" s="5" t="str">
        <v>AAAA9991</v>
      </c>
      <c r="C478" s="5" t="str">
        <v>AAAAA1111A</v>
      </c>
      <c r="D478" s="6" t="str">
        <v>Parag Parikh Flexi Cap Fund - Direct Growth</v>
      </c>
      <c r="E478" s="6" t="str">
        <v>DIRECT</v>
      </c>
      <c r="F478" s="6" t="str">
        <v>CAMS</v>
      </c>
      <c r="G478" s="6">
        <v>122639</v>
      </c>
      <c r="H478" s="6">
        <v>45785</v>
      </c>
      <c r="I478" s="6" t="str">
        <v>Purchase - SIP</v>
      </c>
      <c r="J478" s="5">
        <v>5000</v>
      </c>
      <c r="K478" s="5">
        <v>76.233999999999995</v>
      </c>
      <c r="L478" s="5">
        <v>65.587299999999999</v>
      </c>
      <c r="M478" s="5">
        <v>22465.524000000001</v>
      </c>
      <c r="N478" s="5" t="str">
        <v>PURCHASE_SIP</v>
      </c>
      <c r="O478" s="5">
        <v>0</v>
      </c>
    </row>
    <row r="479" spans="1:15" ht="17" x14ac:dyDescent="0.2">
      <c r="A479" s="5" t="str">
        <v>Parag Parikh Mutual Fund</v>
      </c>
      <c r="B479" s="5" t="str">
        <v>AAAA9991</v>
      </c>
      <c r="C479" s="5" t="str">
        <v>AAAAA1111A</v>
      </c>
      <c r="D479" s="6" t="str">
        <v>Parag Parikh Flexi Cap Fund - Direct Growth</v>
      </c>
      <c r="E479" s="6" t="str">
        <v>DIRECT</v>
      </c>
      <c r="F479" s="6" t="str">
        <v>CAMS</v>
      </c>
      <c r="G479" s="6">
        <v>122639</v>
      </c>
      <c r="H479" s="6">
        <v>45815</v>
      </c>
      <c r="I479" s="6" t="str">
        <v>Purchase - SIP</v>
      </c>
      <c r="J479" s="5">
        <v>5000</v>
      </c>
      <c r="K479" s="5">
        <v>75.168000000000006</v>
      </c>
      <c r="L479" s="5">
        <v>66.517700000000005</v>
      </c>
      <c r="M479" s="5">
        <v>22540.691999999999</v>
      </c>
      <c r="N479" s="5" t="str">
        <v>PURCHASE_SIP</v>
      </c>
      <c r="O479" s="5">
        <v>0</v>
      </c>
    </row>
    <row r="480" spans="1:15" ht="17" x14ac:dyDescent="0.2">
      <c r="A480" s="5" t="str">
        <v>Parag Parikh Mutual Fund</v>
      </c>
      <c r="B480" s="5" t="str">
        <v>AAAA9991</v>
      </c>
      <c r="C480" s="5" t="str">
        <v>AAAAA1111A</v>
      </c>
      <c r="D480" s="6" t="str">
        <v>Parag Parikh Flexi Cap Fund - Direct Growth</v>
      </c>
      <c r="E480" s="6" t="str">
        <v>DIRECT</v>
      </c>
      <c r="F480" s="6" t="str">
        <v>CAMS</v>
      </c>
      <c r="G480" s="6">
        <v>122639</v>
      </c>
      <c r="H480" s="6">
        <v>45845</v>
      </c>
      <c r="I480" s="6" t="str">
        <v>Purchase - SIP</v>
      </c>
      <c r="J480" s="5">
        <v>5000</v>
      </c>
      <c r="K480" s="5">
        <v>74.534999999999997</v>
      </c>
      <c r="L480" s="5">
        <v>67.082800000000006</v>
      </c>
      <c r="M480" s="5">
        <v>22615.225999999999</v>
      </c>
      <c r="N480" s="5" t="str">
        <v>PURCHASE_SIP</v>
      </c>
      <c r="O480" s="5">
        <v>0</v>
      </c>
    </row>
    <row r="481" spans="1:15" ht="17" x14ac:dyDescent="0.2">
      <c r="A481" s="5" t="str">
        <v>Parag Parikh Mutual Fund</v>
      </c>
      <c r="B481" s="5" t="str">
        <v>AAAA9991</v>
      </c>
      <c r="C481" s="5" t="str">
        <v>AAAAA1111A</v>
      </c>
      <c r="D481" s="6" t="str">
        <v>Parag Parikh Flexi Cap Fund - Direct Growth</v>
      </c>
      <c r="E481" s="6" t="str">
        <v>DIRECT</v>
      </c>
      <c r="F481" s="6" t="str">
        <v>CAMS</v>
      </c>
      <c r="G481" s="6">
        <v>122639</v>
      </c>
      <c r="H481" s="6">
        <v>45875</v>
      </c>
      <c r="I481" s="6" t="str">
        <v>Purchase - SIP</v>
      </c>
      <c r="J481" s="5">
        <v>5000</v>
      </c>
      <c r="K481" s="5">
        <v>75.2</v>
      </c>
      <c r="L481" s="5">
        <v>66.489699999999999</v>
      </c>
      <c r="M481" s="5">
        <v>22690.425999999999</v>
      </c>
      <c r="N481" s="5" t="str">
        <v>PURCHASE_SIP</v>
      </c>
      <c r="O481" s="5">
        <v>0</v>
      </c>
    </row>
    <row r="482" spans="1:15" ht="17" x14ac:dyDescent="0.2">
      <c r="A482" s="5" t="str">
        <v>Parag Parikh Mutual Fund</v>
      </c>
      <c r="B482" s="5" t="str">
        <v>AAAA9991</v>
      </c>
      <c r="C482" s="5" t="str">
        <v>AAAAA1111A</v>
      </c>
      <c r="D482" s="6" t="str">
        <v>Parag Parikh Flexi Cap Fund - Direct Growth</v>
      </c>
      <c r="E482" s="6" t="str">
        <v>DIRECT</v>
      </c>
      <c r="F482" s="6" t="str">
        <v>CAMS</v>
      </c>
      <c r="G482" s="6">
        <v>122639</v>
      </c>
      <c r="H482" s="6">
        <v>45905</v>
      </c>
      <c r="I482" s="6" t="str">
        <v>Purchase - SIP</v>
      </c>
      <c r="J482" s="5">
        <v>5000</v>
      </c>
      <c r="K482" s="5">
        <v>74.989000000000004</v>
      </c>
      <c r="L482" s="5">
        <v>66.676699999999997</v>
      </c>
      <c r="M482" s="5">
        <v>22765.415000000001</v>
      </c>
      <c r="N482" s="5" t="str">
        <v>PURCHASE_SIP</v>
      </c>
      <c r="O482" s="5">
        <v>0</v>
      </c>
    </row>
    <row r="483" spans="1:15" ht="17" x14ac:dyDescent="0.2">
      <c r="A483" s="5" t="str">
        <v>Parag Parikh Mutual Fund</v>
      </c>
      <c r="B483" s="5" t="str">
        <v>AAAA9991</v>
      </c>
      <c r="C483" s="5" t="str">
        <v>AAAAA1111A</v>
      </c>
      <c r="D483" s="6" t="str">
        <v>Parag Parikh Flexi Cap Fund - Direct Growth</v>
      </c>
      <c r="E483" s="6" t="str">
        <v>DIRECT</v>
      </c>
      <c r="F483" s="6" t="str">
        <v>CAMS</v>
      </c>
      <c r="G483" s="6">
        <v>122639</v>
      </c>
      <c r="H483" s="6">
        <v>45935</v>
      </c>
      <c r="I483" s="6" t="str">
        <v>Purchase - SIP</v>
      </c>
      <c r="J483" s="5">
        <v>5000</v>
      </c>
      <c r="K483" s="5">
        <v>75.427000000000007</v>
      </c>
      <c r="L483" s="5">
        <v>66.289699999999996</v>
      </c>
      <c r="M483" s="5">
        <v>22840.841</v>
      </c>
      <c r="N483" s="5" t="str">
        <v>PURCHASE_SIP</v>
      </c>
      <c r="O483" s="5">
        <v>0</v>
      </c>
    </row>
    <row r="484" spans="1:15" ht="17" x14ac:dyDescent="0.2">
      <c r="A484" s="5" t="str">
        <v>Parag Parikh Mutual Fund</v>
      </c>
      <c r="B484" s="5" t="str">
        <v>AAAA9991</v>
      </c>
      <c r="C484" s="5" t="str">
        <v>AAAAA1111A</v>
      </c>
      <c r="D484" s="6" t="str">
        <v>Parag Parikh Flexi Cap Fund - Direct Growth</v>
      </c>
      <c r="E484" s="6" t="str">
        <v>DIRECT</v>
      </c>
      <c r="F484" s="6" t="str">
        <v>CAMS</v>
      </c>
      <c r="G484" s="6">
        <v>122639</v>
      </c>
      <c r="H484" s="6">
        <v>45935</v>
      </c>
      <c r="I484" s="6" t="str">
        <v>STT TAX</v>
      </c>
      <c r="J484" s="5">
        <v>2.5</v>
      </c>
      <c r="K484" s="5">
        <v>0</v>
      </c>
      <c r="L484" s="5">
        <v>0</v>
      </c>
      <c r="M484" s="5">
        <v>22840.841</v>
      </c>
      <c r="N484" s="5" t="str">
        <v>STT_TAX</v>
      </c>
      <c r="O484" s="5">
        <v>0</v>
      </c>
    </row>
    <row r="485" spans="1:15" ht="17" x14ac:dyDescent="0.2">
      <c r="A485" s="5" t="str">
        <v>Parag Parikh Mutual Fund</v>
      </c>
      <c r="B485" s="5" t="str">
        <v>AAAA9991</v>
      </c>
      <c r="C485" s="5" t="str">
        <v>AAAAA1111A</v>
      </c>
      <c r="D485" s="6" t="str">
        <v>Parag Parikh Flexi Cap Fund - Direct Growth</v>
      </c>
      <c r="E485" s="6" t="str">
        <v>DIRECT</v>
      </c>
      <c r="F485" s="6" t="str">
        <v>CAMS</v>
      </c>
      <c r="G485" s="6">
        <v>122639</v>
      </c>
      <c r="H485" s="6">
        <v>45935</v>
      </c>
      <c r="I485" s="6" t="str">
        <v>Dividend Paid</v>
      </c>
      <c r="J485" s="5">
        <v>11420.42</v>
      </c>
      <c r="K485" s="5">
        <v>0</v>
      </c>
      <c r="L485" s="5">
        <v>0</v>
      </c>
      <c r="M485" s="5">
        <v>22840.841</v>
      </c>
      <c r="N485" s="5" t="str">
        <v>DIVIDEND_PAYOUT</v>
      </c>
      <c r="O485" s="5">
        <v>11420.42</v>
      </c>
    </row>
    <row r="486" spans="1:15" ht="17" x14ac:dyDescent="0.2">
      <c r="A486" s="5" t="str">
        <v>Parag Parikh Mutual Fund</v>
      </c>
      <c r="B486" s="5" t="str">
        <v>AAAA9991</v>
      </c>
      <c r="C486" s="5" t="str">
        <v>AAAAA1111A</v>
      </c>
      <c r="D486" s="6" t="str">
        <v>Parag Parikh Flexi Cap Fund - Direct Growth</v>
      </c>
      <c r="E486" s="6" t="str">
        <v>DIRECT</v>
      </c>
      <c r="F486" s="6" t="str">
        <v>CAMS</v>
      </c>
      <c r="G486" s="6">
        <v>122639</v>
      </c>
      <c r="H486" s="6">
        <v>45965</v>
      </c>
      <c r="I486" s="6" t="str">
        <v>Purchase - SIP</v>
      </c>
      <c r="J486" s="5">
        <v>5000</v>
      </c>
      <c r="K486" s="5">
        <v>76.504999999999995</v>
      </c>
      <c r="L486" s="5">
        <v>65.355199999999996</v>
      </c>
      <c r="M486" s="5">
        <v>22917.346000000001</v>
      </c>
      <c r="N486" s="5" t="str">
        <v>PURCHASE_SIP</v>
      </c>
      <c r="O486" s="5">
        <v>0</v>
      </c>
    </row>
    <row r="487" spans="1:15" ht="17" x14ac:dyDescent="0.2">
      <c r="A487" s="5" t="str">
        <v>Parag Parikh Mutual Fund</v>
      </c>
      <c r="B487" s="5" t="str">
        <v>AAAA9991</v>
      </c>
      <c r="C487" s="5" t="str">
        <v>AAAAA1111A</v>
      </c>
      <c r="D487" s="6" t="str">
        <v>Parag Parikh Flexi Cap Fund - Direct Growth</v>
      </c>
      <c r="E487" s="6" t="str">
        <v>DIRECT</v>
      </c>
      <c r="F487" s="6" t="str">
        <v>CAMS</v>
      </c>
      <c r="G487" s="6">
        <v>122639</v>
      </c>
      <c r="H487" s="6">
        <v>45995</v>
      </c>
      <c r="I487" s="6" t="str">
        <v>Purchase - SIP</v>
      </c>
      <c r="J487" s="5">
        <v>5000</v>
      </c>
      <c r="K487" s="5">
        <v>76.093000000000004</v>
      </c>
      <c r="L487" s="5">
        <v>65.709500000000006</v>
      </c>
      <c r="M487" s="5">
        <v>22993.438999999998</v>
      </c>
      <c r="N487" s="5" t="str">
        <v>PURCHASE_SIP</v>
      </c>
      <c r="O487" s="5">
        <v>0</v>
      </c>
    </row>
    <row r="488" spans="1:15" ht="17" x14ac:dyDescent="0.2">
      <c r="A488" s="5" t="str">
        <v>Parag Parikh Mutual Fund</v>
      </c>
      <c r="B488" s="5" t="str">
        <v>AAAA9991</v>
      </c>
      <c r="C488" s="5" t="str">
        <v>AAAAA1111A</v>
      </c>
      <c r="D488" s="6" t="str">
        <v>Parag Parikh Flexi Cap Fund - Direct Growth</v>
      </c>
      <c r="E488" s="6" t="str">
        <v>DIRECT</v>
      </c>
      <c r="F488" s="6" t="str">
        <v>CAMS</v>
      </c>
      <c r="G488" s="6">
        <v>122639</v>
      </c>
      <c r="H488" s="6">
        <v>46025</v>
      </c>
      <c r="I488" s="6" t="str">
        <v>Purchase - SIP</v>
      </c>
      <c r="J488" s="5">
        <v>5000</v>
      </c>
      <c r="K488" s="5">
        <v>75.671000000000006</v>
      </c>
      <c r="L488" s="5">
        <v>66.075900000000004</v>
      </c>
      <c r="M488" s="5">
        <v>23069.109</v>
      </c>
      <c r="N488" s="5" t="str">
        <v>PURCHASE_SIP</v>
      </c>
      <c r="O488" s="5">
        <v>0</v>
      </c>
    </row>
    <row r="489" spans="1:15" ht="17" x14ac:dyDescent="0.2">
      <c r="A489" s="5" t="str">
        <v>Parag Parikh Mutual Fund</v>
      </c>
      <c r="B489" s="5" t="str">
        <v>AAAA9991</v>
      </c>
      <c r="C489" s="5" t="str">
        <v>AAAAA1111A</v>
      </c>
      <c r="D489" s="6" t="str">
        <v>Parag Parikh Flexi Cap Fund - Direct Growth</v>
      </c>
      <c r="E489" s="6" t="str">
        <v>DIRECT</v>
      </c>
      <c r="F489" s="6" t="str">
        <v>CAMS</v>
      </c>
      <c r="G489" s="6">
        <v>122639</v>
      </c>
      <c r="H489" s="6">
        <v>46025</v>
      </c>
      <c r="I489" s="6" t="str">
        <v>STAMP DUTY</v>
      </c>
      <c r="J489" s="5">
        <v>2.5</v>
      </c>
      <c r="K489" s="5">
        <v>0</v>
      </c>
      <c r="L489" s="5">
        <v>0</v>
      </c>
      <c r="M489" s="5">
        <v>23069.109</v>
      </c>
      <c r="N489" s="5" t="str">
        <v>STAMP_DUTY</v>
      </c>
      <c r="O489" s="5">
        <v>0</v>
      </c>
    </row>
    <row r="490" spans="1:15" ht="17" x14ac:dyDescent="0.2">
      <c r="A490" s="5" t="str">
        <v>Parag Parikh Mutual Fund</v>
      </c>
      <c r="B490" s="5" t="str">
        <v>AAAA9991</v>
      </c>
      <c r="C490" s="5" t="str">
        <v>AAAAA1111A</v>
      </c>
      <c r="D490" s="6" t="str">
        <v>Parag Parikh Flexi Cap Fund - Direct Growth</v>
      </c>
      <c r="E490" s="6" t="str">
        <v>DIRECT</v>
      </c>
      <c r="F490" s="6" t="str">
        <v>CAMS</v>
      </c>
      <c r="G490" s="6">
        <v>122639</v>
      </c>
      <c r="H490" s="6">
        <v>46055</v>
      </c>
      <c r="I490" s="6" t="str">
        <v>Purchase - SIP</v>
      </c>
      <c r="J490" s="5">
        <v>5000</v>
      </c>
      <c r="K490" s="5">
        <v>75.695999999999998</v>
      </c>
      <c r="L490" s="5">
        <v>66.053899999999999</v>
      </c>
      <c r="M490" s="5">
        <v>23144.805</v>
      </c>
      <c r="N490" s="5" t="str">
        <v>PURCHASE_SIP</v>
      </c>
      <c r="O490" s="5">
        <v>0</v>
      </c>
    </row>
    <row r="491" spans="1:15" ht="17" x14ac:dyDescent="0.2">
      <c r="A491" s="5" t="str">
        <v>Parag Parikh Mutual Fund</v>
      </c>
      <c r="B491" s="5" t="str">
        <v>AAAA9991</v>
      </c>
      <c r="C491" s="5" t="str">
        <v>AAAAA1111A</v>
      </c>
      <c r="D491" s="6" t="str">
        <v>Parag Parikh Flexi Cap Fund - Direct Growth</v>
      </c>
      <c r="E491" s="6" t="str">
        <v>DIRECT</v>
      </c>
      <c r="F491" s="6" t="str">
        <v>CAMS</v>
      </c>
      <c r="G491" s="6">
        <v>122639</v>
      </c>
      <c r="H491" s="6">
        <v>46085</v>
      </c>
      <c r="I491" s="6" t="str">
        <v>Purchase - SIP</v>
      </c>
      <c r="J491" s="5">
        <v>5000</v>
      </c>
      <c r="K491" s="5">
        <v>75.826999999999998</v>
      </c>
      <c r="L491" s="5">
        <v>65.939800000000005</v>
      </c>
      <c r="M491" s="5">
        <v>23220.632000000001</v>
      </c>
      <c r="N491" s="5" t="str">
        <v>PURCHASE_SIP</v>
      </c>
      <c r="O491" s="5">
        <v>0</v>
      </c>
    </row>
    <row r="492" spans="1:15" ht="17" x14ac:dyDescent="0.2">
      <c r="A492" s="5" t="str">
        <v>Parag Parikh Mutual Fund</v>
      </c>
      <c r="B492" s="5" t="str">
        <v>AAAA9991</v>
      </c>
      <c r="C492" s="5" t="str">
        <v>AAAAA1111A</v>
      </c>
      <c r="D492" s="6" t="str">
        <v>Parag Parikh Flexi Cap Fund - Direct Growth</v>
      </c>
      <c r="E492" s="6" t="str">
        <v>DIRECT</v>
      </c>
      <c r="F492" s="6" t="str">
        <v>CAMS</v>
      </c>
      <c r="G492" s="6">
        <v>122639</v>
      </c>
      <c r="H492" s="6">
        <v>46085</v>
      </c>
      <c r="I492" s="6" t="str">
        <v>STT TAX</v>
      </c>
      <c r="J492" s="5">
        <v>2.5</v>
      </c>
      <c r="K492" s="5">
        <v>0</v>
      </c>
      <c r="L492" s="5">
        <v>0</v>
      </c>
      <c r="M492" s="5">
        <v>23220.632000000001</v>
      </c>
      <c r="N492" s="5" t="str">
        <v>STT_TAX</v>
      </c>
      <c r="O492" s="5">
        <v>0</v>
      </c>
    </row>
    <row r="493" spans="1:15" ht="17" x14ac:dyDescent="0.2">
      <c r="A493" s="5" t="str">
        <v>Parag Parikh Mutual Fund</v>
      </c>
      <c r="B493" s="5" t="str">
        <v>AAAA9991</v>
      </c>
      <c r="C493" s="5" t="str">
        <v>AAAAA1111A</v>
      </c>
      <c r="D493" s="6" t="str">
        <v>Parag Parikh Flexi Cap Fund - Direct Growth</v>
      </c>
      <c r="E493" s="6" t="str">
        <v>DIRECT</v>
      </c>
      <c r="F493" s="6" t="str">
        <v>CAMS</v>
      </c>
      <c r="G493" s="6">
        <v>122639</v>
      </c>
      <c r="H493" s="6">
        <v>46115</v>
      </c>
      <c r="I493" s="6" t="str">
        <v>Purchase - SIP</v>
      </c>
      <c r="J493" s="5">
        <v>5000</v>
      </c>
      <c r="K493" s="5">
        <v>73.912999999999997</v>
      </c>
      <c r="L493" s="5">
        <v>67.646900000000002</v>
      </c>
      <c r="M493" s="5">
        <v>23294.544999999998</v>
      </c>
      <c r="N493" s="5" t="str">
        <v>PURCHASE_SIP</v>
      </c>
      <c r="O493" s="5">
        <v>0</v>
      </c>
    </row>
    <row r="494" spans="1:15" ht="17" x14ac:dyDescent="0.2">
      <c r="A494" s="5" t="str">
        <v>Parag Parikh Mutual Fund</v>
      </c>
      <c r="B494" s="5" t="str">
        <v>AAAA9991</v>
      </c>
      <c r="C494" s="5" t="str">
        <v>AAAAA1111A</v>
      </c>
      <c r="D494" s="6" t="str">
        <v>Parag Parikh Flexi Cap Fund - Direct Growth</v>
      </c>
      <c r="E494" s="6" t="str">
        <v>DIRECT</v>
      </c>
      <c r="F494" s="6" t="str">
        <v>CAMS</v>
      </c>
      <c r="G494" s="6">
        <v>122639</v>
      </c>
      <c r="H494" s="6">
        <v>46115</v>
      </c>
      <c r="I494" s="6" t="str">
        <v>STT TAX</v>
      </c>
      <c r="J494" s="5">
        <v>2.5</v>
      </c>
      <c r="K494" s="5">
        <v>0</v>
      </c>
      <c r="L494" s="5">
        <v>0</v>
      </c>
      <c r="M494" s="5">
        <v>23294.544999999998</v>
      </c>
      <c r="N494" s="5" t="str">
        <v>STT_TAX</v>
      </c>
      <c r="O494" s="5">
        <v>0</v>
      </c>
    </row>
    <row r="495" spans="1:15" ht="17" x14ac:dyDescent="0.2">
      <c r="A495" s="5" t="str">
        <v>Parag Parikh Mutual Fund</v>
      </c>
      <c r="B495" s="5" t="str">
        <v>AAAA9991</v>
      </c>
      <c r="C495" s="5" t="str">
        <v>AAAAA1111A</v>
      </c>
      <c r="D495" s="6" t="str">
        <v>Parag Parikh Flexi Cap Fund - Direct Growth</v>
      </c>
      <c r="E495" s="6" t="str">
        <v>DIRECT</v>
      </c>
      <c r="F495" s="6" t="str">
        <v>CAMS</v>
      </c>
      <c r="G495" s="6">
        <v>122639</v>
      </c>
      <c r="H495" s="6">
        <v>46145</v>
      </c>
      <c r="I495" s="6" t="str">
        <v>Purchase - SIP</v>
      </c>
      <c r="J495" s="5">
        <v>5000</v>
      </c>
      <c r="K495" s="5">
        <v>72.518000000000001</v>
      </c>
      <c r="L495" s="5">
        <v>68.948700000000002</v>
      </c>
      <c r="M495" s="5">
        <v>23367.062999999998</v>
      </c>
      <c r="N495" s="5" t="str">
        <v>PURCHASE_SIP</v>
      </c>
      <c r="O495" s="5">
        <v>0</v>
      </c>
    </row>
    <row r="496" spans="1:15" ht="17" x14ac:dyDescent="0.2">
      <c r="A496" s="5" t="str">
        <v>Parag Parikh Mutual Fund</v>
      </c>
      <c r="B496" s="5" t="str">
        <v>AAAA9991</v>
      </c>
      <c r="C496" s="5" t="str">
        <v>AAAAA1111A</v>
      </c>
      <c r="D496" s="6" t="str">
        <v>Parag Parikh Flexi Cap Fund - Direct Growth</v>
      </c>
      <c r="E496" s="6" t="str">
        <v>DIRECT</v>
      </c>
      <c r="F496" s="6" t="str">
        <v>CAMS</v>
      </c>
      <c r="G496" s="6">
        <v>122639</v>
      </c>
      <c r="H496" s="6">
        <v>46175</v>
      </c>
      <c r="I496" s="6" t="str">
        <v>Purchase - SIP</v>
      </c>
      <c r="J496" s="5">
        <v>5000</v>
      </c>
      <c r="K496" s="5">
        <v>73.021000000000001</v>
      </c>
      <c r="L496" s="5">
        <v>68.473200000000006</v>
      </c>
      <c r="M496" s="5">
        <v>23440.083999999999</v>
      </c>
      <c r="N496" s="5" t="str">
        <v>PURCHASE_SIP</v>
      </c>
      <c r="O496" s="5">
        <v>0</v>
      </c>
    </row>
    <row r="497" spans="1:15" ht="17" x14ac:dyDescent="0.2">
      <c r="A497" s="5" t="str">
        <v>SBI Mutual Fund</v>
      </c>
      <c r="B497" s="5" t="str">
        <v>AAAA9992</v>
      </c>
      <c r="C497" s="5" t="str">
        <v>AAAAA1111A</v>
      </c>
      <c r="D497" s="6" t="str">
        <v>SBI Liquid Fund Direct Growth</v>
      </c>
      <c r="E497" s="6" t="str">
        <v>DIRECT</v>
      </c>
      <c r="F497" s="6" t="str">
        <v>CAMS</v>
      </c>
      <c r="G497" s="6">
        <v>119598</v>
      </c>
      <c r="H497" s="6">
        <v>40473</v>
      </c>
      <c r="I497" s="6" t="str">
        <v>Purchase - SIP</v>
      </c>
      <c r="J497" s="5">
        <v>5000</v>
      </c>
      <c r="K497" s="5">
        <v>246.7</v>
      </c>
      <c r="L497" s="5">
        <v>20.267499999999998</v>
      </c>
      <c r="M497" s="5">
        <v>246.7</v>
      </c>
      <c r="N497" s="5" t="str">
        <v>PURCHASE_SIP</v>
      </c>
      <c r="O497" s="5">
        <v>0</v>
      </c>
    </row>
    <row r="498" spans="1:15" ht="17" x14ac:dyDescent="0.2">
      <c r="A498" s="5" t="str">
        <v>SBI Mutual Fund</v>
      </c>
      <c r="B498" s="5" t="str">
        <v>AAAA9992</v>
      </c>
      <c r="C498" s="5" t="str">
        <v>AAAAA1111A</v>
      </c>
      <c r="D498" s="6" t="str">
        <v>SBI Liquid Fund Direct Growth</v>
      </c>
      <c r="E498" s="6" t="str">
        <v>DIRECT</v>
      </c>
      <c r="F498" s="6" t="str">
        <v>CAMS</v>
      </c>
      <c r="G498" s="6">
        <v>119598</v>
      </c>
      <c r="H498" s="6">
        <v>40503</v>
      </c>
      <c r="I498" s="6" t="str">
        <v>Purchase - SIP</v>
      </c>
      <c r="J498" s="5">
        <v>5000</v>
      </c>
      <c r="K498" s="5">
        <v>241.74100000000001</v>
      </c>
      <c r="L498" s="5">
        <v>20.683299999999999</v>
      </c>
      <c r="M498" s="5">
        <v>488.44099999999997</v>
      </c>
      <c r="N498" s="5" t="str">
        <v>PURCHASE_SIP</v>
      </c>
      <c r="O498" s="5">
        <v>0</v>
      </c>
    </row>
    <row r="499" spans="1:15" ht="17" x14ac:dyDescent="0.2">
      <c r="A499" s="5" t="str">
        <v>SBI Mutual Fund</v>
      </c>
      <c r="B499" s="5" t="str">
        <v>AAAA9992</v>
      </c>
      <c r="C499" s="5" t="str">
        <v>AAAAA1111A</v>
      </c>
      <c r="D499" s="6" t="str">
        <v>SBI Liquid Fund Direct Growth</v>
      </c>
      <c r="E499" s="6" t="str">
        <v>DIRECT</v>
      </c>
      <c r="F499" s="6" t="str">
        <v>CAMS</v>
      </c>
      <c r="G499" s="6">
        <v>119598</v>
      </c>
      <c r="H499" s="6">
        <v>40503</v>
      </c>
      <c r="I499" s="6" t="str">
        <v>STT TAX</v>
      </c>
      <c r="J499" s="5">
        <v>2.5</v>
      </c>
      <c r="K499" s="5">
        <v>0</v>
      </c>
      <c r="L499" s="5">
        <v>0</v>
      </c>
      <c r="M499" s="5">
        <v>488.44099999999997</v>
      </c>
      <c r="N499" s="5" t="str">
        <v>STT_TAX</v>
      </c>
      <c r="O499" s="5">
        <v>0</v>
      </c>
    </row>
    <row r="500" spans="1:15" ht="17" x14ac:dyDescent="0.2">
      <c r="A500" s="5" t="str">
        <v>SBI Mutual Fund</v>
      </c>
      <c r="B500" s="5" t="str">
        <v>AAAA9992</v>
      </c>
      <c r="C500" s="5" t="str">
        <v>AAAAA1111A</v>
      </c>
      <c r="D500" s="6" t="str">
        <v>SBI Liquid Fund Direct Growth</v>
      </c>
      <c r="E500" s="6" t="str">
        <v>DIRECT</v>
      </c>
      <c r="F500" s="6" t="str">
        <v>CAMS</v>
      </c>
      <c r="G500" s="6">
        <v>119598</v>
      </c>
      <c r="H500" s="6">
        <v>40533</v>
      </c>
      <c r="I500" s="6" t="str">
        <v>Purchase - SIP</v>
      </c>
      <c r="J500" s="5">
        <v>5000</v>
      </c>
      <c r="K500" s="5">
        <v>235.47499999999999</v>
      </c>
      <c r="L500" s="5">
        <v>21.233699999999999</v>
      </c>
      <c r="M500" s="5">
        <v>723.91600000000005</v>
      </c>
      <c r="N500" s="5" t="str">
        <v>PURCHASE_SIP</v>
      </c>
      <c r="O500" s="5">
        <v>0</v>
      </c>
    </row>
    <row r="501" spans="1:15" ht="17" x14ac:dyDescent="0.2">
      <c r="A501" s="5" t="str">
        <v>SBI Mutual Fund</v>
      </c>
      <c r="B501" s="5" t="str">
        <v>AAAA9992</v>
      </c>
      <c r="C501" s="5" t="str">
        <v>AAAAA1111A</v>
      </c>
      <c r="D501" s="6" t="str">
        <v>SBI Liquid Fund Direct Growth</v>
      </c>
      <c r="E501" s="6" t="str">
        <v>DIRECT</v>
      </c>
      <c r="F501" s="6" t="str">
        <v>CAMS</v>
      </c>
      <c r="G501" s="6">
        <v>119598</v>
      </c>
      <c r="H501" s="6">
        <v>40533</v>
      </c>
      <c r="I501" s="6" t="str">
        <v>STAMP DUTY</v>
      </c>
      <c r="J501" s="5">
        <v>2.5</v>
      </c>
      <c r="K501" s="5">
        <v>0</v>
      </c>
      <c r="L501" s="5">
        <v>0</v>
      </c>
      <c r="M501" s="5">
        <v>723.91600000000005</v>
      </c>
      <c r="N501" s="5" t="str">
        <v>STAMP_DUTY</v>
      </c>
      <c r="O501" s="5">
        <v>0</v>
      </c>
    </row>
    <row r="502" spans="1:15" ht="17" x14ac:dyDescent="0.2">
      <c r="A502" s="5" t="str">
        <v>SBI Mutual Fund</v>
      </c>
      <c r="B502" s="5" t="str">
        <v>AAAA9992</v>
      </c>
      <c r="C502" s="5" t="str">
        <v>AAAAA1111A</v>
      </c>
      <c r="D502" s="6" t="str">
        <v>SBI Liquid Fund Direct Growth</v>
      </c>
      <c r="E502" s="6" t="str">
        <v>DIRECT</v>
      </c>
      <c r="F502" s="6" t="str">
        <v>CAMS</v>
      </c>
      <c r="G502" s="6">
        <v>119598</v>
      </c>
      <c r="H502" s="6">
        <v>40563</v>
      </c>
      <c r="I502" s="6" t="str">
        <v>Purchase - SIP</v>
      </c>
      <c r="J502" s="5">
        <v>5000</v>
      </c>
      <c r="K502" s="5">
        <v>235.952</v>
      </c>
      <c r="L502" s="5">
        <v>21.190799999999999</v>
      </c>
      <c r="M502" s="5">
        <v>959.86800000000005</v>
      </c>
      <c r="N502" s="5" t="str">
        <v>PURCHASE_SIP</v>
      </c>
      <c r="O502" s="5">
        <v>0</v>
      </c>
    </row>
    <row r="503" spans="1:15" ht="17" x14ac:dyDescent="0.2">
      <c r="A503" s="5" t="str">
        <v>SBI Mutual Fund</v>
      </c>
      <c r="B503" s="5" t="str">
        <v>AAAA9992</v>
      </c>
      <c r="C503" s="5" t="str">
        <v>AAAAA1111A</v>
      </c>
      <c r="D503" s="6" t="str">
        <v>SBI Liquid Fund Direct Growth</v>
      </c>
      <c r="E503" s="6" t="str">
        <v>DIRECT</v>
      </c>
      <c r="F503" s="6" t="str">
        <v>CAMS</v>
      </c>
      <c r="G503" s="6">
        <v>119598</v>
      </c>
      <c r="H503" s="6">
        <v>40593</v>
      </c>
      <c r="I503" s="6" t="str">
        <v>Purchase - SIP</v>
      </c>
      <c r="J503" s="5">
        <v>5000</v>
      </c>
      <c r="K503" s="5">
        <v>240.38399999999999</v>
      </c>
      <c r="L503" s="5">
        <v>20.8001</v>
      </c>
      <c r="M503" s="5">
        <v>1200.252</v>
      </c>
      <c r="N503" s="5" t="str">
        <v>PURCHASE_SIP</v>
      </c>
      <c r="O503" s="5">
        <v>0</v>
      </c>
    </row>
    <row r="504" spans="1:15" ht="17" x14ac:dyDescent="0.2">
      <c r="A504" s="5" t="str">
        <v>SBI Mutual Fund</v>
      </c>
      <c r="B504" s="5" t="str">
        <v>AAAA9992</v>
      </c>
      <c r="C504" s="5" t="str">
        <v>AAAAA1111A</v>
      </c>
      <c r="D504" s="6" t="str">
        <v>SBI Liquid Fund Direct Growth</v>
      </c>
      <c r="E504" s="6" t="str">
        <v>DIRECT</v>
      </c>
      <c r="F504" s="6" t="str">
        <v>CAMS</v>
      </c>
      <c r="G504" s="6">
        <v>119598</v>
      </c>
      <c r="H504" s="6">
        <v>40623</v>
      </c>
      <c r="I504" s="6" t="str">
        <v>Purchase - SIP</v>
      </c>
      <c r="J504" s="5">
        <v>5000</v>
      </c>
      <c r="K504" s="5">
        <v>235.02600000000001</v>
      </c>
      <c r="L504" s="5">
        <v>21.2742</v>
      </c>
      <c r="M504" s="5">
        <v>1435.278</v>
      </c>
      <c r="N504" s="5" t="str">
        <v>PURCHASE_SIP</v>
      </c>
      <c r="O504" s="5">
        <v>0</v>
      </c>
    </row>
    <row r="505" spans="1:15" ht="17" x14ac:dyDescent="0.2">
      <c r="A505" s="5" t="str">
        <v>SBI Mutual Fund</v>
      </c>
      <c r="B505" s="5" t="str">
        <v>AAAA9992</v>
      </c>
      <c r="C505" s="5" t="str">
        <v>AAAAA1111A</v>
      </c>
      <c r="D505" s="6" t="str">
        <v>SBI Liquid Fund Direct Growth</v>
      </c>
      <c r="E505" s="6" t="str">
        <v>DIRECT</v>
      </c>
      <c r="F505" s="6" t="str">
        <v>CAMS</v>
      </c>
      <c r="G505" s="6">
        <v>119598</v>
      </c>
      <c r="H505" s="6">
        <v>40653</v>
      </c>
      <c r="I505" s="6" t="str">
        <v>Purchase - SIP</v>
      </c>
      <c r="J505" s="5">
        <v>5000</v>
      </c>
      <c r="K505" s="5">
        <v>233.977</v>
      </c>
      <c r="L505" s="5">
        <v>21.369599999999998</v>
      </c>
      <c r="M505" s="5">
        <v>1669.2550000000001</v>
      </c>
      <c r="N505" s="5" t="str">
        <v>PURCHASE_SIP</v>
      </c>
      <c r="O505" s="5">
        <v>0</v>
      </c>
    </row>
    <row r="506" spans="1:15" ht="17" x14ac:dyDescent="0.2">
      <c r="A506" s="5" t="str">
        <v>SBI Mutual Fund</v>
      </c>
      <c r="B506" s="5" t="str">
        <v>AAAA9992</v>
      </c>
      <c r="C506" s="5" t="str">
        <v>AAAAA1111A</v>
      </c>
      <c r="D506" s="6" t="str">
        <v>SBI Liquid Fund Direct Growth</v>
      </c>
      <c r="E506" s="6" t="str">
        <v>DIRECT</v>
      </c>
      <c r="F506" s="6" t="str">
        <v>CAMS</v>
      </c>
      <c r="G506" s="6">
        <v>119598</v>
      </c>
      <c r="H506" s="6">
        <v>40683</v>
      </c>
      <c r="I506" s="6" t="str">
        <v>Purchase - SIP</v>
      </c>
      <c r="J506" s="5">
        <v>5000</v>
      </c>
      <c r="K506" s="5">
        <v>231.98400000000001</v>
      </c>
      <c r="L506" s="5">
        <v>21.5532</v>
      </c>
      <c r="M506" s="5">
        <v>1901.2380000000001</v>
      </c>
      <c r="N506" s="5" t="str">
        <v>PURCHASE_SIP</v>
      </c>
      <c r="O506" s="5">
        <v>0</v>
      </c>
    </row>
    <row r="507" spans="1:15" ht="17" x14ac:dyDescent="0.2">
      <c r="A507" s="5" t="str">
        <v>SBI Mutual Fund</v>
      </c>
      <c r="B507" s="5" t="str">
        <v>AAAA9992</v>
      </c>
      <c r="C507" s="5" t="str">
        <v>AAAAA1111A</v>
      </c>
      <c r="D507" s="6" t="str">
        <v>SBI Liquid Fund Direct Growth</v>
      </c>
      <c r="E507" s="6" t="str">
        <v>DIRECT</v>
      </c>
      <c r="F507" s="6" t="str">
        <v>CAMS</v>
      </c>
      <c r="G507" s="6">
        <v>119598</v>
      </c>
      <c r="H507" s="6">
        <v>40713</v>
      </c>
      <c r="I507" s="6" t="str">
        <v>Purchase - SIP</v>
      </c>
      <c r="J507" s="5">
        <v>5000</v>
      </c>
      <c r="K507" s="5">
        <v>228.184</v>
      </c>
      <c r="L507" s="5">
        <v>21.912099999999999</v>
      </c>
      <c r="M507" s="5">
        <v>2129.4229999999998</v>
      </c>
      <c r="N507" s="5" t="str">
        <v>PURCHASE_SIP</v>
      </c>
      <c r="O507" s="5">
        <v>0</v>
      </c>
    </row>
    <row r="508" spans="1:15" ht="17" x14ac:dyDescent="0.2">
      <c r="A508" s="5" t="str">
        <v>SBI Mutual Fund</v>
      </c>
      <c r="B508" s="5" t="str">
        <v>AAAA9992</v>
      </c>
      <c r="C508" s="5" t="str">
        <v>AAAAA1111A</v>
      </c>
      <c r="D508" s="6" t="str">
        <v>SBI Liquid Fund Direct Growth</v>
      </c>
      <c r="E508" s="6" t="str">
        <v>DIRECT</v>
      </c>
      <c r="F508" s="6" t="str">
        <v>CAMS</v>
      </c>
      <c r="G508" s="6">
        <v>119598</v>
      </c>
      <c r="H508" s="6">
        <v>40743</v>
      </c>
      <c r="I508" s="6" t="str">
        <v>Purchase - SIP</v>
      </c>
      <c r="J508" s="5">
        <v>5000</v>
      </c>
      <c r="K508" s="5">
        <v>231.18</v>
      </c>
      <c r="L508" s="5">
        <v>21.6281</v>
      </c>
      <c r="M508" s="5">
        <v>2360.6030000000001</v>
      </c>
      <c r="N508" s="5" t="str">
        <v>PURCHASE_SIP</v>
      </c>
      <c r="O508" s="5">
        <v>0</v>
      </c>
    </row>
    <row r="509" spans="1:15" ht="17" x14ac:dyDescent="0.2">
      <c r="A509" s="5" t="str">
        <v>SBI Mutual Fund</v>
      </c>
      <c r="B509" s="5" t="str">
        <v>AAAA9992</v>
      </c>
      <c r="C509" s="5" t="str">
        <v>AAAAA1111A</v>
      </c>
      <c r="D509" s="6" t="str">
        <v>SBI Liquid Fund Direct Growth</v>
      </c>
      <c r="E509" s="6" t="str">
        <v>DIRECT</v>
      </c>
      <c r="F509" s="6" t="str">
        <v>CAMS</v>
      </c>
      <c r="G509" s="6">
        <v>119598</v>
      </c>
      <c r="H509" s="6">
        <v>40773</v>
      </c>
      <c r="I509" s="6" t="str">
        <v>Purchase - SIP</v>
      </c>
      <c r="J509" s="5">
        <v>5000</v>
      </c>
      <c r="K509" s="5">
        <v>235.65</v>
      </c>
      <c r="L509" s="5">
        <v>21.2179</v>
      </c>
      <c r="M509" s="5">
        <v>2596.2530000000002</v>
      </c>
      <c r="N509" s="5" t="str">
        <v>PURCHASE_SIP</v>
      </c>
      <c r="O509" s="5">
        <v>0</v>
      </c>
    </row>
    <row r="510" spans="1:15" ht="17" x14ac:dyDescent="0.2">
      <c r="A510" s="5" t="str">
        <v>SBI Mutual Fund</v>
      </c>
      <c r="B510" s="5" t="str">
        <v>AAAA9992</v>
      </c>
      <c r="C510" s="5" t="str">
        <v>AAAAA1111A</v>
      </c>
      <c r="D510" s="6" t="str">
        <v>SBI Liquid Fund Direct Growth</v>
      </c>
      <c r="E510" s="6" t="str">
        <v>DIRECT</v>
      </c>
      <c r="F510" s="6" t="str">
        <v>CAMS</v>
      </c>
      <c r="G510" s="6">
        <v>119598</v>
      </c>
      <c r="H510" s="6">
        <v>40803</v>
      </c>
      <c r="I510" s="6" t="str">
        <v>Purchase - SIP</v>
      </c>
      <c r="J510" s="5">
        <v>5000</v>
      </c>
      <c r="K510" s="5">
        <v>238.51599999999999</v>
      </c>
      <c r="L510" s="5">
        <v>20.962900000000001</v>
      </c>
      <c r="M510" s="5">
        <v>2834.77</v>
      </c>
      <c r="N510" s="5" t="str">
        <v>PURCHASE_SIP</v>
      </c>
      <c r="O510" s="5">
        <v>0</v>
      </c>
    </row>
    <row r="511" spans="1:15" ht="17" x14ac:dyDescent="0.2">
      <c r="A511" s="5" t="str">
        <v>SBI Mutual Fund</v>
      </c>
      <c r="B511" s="5" t="str">
        <v>AAAA9992</v>
      </c>
      <c r="C511" s="5" t="str">
        <v>AAAAA1111A</v>
      </c>
      <c r="D511" s="6" t="str">
        <v>SBI Liquid Fund Direct Growth</v>
      </c>
      <c r="E511" s="6" t="str">
        <v>DIRECT</v>
      </c>
      <c r="F511" s="6" t="str">
        <v>CAMS</v>
      </c>
      <c r="G511" s="6">
        <v>119598</v>
      </c>
      <c r="H511" s="6">
        <v>40833</v>
      </c>
      <c r="I511" s="6" t="str">
        <v>Purchase - SIP</v>
      </c>
      <c r="J511" s="5">
        <v>5000</v>
      </c>
      <c r="K511" s="5">
        <v>233.69</v>
      </c>
      <c r="L511" s="5">
        <v>21.395900000000001</v>
      </c>
      <c r="M511" s="5">
        <v>3068.4589999999998</v>
      </c>
      <c r="N511" s="5" t="str">
        <v>PURCHASE_SIP</v>
      </c>
      <c r="O511" s="5">
        <v>0</v>
      </c>
    </row>
    <row r="512" spans="1:15" ht="17" x14ac:dyDescent="0.2">
      <c r="A512" s="5" t="str">
        <v>SBI Mutual Fund</v>
      </c>
      <c r="B512" s="5" t="str">
        <v>AAAA9992</v>
      </c>
      <c r="C512" s="5" t="str">
        <v>AAAAA1111A</v>
      </c>
      <c r="D512" s="6" t="str">
        <v>SBI Liquid Fund Direct Growth</v>
      </c>
      <c r="E512" s="6" t="str">
        <v>DIRECT</v>
      </c>
      <c r="F512" s="6" t="str">
        <v>CAMS</v>
      </c>
      <c r="G512" s="6">
        <v>119598</v>
      </c>
      <c r="H512" s="6">
        <v>40833</v>
      </c>
      <c r="I512" s="6" t="str">
        <v>STAMP DUTY</v>
      </c>
      <c r="J512" s="5">
        <v>2.5</v>
      </c>
      <c r="K512" s="5">
        <v>0</v>
      </c>
      <c r="L512" s="5">
        <v>0</v>
      </c>
      <c r="M512" s="5">
        <v>3068.4589999999998</v>
      </c>
      <c r="N512" s="5" t="str">
        <v>STAMP_DUTY</v>
      </c>
      <c r="O512" s="5">
        <v>0</v>
      </c>
    </row>
    <row r="513" spans="1:15" ht="17" x14ac:dyDescent="0.2">
      <c r="A513" s="5" t="str">
        <v>SBI Mutual Fund</v>
      </c>
      <c r="B513" s="5" t="str">
        <v>AAAA9992</v>
      </c>
      <c r="C513" s="5" t="str">
        <v>AAAAA1111A</v>
      </c>
      <c r="D513" s="6" t="str">
        <v>SBI Liquid Fund Direct Growth</v>
      </c>
      <c r="E513" s="6" t="str">
        <v>DIRECT</v>
      </c>
      <c r="F513" s="6" t="str">
        <v>CAMS</v>
      </c>
      <c r="G513" s="6">
        <v>119598</v>
      </c>
      <c r="H513" s="6">
        <v>40863</v>
      </c>
      <c r="I513" s="6" t="str">
        <v>Purchase - SIP</v>
      </c>
      <c r="J513" s="5">
        <v>5000</v>
      </c>
      <c r="K513" s="5">
        <v>234.75299999999999</v>
      </c>
      <c r="L513" s="5">
        <v>21.298999999999999</v>
      </c>
      <c r="M513" s="5">
        <v>3303.212</v>
      </c>
      <c r="N513" s="5" t="str">
        <v>PURCHASE_SIP</v>
      </c>
      <c r="O513" s="5">
        <v>0</v>
      </c>
    </row>
    <row r="514" spans="1:15" ht="17" x14ac:dyDescent="0.2">
      <c r="A514" s="5" t="str">
        <v>SBI Mutual Fund</v>
      </c>
      <c r="B514" s="5" t="str">
        <v>AAAA9992</v>
      </c>
      <c r="C514" s="5" t="str">
        <v>AAAAA1111A</v>
      </c>
      <c r="D514" s="6" t="str">
        <v>SBI Liquid Fund Direct Growth</v>
      </c>
      <c r="E514" s="6" t="str">
        <v>DIRECT</v>
      </c>
      <c r="F514" s="6" t="str">
        <v>CAMS</v>
      </c>
      <c r="G514" s="6">
        <v>119598</v>
      </c>
      <c r="H514" s="6">
        <v>40863</v>
      </c>
      <c r="I514" s="6" t="str">
        <v>STT TAX</v>
      </c>
      <c r="J514" s="5">
        <v>2.5</v>
      </c>
      <c r="K514" s="5">
        <v>0</v>
      </c>
      <c r="L514" s="5">
        <v>0</v>
      </c>
      <c r="M514" s="5">
        <v>3303.212</v>
      </c>
      <c r="N514" s="5" t="str">
        <v>STT_TAX</v>
      </c>
      <c r="O514" s="5">
        <v>0</v>
      </c>
    </row>
    <row r="515" spans="1:15" ht="17" x14ac:dyDescent="0.2">
      <c r="A515" s="5" t="str">
        <v>SBI Mutual Fund</v>
      </c>
      <c r="B515" s="5" t="str">
        <v>AAAA9992</v>
      </c>
      <c r="C515" s="5" t="str">
        <v>AAAAA1111A</v>
      </c>
      <c r="D515" s="6" t="str">
        <v>SBI Liquid Fund Direct Growth</v>
      </c>
      <c r="E515" s="6" t="str">
        <v>DIRECT</v>
      </c>
      <c r="F515" s="6" t="str">
        <v>CAMS</v>
      </c>
      <c r="G515" s="6">
        <v>119598</v>
      </c>
      <c r="H515" s="6">
        <v>40893</v>
      </c>
      <c r="I515" s="6" t="str">
        <v>Purchase - SIP</v>
      </c>
      <c r="J515" s="5">
        <v>5000</v>
      </c>
      <c r="K515" s="5">
        <v>237.16499999999999</v>
      </c>
      <c r="L515" s="5">
        <v>21.0823</v>
      </c>
      <c r="M515" s="5">
        <v>3540.377</v>
      </c>
      <c r="N515" s="5" t="str">
        <v>PURCHASE_SIP</v>
      </c>
      <c r="O515" s="5">
        <v>0</v>
      </c>
    </row>
    <row r="516" spans="1:15" ht="17" x14ac:dyDescent="0.2">
      <c r="A516" s="5" t="str">
        <v>SBI Mutual Fund</v>
      </c>
      <c r="B516" s="5" t="str">
        <v>AAAA9992</v>
      </c>
      <c r="C516" s="5" t="str">
        <v>AAAAA1111A</v>
      </c>
      <c r="D516" s="6" t="str">
        <v>SBI Liquid Fund Direct Growth</v>
      </c>
      <c r="E516" s="6" t="str">
        <v>DIRECT</v>
      </c>
      <c r="F516" s="6" t="str">
        <v>CAMS</v>
      </c>
      <c r="G516" s="6">
        <v>119598</v>
      </c>
      <c r="H516" s="6">
        <v>40923</v>
      </c>
      <c r="I516" s="6" t="str">
        <v>Purchase - SIP</v>
      </c>
      <c r="J516" s="5">
        <v>5000</v>
      </c>
      <c r="K516" s="5">
        <v>238.143</v>
      </c>
      <c r="L516" s="5">
        <v>20.995799999999999</v>
      </c>
      <c r="M516" s="5">
        <v>3778.5210000000002</v>
      </c>
      <c r="N516" s="5" t="str">
        <v>PURCHASE_SIP</v>
      </c>
      <c r="O516" s="5">
        <v>0</v>
      </c>
    </row>
    <row r="517" spans="1:15" ht="17" x14ac:dyDescent="0.2">
      <c r="A517" s="5" t="str">
        <v>SBI Mutual Fund</v>
      </c>
      <c r="B517" s="5" t="str">
        <v>AAAA9992</v>
      </c>
      <c r="C517" s="5" t="str">
        <v>AAAAA1111A</v>
      </c>
      <c r="D517" s="6" t="str">
        <v>SBI Liquid Fund Direct Growth</v>
      </c>
      <c r="E517" s="6" t="str">
        <v>DIRECT</v>
      </c>
      <c r="F517" s="6" t="str">
        <v>CAMS</v>
      </c>
      <c r="G517" s="6">
        <v>119598</v>
      </c>
      <c r="H517" s="6">
        <v>40953</v>
      </c>
      <c r="I517" s="6" t="str">
        <v>Purchase - SIP</v>
      </c>
      <c r="J517" s="5">
        <v>5000</v>
      </c>
      <c r="K517" s="5">
        <v>237.99100000000001</v>
      </c>
      <c r="L517" s="5">
        <v>21.0092</v>
      </c>
      <c r="M517" s="5">
        <v>4016.511</v>
      </c>
      <c r="N517" s="5" t="str">
        <v>PURCHASE_SIP</v>
      </c>
      <c r="O517" s="5">
        <v>0</v>
      </c>
    </row>
    <row r="518" spans="1:15" ht="17" x14ac:dyDescent="0.2">
      <c r="A518" s="5" t="str">
        <v>SBI Mutual Fund</v>
      </c>
      <c r="B518" s="5" t="str">
        <v>AAAA9992</v>
      </c>
      <c r="C518" s="5" t="str">
        <v>AAAAA1111A</v>
      </c>
      <c r="D518" s="6" t="str">
        <v>SBI Liquid Fund Direct Growth</v>
      </c>
      <c r="E518" s="6" t="str">
        <v>DIRECT</v>
      </c>
      <c r="F518" s="6" t="str">
        <v>CAMS</v>
      </c>
      <c r="G518" s="6">
        <v>119598</v>
      </c>
      <c r="H518" s="6">
        <v>40983</v>
      </c>
      <c r="I518" s="6" t="str">
        <v>Purchase - SIP</v>
      </c>
      <c r="J518" s="5">
        <v>5000</v>
      </c>
      <c r="K518" s="5">
        <v>242.714</v>
      </c>
      <c r="L518" s="5">
        <v>20.6004</v>
      </c>
      <c r="M518" s="5">
        <v>4259.2250000000004</v>
      </c>
      <c r="N518" s="5" t="str">
        <v>PURCHASE_SIP</v>
      </c>
      <c r="O518" s="5">
        <v>0</v>
      </c>
    </row>
    <row r="519" spans="1:15" ht="17" x14ac:dyDescent="0.2">
      <c r="A519" s="5" t="str">
        <v>SBI Mutual Fund</v>
      </c>
      <c r="B519" s="5" t="str">
        <v>AAAA9992</v>
      </c>
      <c r="C519" s="5" t="str">
        <v>AAAAA1111A</v>
      </c>
      <c r="D519" s="6" t="str">
        <v>SBI Liquid Fund Direct Growth</v>
      </c>
      <c r="E519" s="6" t="str">
        <v>DIRECT</v>
      </c>
      <c r="F519" s="6" t="str">
        <v>CAMS</v>
      </c>
      <c r="G519" s="6">
        <v>119598</v>
      </c>
      <c r="H519" s="6">
        <v>41013</v>
      </c>
      <c r="I519" s="6" t="str">
        <v>Purchase - SIP</v>
      </c>
      <c r="J519" s="5">
        <v>5000</v>
      </c>
      <c r="K519" s="5">
        <v>240.15700000000001</v>
      </c>
      <c r="L519" s="5">
        <v>20.819700000000001</v>
      </c>
      <c r="M519" s="5">
        <v>4499.3819999999996</v>
      </c>
      <c r="N519" s="5" t="str">
        <v>PURCHASE_SIP</v>
      </c>
      <c r="O519" s="5">
        <v>0</v>
      </c>
    </row>
    <row r="520" spans="1:15" ht="17" x14ac:dyDescent="0.2">
      <c r="A520" s="5" t="str">
        <v>SBI Mutual Fund</v>
      </c>
      <c r="B520" s="5" t="str">
        <v>AAAA9992</v>
      </c>
      <c r="C520" s="5" t="str">
        <v>AAAAA1111A</v>
      </c>
      <c r="D520" s="6" t="str">
        <v>SBI Liquid Fund Direct Growth</v>
      </c>
      <c r="E520" s="6" t="str">
        <v>DIRECT</v>
      </c>
      <c r="F520" s="6" t="str">
        <v>CAMS</v>
      </c>
      <c r="G520" s="6">
        <v>119598</v>
      </c>
      <c r="H520" s="6">
        <v>41043</v>
      </c>
      <c r="I520" s="6" t="str">
        <v>Purchase - SIP</v>
      </c>
      <c r="J520" s="5">
        <v>5000</v>
      </c>
      <c r="K520" s="5">
        <v>239.33699999999999</v>
      </c>
      <c r="L520" s="5">
        <v>20.890999999999998</v>
      </c>
      <c r="M520" s="5">
        <v>4738.7190000000001</v>
      </c>
      <c r="N520" s="5" t="str">
        <v>PURCHASE_SIP</v>
      </c>
      <c r="O520" s="5">
        <v>0</v>
      </c>
    </row>
    <row r="521" spans="1:15" ht="17" x14ac:dyDescent="0.2">
      <c r="A521" s="5" t="str">
        <v>SBI Mutual Fund</v>
      </c>
      <c r="B521" s="5" t="str">
        <v>AAAA9992</v>
      </c>
      <c r="C521" s="5" t="str">
        <v>AAAAA1111A</v>
      </c>
      <c r="D521" s="6" t="str">
        <v>SBI Liquid Fund Direct Growth</v>
      </c>
      <c r="E521" s="6" t="str">
        <v>DIRECT</v>
      </c>
      <c r="F521" s="6" t="str">
        <v>CAMS</v>
      </c>
      <c r="G521" s="6">
        <v>119598</v>
      </c>
      <c r="H521" s="6">
        <v>41073</v>
      </c>
      <c r="I521" s="6" t="str">
        <v>Purchase - SIP</v>
      </c>
      <c r="J521" s="5">
        <v>5000</v>
      </c>
      <c r="K521" s="5">
        <v>234.28</v>
      </c>
      <c r="L521" s="5">
        <v>21.341899999999999</v>
      </c>
      <c r="M521" s="5">
        <v>4972.9989999999998</v>
      </c>
      <c r="N521" s="5" t="str">
        <v>PURCHASE_SIP</v>
      </c>
      <c r="O521" s="5">
        <v>0</v>
      </c>
    </row>
    <row r="522" spans="1:15" ht="17" x14ac:dyDescent="0.2">
      <c r="A522" s="5" t="str">
        <v>SBI Mutual Fund</v>
      </c>
      <c r="B522" s="5" t="str">
        <v>AAAA9992</v>
      </c>
      <c r="C522" s="5" t="str">
        <v>AAAAA1111A</v>
      </c>
      <c r="D522" s="6" t="str">
        <v>SBI Liquid Fund Direct Growth</v>
      </c>
      <c r="E522" s="6" t="str">
        <v>DIRECT</v>
      </c>
      <c r="F522" s="6" t="str">
        <v>CAMS</v>
      </c>
      <c r="G522" s="6">
        <v>119598</v>
      </c>
      <c r="H522" s="6">
        <v>41103</v>
      </c>
      <c r="I522" s="6" t="str">
        <v>Purchase - SIP</v>
      </c>
      <c r="J522" s="5">
        <v>5000</v>
      </c>
      <c r="K522" s="5">
        <v>230.49799999999999</v>
      </c>
      <c r="L522" s="5">
        <v>21.6922</v>
      </c>
      <c r="M522" s="5">
        <v>5203.4970000000003</v>
      </c>
      <c r="N522" s="5" t="str">
        <v>PURCHASE_SIP</v>
      </c>
      <c r="O522" s="5">
        <v>0</v>
      </c>
    </row>
    <row r="523" spans="1:15" ht="17" x14ac:dyDescent="0.2">
      <c r="A523" s="5" t="str">
        <v>SBI Mutual Fund</v>
      </c>
      <c r="B523" s="5" t="str">
        <v>AAAA9992</v>
      </c>
      <c r="C523" s="5" t="str">
        <v>AAAAA1111A</v>
      </c>
      <c r="D523" s="6" t="str">
        <v>SBI Liquid Fund Direct Growth</v>
      </c>
      <c r="E523" s="6" t="str">
        <v>DIRECT</v>
      </c>
      <c r="F523" s="6" t="str">
        <v>CAMS</v>
      </c>
      <c r="G523" s="6">
        <v>119598</v>
      </c>
      <c r="H523" s="6">
        <v>41133</v>
      </c>
      <c r="I523" s="6" t="str">
        <v>Purchase - SIP</v>
      </c>
      <c r="J523" s="5">
        <v>5000</v>
      </c>
      <c r="K523" s="5">
        <v>233.24600000000001</v>
      </c>
      <c r="L523" s="5">
        <v>21.436599999999999</v>
      </c>
      <c r="M523" s="5">
        <v>5436.7430000000004</v>
      </c>
      <c r="N523" s="5" t="str">
        <v>PURCHASE_SIP</v>
      </c>
      <c r="O523" s="5">
        <v>0</v>
      </c>
    </row>
    <row r="524" spans="1:15" ht="17" x14ac:dyDescent="0.2">
      <c r="A524" s="5" t="str">
        <v>SBI Mutual Fund</v>
      </c>
      <c r="B524" s="5" t="str">
        <v>AAAA9992</v>
      </c>
      <c r="C524" s="5" t="str">
        <v>AAAAA1111A</v>
      </c>
      <c r="D524" s="6" t="str">
        <v>SBI Liquid Fund Direct Growth</v>
      </c>
      <c r="E524" s="6" t="str">
        <v>DIRECT</v>
      </c>
      <c r="F524" s="6" t="str">
        <v>CAMS</v>
      </c>
      <c r="G524" s="6">
        <v>119598</v>
      </c>
      <c r="H524" s="6">
        <v>41163</v>
      </c>
      <c r="I524" s="6" t="str">
        <v>Purchase - SIP</v>
      </c>
      <c r="J524" s="5">
        <v>5000</v>
      </c>
      <c r="K524" s="5">
        <v>226.90199999999999</v>
      </c>
      <c r="L524" s="5">
        <v>22.035900000000002</v>
      </c>
      <c r="M524" s="5">
        <v>5663.6450000000004</v>
      </c>
      <c r="N524" s="5" t="str">
        <v>PURCHASE_SIP</v>
      </c>
      <c r="O524" s="5">
        <v>0</v>
      </c>
    </row>
    <row r="525" spans="1:15" ht="17" x14ac:dyDescent="0.2">
      <c r="A525" s="5" t="str">
        <v>SBI Mutual Fund</v>
      </c>
      <c r="B525" s="5" t="str">
        <v>AAAA9992</v>
      </c>
      <c r="C525" s="5" t="str">
        <v>AAAAA1111A</v>
      </c>
      <c r="D525" s="6" t="str">
        <v>SBI Liquid Fund Direct Growth</v>
      </c>
      <c r="E525" s="6" t="str">
        <v>DIRECT</v>
      </c>
      <c r="F525" s="6" t="str">
        <v>CAMS</v>
      </c>
      <c r="G525" s="6">
        <v>119598</v>
      </c>
      <c r="H525" s="6">
        <v>41193</v>
      </c>
      <c r="I525" s="6" t="str">
        <v>Purchase - SIP</v>
      </c>
      <c r="J525" s="5">
        <v>5000</v>
      </c>
      <c r="K525" s="5">
        <v>227.095</v>
      </c>
      <c r="L525" s="5">
        <v>22.017199999999999</v>
      </c>
      <c r="M525" s="5">
        <v>5890.74</v>
      </c>
      <c r="N525" s="5" t="str">
        <v>PURCHASE_SIP</v>
      </c>
      <c r="O525" s="5">
        <v>0</v>
      </c>
    </row>
    <row r="526" spans="1:15" ht="17" x14ac:dyDescent="0.2">
      <c r="A526" s="5" t="str">
        <v>SBI Mutual Fund</v>
      </c>
      <c r="B526" s="5" t="str">
        <v>AAAA9992</v>
      </c>
      <c r="C526" s="5" t="str">
        <v>AAAAA1111A</v>
      </c>
      <c r="D526" s="6" t="str">
        <v>SBI Liquid Fund Direct Growth</v>
      </c>
      <c r="E526" s="6" t="str">
        <v>DIRECT</v>
      </c>
      <c r="F526" s="6" t="str">
        <v>CAMS</v>
      </c>
      <c r="G526" s="6">
        <v>119598</v>
      </c>
      <c r="H526" s="6">
        <v>41223</v>
      </c>
      <c r="I526" s="6" t="str">
        <v>Purchase - SIP</v>
      </c>
      <c r="J526" s="5">
        <v>5000</v>
      </c>
      <c r="K526" s="5">
        <v>225.886</v>
      </c>
      <c r="L526" s="5">
        <v>22.135000000000002</v>
      </c>
      <c r="M526" s="5">
        <v>6116.6260000000002</v>
      </c>
      <c r="N526" s="5" t="str">
        <v>PURCHASE_SIP</v>
      </c>
      <c r="O526" s="5">
        <v>0</v>
      </c>
    </row>
    <row r="527" spans="1:15" ht="17" x14ac:dyDescent="0.2">
      <c r="A527" s="5" t="str">
        <v>SBI Mutual Fund</v>
      </c>
      <c r="B527" s="5" t="str">
        <v>AAAA9992</v>
      </c>
      <c r="C527" s="5" t="str">
        <v>AAAAA1111A</v>
      </c>
      <c r="D527" s="6" t="str">
        <v>SBI Liquid Fund Direct Growth</v>
      </c>
      <c r="E527" s="6" t="str">
        <v>DIRECT</v>
      </c>
      <c r="F527" s="6" t="str">
        <v>CAMS</v>
      </c>
      <c r="G527" s="6">
        <v>119598</v>
      </c>
      <c r="H527" s="6">
        <v>41253</v>
      </c>
      <c r="I527" s="6" t="str">
        <v>Purchase - SIP</v>
      </c>
      <c r="J527" s="5">
        <v>5000</v>
      </c>
      <c r="K527" s="5">
        <v>220.065</v>
      </c>
      <c r="L527" s="5">
        <v>22.720600000000001</v>
      </c>
      <c r="M527" s="5">
        <v>6336.6909999999998</v>
      </c>
      <c r="N527" s="5" t="str">
        <v>PURCHASE_SIP</v>
      </c>
      <c r="O527" s="5">
        <v>0</v>
      </c>
    </row>
    <row r="528" spans="1:15" ht="17" x14ac:dyDescent="0.2">
      <c r="A528" s="5" t="str">
        <v>SBI Mutual Fund</v>
      </c>
      <c r="B528" s="5" t="str">
        <v>AAAA9992</v>
      </c>
      <c r="C528" s="5" t="str">
        <v>AAAAA1111A</v>
      </c>
      <c r="D528" s="6" t="str">
        <v>SBI Liquid Fund Direct Growth</v>
      </c>
      <c r="E528" s="6" t="str">
        <v>DIRECT</v>
      </c>
      <c r="F528" s="6" t="str">
        <v>CAMS</v>
      </c>
      <c r="G528" s="6">
        <v>119598</v>
      </c>
      <c r="H528" s="6">
        <v>41283</v>
      </c>
      <c r="I528" s="6" t="str">
        <v>Purchase - SIP</v>
      </c>
      <c r="J528" s="5">
        <v>5000</v>
      </c>
      <c r="K528" s="5">
        <v>220.12799999999999</v>
      </c>
      <c r="L528" s="5">
        <v>22.713999999999999</v>
      </c>
      <c r="M528" s="5">
        <v>6556.82</v>
      </c>
      <c r="N528" s="5" t="str">
        <v>PURCHASE_SIP</v>
      </c>
      <c r="O528" s="5">
        <v>0</v>
      </c>
    </row>
    <row r="529" spans="1:15" ht="17" x14ac:dyDescent="0.2">
      <c r="A529" s="5" t="str">
        <v>SBI Mutual Fund</v>
      </c>
      <c r="B529" s="5" t="str">
        <v>AAAA9992</v>
      </c>
      <c r="C529" s="5" t="str">
        <v>AAAAA1111A</v>
      </c>
      <c r="D529" s="6" t="str">
        <v>SBI Liquid Fund Direct Growth</v>
      </c>
      <c r="E529" s="6" t="str">
        <v>DIRECT</v>
      </c>
      <c r="F529" s="6" t="str">
        <v>CAMS</v>
      </c>
      <c r="G529" s="6">
        <v>119598</v>
      </c>
      <c r="H529" s="6">
        <v>41313</v>
      </c>
      <c r="I529" s="6" t="str">
        <v>Purchase - SIP</v>
      </c>
      <c r="J529" s="5">
        <v>5000</v>
      </c>
      <c r="K529" s="5">
        <v>219.96199999999999</v>
      </c>
      <c r="L529" s="5">
        <v>22.731200000000001</v>
      </c>
      <c r="M529" s="5">
        <v>6776.7809999999999</v>
      </c>
      <c r="N529" s="5" t="str">
        <v>PURCHASE_SIP</v>
      </c>
      <c r="O529" s="5">
        <v>0</v>
      </c>
    </row>
    <row r="530" spans="1:15" ht="17" x14ac:dyDescent="0.2">
      <c r="A530" s="5" t="str">
        <v>SBI Mutual Fund</v>
      </c>
      <c r="B530" s="5" t="str">
        <v>AAAA9992</v>
      </c>
      <c r="C530" s="5" t="str">
        <v>AAAAA1111A</v>
      </c>
      <c r="D530" s="6" t="str">
        <v>SBI Liquid Fund Direct Growth</v>
      </c>
      <c r="E530" s="6" t="str">
        <v>DIRECT</v>
      </c>
      <c r="F530" s="6" t="str">
        <v>CAMS</v>
      </c>
      <c r="G530" s="6">
        <v>119598</v>
      </c>
      <c r="H530" s="6">
        <v>41343</v>
      </c>
      <c r="I530" s="6" t="str">
        <v>Purchase - SIP</v>
      </c>
      <c r="J530" s="5">
        <v>5000</v>
      </c>
      <c r="K530" s="5">
        <v>218.79300000000001</v>
      </c>
      <c r="L530" s="5">
        <v>22.852699999999999</v>
      </c>
      <c r="M530" s="5">
        <v>6995.5739999999996</v>
      </c>
      <c r="N530" s="5" t="str">
        <v>PURCHASE_SIP</v>
      </c>
      <c r="O530" s="5">
        <v>0</v>
      </c>
    </row>
    <row r="531" spans="1:15" ht="17" x14ac:dyDescent="0.2">
      <c r="A531" s="5" t="str">
        <v>SBI Mutual Fund</v>
      </c>
      <c r="B531" s="5" t="str">
        <v>AAAA9992</v>
      </c>
      <c r="C531" s="5" t="str">
        <v>AAAAA1111A</v>
      </c>
      <c r="D531" s="6" t="str">
        <v>SBI Liquid Fund Direct Growth</v>
      </c>
      <c r="E531" s="6" t="str">
        <v>DIRECT</v>
      </c>
      <c r="F531" s="6" t="str">
        <v>CAMS</v>
      </c>
      <c r="G531" s="6">
        <v>119598</v>
      </c>
      <c r="H531" s="6">
        <v>41373</v>
      </c>
      <c r="I531" s="6" t="str">
        <v>Purchase - SIP</v>
      </c>
      <c r="J531" s="5">
        <v>5000</v>
      </c>
      <c r="K531" s="5">
        <v>216.48699999999999</v>
      </c>
      <c r="L531" s="5">
        <v>23.0961</v>
      </c>
      <c r="M531" s="5">
        <v>7212.0609999999997</v>
      </c>
      <c r="N531" s="5" t="str">
        <v>PURCHASE_SIP</v>
      </c>
      <c r="O531" s="5">
        <v>0</v>
      </c>
    </row>
    <row r="532" spans="1:15" ht="17" x14ac:dyDescent="0.2">
      <c r="A532" s="5" t="str">
        <v>SBI Mutual Fund</v>
      </c>
      <c r="B532" s="5" t="str">
        <v>AAAA9992</v>
      </c>
      <c r="C532" s="5" t="str">
        <v>AAAAA1111A</v>
      </c>
      <c r="D532" s="6" t="str">
        <v>SBI Liquid Fund Direct Growth</v>
      </c>
      <c r="E532" s="6" t="str">
        <v>DIRECT</v>
      </c>
      <c r="F532" s="6" t="str">
        <v>CAMS</v>
      </c>
      <c r="G532" s="6">
        <v>119598</v>
      </c>
      <c r="H532" s="6">
        <v>41403</v>
      </c>
      <c r="I532" s="6" t="str">
        <v>Purchase - SIP</v>
      </c>
      <c r="J532" s="5">
        <v>5000</v>
      </c>
      <c r="K532" s="5">
        <v>214.429</v>
      </c>
      <c r="L532" s="5">
        <v>23.317699999999999</v>
      </c>
      <c r="M532" s="5">
        <v>7426.491</v>
      </c>
      <c r="N532" s="5" t="str">
        <v>PURCHASE_SIP</v>
      </c>
      <c r="O532" s="5">
        <v>0</v>
      </c>
    </row>
    <row r="533" spans="1:15" ht="17" x14ac:dyDescent="0.2">
      <c r="A533" s="5" t="str">
        <v>SBI Mutual Fund</v>
      </c>
      <c r="B533" s="5" t="str">
        <v>AAAA9992</v>
      </c>
      <c r="C533" s="5" t="str">
        <v>AAAAA1111A</v>
      </c>
      <c r="D533" s="6" t="str">
        <v>SBI Liquid Fund Direct Growth</v>
      </c>
      <c r="E533" s="6" t="str">
        <v>DIRECT</v>
      </c>
      <c r="F533" s="6" t="str">
        <v>CAMS</v>
      </c>
      <c r="G533" s="6">
        <v>119598</v>
      </c>
      <c r="H533" s="6">
        <v>41433</v>
      </c>
      <c r="I533" s="6" t="str">
        <v>Purchase - SIP</v>
      </c>
      <c r="J533" s="5">
        <v>5000</v>
      </c>
      <c r="K533" s="5">
        <v>211.881</v>
      </c>
      <c r="L533" s="5">
        <v>23.598199999999999</v>
      </c>
      <c r="M533" s="5">
        <v>7638.3720000000003</v>
      </c>
      <c r="N533" s="5" t="str">
        <v>PURCHASE_SIP</v>
      </c>
      <c r="O533" s="5">
        <v>0</v>
      </c>
    </row>
    <row r="534" spans="1:15" ht="17" x14ac:dyDescent="0.2">
      <c r="A534" s="5" t="str">
        <v>SBI Mutual Fund</v>
      </c>
      <c r="B534" s="5" t="str">
        <v>AAAA9992</v>
      </c>
      <c r="C534" s="5" t="str">
        <v>AAAAA1111A</v>
      </c>
      <c r="D534" s="6" t="str">
        <v>SBI Liquid Fund Direct Growth</v>
      </c>
      <c r="E534" s="6" t="str">
        <v>DIRECT</v>
      </c>
      <c r="F534" s="6" t="str">
        <v>CAMS</v>
      </c>
      <c r="G534" s="6">
        <v>119598</v>
      </c>
      <c r="H534" s="6">
        <v>41433</v>
      </c>
      <c r="I534" s="6" t="str">
        <v>STAMP DUTY</v>
      </c>
      <c r="J534" s="5">
        <v>2.5</v>
      </c>
      <c r="K534" s="5">
        <v>0</v>
      </c>
      <c r="L534" s="5">
        <v>0</v>
      </c>
      <c r="M534" s="5">
        <v>7638.3720000000003</v>
      </c>
      <c r="N534" s="5" t="str">
        <v>STAMP_DUTY</v>
      </c>
      <c r="O534" s="5">
        <v>0</v>
      </c>
    </row>
    <row r="535" spans="1:15" ht="17" x14ac:dyDescent="0.2">
      <c r="A535" s="5" t="str">
        <v>SBI Mutual Fund</v>
      </c>
      <c r="B535" s="5" t="str">
        <v>AAAA9992</v>
      </c>
      <c r="C535" s="5" t="str">
        <v>AAAAA1111A</v>
      </c>
      <c r="D535" s="6" t="str">
        <v>SBI Liquid Fund Direct Growth</v>
      </c>
      <c r="E535" s="6" t="str">
        <v>DIRECT</v>
      </c>
      <c r="F535" s="6" t="str">
        <v>CAMS</v>
      </c>
      <c r="G535" s="6">
        <v>119598</v>
      </c>
      <c r="H535" s="6">
        <v>41463</v>
      </c>
      <c r="I535" s="6" t="str">
        <v>Purchase - SIP</v>
      </c>
      <c r="J535" s="5">
        <v>5000</v>
      </c>
      <c r="K535" s="5">
        <v>207.036</v>
      </c>
      <c r="L535" s="5">
        <v>24.150400000000001</v>
      </c>
      <c r="M535" s="5">
        <v>7845.4070000000002</v>
      </c>
      <c r="N535" s="5" t="str">
        <v>PURCHASE_SIP</v>
      </c>
      <c r="O535" s="5">
        <v>0</v>
      </c>
    </row>
    <row r="536" spans="1:15" ht="17" x14ac:dyDescent="0.2">
      <c r="A536" s="5" t="str">
        <v>SBI Mutual Fund</v>
      </c>
      <c r="B536" s="5" t="str">
        <v>AAAA9992</v>
      </c>
      <c r="C536" s="5" t="str">
        <v>AAAAA1111A</v>
      </c>
      <c r="D536" s="6" t="str">
        <v>SBI Liquid Fund Direct Growth</v>
      </c>
      <c r="E536" s="6" t="str">
        <v>DIRECT</v>
      </c>
      <c r="F536" s="6" t="str">
        <v>CAMS</v>
      </c>
      <c r="G536" s="6">
        <v>119598</v>
      </c>
      <c r="H536" s="6">
        <v>41463</v>
      </c>
      <c r="I536" s="6" t="str">
        <v>STT TAX</v>
      </c>
      <c r="J536" s="5">
        <v>2.5</v>
      </c>
      <c r="K536" s="5">
        <v>0</v>
      </c>
      <c r="L536" s="5">
        <v>0</v>
      </c>
      <c r="M536" s="5">
        <v>7845.4070000000002</v>
      </c>
      <c r="N536" s="5" t="str">
        <v>STT_TAX</v>
      </c>
      <c r="O536" s="5">
        <v>0</v>
      </c>
    </row>
    <row r="537" spans="1:15" ht="17" x14ac:dyDescent="0.2">
      <c r="A537" s="5" t="str">
        <v>SBI Mutual Fund</v>
      </c>
      <c r="B537" s="5" t="str">
        <v>AAAA9992</v>
      </c>
      <c r="C537" s="5" t="str">
        <v>AAAAA1111A</v>
      </c>
      <c r="D537" s="6" t="str">
        <v>SBI Liquid Fund Direct Growth</v>
      </c>
      <c r="E537" s="6" t="str">
        <v>DIRECT</v>
      </c>
      <c r="F537" s="6" t="str">
        <v>CAMS</v>
      </c>
      <c r="G537" s="6">
        <v>119598</v>
      </c>
      <c r="H537" s="6">
        <v>41493</v>
      </c>
      <c r="I537" s="6" t="str">
        <v>Purchase - SIP</v>
      </c>
      <c r="J537" s="5">
        <v>5000</v>
      </c>
      <c r="K537" s="5">
        <v>207.60900000000001</v>
      </c>
      <c r="L537" s="5">
        <v>24.0837</v>
      </c>
      <c r="M537" s="5">
        <v>8053.0169999999998</v>
      </c>
      <c r="N537" s="5" t="str">
        <v>PURCHASE_SIP</v>
      </c>
      <c r="O537" s="5">
        <v>0</v>
      </c>
    </row>
    <row r="538" spans="1:15" ht="17" x14ac:dyDescent="0.2">
      <c r="A538" s="5" t="str">
        <v>SBI Mutual Fund</v>
      </c>
      <c r="B538" s="5" t="str">
        <v>AAAA9992</v>
      </c>
      <c r="C538" s="5" t="str">
        <v>AAAAA1111A</v>
      </c>
      <c r="D538" s="6" t="str">
        <v>SBI Liquid Fund Direct Growth</v>
      </c>
      <c r="E538" s="6" t="str">
        <v>DIRECT</v>
      </c>
      <c r="F538" s="6" t="str">
        <v>CAMS</v>
      </c>
      <c r="G538" s="6">
        <v>119598</v>
      </c>
      <c r="H538" s="6">
        <v>41493</v>
      </c>
      <c r="I538" s="6" t="str">
        <v>STAMP DUTY</v>
      </c>
      <c r="J538" s="5">
        <v>2.5</v>
      </c>
      <c r="K538" s="5">
        <v>0</v>
      </c>
      <c r="L538" s="5">
        <v>0</v>
      </c>
      <c r="M538" s="5">
        <v>8053.0169999999998</v>
      </c>
      <c r="N538" s="5" t="str">
        <v>STAMP_DUTY</v>
      </c>
      <c r="O538" s="5">
        <v>0</v>
      </c>
    </row>
    <row r="539" spans="1:15" ht="17" x14ac:dyDescent="0.2">
      <c r="A539" s="5" t="str">
        <v>SBI Mutual Fund</v>
      </c>
      <c r="B539" s="5" t="str">
        <v>AAAA9992</v>
      </c>
      <c r="C539" s="5" t="str">
        <v>AAAAA1111A</v>
      </c>
      <c r="D539" s="6" t="str">
        <v>SBI Liquid Fund Direct Growth</v>
      </c>
      <c r="E539" s="6" t="str">
        <v>DIRECT</v>
      </c>
      <c r="F539" s="6" t="str">
        <v>CAMS</v>
      </c>
      <c r="G539" s="6">
        <v>119598</v>
      </c>
      <c r="H539" s="6">
        <v>41523</v>
      </c>
      <c r="I539" s="6" t="str">
        <v>Purchase - SIP</v>
      </c>
      <c r="J539" s="5">
        <v>5000</v>
      </c>
      <c r="K539" s="5">
        <v>211.17599999999999</v>
      </c>
      <c r="L539" s="5">
        <v>23.6769</v>
      </c>
      <c r="M539" s="5">
        <v>8264.1929999999993</v>
      </c>
      <c r="N539" s="5" t="str">
        <v>PURCHASE_SIP</v>
      </c>
      <c r="O539" s="5">
        <v>0</v>
      </c>
    </row>
    <row r="540" spans="1:15" ht="17" x14ac:dyDescent="0.2">
      <c r="A540" s="5" t="str">
        <v>SBI Mutual Fund</v>
      </c>
      <c r="B540" s="5" t="str">
        <v>AAAA9992</v>
      </c>
      <c r="C540" s="5" t="str">
        <v>AAAAA1111A</v>
      </c>
      <c r="D540" s="6" t="str">
        <v>SBI Liquid Fund Direct Growth</v>
      </c>
      <c r="E540" s="6" t="str">
        <v>DIRECT</v>
      </c>
      <c r="F540" s="6" t="str">
        <v>CAMS</v>
      </c>
      <c r="G540" s="6">
        <v>119598</v>
      </c>
      <c r="H540" s="6">
        <v>41553</v>
      </c>
      <c r="I540" s="6" t="str">
        <v>Purchase - SIP</v>
      </c>
      <c r="J540" s="5">
        <v>5000</v>
      </c>
      <c r="K540" s="5">
        <v>206.34299999999999</v>
      </c>
      <c r="L540" s="5">
        <v>24.2315</v>
      </c>
      <c r="M540" s="5">
        <v>8470.5360000000001</v>
      </c>
      <c r="N540" s="5" t="str">
        <v>PURCHASE_SIP</v>
      </c>
      <c r="O540" s="5">
        <v>0</v>
      </c>
    </row>
    <row r="541" spans="1:15" ht="17" x14ac:dyDescent="0.2">
      <c r="A541" s="5" t="str">
        <v>SBI Mutual Fund</v>
      </c>
      <c r="B541" s="5" t="str">
        <v>AAAA9992</v>
      </c>
      <c r="C541" s="5" t="str">
        <v>AAAAA1111A</v>
      </c>
      <c r="D541" s="6" t="str">
        <v>SBI Liquid Fund Direct Growth</v>
      </c>
      <c r="E541" s="6" t="str">
        <v>DIRECT</v>
      </c>
      <c r="F541" s="6" t="str">
        <v>CAMS</v>
      </c>
      <c r="G541" s="6">
        <v>119598</v>
      </c>
      <c r="H541" s="6">
        <v>41583</v>
      </c>
      <c r="I541" s="6" t="str">
        <v>Purchase - SIP</v>
      </c>
      <c r="J541" s="5">
        <v>5000</v>
      </c>
      <c r="K541" s="5">
        <v>206.21</v>
      </c>
      <c r="L541" s="5">
        <v>24.2471</v>
      </c>
      <c r="M541" s="5">
        <v>8676.7459999999992</v>
      </c>
      <c r="N541" s="5" t="str">
        <v>PURCHASE_SIP</v>
      </c>
      <c r="O541" s="5">
        <v>0</v>
      </c>
    </row>
    <row r="542" spans="1:15" ht="17" x14ac:dyDescent="0.2">
      <c r="A542" s="5" t="str">
        <v>SBI Mutual Fund</v>
      </c>
      <c r="B542" s="5" t="str">
        <v>AAAA9992</v>
      </c>
      <c r="C542" s="5" t="str">
        <v>AAAAA1111A</v>
      </c>
      <c r="D542" s="6" t="str">
        <v>SBI Liquid Fund Direct Growth</v>
      </c>
      <c r="E542" s="6" t="str">
        <v>DIRECT</v>
      </c>
      <c r="F542" s="6" t="str">
        <v>CAMS</v>
      </c>
      <c r="G542" s="6">
        <v>119598</v>
      </c>
      <c r="H542" s="6">
        <v>41583</v>
      </c>
      <c r="I542" s="6" t="str">
        <v>STAMP DUTY</v>
      </c>
      <c r="J542" s="5">
        <v>2.5</v>
      </c>
      <c r="K542" s="5">
        <v>0</v>
      </c>
      <c r="L542" s="5">
        <v>0</v>
      </c>
      <c r="M542" s="5">
        <v>8676.7459999999992</v>
      </c>
      <c r="N542" s="5" t="str">
        <v>STAMP_DUTY</v>
      </c>
      <c r="O542" s="5">
        <v>0</v>
      </c>
    </row>
    <row r="543" spans="1:15" ht="17" x14ac:dyDescent="0.2">
      <c r="A543" s="5" t="str">
        <v>SBI Mutual Fund</v>
      </c>
      <c r="B543" s="5" t="str">
        <v>AAAA9992</v>
      </c>
      <c r="C543" s="5" t="str">
        <v>AAAAA1111A</v>
      </c>
      <c r="D543" s="6" t="str">
        <v>SBI Liquid Fund Direct Growth</v>
      </c>
      <c r="E543" s="6" t="str">
        <v>DIRECT</v>
      </c>
      <c r="F543" s="6" t="str">
        <v>CAMS</v>
      </c>
      <c r="G543" s="6">
        <v>119598</v>
      </c>
      <c r="H543" s="6">
        <v>41613</v>
      </c>
      <c r="I543" s="6" t="str">
        <v>Purchase - SIP</v>
      </c>
      <c r="J543" s="5">
        <v>5000</v>
      </c>
      <c r="K543" s="5">
        <v>201.29400000000001</v>
      </c>
      <c r="L543" s="5">
        <v>24.839300000000001</v>
      </c>
      <c r="M543" s="5">
        <v>8878.0390000000007</v>
      </c>
      <c r="N543" s="5" t="str">
        <v>PURCHASE_SIP</v>
      </c>
      <c r="O543" s="5">
        <v>0</v>
      </c>
    </row>
    <row r="544" spans="1:15" ht="17" x14ac:dyDescent="0.2">
      <c r="A544" s="5" t="str">
        <v>SBI Mutual Fund</v>
      </c>
      <c r="B544" s="5" t="str">
        <v>AAAA9992</v>
      </c>
      <c r="C544" s="5" t="str">
        <v>AAAAA1111A</v>
      </c>
      <c r="D544" s="6" t="str">
        <v>SBI Liquid Fund Direct Growth</v>
      </c>
      <c r="E544" s="6" t="str">
        <v>DIRECT</v>
      </c>
      <c r="F544" s="6" t="str">
        <v>CAMS</v>
      </c>
      <c r="G544" s="6">
        <v>119598</v>
      </c>
      <c r="H544" s="6">
        <v>41643</v>
      </c>
      <c r="I544" s="6" t="str">
        <v>Purchase - SIP</v>
      </c>
      <c r="J544" s="5">
        <v>5000</v>
      </c>
      <c r="K544" s="5">
        <v>200.09399999999999</v>
      </c>
      <c r="L544" s="5">
        <v>24.988199999999999</v>
      </c>
      <c r="M544" s="5">
        <v>9078.134</v>
      </c>
      <c r="N544" s="5" t="str">
        <v>PURCHASE_SIP</v>
      </c>
      <c r="O544" s="5">
        <v>0</v>
      </c>
    </row>
    <row r="545" spans="1:15" ht="17" x14ac:dyDescent="0.2">
      <c r="A545" s="5" t="str">
        <v>SBI Mutual Fund</v>
      </c>
      <c r="B545" s="5" t="str">
        <v>AAAA9992</v>
      </c>
      <c r="C545" s="5" t="str">
        <v>AAAAA1111A</v>
      </c>
      <c r="D545" s="6" t="str">
        <v>SBI Liquid Fund Direct Growth</v>
      </c>
      <c r="E545" s="6" t="str">
        <v>DIRECT</v>
      </c>
      <c r="F545" s="6" t="str">
        <v>CAMS</v>
      </c>
      <c r="G545" s="6">
        <v>119598</v>
      </c>
      <c r="H545" s="6">
        <v>41673</v>
      </c>
      <c r="I545" s="6" t="str">
        <v>Purchase - SIP</v>
      </c>
      <c r="J545" s="5">
        <v>5000</v>
      </c>
      <c r="K545" s="5">
        <v>203.14400000000001</v>
      </c>
      <c r="L545" s="5">
        <v>24.613099999999999</v>
      </c>
      <c r="M545" s="5">
        <v>9281.2780000000002</v>
      </c>
      <c r="N545" s="5" t="str">
        <v>PURCHASE_SIP</v>
      </c>
      <c r="O545" s="5">
        <v>0</v>
      </c>
    </row>
    <row r="546" spans="1:15" ht="17" x14ac:dyDescent="0.2">
      <c r="A546" s="5" t="str">
        <v>SBI Mutual Fund</v>
      </c>
      <c r="B546" s="5" t="str">
        <v>AAAA9992</v>
      </c>
      <c r="C546" s="5" t="str">
        <v>AAAAA1111A</v>
      </c>
      <c r="D546" s="6" t="str">
        <v>SBI Liquid Fund Direct Growth</v>
      </c>
      <c r="E546" s="6" t="str">
        <v>DIRECT</v>
      </c>
      <c r="F546" s="6" t="str">
        <v>CAMS</v>
      </c>
      <c r="G546" s="6">
        <v>119598</v>
      </c>
      <c r="H546" s="6">
        <v>41673</v>
      </c>
      <c r="I546" s="6" t="str">
        <v>STT TAX</v>
      </c>
      <c r="J546" s="5">
        <v>2.5</v>
      </c>
      <c r="K546" s="5">
        <v>0</v>
      </c>
      <c r="L546" s="5">
        <v>0</v>
      </c>
      <c r="M546" s="5">
        <v>9281.2780000000002</v>
      </c>
      <c r="N546" s="5" t="str">
        <v>STT_TAX</v>
      </c>
      <c r="O546" s="5">
        <v>0</v>
      </c>
    </row>
    <row r="547" spans="1:15" ht="17" x14ac:dyDescent="0.2">
      <c r="A547" s="5" t="str">
        <v>SBI Mutual Fund</v>
      </c>
      <c r="B547" s="5" t="str">
        <v>AAAA9992</v>
      </c>
      <c r="C547" s="5" t="str">
        <v>AAAAA1111A</v>
      </c>
      <c r="D547" s="6" t="str">
        <v>SBI Liquid Fund Direct Growth</v>
      </c>
      <c r="E547" s="6" t="str">
        <v>DIRECT</v>
      </c>
      <c r="F547" s="6" t="str">
        <v>CAMS</v>
      </c>
      <c r="G547" s="6">
        <v>119598</v>
      </c>
      <c r="H547" s="6">
        <v>41703</v>
      </c>
      <c r="I547" s="6" t="str">
        <v>Purchase - SIP</v>
      </c>
      <c r="J547" s="5">
        <v>5000</v>
      </c>
      <c r="K547" s="5">
        <v>201.23</v>
      </c>
      <c r="L547" s="5">
        <v>24.847200000000001</v>
      </c>
      <c r="M547" s="5">
        <v>9482.5079999999998</v>
      </c>
      <c r="N547" s="5" t="str">
        <v>PURCHASE_SIP</v>
      </c>
      <c r="O547" s="5">
        <v>0</v>
      </c>
    </row>
    <row r="548" spans="1:15" ht="17" x14ac:dyDescent="0.2">
      <c r="A548" s="5" t="str">
        <v>SBI Mutual Fund</v>
      </c>
      <c r="B548" s="5" t="str">
        <v>AAAA9992</v>
      </c>
      <c r="C548" s="5" t="str">
        <v>AAAAA1111A</v>
      </c>
      <c r="D548" s="6" t="str">
        <v>SBI Liquid Fund Direct Growth</v>
      </c>
      <c r="E548" s="6" t="str">
        <v>DIRECT</v>
      </c>
      <c r="F548" s="6" t="str">
        <v>CAMS</v>
      </c>
      <c r="G548" s="6">
        <v>119598</v>
      </c>
      <c r="H548" s="6">
        <v>41703</v>
      </c>
      <c r="I548" s="6" t="str">
        <v>STAMP DUTY</v>
      </c>
      <c r="J548" s="5">
        <v>2.5</v>
      </c>
      <c r="K548" s="5">
        <v>0</v>
      </c>
      <c r="L548" s="5">
        <v>0</v>
      </c>
      <c r="M548" s="5">
        <v>9482.5079999999998</v>
      </c>
      <c r="N548" s="5" t="str">
        <v>STAMP_DUTY</v>
      </c>
      <c r="O548" s="5">
        <v>0</v>
      </c>
    </row>
    <row r="549" spans="1:15" ht="17" x14ac:dyDescent="0.2">
      <c r="A549" s="5" t="str">
        <v>SBI Mutual Fund</v>
      </c>
      <c r="B549" s="5" t="str">
        <v>AAAA9992</v>
      </c>
      <c r="C549" s="5" t="str">
        <v>AAAAA1111A</v>
      </c>
      <c r="D549" s="6" t="str">
        <v>SBI Liquid Fund Direct Growth</v>
      </c>
      <c r="E549" s="6" t="str">
        <v>DIRECT</v>
      </c>
      <c r="F549" s="6" t="str">
        <v>CAMS</v>
      </c>
      <c r="G549" s="6">
        <v>119598</v>
      </c>
      <c r="H549" s="6">
        <v>41733</v>
      </c>
      <c r="I549" s="6" t="str">
        <v>Purchase - SIP</v>
      </c>
      <c r="J549" s="5">
        <v>5000</v>
      </c>
      <c r="K549" s="5">
        <v>195.446</v>
      </c>
      <c r="L549" s="5">
        <v>25.5825</v>
      </c>
      <c r="M549" s="5">
        <v>9677.9539999999997</v>
      </c>
      <c r="N549" s="5" t="str">
        <v>PURCHASE_SIP</v>
      </c>
      <c r="O549" s="5">
        <v>0</v>
      </c>
    </row>
    <row r="550" spans="1:15" ht="17" x14ac:dyDescent="0.2">
      <c r="A550" s="5" t="str">
        <v>SBI Mutual Fund</v>
      </c>
      <c r="B550" s="5" t="str">
        <v>AAAA9992</v>
      </c>
      <c r="C550" s="5" t="str">
        <v>AAAAA1111A</v>
      </c>
      <c r="D550" s="6" t="str">
        <v>SBI Liquid Fund Direct Growth</v>
      </c>
      <c r="E550" s="6" t="str">
        <v>DIRECT</v>
      </c>
      <c r="F550" s="6" t="str">
        <v>CAMS</v>
      </c>
      <c r="G550" s="6">
        <v>119598</v>
      </c>
      <c r="H550" s="6">
        <v>41763</v>
      </c>
      <c r="I550" s="6" t="str">
        <v>Purchase - SIP</v>
      </c>
      <c r="J550" s="5">
        <v>5000</v>
      </c>
      <c r="K550" s="5">
        <v>191.81</v>
      </c>
      <c r="L550" s="5">
        <v>26.067399999999999</v>
      </c>
      <c r="M550" s="5">
        <v>9869.7639999999992</v>
      </c>
      <c r="N550" s="5" t="str">
        <v>PURCHASE_SIP</v>
      </c>
      <c r="O550" s="5">
        <v>0</v>
      </c>
    </row>
    <row r="551" spans="1:15" ht="17" x14ac:dyDescent="0.2">
      <c r="A551" s="5" t="str">
        <v>SBI Mutual Fund</v>
      </c>
      <c r="B551" s="5" t="str">
        <v>AAAA9992</v>
      </c>
      <c r="C551" s="5" t="str">
        <v>AAAAA1111A</v>
      </c>
      <c r="D551" s="6" t="str">
        <v>SBI Liquid Fund Direct Growth</v>
      </c>
      <c r="E551" s="6" t="str">
        <v>DIRECT</v>
      </c>
      <c r="F551" s="6" t="str">
        <v>CAMS</v>
      </c>
      <c r="G551" s="6">
        <v>119598</v>
      </c>
      <c r="H551" s="6">
        <v>41793</v>
      </c>
      <c r="I551" s="6" t="str">
        <v>Purchase - SIP</v>
      </c>
      <c r="J551" s="5">
        <v>5000</v>
      </c>
      <c r="K551" s="5">
        <v>192.3</v>
      </c>
      <c r="L551" s="5">
        <v>26.001000000000001</v>
      </c>
      <c r="M551" s="5">
        <v>10062.064</v>
      </c>
      <c r="N551" s="5" t="str">
        <v>PURCHASE_SIP</v>
      </c>
      <c r="O551" s="5">
        <v>0</v>
      </c>
    </row>
    <row r="552" spans="1:15" ht="17" x14ac:dyDescent="0.2">
      <c r="A552" s="5" t="str">
        <v>SBI Mutual Fund</v>
      </c>
      <c r="B552" s="5" t="str">
        <v>AAAA9992</v>
      </c>
      <c r="C552" s="5" t="str">
        <v>AAAAA1111A</v>
      </c>
      <c r="D552" s="6" t="str">
        <v>SBI Liquid Fund Direct Growth</v>
      </c>
      <c r="E552" s="6" t="str">
        <v>DIRECT</v>
      </c>
      <c r="F552" s="6" t="str">
        <v>CAMS</v>
      </c>
      <c r="G552" s="6">
        <v>119598</v>
      </c>
      <c r="H552" s="6">
        <v>41823</v>
      </c>
      <c r="I552" s="6" t="str">
        <v>Purchase - SIP</v>
      </c>
      <c r="J552" s="5">
        <v>5000</v>
      </c>
      <c r="K552" s="5">
        <v>194.02699999999999</v>
      </c>
      <c r="L552" s="5">
        <v>25.769600000000001</v>
      </c>
      <c r="M552" s="5">
        <v>10256.091</v>
      </c>
      <c r="N552" s="5" t="str">
        <v>PURCHASE_SIP</v>
      </c>
      <c r="O552" s="5">
        <v>0</v>
      </c>
    </row>
    <row r="553" spans="1:15" ht="17" x14ac:dyDescent="0.2">
      <c r="A553" s="5" t="str">
        <v>SBI Mutual Fund</v>
      </c>
      <c r="B553" s="5" t="str">
        <v>AAAA9992</v>
      </c>
      <c r="C553" s="5" t="str">
        <v>AAAAA1111A</v>
      </c>
      <c r="D553" s="6" t="str">
        <v>SBI Liquid Fund Direct Growth</v>
      </c>
      <c r="E553" s="6" t="str">
        <v>DIRECT</v>
      </c>
      <c r="F553" s="6" t="str">
        <v>CAMS</v>
      </c>
      <c r="G553" s="6">
        <v>119598</v>
      </c>
      <c r="H553" s="6">
        <v>41853</v>
      </c>
      <c r="I553" s="6" t="str">
        <v>Purchase - SIP</v>
      </c>
      <c r="J553" s="5">
        <v>5000</v>
      </c>
      <c r="K553" s="5">
        <v>188.77600000000001</v>
      </c>
      <c r="L553" s="5">
        <v>26.4864</v>
      </c>
      <c r="M553" s="5">
        <v>10444.868</v>
      </c>
      <c r="N553" s="5" t="str">
        <v>PURCHASE_SIP</v>
      </c>
      <c r="O553" s="5">
        <v>0</v>
      </c>
    </row>
    <row r="554" spans="1:15" ht="17" x14ac:dyDescent="0.2">
      <c r="A554" s="5" t="str">
        <v>SBI Mutual Fund</v>
      </c>
      <c r="B554" s="5" t="str">
        <v>AAAA9992</v>
      </c>
      <c r="C554" s="5" t="str">
        <v>AAAAA1111A</v>
      </c>
      <c r="D554" s="6" t="str">
        <v>SBI Liquid Fund Direct Growth</v>
      </c>
      <c r="E554" s="6" t="str">
        <v>DIRECT</v>
      </c>
      <c r="F554" s="6" t="str">
        <v>CAMS</v>
      </c>
      <c r="G554" s="6">
        <v>119598</v>
      </c>
      <c r="H554" s="6">
        <v>41883</v>
      </c>
      <c r="I554" s="6" t="str">
        <v>Purchase - SIP</v>
      </c>
      <c r="J554" s="5">
        <v>5000</v>
      </c>
      <c r="K554" s="5">
        <v>189.56299999999999</v>
      </c>
      <c r="L554" s="5">
        <v>26.3764</v>
      </c>
      <c r="M554" s="5">
        <v>10634.431</v>
      </c>
      <c r="N554" s="5" t="str">
        <v>PURCHASE_SIP</v>
      </c>
      <c r="O554" s="5">
        <v>0</v>
      </c>
    </row>
    <row r="555" spans="1:15" ht="17" x14ac:dyDescent="0.2">
      <c r="A555" s="5" t="str">
        <v>SBI Mutual Fund</v>
      </c>
      <c r="B555" s="5" t="str">
        <v>AAAA9992</v>
      </c>
      <c r="C555" s="5" t="str">
        <v>AAAAA1111A</v>
      </c>
      <c r="D555" s="6" t="str">
        <v>SBI Liquid Fund Direct Growth</v>
      </c>
      <c r="E555" s="6" t="str">
        <v>DIRECT</v>
      </c>
      <c r="F555" s="6" t="str">
        <v>CAMS</v>
      </c>
      <c r="G555" s="6">
        <v>119598</v>
      </c>
      <c r="H555" s="6">
        <v>41883</v>
      </c>
      <c r="I555" s="6" t="str">
        <v>STT TAX</v>
      </c>
      <c r="J555" s="5">
        <v>2.5</v>
      </c>
      <c r="K555" s="5">
        <v>0</v>
      </c>
      <c r="L555" s="5">
        <v>0</v>
      </c>
      <c r="M555" s="5">
        <v>10634.431</v>
      </c>
      <c r="N555" s="5" t="str">
        <v>STT_TAX</v>
      </c>
      <c r="O555" s="5">
        <v>0</v>
      </c>
    </row>
    <row r="556" spans="1:15" ht="17" x14ac:dyDescent="0.2">
      <c r="A556" s="5" t="str">
        <v>SBI Mutual Fund</v>
      </c>
      <c r="B556" s="5" t="str">
        <v>AAAA9992</v>
      </c>
      <c r="C556" s="5" t="str">
        <v>AAAAA1111A</v>
      </c>
      <c r="D556" s="6" t="str">
        <v>SBI Liquid Fund Direct Growth</v>
      </c>
      <c r="E556" s="6" t="str">
        <v>DIRECT</v>
      </c>
      <c r="F556" s="6" t="str">
        <v>CAMS</v>
      </c>
      <c r="G556" s="6">
        <v>119598</v>
      </c>
      <c r="H556" s="6">
        <v>41913</v>
      </c>
      <c r="I556" s="6" t="str">
        <v>Purchase - SIP</v>
      </c>
      <c r="J556" s="5">
        <v>5000</v>
      </c>
      <c r="K556" s="5">
        <v>190.36099999999999</v>
      </c>
      <c r="L556" s="5">
        <v>26.265899999999998</v>
      </c>
      <c r="M556" s="5">
        <v>10824.791999999999</v>
      </c>
      <c r="N556" s="5" t="str">
        <v>PURCHASE_SIP</v>
      </c>
      <c r="O556" s="5">
        <v>0</v>
      </c>
    </row>
    <row r="557" spans="1:15" ht="17" x14ac:dyDescent="0.2">
      <c r="A557" s="5" t="str">
        <v>SBI Mutual Fund</v>
      </c>
      <c r="B557" s="5" t="str">
        <v>AAAA9992</v>
      </c>
      <c r="C557" s="5" t="str">
        <v>AAAAA1111A</v>
      </c>
      <c r="D557" s="6" t="str">
        <v>SBI Liquid Fund Direct Growth</v>
      </c>
      <c r="E557" s="6" t="str">
        <v>DIRECT</v>
      </c>
      <c r="F557" s="6" t="str">
        <v>CAMS</v>
      </c>
      <c r="G557" s="6">
        <v>119598</v>
      </c>
      <c r="H557" s="6">
        <v>41943</v>
      </c>
      <c r="I557" s="6" t="str">
        <v>Purchase - SIP</v>
      </c>
      <c r="J557" s="5">
        <v>5000</v>
      </c>
      <c r="K557" s="5">
        <v>192.351</v>
      </c>
      <c r="L557" s="5">
        <v>25.9941</v>
      </c>
      <c r="M557" s="5">
        <v>11017.144</v>
      </c>
      <c r="N557" s="5" t="str">
        <v>PURCHASE_SIP</v>
      </c>
      <c r="O557" s="5">
        <v>0</v>
      </c>
    </row>
    <row r="558" spans="1:15" ht="17" x14ac:dyDescent="0.2">
      <c r="A558" s="5" t="str">
        <v>SBI Mutual Fund</v>
      </c>
      <c r="B558" s="5" t="str">
        <v>AAAA9992</v>
      </c>
      <c r="C558" s="5" t="str">
        <v>AAAAA1111A</v>
      </c>
      <c r="D558" s="6" t="str">
        <v>SBI Liquid Fund Direct Growth</v>
      </c>
      <c r="E558" s="6" t="str">
        <v>DIRECT</v>
      </c>
      <c r="F558" s="6" t="str">
        <v>CAMS</v>
      </c>
      <c r="G558" s="6">
        <v>119598</v>
      </c>
      <c r="H558" s="6">
        <v>41973</v>
      </c>
      <c r="I558" s="6" t="str">
        <v>Purchase - SIP</v>
      </c>
      <c r="J558" s="5">
        <v>5000</v>
      </c>
      <c r="K558" s="5">
        <v>191.13800000000001</v>
      </c>
      <c r="L558" s="5">
        <v>26.159099999999999</v>
      </c>
      <c r="M558" s="5">
        <v>11208.281000000001</v>
      </c>
      <c r="N558" s="5" t="str">
        <v>PURCHASE_SIP</v>
      </c>
      <c r="O558" s="5">
        <v>0</v>
      </c>
    </row>
    <row r="559" spans="1:15" ht="17" x14ac:dyDescent="0.2">
      <c r="A559" s="5" t="str">
        <v>SBI Mutual Fund</v>
      </c>
      <c r="B559" s="5" t="str">
        <v>AAAA9992</v>
      </c>
      <c r="C559" s="5" t="str">
        <v>AAAAA1111A</v>
      </c>
      <c r="D559" s="6" t="str">
        <v>SBI Liquid Fund Direct Growth</v>
      </c>
      <c r="E559" s="6" t="str">
        <v>DIRECT</v>
      </c>
      <c r="F559" s="6" t="str">
        <v>CAMS</v>
      </c>
      <c r="G559" s="6">
        <v>119598</v>
      </c>
      <c r="H559" s="6">
        <v>42003</v>
      </c>
      <c r="I559" s="6" t="str">
        <v>Purchase - SIP</v>
      </c>
      <c r="J559" s="5">
        <v>5000</v>
      </c>
      <c r="K559" s="5">
        <v>194.37799999999999</v>
      </c>
      <c r="L559" s="5">
        <v>25.723099999999999</v>
      </c>
      <c r="M559" s="5">
        <v>11402.659</v>
      </c>
      <c r="N559" s="5" t="str">
        <v>PURCHASE_SIP</v>
      </c>
      <c r="O559" s="5">
        <v>0</v>
      </c>
    </row>
    <row r="560" spans="1:15" ht="17" x14ac:dyDescent="0.2">
      <c r="A560" s="5" t="str">
        <v>SBI Mutual Fund</v>
      </c>
      <c r="B560" s="5" t="str">
        <v>AAAA9992</v>
      </c>
      <c r="C560" s="5" t="str">
        <v>AAAAA1111A</v>
      </c>
      <c r="D560" s="6" t="str">
        <v>SBI Liquid Fund Direct Growth</v>
      </c>
      <c r="E560" s="6" t="str">
        <v>DIRECT</v>
      </c>
      <c r="F560" s="6" t="str">
        <v>CAMS</v>
      </c>
      <c r="G560" s="6">
        <v>119598</v>
      </c>
      <c r="H560" s="6">
        <v>42003</v>
      </c>
      <c r="I560" s="6" t="str">
        <v>STAMP DUTY</v>
      </c>
      <c r="J560" s="5">
        <v>2.5</v>
      </c>
      <c r="K560" s="5">
        <v>0</v>
      </c>
      <c r="L560" s="5">
        <v>0</v>
      </c>
      <c r="M560" s="5">
        <v>11402.659</v>
      </c>
      <c r="N560" s="5" t="str">
        <v>STAMP_DUTY</v>
      </c>
      <c r="O560" s="5">
        <v>0</v>
      </c>
    </row>
    <row r="561" spans="1:15" ht="17" x14ac:dyDescent="0.2">
      <c r="A561" s="5" t="str">
        <v>SBI Mutual Fund</v>
      </c>
      <c r="B561" s="5" t="str">
        <v>AAAA9992</v>
      </c>
      <c r="C561" s="5" t="str">
        <v>AAAAA1111A</v>
      </c>
      <c r="D561" s="6" t="str">
        <v>SBI Liquid Fund Direct Growth</v>
      </c>
      <c r="E561" s="6" t="str">
        <v>DIRECT</v>
      </c>
      <c r="F561" s="6" t="str">
        <v>CAMS</v>
      </c>
      <c r="G561" s="6">
        <v>119598</v>
      </c>
      <c r="H561" s="6">
        <v>42033</v>
      </c>
      <c r="I561" s="6" t="str">
        <v>Purchase - SIP</v>
      </c>
      <c r="J561" s="5">
        <v>5000</v>
      </c>
      <c r="K561" s="5">
        <v>188.977</v>
      </c>
      <c r="L561" s="5">
        <v>26.458300000000001</v>
      </c>
      <c r="M561" s="5">
        <v>11591.636</v>
      </c>
      <c r="N561" s="5" t="str">
        <v>PURCHASE_SIP</v>
      </c>
      <c r="O561" s="5">
        <v>0</v>
      </c>
    </row>
    <row r="562" spans="1:15" ht="17" x14ac:dyDescent="0.2">
      <c r="A562" s="5" t="str">
        <v>SBI Mutual Fund</v>
      </c>
      <c r="B562" s="5" t="str">
        <v>AAAA9992</v>
      </c>
      <c r="C562" s="5" t="str">
        <v>AAAAA1111A</v>
      </c>
      <c r="D562" s="6" t="str">
        <v>SBI Liquid Fund Direct Growth</v>
      </c>
      <c r="E562" s="6" t="str">
        <v>DIRECT</v>
      </c>
      <c r="F562" s="6" t="str">
        <v>CAMS</v>
      </c>
      <c r="G562" s="6">
        <v>119598</v>
      </c>
      <c r="H562" s="6">
        <v>42033</v>
      </c>
      <c r="I562" s="6" t="str">
        <v>STAMP DUTY</v>
      </c>
      <c r="J562" s="5">
        <v>2.5</v>
      </c>
      <c r="K562" s="5">
        <v>0</v>
      </c>
      <c r="L562" s="5">
        <v>0</v>
      </c>
      <c r="M562" s="5">
        <v>11591.636</v>
      </c>
      <c r="N562" s="5" t="str">
        <v>STAMP_DUTY</v>
      </c>
      <c r="O562" s="5">
        <v>0</v>
      </c>
    </row>
    <row r="563" spans="1:15" ht="17" x14ac:dyDescent="0.2">
      <c r="A563" s="5" t="str">
        <v>SBI Mutual Fund</v>
      </c>
      <c r="B563" s="5" t="str">
        <v>AAAA9992</v>
      </c>
      <c r="C563" s="5" t="str">
        <v>AAAAA1111A</v>
      </c>
      <c r="D563" s="6" t="str">
        <v>SBI Liquid Fund Direct Growth</v>
      </c>
      <c r="E563" s="6" t="str">
        <v>DIRECT</v>
      </c>
      <c r="F563" s="6" t="str">
        <v>CAMS</v>
      </c>
      <c r="G563" s="6">
        <v>119598</v>
      </c>
      <c r="H563" s="6">
        <v>42063</v>
      </c>
      <c r="I563" s="6" t="str">
        <v>Purchase - SIP</v>
      </c>
      <c r="J563" s="5">
        <v>5000</v>
      </c>
      <c r="K563" s="5">
        <v>189.73699999999999</v>
      </c>
      <c r="L563" s="5">
        <v>26.3522</v>
      </c>
      <c r="M563" s="5">
        <v>11781.373</v>
      </c>
      <c r="N563" s="5" t="str">
        <v>PURCHASE_SIP</v>
      </c>
      <c r="O563" s="5">
        <v>0</v>
      </c>
    </row>
    <row r="564" spans="1:15" ht="17" x14ac:dyDescent="0.2">
      <c r="A564" s="5" t="str">
        <v>SBI Mutual Fund</v>
      </c>
      <c r="B564" s="5" t="str">
        <v>AAAA9992</v>
      </c>
      <c r="C564" s="5" t="str">
        <v>AAAAA1111A</v>
      </c>
      <c r="D564" s="6" t="str">
        <v>SBI Liquid Fund Direct Growth</v>
      </c>
      <c r="E564" s="6" t="str">
        <v>DIRECT</v>
      </c>
      <c r="F564" s="6" t="str">
        <v>CAMS</v>
      </c>
      <c r="G564" s="6">
        <v>119598</v>
      </c>
      <c r="H564" s="6">
        <v>42093</v>
      </c>
      <c r="I564" s="6" t="str">
        <v>Purchase - SIP</v>
      </c>
      <c r="J564" s="5">
        <v>5000</v>
      </c>
      <c r="K564" s="5">
        <v>187.821</v>
      </c>
      <c r="L564" s="5">
        <v>26.621099999999998</v>
      </c>
      <c r="M564" s="5">
        <v>11969.194</v>
      </c>
      <c r="N564" s="5" t="str">
        <v>PURCHASE_SIP</v>
      </c>
      <c r="O564" s="5">
        <v>0</v>
      </c>
    </row>
    <row r="565" spans="1:15" ht="17" x14ac:dyDescent="0.2">
      <c r="A565" s="5" t="str">
        <v>SBI Mutual Fund</v>
      </c>
      <c r="B565" s="5" t="str">
        <v>AAAA9992</v>
      </c>
      <c r="C565" s="5" t="str">
        <v>AAAAA1111A</v>
      </c>
      <c r="D565" s="6" t="str">
        <v>SBI Liquid Fund Direct Growth</v>
      </c>
      <c r="E565" s="6" t="str">
        <v>DIRECT</v>
      </c>
      <c r="F565" s="6" t="str">
        <v>CAMS</v>
      </c>
      <c r="G565" s="6">
        <v>119598</v>
      </c>
      <c r="H565" s="6">
        <v>42093</v>
      </c>
      <c r="I565" s="6" t="str">
        <v>STT TAX</v>
      </c>
      <c r="J565" s="5">
        <v>2.5</v>
      </c>
      <c r="K565" s="5">
        <v>0</v>
      </c>
      <c r="L565" s="5">
        <v>0</v>
      </c>
      <c r="M565" s="5">
        <v>11969.194</v>
      </c>
      <c r="N565" s="5" t="str">
        <v>STT_TAX</v>
      </c>
      <c r="O565" s="5">
        <v>0</v>
      </c>
    </row>
    <row r="566" spans="1:15" ht="17" x14ac:dyDescent="0.2">
      <c r="A566" s="5" t="str">
        <v>SBI Mutual Fund</v>
      </c>
      <c r="B566" s="5" t="str">
        <v>AAAA9992</v>
      </c>
      <c r="C566" s="5" t="str">
        <v>AAAAA1111A</v>
      </c>
      <c r="D566" s="6" t="str">
        <v>SBI Liquid Fund Direct Growth</v>
      </c>
      <c r="E566" s="6" t="str">
        <v>DIRECT</v>
      </c>
      <c r="F566" s="6" t="str">
        <v>CAMS</v>
      </c>
      <c r="G566" s="6">
        <v>119598</v>
      </c>
      <c r="H566" s="6">
        <v>42123</v>
      </c>
      <c r="I566" s="6" t="str">
        <v>Purchase - SIP</v>
      </c>
      <c r="J566" s="5">
        <v>5000</v>
      </c>
      <c r="K566" s="5">
        <v>188.22800000000001</v>
      </c>
      <c r="L566" s="5">
        <v>26.563600000000001</v>
      </c>
      <c r="M566" s="5">
        <v>12157.422</v>
      </c>
      <c r="N566" s="5" t="str">
        <v>PURCHASE_SIP</v>
      </c>
      <c r="O566" s="5">
        <v>0</v>
      </c>
    </row>
    <row r="567" spans="1:15" ht="17" x14ac:dyDescent="0.2">
      <c r="A567" s="5" t="str">
        <v>SBI Mutual Fund</v>
      </c>
      <c r="B567" s="5" t="str">
        <v>AAAA9992</v>
      </c>
      <c r="C567" s="5" t="str">
        <v>AAAAA1111A</v>
      </c>
      <c r="D567" s="6" t="str">
        <v>SBI Liquid Fund Direct Growth</v>
      </c>
      <c r="E567" s="6" t="str">
        <v>DIRECT</v>
      </c>
      <c r="F567" s="6" t="str">
        <v>CAMS</v>
      </c>
      <c r="G567" s="6">
        <v>119598</v>
      </c>
      <c r="H567" s="6">
        <v>42153</v>
      </c>
      <c r="I567" s="6" t="str">
        <v>Purchase - SIP</v>
      </c>
      <c r="J567" s="5">
        <v>5000</v>
      </c>
      <c r="K567" s="5">
        <v>189.87799999999999</v>
      </c>
      <c r="L567" s="5">
        <v>26.332699999999999</v>
      </c>
      <c r="M567" s="5">
        <v>12347.3</v>
      </c>
      <c r="N567" s="5" t="str">
        <v>PURCHASE_SIP</v>
      </c>
      <c r="O567" s="5">
        <v>0</v>
      </c>
    </row>
    <row r="568" spans="1:15" ht="17" x14ac:dyDescent="0.2">
      <c r="A568" s="5" t="str">
        <v>SBI Mutual Fund</v>
      </c>
      <c r="B568" s="5" t="str">
        <v>AAAA9992</v>
      </c>
      <c r="C568" s="5" t="str">
        <v>AAAAA1111A</v>
      </c>
      <c r="D568" s="6" t="str">
        <v>SBI Liquid Fund Direct Growth</v>
      </c>
      <c r="E568" s="6" t="str">
        <v>DIRECT</v>
      </c>
      <c r="F568" s="6" t="str">
        <v>CAMS</v>
      </c>
      <c r="G568" s="6">
        <v>119598</v>
      </c>
      <c r="H568" s="6">
        <v>42183</v>
      </c>
      <c r="I568" s="6" t="str">
        <v>Purchase - SIP</v>
      </c>
      <c r="J568" s="5">
        <v>5000</v>
      </c>
      <c r="K568" s="5">
        <v>191.95599999999999</v>
      </c>
      <c r="L568" s="5">
        <v>26.047599999999999</v>
      </c>
      <c r="M568" s="5">
        <v>12539.255999999999</v>
      </c>
      <c r="N568" s="5" t="str">
        <v>PURCHASE_SIP</v>
      </c>
      <c r="O568" s="5">
        <v>0</v>
      </c>
    </row>
    <row r="569" spans="1:15" ht="17" x14ac:dyDescent="0.2">
      <c r="A569" s="5" t="str">
        <v>SBI Mutual Fund</v>
      </c>
      <c r="B569" s="5" t="str">
        <v>AAAA9992</v>
      </c>
      <c r="C569" s="5" t="str">
        <v>AAAAA1111A</v>
      </c>
      <c r="D569" s="6" t="str">
        <v>SBI Liquid Fund Direct Growth</v>
      </c>
      <c r="E569" s="6" t="str">
        <v>DIRECT</v>
      </c>
      <c r="F569" s="6" t="str">
        <v>CAMS</v>
      </c>
      <c r="G569" s="6">
        <v>119598</v>
      </c>
      <c r="H569" s="6">
        <v>42213</v>
      </c>
      <c r="I569" s="6" t="str">
        <v>Purchase - SIP</v>
      </c>
      <c r="J569" s="5">
        <v>5000</v>
      </c>
      <c r="K569" s="5">
        <v>189.417</v>
      </c>
      <c r="L569" s="5">
        <v>26.396799999999999</v>
      </c>
      <c r="M569" s="5">
        <v>12728.673000000001</v>
      </c>
      <c r="N569" s="5" t="str">
        <v>PURCHASE_SIP</v>
      </c>
      <c r="O569" s="5">
        <v>0</v>
      </c>
    </row>
    <row r="570" spans="1:15" ht="17" x14ac:dyDescent="0.2">
      <c r="A570" s="5" t="str">
        <v>SBI Mutual Fund</v>
      </c>
      <c r="B570" s="5" t="str">
        <v>AAAA9992</v>
      </c>
      <c r="C570" s="5" t="str">
        <v>AAAAA1111A</v>
      </c>
      <c r="D570" s="6" t="str">
        <v>SBI Liquid Fund Direct Growth</v>
      </c>
      <c r="E570" s="6" t="str">
        <v>DIRECT</v>
      </c>
      <c r="F570" s="6" t="str">
        <v>CAMS</v>
      </c>
      <c r="G570" s="6">
        <v>119598</v>
      </c>
      <c r="H570" s="6">
        <v>42213</v>
      </c>
      <c r="I570" s="6" t="str">
        <v>STT TAX</v>
      </c>
      <c r="J570" s="5">
        <v>2.5</v>
      </c>
      <c r="K570" s="5">
        <v>0</v>
      </c>
      <c r="L570" s="5">
        <v>0</v>
      </c>
      <c r="M570" s="5">
        <v>12728.673000000001</v>
      </c>
      <c r="N570" s="5" t="str">
        <v>STT_TAX</v>
      </c>
      <c r="O570" s="5">
        <v>0</v>
      </c>
    </row>
    <row r="571" spans="1:15" ht="17" x14ac:dyDescent="0.2">
      <c r="A571" s="5" t="str">
        <v>SBI Mutual Fund</v>
      </c>
      <c r="B571" s="5" t="str">
        <v>AAAA9992</v>
      </c>
      <c r="C571" s="5" t="str">
        <v>AAAAA1111A</v>
      </c>
      <c r="D571" s="6" t="str">
        <v>SBI Liquid Fund Direct Growth</v>
      </c>
      <c r="E571" s="6" t="str">
        <v>DIRECT</v>
      </c>
      <c r="F571" s="6" t="str">
        <v>CAMS</v>
      </c>
      <c r="G571" s="6">
        <v>119598</v>
      </c>
      <c r="H571" s="6">
        <v>42243</v>
      </c>
      <c r="I571" s="6" t="str">
        <v>Purchase - SIP</v>
      </c>
      <c r="J571" s="5">
        <v>5000</v>
      </c>
      <c r="K571" s="5">
        <v>185.98599999999999</v>
      </c>
      <c r="L571" s="5">
        <v>26.883800000000001</v>
      </c>
      <c r="M571" s="5">
        <v>12914.659</v>
      </c>
      <c r="N571" s="5" t="str">
        <v>PURCHASE_SIP</v>
      </c>
      <c r="O571" s="5">
        <v>0</v>
      </c>
    </row>
    <row r="572" spans="1:15" ht="17" x14ac:dyDescent="0.2">
      <c r="A572" s="5" t="str">
        <v>SBI Mutual Fund</v>
      </c>
      <c r="B572" s="5" t="str">
        <v>AAAA9992</v>
      </c>
      <c r="C572" s="5" t="str">
        <v>AAAAA1111A</v>
      </c>
      <c r="D572" s="6" t="str">
        <v>SBI Liquid Fund Direct Growth</v>
      </c>
      <c r="E572" s="6" t="str">
        <v>DIRECT</v>
      </c>
      <c r="F572" s="6" t="str">
        <v>CAMS</v>
      </c>
      <c r="G572" s="6">
        <v>119598</v>
      </c>
      <c r="H572" s="6">
        <v>42273</v>
      </c>
      <c r="I572" s="6" t="str">
        <v>Purchase - SIP</v>
      </c>
      <c r="J572" s="5">
        <v>5000</v>
      </c>
      <c r="K572" s="5">
        <v>182.66499999999999</v>
      </c>
      <c r="L572" s="5">
        <v>27.372599999999998</v>
      </c>
      <c r="M572" s="5">
        <v>13097.323</v>
      </c>
      <c r="N572" s="5" t="str">
        <v>PURCHASE_SIP</v>
      </c>
      <c r="O572" s="5">
        <v>0</v>
      </c>
    </row>
    <row r="573" spans="1:15" ht="17" x14ac:dyDescent="0.2">
      <c r="A573" s="5" t="str">
        <v>SBI Mutual Fund</v>
      </c>
      <c r="B573" s="5" t="str">
        <v>AAAA9992</v>
      </c>
      <c r="C573" s="5" t="str">
        <v>AAAAA1111A</v>
      </c>
      <c r="D573" s="6" t="str">
        <v>SBI Liquid Fund Direct Growth</v>
      </c>
      <c r="E573" s="6" t="str">
        <v>DIRECT</v>
      </c>
      <c r="F573" s="6" t="str">
        <v>CAMS</v>
      </c>
      <c r="G573" s="6">
        <v>119598</v>
      </c>
      <c r="H573" s="6">
        <v>42273</v>
      </c>
      <c r="I573" s="6" t="str">
        <v>STT TAX</v>
      </c>
      <c r="J573" s="5">
        <v>2.5</v>
      </c>
      <c r="K573" s="5">
        <v>0</v>
      </c>
      <c r="L573" s="5">
        <v>0</v>
      </c>
      <c r="M573" s="5">
        <v>13097.323</v>
      </c>
      <c r="N573" s="5" t="str">
        <v>STT_TAX</v>
      </c>
      <c r="O573" s="5">
        <v>0</v>
      </c>
    </row>
    <row r="574" spans="1:15" ht="17" x14ac:dyDescent="0.2">
      <c r="A574" s="5" t="str">
        <v>SBI Mutual Fund</v>
      </c>
      <c r="B574" s="5" t="str">
        <v>AAAA9992</v>
      </c>
      <c r="C574" s="5" t="str">
        <v>AAAAA1111A</v>
      </c>
      <c r="D574" s="6" t="str">
        <v>SBI Liquid Fund Direct Growth</v>
      </c>
      <c r="E574" s="6" t="str">
        <v>DIRECT</v>
      </c>
      <c r="F574" s="6" t="str">
        <v>CAMS</v>
      </c>
      <c r="G574" s="6">
        <v>119598</v>
      </c>
      <c r="H574" s="6">
        <v>42303</v>
      </c>
      <c r="I574" s="6" t="str">
        <v>Purchase - SIP</v>
      </c>
      <c r="J574" s="5">
        <v>5000</v>
      </c>
      <c r="K574" s="5">
        <v>184.83799999999999</v>
      </c>
      <c r="L574" s="5">
        <v>27.050699999999999</v>
      </c>
      <c r="M574" s="5">
        <v>13282.161</v>
      </c>
      <c r="N574" s="5" t="str">
        <v>PURCHASE_SIP</v>
      </c>
      <c r="O574" s="5">
        <v>0</v>
      </c>
    </row>
    <row r="575" spans="1:15" ht="17" x14ac:dyDescent="0.2">
      <c r="A575" s="5" t="str">
        <v>SBI Mutual Fund</v>
      </c>
      <c r="B575" s="5" t="str">
        <v>AAAA9992</v>
      </c>
      <c r="C575" s="5" t="str">
        <v>AAAAA1111A</v>
      </c>
      <c r="D575" s="6" t="str">
        <v>SBI Liquid Fund Direct Growth</v>
      </c>
      <c r="E575" s="6" t="str">
        <v>DIRECT</v>
      </c>
      <c r="F575" s="6" t="str">
        <v>CAMS</v>
      </c>
      <c r="G575" s="6">
        <v>119598</v>
      </c>
      <c r="H575" s="6">
        <v>42333</v>
      </c>
      <c r="I575" s="6" t="str">
        <v>Purchase - SIP</v>
      </c>
      <c r="J575" s="5">
        <v>5000</v>
      </c>
      <c r="K575" s="5">
        <v>184.77</v>
      </c>
      <c r="L575" s="5">
        <v>27.060600000000001</v>
      </c>
      <c r="M575" s="5">
        <v>13466.932000000001</v>
      </c>
      <c r="N575" s="5" t="str">
        <v>PURCHASE_SIP</v>
      </c>
      <c r="O575" s="5">
        <v>0</v>
      </c>
    </row>
    <row r="576" spans="1:15" ht="17" x14ac:dyDescent="0.2">
      <c r="A576" s="5" t="str">
        <v>SBI Mutual Fund</v>
      </c>
      <c r="B576" s="5" t="str">
        <v>AAAA9992</v>
      </c>
      <c r="C576" s="5" t="str">
        <v>AAAAA1111A</v>
      </c>
      <c r="D576" s="6" t="str">
        <v>SBI Liquid Fund Direct Growth</v>
      </c>
      <c r="E576" s="6" t="str">
        <v>DIRECT</v>
      </c>
      <c r="F576" s="6" t="str">
        <v>CAMS</v>
      </c>
      <c r="G576" s="6">
        <v>119598</v>
      </c>
      <c r="H576" s="6">
        <v>42363</v>
      </c>
      <c r="I576" s="6" t="str">
        <v>Purchase - SIP</v>
      </c>
      <c r="J576" s="5">
        <v>5000</v>
      </c>
      <c r="K576" s="5">
        <v>180.166</v>
      </c>
      <c r="L576" s="5">
        <v>27.752199999999998</v>
      </c>
      <c r="M576" s="5">
        <v>13647.098</v>
      </c>
      <c r="N576" s="5" t="str">
        <v>PURCHASE_SIP</v>
      </c>
      <c r="O576" s="5">
        <v>0</v>
      </c>
    </row>
    <row r="577" spans="1:15" ht="17" x14ac:dyDescent="0.2">
      <c r="A577" s="5" t="str">
        <v>SBI Mutual Fund</v>
      </c>
      <c r="B577" s="5" t="str">
        <v>AAAA9992</v>
      </c>
      <c r="C577" s="5" t="str">
        <v>AAAAA1111A</v>
      </c>
      <c r="D577" s="6" t="str">
        <v>SBI Liquid Fund Direct Growth</v>
      </c>
      <c r="E577" s="6" t="str">
        <v>DIRECT</v>
      </c>
      <c r="F577" s="6" t="str">
        <v>CAMS</v>
      </c>
      <c r="G577" s="6">
        <v>119598</v>
      </c>
      <c r="H577" s="6">
        <v>42393</v>
      </c>
      <c r="I577" s="6" t="str">
        <v>Purchase - SIP</v>
      </c>
      <c r="J577" s="5">
        <v>5000</v>
      </c>
      <c r="K577" s="5">
        <v>181.631</v>
      </c>
      <c r="L577" s="5">
        <v>27.528400000000001</v>
      </c>
      <c r="M577" s="5">
        <v>13828.728999999999</v>
      </c>
      <c r="N577" s="5" t="str">
        <v>PURCHASE_SIP</v>
      </c>
      <c r="O577" s="5">
        <v>0</v>
      </c>
    </row>
    <row r="578" spans="1:15" ht="17" x14ac:dyDescent="0.2">
      <c r="A578" s="5" t="str">
        <v>SBI Mutual Fund</v>
      </c>
      <c r="B578" s="5" t="str">
        <v>AAAA9992</v>
      </c>
      <c r="C578" s="5" t="str">
        <v>AAAAA1111A</v>
      </c>
      <c r="D578" s="6" t="str">
        <v>SBI Liquid Fund Direct Growth</v>
      </c>
      <c r="E578" s="6" t="str">
        <v>DIRECT</v>
      </c>
      <c r="F578" s="6" t="str">
        <v>CAMS</v>
      </c>
      <c r="G578" s="6">
        <v>119598</v>
      </c>
      <c r="H578" s="6">
        <v>42423</v>
      </c>
      <c r="I578" s="6" t="str">
        <v>Purchase - SIP</v>
      </c>
      <c r="J578" s="5">
        <v>5000</v>
      </c>
      <c r="K578" s="5">
        <v>181.96299999999999</v>
      </c>
      <c r="L578" s="5">
        <v>27.478200000000001</v>
      </c>
      <c r="M578" s="5">
        <v>14010.691000000001</v>
      </c>
      <c r="N578" s="5" t="str">
        <v>PURCHASE_SIP</v>
      </c>
      <c r="O578" s="5">
        <v>0</v>
      </c>
    </row>
    <row r="579" spans="1:15" ht="17" x14ac:dyDescent="0.2">
      <c r="A579" s="5" t="str">
        <v>SBI Mutual Fund</v>
      </c>
      <c r="B579" s="5" t="str">
        <v>AAAA9992</v>
      </c>
      <c r="C579" s="5" t="str">
        <v>AAAAA1111A</v>
      </c>
      <c r="D579" s="6" t="str">
        <v>SBI Liquid Fund Direct Growth</v>
      </c>
      <c r="E579" s="6" t="str">
        <v>DIRECT</v>
      </c>
      <c r="F579" s="6" t="str">
        <v>CAMS</v>
      </c>
      <c r="G579" s="6">
        <v>119598</v>
      </c>
      <c r="H579" s="6">
        <v>42453</v>
      </c>
      <c r="I579" s="6" t="str">
        <v>Purchase - SIP</v>
      </c>
      <c r="J579" s="5">
        <v>5000</v>
      </c>
      <c r="K579" s="5">
        <v>179.11799999999999</v>
      </c>
      <c r="L579" s="5">
        <v>27.9145</v>
      </c>
      <c r="M579" s="5">
        <v>14189.808999999999</v>
      </c>
      <c r="N579" s="5" t="str">
        <v>PURCHASE_SIP</v>
      </c>
      <c r="O579" s="5">
        <v>0</v>
      </c>
    </row>
    <row r="580" spans="1:15" ht="17" x14ac:dyDescent="0.2">
      <c r="A580" s="5" t="str">
        <v>SBI Mutual Fund</v>
      </c>
      <c r="B580" s="5" t="str">
        <v>AAAA9992</v>
      </c>
      <c r="C580" s="5" t="str">
        <v>AAAAA1111A</v>
      </c>
      <c r="D580" s="6" t="str">
        <v>SBI Liquid Fund Direct Growth</v>
      </c>
      <c r="E580" s="6" t="str">
        <v>DIRECT</v>
      </c>
      <c r="F580" s="6" t="str">
        <v>CAMS</v>
      </c>
      <c r="G580" s="6">
        <v>119598</v>
      </c>
      <c r="H580" s="6">
        <v>42483</v>
      </c>
      <c r="I580" s="6" t="str">
        <v>Purchase - SIP</v>
      </c>
      <c r="J580" s="5">
        <v>5000</v>
      </c>
      <c r="K580" s="5">
        <v>175.69</v>
      </c>
      <c r="L580" s="5">
        <v>28.459299999999999</v>
      </c>
      <c r="M580" s="5">
        <v>14365.499</v>
      </c>
      <c r="N580" s="5" t="str">
        <v>PURCHASE_SIP</v>
      </c>
      <c r="O580" s="5">
        <v>0</v>
      </c>
    </row>
    <row r="581" spans="1:15" ht="17" x14ac:dyDescent="0.2">
      <c r="A581" s="5" t="str">
        <v>SBI Mutual Fund</v>
      </c>
      <c r="B581" s="5" t="str">
        <v>AAAA9992</v>
      </c>
      <c r="C581" s="5" t="str">
        <v>AAAAA1111A</v>
      </c>
      <c r="D581" s="6" t="str">
        <v>SBI Liquid Fund Direct Growth</v>
      </c>
      <c r="E581" s="6" t="str">
        <v>DIRECT</v>
      </c>
      <c r="F581" s="6" t="str">
        <v>CAMS</v>
      </c>
      <c r="G581" s="6">
        <v>119598</v>
      </c>
      <c r="H581" s="6">
        <v>42513</v>
      </c>
      <c r="I581" s="6" t="str">
        <v>Purchase - SIP</v>
      </c>
      <c r="J581" s="5">
        <v>5000</v>
      </c>
      <c r="K581" s="5">
        <v>173.119</v>
      </c>
      <c r="L581" s="5">
        <v>28.881900000000002</v>
      </c>
      <c r="M581" s="5">
        <v>14538.617</v>
      </c>
      <c r="N581" s="5" t="str">
        <v>PURCHASE_SIP</v>
      </c>
      <c r="O581" s="5">
        <v>0</v>
      </c>
    </row>
    <row r="582" spans="1:15" ht="17" x14ac:dyDescent="0.2">
      <c r="A582" s="5" t="str">
        <v>SBI Mutual Fund</v>
      </c>
      <c r="B582" s="5" t="str">
        <v>AAAA9992</v>
      </c>
      <c r="C582" s="5" t="str">
        <v>AAAAA1111A</v>
      </c>
      <c r="D582" s="6" t="str">
        <v>SBI Liquid Fund Direct Growth</v>
      </c>
      <c r="E582" s="6" t="str">
        <v>DIRECT</v>
      </c>
      <c r="F582" s="6" t="str">
        <v>CAMS</v>
      </c>
      <c r="G582" s="6">
        <v>119598</v>
      </c>
      <c r="H582" s="6">
        <v>42543</v>
      </c>
      <c r="I582" s="6" t="str">
        <v>Purchase - SIP</v>
      </c>
      <c r="J582" s="5">
        <v>5000</v>
      </c>
      <c r="K582" s="5">
        <v>175.14500000000001</v>
      </c>
      <c r="L582" s="5">
        <v>28.547699999999999</v>
      </c>
      <c r="M582" s="5">
        <v>14713.763000000001</v>
      </c>
      <c r="N582" s="5" t="str">
        <v>PURCHASE_SIP</v>
      </c>
      <c r="O582" s="5">
        <v>0</v>
      </c>
    </row>
    <row r="583" spans="1:15" ht="17" x14ac:dyDescent="0.2">
      <c r="A583" s="5" t="str">
        <v>SBI Mutual Fund</v>
      </c>
      <c r="B583" s="5" t="str">
        <v>AAAA9992</v>
      </c>
      <c r="C583" s="5" t="str">
        <v>AAAAA1111A</v>
      </c>
      <c r="D583" s="6" t="str">
        <v>SBI Liquid Fund Direct Growth</v>
      </c>
      <c r="E583" s="6" t="str">
        <v>DIRECT</v>
      </c>
      <c r="F583" s="6" t="str">
        <v>CAMS</v>
      </c>
      <c r="G583" s="6">
        <v>119598</v>
      </c>
      <c r="H583" s="6">
        <v>42543</v>
      </c>
      <c r="I583" s="6" t="str">
        <v>STAMP DUTY</v>
      </c>
      <c r="J583" s="5">
        <v>2.5</v>
      </c>
      <c r="K583" s="5">
        <v>0</v>
      </c>
      <c r="L583" s="5">
        <v>0</v>
      </c>
      <c r="M583" s="5">
        <v>14713.763000000001</v>
      </c>
      <c r="N583" s="5" t="str">
        <v>STAMP_DUTY</v>
      </c>
      <c r="O583" s="5">
        <v>0</v>
      </c>
    </row>
    <row r="584" spans="1:15" ht="17" x14ac:dyDescent="0.2">
      <c r="A584" s="5" t="str">
        <v>SBI Mutual Fund</v>
      </c>
      <c r="B584" s="5" t="str">
        <v>AAAA9992</v>
      </c>
      <c r="C584" s="5" t="str">
        <v>AAAAA1111A</v>
      </c>
      <c r="D584" s="6" t="str">
        <v>SBI Liquid Fund Direct Growth</v>
      </c>
      <c r="E584" s="6" t="str">
        <v>DIRECT</v>
      </c>
      <c r="F584" s="6" t="str">
        <v>CAMS</v>
      </c>
      <c r="G584" s="6">
        <v>119598</v>
      </c>
      <c r="H584" s="6">
        <v>42573</v>
      </c>
      <c r="I584" s="6" t="str">
        <v>Purchase - SIP</v>
      </c>
      <c r="J584" s="5">
        <v>5000</v>
      </c>
      <c r="K584" s="5">
        <v>176.79599999999999</v>
      </c>
      <c r="L584" s="5">
        <v>28.281199999999998</v>
      </c>
      <c r="M584" s="5">
        <v>14890.558000000001</v>
      </c>
      <c r="N584" s="5" t="str">
        <v>PURCHASE_SIP</v>
      </c>
      <c r="O584" s="5">
        <v>0</v>
      </c>
    </row>
    <row r="585" spans="1:15" ht="17" x14ac:dyDescent="0.2">
      <c r="A585" s="5" t="str">
        <v>SBI Mutual Fund</v>
      </c>
      <c r="B585" s="5" t="str">
        <v>AAAA9992</v>
      </c>
      <c r="C585" s="5" t="str">
        <v>AAAAA1111A</v>
      </c>
      <c r="D585" s="6" t="str">
        <v>SBI Liquid Fund Direct Growth</v>
      </c>
      <c r="E585" s="6" t="str">
        <v>DIRECT</v>
      </c>
      <c r="F585" s="6" t="str">
        <v>CAMS</v>
      </c>
      <c r="G585" s="6">
        <v>119598</v>
      </c>
      <c r="H585" s="6">
        <v>42603</v>
      </c>
      <c r="I585" s="6" t="str">
        <v>Purchase - SIP</v>
      </c>
      <c r="J585" s="5">
        <v>5000</v>
      </c>
      <c r="K585" s="5">
        <v>176.66300000000001</v>
      </c>
      <c r="L585" s="5">
        <v>28.302399999999999</v>
      </c>
      <c r="M585" s="5">
        <v>15067.222</v>
      </c>
      <c r="N585" s="5" t="str">
        <v>PURCHASE_SIP</v>
      </c>
      <c r="O585" s="5">
        <v>0</v>
      </c>
    </row>
    <row r="586" spans="1:15" ht="17" x14ac:dyDescent="0.2">
      <c r="A586" s="5" t="str">
        <v>SBI Mutual Fund</v>
      </c>
      <c r="B586" s="5" t="str">
        <v>AAAA9992</v>
      </c>
      <c r="C586" s="5" t="str">
        <v>AAAAA1111A</v>
      </c>
      <c r="D586" s="6" t="str">
        <v>SBI Liquid Fund Direct Growth</v>
      </c>
      <c r="E586" s="6" t="str">
        <v>DIRECT</v>
      </c>
      <c r="F586" s="6" t="str">
        <v>CAMS</v>
      </c>
      <c r="G586" s="6">
        <v>119598</v>
      </c>
      <c r="H586" s="6">
        <v>42633</v>
      </c>
      <c r="I586" s="6" t="str">
        <v>Purchase - SIP</v>
      </c>
      <c r="J586" s="5">
        <v>5000</v>
      </c>
      <c r="K586" s="5">
        <v>171.554</v>
      </c>
      <c r="L586" s="5">
        <v>29.145399999999999</v>
      </c>
      <c r="M586" s="5">
        <v>15238.775</v>
      </c>
      <c r="N586" s="5" t="str">
        <v>PURCHASE_SIP</v>
      </c>
      <c r="O586" s="5">
        <v>0</v>
      </c>
    </row>
    <row r="587" spans="1:15" ht="17" x14ac:dyDescent="0.2">
      <c r="A587" s="5" t="str">
        <v>SBI Mutual Fund</v>
      </c>
      <c r="B587" s="5" t="str">
        <v>AAAA9992</v>
      </c>
      <c r="C587" s="5" t="str">
        <v>AAAAA1111A</v>
      </c>
      <c r="D587" s="6" t="str">
        <v>SBI Liquid Fund Direct Growth</v>
      </c>
      <c r="E587" s="6" t="str">
        <v>DIRECT</v>
      </c>
      <c r="F587" s="6" t="str">
        <v>CAMS</v>
      </c>
      <c r="G587" s="6">
        <v>119598</v>
      </c>
      <c r="H587" s="6">
        <v>42633</v>
      </c>
      <c r="I587" s="6" t="str">
        <v>STAMP DUTY</v>
      </c>
      <c r="J587" s="5">
        <v>2.5</v>
      </c>
      <c r="K587" s="5">
        <v>0</v>
      </c>
      <c r="L587" s="5">
        <v>0</v>
      </c>
      <c r="M587" s="5">
        <v>15238.775</v>
      </c>
      <c r="N587" s="5" t="str">
        <v>STAMP_DUTY</v>
      </c>
      <c r="O587" s="5">
        <v>0</v>
      </c>
    </row>
    <row r="588" spans="1:15" ht="17" x14ac:dyDescent="0.2">
      <c r="A588" s="5" t="str">
        <v>SBI Mutual Fund</v>
      </c>
      <c r="B588" s="5" t="str">
        <v>AAAA9992</v>
      </c>
      <c r="C588" s="5" t="str">
        <v>AAAAA1111A</v>
      </c>
      <c r="D588" s="6" t="str">
        <v>SBI Liquid Fund Direct Growth</v>
      </c>
      <c r="E588" s="6" t="str">
        <v>DIRECT</v>
      </c>
      <c r="F588" s="6" t="str">
        <v>CAMS</v>
      </c>
      <c r="G588" s="6">
        <v>119598</v>
      </c>
      <c r="H588" s="6">
        <v>42663</v>
      </c>
      <c r="I588" s="6" t="str">
        <v>Purchase - SIP</v>
      </c>
      <c r="J588" s="5">
        <v>5000</v>
      </c>
      <c r="K588" s="5">
        <v>171.428</v>
      </c>
      <c r="L588" s="5">
        <v>29.166699999999999</v>
      </c>
      <c r="M588" s="5">
        <v>15410.204</v>
      </c>
      <c r="N588" s="5" t="str">
        <v>PURCHASE_SIP</v>
      </c>
      <c r="O588" s="5">
        <v>0</v>
      </c>
    </row>
    <row r="589" spans="1:15" ht="17" x14ac:dyDescent="0.2">
      <c r="A589" s="5" t="str">
        <v>SBI Mutual Fund</v>
      </c>
      <c r="B589" s="5" t="str">
        <v>AAAA9992</v>
      </c>
      <c r="C589" s="5" t="str">
        <v>AAAAA1111A</v>
      </c>
      <c r="D589" s="6" t="str">
        <v>SBI Liquid Fund Direct Growth</v>
      </c>
      <c r="E589" s="6" t="str">
        <v>DIRECT</v>
      </c>
      <c r="F589" s="6" t="str">
        <v>CAMS</v>
      </c>
      <c r="G589" s="6">
        <v>119598</v>
      </c>
      <c r="H589" s="6">
        <v>42693</v>
      </c>
      <c r="I589" s="6" t="str">
        <v>Purchase - SIP</v>
      </c>
      <c r="J589" s="5">
        <v>5000</v>
      </c>
      <c r="K589" s="5">
        <v>169.065</v>
      </c>
      <c r="L589" s="5">
        <v>29.5745</v>
      </c>
      <c r="M589" s="5">
        <v>15579.268</v>
      </c>
      <c r="N589" s="5" t="str">
        <v>PURCHASE_SIP</v>
      </c>
      <c r="O589" s="5">
        <v>0</v>
      </c>
    </row>
    <row r="590" spans="1:15" ht="17" x14ac:dyDescent="0.2">
      <c r="A590" s="5" t="str">
        <v>SBI Mutual Fund</v>
      </c>
      <c r="B590" s="5" t="str">
        <v>AAAA9992</v>
      </c>
      <c r="C590" s="5" t="str">
        <v>AAAAA1111A</v>
      </c>
      <c r="D590" s="6" t="str">
        <v>SBI Liquid Fund Direct Growth</v>
      </c>
      <c r="E590" s="6" t="str">
        <v>DIRECT</v>
      </c>
      <c r="F590" s="6" t="str">
        <v>CAMS</v>
      </c>
      <c r="G590" s="6">
        <v>119598</v>
      </c>
      <c r="H590" s="6">
        <v>42723</v>
      </c>
      <c r="I590" s="6" t="str">
        <v>Purchase - SIP</v>
      </c>
      <c r="J590" s="5">
        <v>5000</v>
      </c>
      <c r="K590" s="5">
        <v>165.179</v>
      </c>
      <c r="L590" s="5">
        <v>30.270099999999999</v>
      </c>
      <c r="M590" s="5">
        <v>15744.448</v>
      </c>
      <c r="N590" s="5" t="str">
        <v>PURCHASE_SIP</v>
      </c>
      <c r="O590" s="5">
        <v>0</v>
      </c>
    </row>
    <row r="591" spans="1:15" ht="17" x14ac:dyDescent="0.2">
      <c r="A591" s="5" t="str">
        <v>SBI Mutual Fund</v>
      </c>
      <c r="B591" s="5" t="str">
        <v>AAAA9992</v>
      </c>
      <c r="C591" s="5" t="str">
        <v>AAAAA1111A</v>
      </c>
      <c r="D591" s="6" t="str">
        <v>SBI Liquid Fund Direct Growth</v>
      </c>
      <c r="E591" s="6" t="str">
        <v>DIRECT</v>
      </c>
      <c r="F591" s="6" t="str">
        <v>CAMS</v>
      </c>
      <c r="G591" s="6">
        <v>119598</v>
      </c>
      <c r="H591" s="6">
        <v>42723</v>
      </c>
      <c r="I591" s="6" t="str">
        <v>STT TAX</v>
      </c>
      <c r="J591" s="5">
        <v>2.5</v>
      </c>
      <c r="K591" s="5">
        <v>0</v>
      </c>
      <c r="L591" s="5">
        <v>0</v>
      </c>
      <c r="M591" s="5">
        <v>15744.448</v>
      </c>
      <c r="N591" s="5" t="str">
        <v>STT_TAX</v>
      </c>
      <c r="O591" s="5">
        <v>0</v>
      </c>
    </row>
    <row r="592" spans="1:15" ht="17" x14ac:dyDescent="0.2">
      <c r="A592" s="5" t="str">
        <v>SBI Mutual Fund</v>
      </c>
      <c r="B592" s="5" t="str">
        <v>AAAA9992</v>
      </c>
      <c r="C592" s="5" t="str">
        <v>AAAAA1111A</v>
      </c>
      <c r="D592" s="6" t="str">
        <v>SBI Liquid Fund Direct Growth</v>
      </c>
      <c r="E592" s="6" t="str">
        <v>DIRECT</v>
      </c>
      <c r="F592" s="6" t="str">
        <v>CAMS</v>
      </c>
      <c r="G592" s="6">
        <v>119598</v>
      </c>
      <c r="H592" s="6">
        <v>42753</v>
      </c>
      <c r="I592" s="6" t="str">
        <v>Purchase - SIP</v>
      </c>
      <c r="J592" s="5">
        <v>5000</v>
      </c>
      <c r="K592" s="5">
        <v>168.36799999999999</v>
      </c>
      <c r="L592" s="5">
        <v>29.6968</v>
      </c>
      <c r="M592" s="5">
        <v>15912.816000000001</v>
      </c>
      <c r="N592" s="5" t="str">
        <v>PURCHASE_SIP</v>
      </c>
      <c r="O592" s="5">
        <v>0</v>
      </c>
    </row>
    <row r="593" spans="1:15" ht="17" x14ac:dyDescent="0.2">
      <c r="A593" s="5" t="str">
        <v>SBI Mutual Fund</v>
      </c>
      <c r="B593" s="5" t="str">
        <v>AAAA9992</v>
      </c>
      <c r="C593" s="5" t="str">
        <v>AAAAA1111A</v>
      </c>
      <c r="D593" s="6" t="str">
        <v>SBI Liquid Fund Direct Growth</v>
      </c>
      <c r="E593" s="6" t="str">
        <v>DIRECT</v>
      </c>
      <c r="F593" s="6" t="str">
        <v>CAMS</v>
      </c>
      <c r="G593" s="6">
        <v>119598</v>
      </c>
      <c r="H593" s="6">
        <v>42783</v>
      </c>
      <c r="I593" s="6" t="str">
        <v>Purchase - SIP</v>
      </c>
      <c r="J593" s="5">
        <v>5000</v>
      </c>
      <c r="K593" s="5">
        <v>169.773</v>
      </c>
      <c r="L593" s="5">
        <v>29.4511</v>
      </c>
      <c r="M593" s="5">
        <v>16082.589</v>
      </c>
      <c r="N593" s="5" t="str">
        <v>PURCHASE_SIP</v>
      </c>
      <c r="O593" s="5">
        <v>0</v>
      </c>
    </row>
    <row r="594" spans="1:15" ht="17" x14ac:dyDescent="0.2">
      <c r="A594" s="5" t="str">
        <v>SBI Mutual Fund</v>
      </c>
      <c r="B594" s="5" t="str">
        <v>AAAA9992</v>
      </c>
      <c r="C594" s="5" t="str">
        <v>AAAAA1111A</v>
      </c>
      <c r="D594" s="6" t="str">
        <v>SBI Liquid Fund Direct Growth</v>
      </c>
      <c r="E594" s="6" t="str">
        <v>DIRECT</v>
      </c>
      <c r="F594" s="6" t="str">
        <v>CAMS</v>
      </c>
      <c r="G594" s="6">
        <v>119598</v>
      </c>
      <c r="H594" s="6">
        <v>42783</v>
      </c>
      <c r="I594" s="6" t="str">
        <v>STAMP DUTY</v>
      </c>
      <c r="J594" s="5">
        <v>2.5</v>
      </c>
      <c r="K594" s="5">
        <v>0</v>
      </c>
      <c r="L594" s="5">
        <v>0</v>
      </c>
      <c r="M594" s="5">
        <v>16082.589</v>
      </c>
      <c r="N594" s="5" t="str">
        <v>STAMP_DUTY</v>
      </c>
      <c r="O594" s="5">
        <v>0</v>
      </c>
    </row>
    <row r="595" spans="1:15" ht="17" x14ac:dyDescent="0.2">
      <c r="A595" s="5" t="str">
        <v>SBI Mutual Fund</v>
      </c>
      <c r="B595" s="5" t="str">
        <v>AAAA9992</v>
      </c>
      <c r="C595" s="5" t="str">
        <v>AAAAA1111A</v>
      </c>
      <c r="D595" s="6" t="str">
        <v>SBI Liquid Fund Direct Growth</v>
      </c>
      <c r="E595" s="6" t="str">
        <v>DIRECT</v>
      </c>
      <c r="F595" s="6" t="str">
        <v>CAMS</v>
      </c>
      <c r="G595" s="6">
        <v>119598</v>
      </c>
      <c r="H595" s="6">
        <v>42813</v>
      </c>
      <c r="I595" s="6" t="str">
        <v>Purchase - SIP</v>
      </c>
      <c r="J595" s="5">
        <v>5000</v>
      </c>
      <c r="K595" s="5">
        <v>169.86099999999999</v>
      </c>
      <c r="L595" s="5">
        <v>29.4359</v>
      </c>
      <c r="M595" s="5">
        <v>16252.45</v>
      </c>
      <c r="N595" s="5" t="str">
        <v>PURCHASE_SIP</v>
      </c>
      <c r="O595" s="5">
        <v>0</v>
      </c>
    </row>
    <row r="596" spans="1:15" ht="17" x14ac:dyDescent="0.2">
      <c r="A596" s="5" t="str">
        <v>SBI Mutual Fund</v>
      </c>
      <c r="B596" s="5" t="str">
        <v>AAAA9992</v>
      </c>
      <c r="C596" s="5" t="str">
        <v>AAAAA1111A</v>
      </c>
      <c r="D596" s="6" t="str">
        <v>SBI Liquid Fund Direct Growth</v>
      </c>
      <c r="E596" s="6" t="str">
        <v>DIRECT</v>
      </c>
      <c r="F596" s="6" t="str">
        <v>CAMS</v>
      </c>
      <c r="G596" s="6">
        <v>119598</v>
      </c>
      <c r="H596" s="6">
        <v>42843</v>
      </c>
      <c r="I596" s="6" t="str">
        <v>Purchase - SIP</v>
      </c>
      <c r="J596" s="5">
        <v>5000</v>
      </c>
      <c r="K596" s="5">
        <v>169.37</v>
      </c>
      <c r="L596" s="5">
        <v>29.521100000000001</v>
      </c>
      <c r="M596" s="5">
        <v>16421.82</v>
      </c>
      <c r="N596" s="5" t="str">
        <v>PURCHASE_SIP</v>
      </c>
      <c r="O596" s="5">
        <v>0</v>
      </c>
    </row>
    <row r="597" spans="1:15" ht="17" x14ac:dyDescent="0.2">
      <c r="A597" s="5" t="str">
        <v>SBI Mutual Fund</v>
      </c>
      <c r="B597" s="5" t="str">
        <v>AAAA9992</v>
      </c>
      <c r="C597" s="5" t="str">
        <v>AAAAA1111A</v>
      </c>
      <c r="D597" s="6" t="str">
        <v>SBI Liquid Fund Direct Growth</v>
      </c>
      <c r="E597" s="6" t="str">
        <v>DIRECT</v>
      </c>
      <c r="F597" s="6" t="str">
        <v>CAMS</v>
      </c>
      <c r="G597" s="6">
        <v>119598</v>
      </c>
      <c r="H597" s="6">
        <v>42873</v>
      </c>
      <c r="I597" s="6" t="str">
        <v>Purchase - SIP</v>
      </c>
      <c r="J597" s="5">
        <v>5000</v>
      </c>
      <c r="K597" s="5">
        <v>169.148</v>
      </c>
      <c r="L597" s="5">
        <v>29.559799999999999</v>
      </c>
      <c r="M597" s="5">
        <v>16590.969000000001</v>
      </c>
      <c r="N597" s="5" t="str">
        <v>PURCHASE_SIP</v>
      </c>
      <c r="O597" s="5">
        <v>0</v>
      </c>
    </row>
    <row r="598" spans="1:15" ht="17" x14ac:dyDescent="0.2">
      <c r="A598" s="5" t="str">
        <v>SBI Mutual Fund</v>
      </c>
      <c r="B598" s="5" t="str">
        <v>AAAA9992</v>
      </c>
      <c r="C598" s="5" t="str">
        <v>AAAAA1111A</v>
      </c>
      <c r="D598" s="6" t="str">
        <v>SBI Liquid Fund Direct Growth</v>
      </c>
      <c r="E598" s="6" t="str">
        <v>DIRECT</v>
      </c>
      <c r="F598" s="6" t="str">
        <v>CAMS</v>
      </c>
      <c r="G598" s="6">
        <v>119598</v>
      </c>
      <c r="H598" s="6">
        <v>42903</v>
      </c>
      <c r="I598" s="6" t="str">
        <v>Purchase - SIP</v>
      </c>
      <c r="J598" s="5">
        <v>5000</v>
      </c>
      <c r="K598" s="5">
        <v>170.18100000000001</v>
      </c>
      <c r="L598" s="5">
        <v>29.380500000000001</v>
      </c>
      <c r="M598" s="5">
        <v>16761.149000000001</v>
      </c>
      <c r="N598" s="5" t="str">
        <v>PURCHASE_SIP</v>
      </c>
      <c r="O598" s="5">
        <v>0</v>
      </c>
    </row>
    <row r="599" spans="1:15" ht="17" x14ac:dyDescent="0.2">
      <c r="A599" s="5" t="str">
        <v>SBI Mutual Fund</v>
      </c>
      <c r="B599" s="5" t="str">
        <v>AAAA9992</v>
      </c>
      <c r="C599" s="5" t="str">
        <v>AAAAA1111A</v>
      </c>
      <c r="D599" s="6" t="str">
        <v>SBI Liquid Fund Direct Growth</v>
      </c>
      <c r="E599" s="6" t="str">
        <v>DIRECT</v>
      </c>
      <c r="F599" s="6" t="str">
        <v>CAMS</v>
      </c>
      <c r="G599" s="6">
        <v>119598</v>
      </c>
      <c r="H599" s="6">
        <v>42933</v>
      </c>
      <c r="I599" s="6" t="str">
        <v>Purchase - SIP</v>
      </c>
      <c r="J599" s="5">
        <v>5000</v>
      </c>
      <c r="K599" s="5">
        <v>167.31</v>
      </c>
      <c r="L599" s="5">
        <v>29.884699999999999</v>
      </c>
      <c r="M599" s="5">
        <v>16928.458999999999</v>
      </c>
      <c r="N599" s="5" t="str">
        <v>PURCHASE_SIP</v>
      </c>
      <c r="O599" s="5">
        <v>0</v>
      </c>
    </row>
    <row r="600" spans="1:15" ht="17" x14ac:dyDescent="0.2">
      <c r="A600" s="5" t="str">
        <v>SBI Mutual Fund</v>
      </c>
      <c r="B600" s="5" t="str">
        <v>AAAA9992</v>
      </c>
      <c r="C600" s="5" t="str">
        <v>AAAAA1111A</v>
      </c>
      <c r="D600" s="6" t="str">
        <v>SBI Liquid Fund Direct Growth</v>
      </c>
      <c r="E600" s="6" t="str">
        <v>DIRECT</v>
      </c>
      <c r="F600" s="6" t="str">
        <v>CAMS</v>
      </c>
      <c r="G600" s="6">
        <v>119598</v>
      </c>
      <c r="H600" s="6">
        <v>42963</v>
      </c>
      <c r="I600" s="6" t="str">
        <v>Purchase - SIP</v>
      </c>
      <c r="J600" s="5">
        <v>5000</v>
      </c>
      <c r="K600" s="5">
        <v>169.65299999999999</v>
      </c>
      <c r="L600" s="5">
        <v>29.471900000000002</v>
      </c>
      <c r="M600" s="5">
        <v>17098.112000000001</v>
      </c>
      <c r="N600" s="5" t="str">
        <v>PURCHASE_SIP</v>
      </c>
      <c r="O600" s="5">
        <v>0</v>
      </c>
    </row>
    <row r="601" spans="1:15" ht="17" x14ac:dyDescent="0.2">
      <c r="A601" s="5" t="str">
        <v>SBI Mutual Fund</v>
      </c>
      <c r="B601" s="5" t="str">
        <v>AAAA9992</v>
      </c>
      <c r="C601" s="5" t="str">
        <v>AAAAA1111A</v>
      </c>
      <c r="D601" s="6" t="str">
        <v>SBI Liquid Fund Direct Growth</v>
      </c>
      <c r="E601" s="6" t="str">
        <v>DIRECT</v>
      </c>
      <c r="F601" s="6" t="str">
        <v>CAMS</v>
      </c>
      <c r="G601" s="6">
        <v>119598</v>
      </c>
      <c r="H601" s="6">
        <v>42993</v>
      </c>
      <c r="I601" s="6" t="str">
        <v>Purchase - SIP</v>
      </c>
      <c r="J601" s="5">
        <v>5000</v>
      </c>
      <c r="K601" s="5">
        <v>172.916</v>
      </c>
      <c r="L601" s="5">
        <v>28.915700000000001</v>
      </c>
      <c r="M601" s="5">
        <v>17271.028999999999</v>
      </c>
      <c r="N601" s="5" t="str">
        <v>PURCHASE_SIP</v>
      </c>
      <c r="O601" s="5">
        <v>0</v>
      </c>
    </row>
    <row r="602" spans="1:15" ht="17" x14ac:dyDescent="0.2">
      <c r="A602" s="5" t="str">
        <v>SBI Mutual Fund</v>
      </c>
      <c r="B602" s="5" t="str">
        <v>AAAA9992</v>
      </c>
      <c r="C602" s="5" t="str">
        <v>AAAAA1111A</v>
      </c>
      <c r="D602" s="6" t="str">
        <v>SBI Liquid Fund Direct Growth</v>
      </c>
      <c r="E602" s="6" t="str">
        <v>DIRECT</v>
      </c>
      <c r="F602" s="6" t="str">
        <v>CAMS</v>
      </c>
      <c r="G602" s="6">
        <v>119598</v>
      </c>
      <c r="H602" s="6">
        <v>43023</v>
      </c>
      <c r="I602" s="6" t="str">
        <v>Purchase - SIP</v>
      </c>
      <c r="J602" s="5">
        <v>5000</v>
      </c>
      <c r="K602" s="5">
        <v>170.82599999999999</v>
      </c>
      <c r="L602" s="5">
        <v>29.269500000000001</v>
      </c>
      <c r="M602" s="5">
        <v>17441.855</v>
      </c>
      <c r="N602" s="5" t="str">
        <v>PURCHASE_SIP</v>
      </c>
      <c r="O602" s="5">
        <v>0</v>
      </c>
    </row>
    <row r="603" spans="1:15" ht="17" x14ac:dyDescent="0.2">
      <c r="A603" s="5" t="str">
        <v>SBI Mutual Fund</v>
      </c>
      <c r="B603" s="5" t="str">
        <v>AAAA9992</v>
      </c>
      <c r="C603" s="5" t="str">
        <v>AAAAA1111A</v>
      </c>
      <c r="D603" s="6" t="str">
        <v>SBI Liquid Fund Direct Growth</v>
      </c>
      <c r="E603" s="6" t="str">
        <v>DIRECT</v>
      </c>
      <c r="F603" s="6" t="str">
        <v>CAMS</v>
      </c>
      <c r="G603" s="6">
        <v>119598</v>
      </c>
      <c r="H603" s="6">
        <v>43053</v>
      </c>
      <c r="I603" s="6" t="str">
        <v>Purchase - SIP</v>
      </c>
      <c r="J603" s="5">
        <v>5000</v>
      </c>
      <c r="K603" s="5">
        <v>173.364</v>
      </c>
      <c r="L603" s="5">
        <v>28.841000000000001</v>
      </c>
      <c r="M603" s="5">
        <v>17615.219000000001</v>
      </c>
      <c r="N603" s="5" t="str">
        <v>PURCHASE_SIP</v>
      </c>
      <c r="O603" s="5">
        <v>0</v>
      </c>
    </row>
    <row r="604" spans="1:15" ht="17" x14ac:dyDescent="0.2">
      <c r="A604" s="5" t="str">
        <v>SBI Mutual Fund</v>
      </c>
      <c r="B604" s="5" t="str">
        <v>AAAA9992</v>
      </c>
      <c r="C604" s="5" t="str">
        <v>AAAAA1111A</v>
      </c>
      <c r="D604" s="6" t="str">
        <v>SBI Liquid Fund Direct Growth</v>
      </c>
      <c r="E604" s="6" t="str">
        <v>DIRECT</v>
      </c>
      <c r="F604" s="6" t="str">
        <v>CAMS</v>
      </c>
      <c r="G604" s="6">
        <v>119598</v>
      </c>
      <c r="H604" s="6">
        <v>43083</v>
      </c>
      <c r="I604" s="6" t="str">
        <v>Purchase - SIP</v>
      </c>
      <c r="J604" s="5">
        <v>5000</v>
      </c>
      <c r="K604" s="5">
        <v>171.626</v>
      </c>
      <c r="L604" s="5">
        <v>29.133099999999999</v>
      </c>
      <c r="M604" s="5">
        <v>17786.845000000001</v>
      </c>
      <c r="N604" s="5" t="str">
        <v>PURCHASE_SIP</v>
      </c>
      <c r="O604" s="5">
        <v>0</v>
      </c>
    </row>
    <row r="605" spans="1:15" ht="17" x14ac:dyDescent="0.2">
      <c r="A605" s="5" t="str">
        <v>SBI Mutual Fund</v>
      </c>
      <c r="B605" s="5" t="str">
        <v>AAAA9992</v>
      </c>
      <c r="C605" s="5" t="str">
        <v>AAAAA1111A</v>
      </c>
      <c r="D605" s="6" t="str">
        <v>SBI Liquid Fund Direct Growth</v>
      </c>
      <c r="E605" s="6" t="str">
        <v>DIRECT</v>
      </c>
      <c r="F605" s="6" t="str">
        <v>CAMS</v>
      </c>
      <c r="G605" s="6">
        <v>119598</v>
      </c>
      <c r="H605" s="6">
        <v>43113</v>
      </c>
      <c r="I605" s="6" t="str">
        <v>Purchase - SIP</v>
      </c>
      <c r="J605" s="5">
        <v>5000</v>
      </c>
      <c r="K605" s="5">
        <v>172.262</v>
      </c>
      <c r="L605" s="5">
        <v>29.025600000000001</v>
      </c>
      <c r="M605" s="5">
        <v>17959.107</v>
      </c>
      <c r="N605" s="5" t="str">
        <v>PURCHASE_SIP</v>
      </c>
      <c r="O605" s="5">
        <v>0</v>
      </c>
    </row>
    <row r="606" spans="1:15" ht="17" x14ac:dyDescent="0.2">
      <c r="A606" s="5" t="str">
        <v>SBI Mutual Fund</v>
      </c>
      <c r="B606" s="5" t="str">
        <v>AAAA9992</v>
      </c>
      <c r="C606" s="5" t="str">
        <v>AAAAA1111A</v>
      </c>
      <c r="D606" s="6" t="str">
        <v>SBI Liquid Fund Direct Growth</v>
      </c>
      <c r="E606" s="6" t="str">
        <v>DIRECT</v>
      </c>
      <c r="F606" s="6" t="str">
        <v>CAMS</v>
      </c>
      <c r="G606" s="6">
        <v>119598</v>
      </c>
      <c r="H606" s="6">
        <v>43143</v>
      </c>
      <c r="I606" s="6" t="str">
        <v>Purchase - SIP</v>
      </c>
      <c r="J606" s="5">
        <v>5000</v>
      </c>
      <c r="K606" s="5">
        <v>168.23699999999999</v>
      </c>
      <c r="L606" s="5">
        <v>29.719899999999999</v>
      </c>
      <c r="M606" s="5">
        <v>18127.344000000001</v>
      </c>
      <c r="N606" s="5" t="str">
        <v>PURCHASE_SIP</v>
      </c>
      <c r="O606" s="5">
        <v>0</v>
      </c>
    </row>
    <row r="607" spans="1:15" ht="17" x14ac:dyDescent="0.2">
      <c r="A607" s="5" t="str">
        <v>SBI Mutual Fund</v>
      </c>
      <c r="B607" s="5" t="str">
        <v>AAAA9992</v>
      </c>
      <c r="C607" s="5" t="str">
        <v>AAAAA1111A</v>
      </c>
      <c r="D607" s="6" t="str">
        <v>SBI Liquid Fund Direct Growth</v>
      </c>
      <c r="E607" s="6" t="str">
        <v>DIRECT</v>
      </c>
      <c r="F607" s="6" t="str">
        <v>CAMS</v>
      </c>
      <c r="G607" s="6">
        <v>119598</v>
      </c>
      <c r="H607" s="6">
        <v>43173</v>
      </c>
      <c r="I607" s="6" t="str">
        <v>Purchase - SIP</v>
      </c>
      <c r="J607" s="5">
        <v>5000</v>
      </c>
      <c r="K607" s="5">
        <v>168.785</v>
      </c>
      <c r="L607" s="5">
        <v>29.6235</v>
      </c>
      <c r="M607" s="5">
        <v>18296.129000000001</v>
      </c>
      <c r="N607" s="5" t="str">
        <v>PURCHASE_SIP</v>
      </c>
      <c r="O607" s="5">
        <v>0</v>
      </c>
    </row>
    <row r="608" spans="1:15" ht="17" x14ac:dyDescent="0.2">
      <c r="A608" s="5" t="str">
        <v>SBI Mutual Fund</v>
      </c>
      <c r="B608" s="5" t="str">
        <v>AAAA9992</v>
      </c>
      <c r="C608" s="5" t="str">
        <v>AAAAA1111A</v>
      </c>
      <c r="D608" s="6" t="str">
        <v>SBI Liquid Fund Direct Growth</v>
      </c>
      <c r="E608" s="6" t="str">
        <v>DIRECT</v>
      </c>
      <c r="F608" s="6" t="str">
        <v>CAMS</v>
      </c>
      <c r="G608" s="6">
        <v>119598</v>
      </c>
      <c r="H608" s="6">
        <v>43203</v>
      </c>
      <c r="I608" s="6" t="str">
        <v>Purchase - SIP</v>
      </c>
      <c r="J608" s="5">
        <v>5000</v>
      </c>
      <c r="K608" s="5">
        <v>169.67699999999999</v>
      </c>
      <c r="L608" s="5">
        <v>29.4678</v>
      </c>
      <c r="M608" s="5">
        <v>18465.806</v>
      </c>
      <c r="N608" s="5" t="str">
        <v>PURCHASE_SIP</v>
      </c>
      <c r="O608" s="5">
        <v>0</v>
      </c>
    </row>
    <row r="609" spans="1:15" ht="17" x14ac:dyDescent="0.2">
      <c r="A609" s="5" t="str">
        <v>SBI Mutual Fund</v>
      </c>
      <c r="B609" s="5" t="str">
        <v>AAAA9992</v>
      </c>
      <c r="C609" s="5" t="str">
        <v>AAAAA1111A</v>
      </c>
      <c r="D609" s="6" t="str">
        <v>SBI Liquid Fund Direct Growth</v>
      </c>
      <c r="E609" s="6" t="str">
        <v>DIRECT</v>
      </c>
      <c r="F609" s="6" t="str">
        <v>CAMS</v>
      </c>
      <c r="G609" s="6">
        <v>119598</v>
      </c>
      <c r="H609" s="6">
        <v>43233</v>
      </c>
      <c r="I609" s="6" t="str">
        <v>Purchase - SIP</v>
      </c>
      <c r="J609" s="5">
        <v>5000</v>
      </c>
      <c r="K609" s="5">
        <v>171.83199999999999</v>
      </c>
      <c r="L609" s="5">
        <v>29.098299999999998</v>
      </c>
      <c r="M609" s="5">
        <v>18637.637999999999</v>
      </c>
      <c r="N609" s="5" t="str">
        <v>PURCHASE_SIP</v>
      </c>
      <c r="O609" s="5">
        <v>0</v>
      </c>
    </row>
    <row r="610" spans="1:15" ht="17" x14ac:dyDescent="0.2">
      <c r="A610" s="5" t="str">
        <v>SBI Mutual Fund</v>
      </c>
      <c r="B610" s="5" t="str">
        <v>AAAA9992</v>
      </c>
      <c r="C610" s="5" t="str">
        <v>AAAAA1111A</v>
      </c>
      <c r="D610" s="6" t="str">
        <v>SBI Liquid Fund Direct Growth</v>
      </c>
      <c r="E610" s="6" t="str">
        <v>DIRECT</v>
      </c>
      <c r="F610" s="6" t="str">
        <v>CAMS</v>
      </c>
      <c r="G610" s="6">
        <v>119598</v>
      </c>
      <c r="H610" s="6">
        <v>43233</v>
      </c>
      <c r="I610" s="6" t="str">
        <v>STT TAX</v>
      </c>
      <c r="J610" s="5">
        <v>2.5</v>
      </c>
      <c r="K610" s="5">
        <v>0</v>
      </c>
      <c r="L610" s="5">
        <v>0</v>
      </c>
      <c r="M610" s="5">
        <v>18637.637999999999</v>
      </c>
      <c r="N610" s="5" t="str">
        <v>STT_TAX</v>
      </c>
      <c r="O610" s="5">
        <v>0</v>
      </c>
    </row>
    <row r="611" spans="1:15" ht="17" x14ac:dyDescent="0.2">
      <c r="A611" s="5" t="str">
        <v>SBI Mutual Fund</v>
      </c>
      <c r="B611" s="5" t="str">
        <v>AAAA9992</v>
      </c>
      <c r="C611" s="5" t="str">
        <v>AAAAA1111A</v>
      </c>
      <c r="D611" s="6" t="str">
        <v>SBI Liquid Fund Direct Growth</v>
      </c>
      <c r="E611" s="6" t="str">
        <v>DIRECT</v>
      </c>
      <c r="F611" s="6" t="str">
        <v>CAMS</v>
      </c>
      <c r="G611" s="6">
        <v>119598</v>
      </c>
      <c r="H611" s="6">
        <v>43263</v>
      </c>
      <c r="I611" s="6" t="str">
        <v>Purchase - SIP</v>
      </c>
      <c r="J611" s="5">
        <v>5000</v>
      </c>
      <c r="K611" s="5">
        <v>172.904</v>
      </c>
      <c r="L611" s="5">
        <v>28.9177</v>
      </c>
      <c r="M611" s="5">
        <v>18810.542000000001</v>
      </c>
      <c r="N611" s="5" t="str">
        <v>PURCHASE_SIP</v>
      </c>
      <c r="O611" s="5">
        <v>0</v>
      </c>
    </row>
    <row r="612" spans="1:15" ht="17" x14ac:dyDescent="0.2">
      <c r="A612" s="5" t="str">
        <v>SBI Mutual Fund</v>
      </c>
      <c r="B612" s="5" t="str">
        <v>AAAA9992</v>
      </c>
      <c r="C612" s="5" t="str">
        <v>AAAAA1111A</v>
      </c>
      <c r="D612" s="6" t="str">
        <v>SBI Liquid Fund Direct Growth</v>
      </c>
      <c r="E612" s="6" t="str">
        <v>DIRECT</v>
      </c>
      <c r="F612" s="6" t="str">
        <v>CAMS</v>
      </c>
      <c r="G612" s="6">
        <v>119598</v>
      </c>
      <c r="H612" s="6">
        <v>43293</v>
      </c>
      <c r="I612" s="6" t="str">
        <v>Purchase - SIP</v>
      </c>
      <c r="J612" s="5">
        <v>5000</v>
      </c>
      <c r="K612" s="5">
        <v>168.4</v>
      </c>
      <c r="L612" s="5">
        <v>29.691199999999998</v>
      </c>
      <c r="M612" s="5">
        <v>18978.941999999999</v>
      </c>
      <c r="N612" s="5" t="str">
        <v>PURCHASE_SIP</v>
      </c>
      <c r="O612" s="5">
        <v>0</v>
      </c>
    </row>
    <row r="613" spans="1:15" ht="17" x14ac:dyDescent="0.2">
      <c r="A613" s="5" t="str">
        <v>SBI Mutual Fund</v>
      </c>
      <c r="B613" s="5" t="str">
        <v>AAAA9992</v>
      </c>
      <c r="C613" s="5" t="str">
        <v>AAAAA1111A</v>
      </c>
      <c r="D613" s="6" t="str">
        <v>SBI Liquid Fund Direct Growth</v>
      </c>
      <c r="E613" s="6" t="str">
        <v>DIRECT</v>
      </c>
      <c r="F613" s="6" t="str">
        <v>CAMS</v>
      </c>
      <c r="G613" s="6">
        <v>119598</v>
      </c>
      <c r="H613" s="6">
        <v>43323</v>
      </c>
      <c r="I613" s="6" t="str">
        <v>Purchase - SIP</v>
      </c>
      <c r="J613" s="5">
        <v>5000</v>
      </c>
      <c r="K613" s="5">
        <v>170.495</v>
      </c>
      <c r="L613" s="5">
        <v>29.3264</v>
      </c>
      <c r="M613" s="5">
        <v>19149.437999999998</v>
      </c>
      <c r="N613" s="5" t="str">
        <v>PURCHASE_SIP</v>
      </c>
      <c r="O613" s="5">
        <v>0</v>
      </c>
    </row>
    <row r="614" spans="1:15" ht="17" x14ac:dyDescent="0.2">
      <c r="A614" s="5" t="str">
        <v>SBI Mutual Fund</v>
      </c>
      <c r="B614" s="5" t="str">
        <v>AAAA9992</v>
      </c>
      <c r="C614" s="5" t="str">
        <v>AAAAA1111A</v>
      </c>
      <c r="D614" s="6" t="str">
        <v>SBI Liquid Fund Direct Growth</v>
      </c>
      <c r="E614" s="6" t="str">
        <v>DIRECT</v>
      </c>
      <c r="F614" s="6" t="str">
        <v>CAMS</v>
      </c>
      <c r="G614" s="6">
        <v>119598</v>
      </c>
      <c r="H614" s="6">
        <v>43323</v>
      </c>
      <c r="I614" s="6" t="str">
        <v>STT TAX</v>
      </c>
      <c r="J614" s="5">
        <v>2.5</v>
      </c>
      <c r="K614" s="5">
        <v>0</v>
      </c>
      <c r="L614" s="5">
        <v>0</v>
      </c>
      <c r="M614" s="5">
        <v>19149.437999999998</v>
      </c>
      <c r="N614" s="5" t="str">
        <v>STT_TAX</v>
      </c>
      <c r="O614" s="5">
        <v>0</v>
      </c>
    </row>
    <row r="615" spans="1:15" ht="17" x14ac:dyDescent="0.2">
      <c r="A615" s="5" t="str">
        <v>SBI Mutual Fund</v>
      </c>
      <c r="B615" s="5" t="str">
        <v>AAAA9992</v>
      </c>
      <c r="C615" s="5" t="str">
        <v>AAAAA1111A</v>
      </c>
      <c r="D615" s="6" t="str">
        <v>SBI Liquid Fund Direct Growth</v>
      </c>
      <c r="E615" s="6" t="str">
        <v>DIRECT</v>
      </c>
      <c r="F615" s="6" t="str">
        <v>CAMS</v>
      </c>
      <c r="G615" s="6">
        <v>119598</v>
      </c>
      <c r="H615" s="6">
        <v>43353</v>
      </c>
      <c r="I615" s="6" t="str">
        <v>Purchase - SIP</v>
      </c>
      <c r="J615" s="5">
        <v>5000</v>
      </c>
      <c r="K615" s="5">
        <v>167.04300000000001</v>
      </c>
      <c r="L615" s="5">
        <v>29.932400000000001</v>
      </c>
      <c r="M615" s="5">
        <v>19316.481</v>
      </c>
      <c r="N615" s="5" t="str">
        <v>PURCHASE_SIP</v>
      </c>
      <c r="O615" s="5">
        <v>0</v>
      </c>
    </row>
    <row r="616" spans="1:15" ht="17" x14ac:dyDescent="0.2">
      <c r="A616" s="5" t="str">
        <v>SBI Mutual Fund</v>
      </c>
      <c r="B616" s="5" t="str">
        <v>AAAA9992</v>
      </c>
      <c r="C616" s="5" t="str">
        <v>AAAAA1111A</v>
      </c>
      <c r="D616" s="6" t="str">
        <v>SBI Liquid Fund Direct Growth</v>
      </c>
      <c r="E616" s="6" t="str">
        <v>DIRECT</v>
      </c>
      <c r="F616" s="6" t="str">
        <v>CAMS</v>
      </c>
      <c r="G616" s="6">
        <v>119598</v>
      </c>
      <c r="H616" s="6">
        <v>43353</v>
      </c>
      <c r="I616" s="6" t="str">
        <v>STT TAX</v>
      </c>
      <c r="J616" s="5">
        <v>2.5</v>
      </c>
      <c r="K616" s="5">
        <v>0</v>
      </c>
      <c r="L616" s="5">
        <v>0</v>
      </c>
      <c r="M616" s="5">
        <v>19316.481</v>
      </c>
      <c r="N616" s="5" t="str">
        <v>STT_TAX</v>
      </c>
      <c r="O616" s="5">
        <v>0</v>
      </c>
    </row>
    <row r="617" spans="1:15" ht="17" x14ac:dyDescent="0.2">
      <c r="A617" s="5" t="str">
        <v>SBI Mutual Fund</v>
      </c>
      <c r="B617" s="5" t="str">
        <v>AAAA9992</v>
      </c>
      <c r="C617" s="5" t="str">
        <v>AAAAA1111A</v>
      </c>
      <c r="D617" s="6" t="str">
        <v>SBI Liquid Fund Direct Growth</v>
      </c>
      <c r="E617" s="6" t="str">
        <v>DIRECT</v>
      </c>
      <c r="F617" s="6" t="str">
        <v>CAMS</v>
      </c>
      <c r="G617" s="6">
        <v>119598</v>
      </c>
      <c r="H617" s="6">
        <v>43383</v>
      </c>
      <c r="I617" s="6" t="str">
        <v>Purchase - SIP</v>
      </c>
      <c r="J617" s="5">
        <v>5000</v>
      </c>
      <c r="K617" s="5">
        <v>169.309</v>
      </c>
      <c r="L617" s="5">
        <v>29.5318</v>
      </c>
      <c r="M617" s="5">
        <v>19485.79</v>
      </c>
      <c r="N617" s="5" t="str">
        <v>PURCHASE_SIP</v>
      </c>
      <c r="O617" s="5">
        <v>0</v>
      </c>
    </row>
    <row r="618" spans="1:15" ht="17" x14ac:dyDescent="0.2">
      <c r="A618" s="5" t="str">
        <v>SBI Mutual Fund</v>
      </c>
      <c r="B618" s="5" t="str">
        <v>AAAA9992</v>
      </c>
      <c r="C618" s="5" t="str">
        <v>AAAAA1111A</v>
      </c>
      <c r="D618" s="6" t="str">
        <v>SBI Liquid Fund Direct Growth</v>
      </c>
      <c r="E618" s="6" t="str">
        <v>DIRECT</v>
      </c>
      <c r="F618" s="6" t="str">
        <v>CAMS</v>
      </c>
      <c r="G618" s="6">
        <v>119598</v>
      </c>
      <c r="H618" s="6">
        <v>43413</v>
      </c>
      <c r="I618" s="6" t="str">
        <v>Purchase - SIP</v>
      </c>
      <c r="J618" s="5">
        <v>5000</v>
      </c>
      <c r="K618" s="5">
        <v>165.51599999999999</v>
      </c>
      <c r="L618" s="5">
        <v>30.208600000000001</v>
      </c>
      <c r="M618" s="5">
        <v>19651.305</v>
      </c>
      <c r="N618" s="5" t="str">
        <v>PURCHASE_SIP</v>
      </c>
      <c r="O618" s="5">
        <v>0</v>
      </c>
    </row>
    <row r="619" spans="1:15" ht="17" x14ac:dyDescent="0.2">
      <c r="A619" s="5" t="str">
        <v>SBI Mutual Fund</v>
      </c>
      <c r="B619" s="5" t="str">
        <v>AAAA9992</v>
      </c>
      <c r="C619" s="5" t="str">
        <v>AAAAA1111A</v>
      </c>
      <c r="D619" s="6" t="str">
        <v>SBI Liquid Fund Direct Growth</v>
      </c>
      <c r="E619" s="6" t="str">
        <v>DIRECT</v>
      </c>
      <c r="F619" s="6" t="str">
        <v>CAMS</v>
      </c>
      <c r="G619" s="6">
        <v>119598</v>
      </c>
      <c r="H619" s="6">
        <v>43413</v>
      </c>
      <c r="I619" s="6" t="str">
        <v>STAMP DUTY</v>
      </c>
      <c r="J619" s="5">
        <v>2.5</v>
      </c>
      <c r="K619" s="5">
        <v>0</v>
      </c>
      <c r="L619" s="5">
        <v>0</v>
      </c>
      <c r="M619" s="5">
        <v>19651.305</v>
      </c>
      <c r="N619" s="5" t="str">
        <v>STAMP_DUTY</v>
      </c>
      <c r="O619" s="5">
        <v>0</v>
      </c>
    </row>
    <row r="620" spans="1:15" ht="17" x14ac:dyDescent="0.2">
      <c r="A620" s="5" t="str">
        <v>SBI Mutual Fund</v>
      </c>
      <c r="B620" s="5" t="str">
        <v>AAAA9992</v>
      </c>
      <c r="C620" s="5" t="str">
        <v>AAAAA1111A</v>
      </c>
      <c r="D620" s="6" t="str">
        <v>SBI Liquid Fund Direct Growth</v>
      </c>
      <c r="E620" s="6" t="str">
        <v>DIRECT</v>
      </c>
      <c r="F620" s="6" t="str">
        <v>CAMS</v>
      </c>
      <c r="G620" s="6">
        <v>119598</v>
      </c>
      <c r="H620" s="6">
        <v>43413</v>
      </c>
      <c r="I620" s="6" t="str">
        <v>Redemption</v>
      </c>
      <c r="J620" s="5">
        <v>-118727.77</v>
      </c>
      <c r="K620" s="5">
        <v>-3930.261</v>
      </c>
      <c r="L620" s="5">
        <v>30.208600000000001</v>
      </c>
      <c r="M620" s="5">
        <v>15721.044</v>
      </c>
      <c r="N620" s="5" t="str">
        <v>REDEMPTION</v>
      </c>
      <c r="O620" s="5">
        <v>0</v>
      </c>
    </row>
    <row r="621" spans="1:15" ht="17" x14ac:dyDescent="0.2">
      <c r="A621" s="5" t="str">
        <v>SBI Mutual Fund</v>
      </c>
      <c r="B621" s="5" t="str">
        <v>AAAA9992</v>
      </c>
      <c r="C621" s="5" t="str">
        <v>AAAAA1111A</v>
      </c>
      <c r="D621" s="6" t="str">
        <v>SBI Liquid Fund Direct Growth</v>
      </c>
      <c r="E621" s="6" t="str">
        <v>DIRECT</v>
      </c>
      <c r="F621" s="6" t="str">
        <v>CAMS</v>
      </c>
      <c r="G621" s="6">
        <v>119598</v>
      </c>
      <c r="H621" s="6">
        <v>43443</v>
      </c>
      <c r="I621" s="6" t="str">
        <v>Purchase - SIP</v>
      </c>
      <c r="J621" s="5">
        <v>5000</v>
      </c>
      <c r="K621" s="5">
        <v>164.68700000000001</v>
      </c>
      <c r="L621" s="5">
        <v>30.360700000000001</v>
      </c>
      <c r="M621" s="5">
        <v>15885.731</v>
      </c>
      <c r="N621" s="5" t="str">
        <v>PURCHASE_SIP</v>
      </c>
      <c r="O621" s="5">
        <v>0</v>
      </c>
    </row>
    <row r="622" spans="1:15" ht="17" x14ac:dyDescent="0.2">
      <c r="A622" s="5" t="str">
        <v>SBI Mutual Fund</v>
      </c>
      <c r="B622" s="5" t="str">
        <v>AAAA9992</v>
      </c>
      <c r="C622" s="5" t="str">
        <v>AAAAA1111A</v>
      </c>
      <c r="D622" s="6" t="str">
        <v>SBI Liquid Fund Direct Growth</v>
      </c>
      <c r="E622" s="6" t="str">
        <v>DIRECT</v>
      </c>
      <c r="F622" s="6" t="str">
        <v>CAMS</v>
      </c>
      <c r="G622" s="6">
        <v>119598</v>
      </c>
      <c r="H622" s="6">
        <v>43473</v>
      </c>
      <c r="I622" s="6" t="str">
        <v>Purchase - SIP</v>
      </c>
      <c r="J622" s="5">
        <v>5000</v>
      </c>
      <c r="K622" s="5">
        <v>162.36000000000001</v>
      </c>
      <c r="L622" s="5">
        <v>30.7958</v>
      </c>
      <c r="M622" s="5">
        <v>16048.091</v>
      </c>
      <c r="N622" s="5" t="str">
        <v>PURCHASE_SIP</v>
      </c>
      <c r="O622" s="5">
        <v>0</v>
      </c>
    </row>
    <row r="623" spans="1:15" ht="17" x14ac:dyDescent="0.2">
      <c r="A623" s="5" t="str">
        <v>SBI Mutual Fund</v>
      </c>
      <c r="B623" s="5" t="str">
        <v>AAAA9992</v>
      </c>
      <c r="C623" s="5" t="str">
        <v>AAAAA1111A</v>
      </c>
      <c r="D623" s="6" t="str">
        <v>SBI Liquid Fund Direct Growth</v>
      </c>
      <c r="E623" s="6" t="str">
        <v>DIRECT</v>
      </c>
      <c r="F623" s="6" t="str">
        <v>CAMS</v>
      </c>
      <c r="G623" s="6">
        <v>119598</v>
      </c>
      <c r="H623" s="6">
        <v>43503</v>
      </c>
      <c r="I623" s="6" t="str">
        <v>Purchase - SIP</v>
      </c>
      <c r="J623" s="5">
        <v>5000</v>
      </c>
      <c r="K623" s="5">
        <v>160.327</v>
      </c>
      <c r="L623" s="5">
        <v>31.186199999999999</v>
      </c>
      <c r="M623" s="5">
        <v>16208.418</v>
      </c>
      <c r="N623" s="5" t="str">
        <v>PURCHASE_SIP</v>
      </c>
      <c r="O623" s="5">
        <v>0</v>
      </c>
    </row>
    <row r="624" spans="1:15" ht="17" x14ac:dyDescent="0.2">
      <c r="A624" s="5" t="str">
        <v>SBI Mutual Fund</v>
      </c>
      <c r="B624" s="5" t="str">
        <v>AAAA9992</v>
      </c>
      <c r="C624" s="5" t="str">
        <v>AAAAA1111A</v>
      </c>
      <c r="D624" s="6" t="str">
        <v>SBI Liquid Fund Direct Growth</v>
      </c>
      <c r="E624" s="6" t="str">
        <v>DIRECT</v>
      </c>
      <c r="F624" s="6" t="str">
        <v>CAMS</v>
      </c>
      <c r="G624" s="6">
        <v>119598</v>
      </c>
      <c r="H624" s="6">
        <v>43503</v>
      </c>
      <c r="I624" s="6" t="str">
        <v>STAMP DUTY</v>
      </c>
      <c r="J624" s="5">
        <v>2.5</v>
      </c>
      <c r="K624" s="5">
        <v>0</v>
      </c>
      <c r="L624" s="5">
        <v>0</v>
      </c>
      <c r="M624" s="5">
        <v>16208.418</v>
      </c>
      <c r="N624" s="5" t="str">
        <v>STAMP_DUTY</v>
      </c>
      <c r="O624" s="5">
        <v>0</v>
      </c>
    </row>
    <row r="625" spans="1:15" ht="17" x14ac:dyDescent="0.2">
      <c r="A625" s="5" t="str">
        <v>SBI Mutual Fund</v>
      </c>
      <c r="B625" s="5" t="str">
        <v>AAAA9992</v>
      </c>
      <c r="C625" s="5" t="str">
        <v>AAAAA1111A</v>
      </c>
      <c r="D625" s="6" t="str">
        <v>SBI Liquid Fund Direct Growth</v>
      </c>
      <c r="E625" s="6" t="str">
        <v>DIRECT</v>
      </c>
      <c r="F625" s="6" t="str">
        <v>CAMS</v>
      </c>
      <c r="G625" s="6">
        <v>119598</v>
      </c>
      <c r="H625" s="6">
        <v>43533</v>
      </c>
      <c r="I625" s="6" t="str">
        <v>Purchase - SIP</v>
      </c>
      <c r="J625" s="5">
        <v>5000</v>
      </c>
      <c r="K625" s="5">
        <v>160.636</v>
      </c>
      <c r="L625" s="5">
        <v>31.126300000000001</v>
      </c>
      <c r="M625" s="5">
        <v>16369.054</v>
      </c>
      <c r="N625" s="5" t="str">
        <v>PURCHASE_SIP</v>
      </c>
      <c r="O625" s="5">
        <v>0</v>
      </c>
    </row>
    <row r="626" spans="1:15" ht="17" x14ac:dyDescent="0.2">
      <c r="A626" s="5" t="str">
        <v>SBI Mutual Fund</v>
      </c>
      <c r="B626" s="5" t="str">
        <v>AAAA9992</v>
      </c>
      <c r="C626" s="5" t="str">
        <v>AAAAA1111A</v>
      </c>
      <c r="D626" s="6" t="str">
        <v>SBI Liquid Fund Direct Growth</v>
      </c>
      <c r="E626" s="6" t="str">
        <v>DIRECT</v>
      </c>
      <c r="F626" s="6" t="str">
        <v>CAMS</v>
      </c>
      <c r="G626" s="6">
        <v>119598</v>
      </c>
      <c r="H626" s="6">
        <v>43563</v>
      </c>
      <c r="I626" s="6" t="str">
        <v>Purchase - SIP</v>
      </c>
      <c r="J626" s="5">
        <v>5000</v>
      </c>
      <c r="K626" s="5">
        <v>161.435</v>
      </c>
      <c r="L626" s="5">
        <v>30.972200000000001</v>
      </c>
      <c r="M626" s="5">
        <v>16530.489000000001</v>
      </c>
      <c r="N626" s="5" t="str">
        <v>PURCHASE_SIP</v>
      </c>
      <c r="O626" s="5">
        <v>0</v>
      </c>
    </row>
    <row r="627" spans="1:15" ht="17" x14ac:dyDescent="0.2">
      <c r="A627" s="5" t="str">
        <v>SBI Mutual Fund</v>
      </c>
      <c r="B627" s="5" t="str">
        <v>AAAA9992</v>
      </c>
      <c r="C627" s="5" t="str">
        <v>AAAAA1111A</v>
      </c>
      <c r="D627" s="6" t="str">
        <v>SBI Liquid Fund Direct Growth</v>
      </c>
      <c r="E627" s="6" t="str">
        <v>DIRECT</v>
      </c>
      <c r="F627" s="6" t="str">
        <v>CAMS</v>
      </c>
      <c r="G627" s="6">
        <v>119598</v>
      </c>
      <c r="H627" s="6">
        <v>43593</v>
      </c>
      <c r="I627" s="6" t="str">
        <v>Purchase - SIP</v>
      </c>
      <c r="J627" s="5">
        <v>5000</v>
      </c>
      <c r="K627" s="5">
        <v>160.82499999999999</v>
      </c>
      <c r="L627" s="5">
        <v>31.089600000000001</v>
      </c>
      <c r="M627" s="5">
        <v>16691.313999999998</v>
      </c>
      <c r="N627" s="5" t="str">
        <v>PURCHASE_SIP</v>
      </c>
      <c r="O627" s="5">
        <v>0</v>
      </c>
    </row>
    <row r="628" spans="1:15" ht="17" x14ac:dyDescent="0.2">
      <c r="A628" s="5" t="str">
        <v>SBI Mutual Fund</v>
      </c>
      <c r="B628" s="5" t="str">
        <v>AAAA9992</v>
      </c>
      <c r="C628" s="5" t="str">
        <v>AAAAA1111A</v>
      </c>
      <c r="D628" s="6" t="str">
        <v>SBI Liquid Fund Direct Growth</v>
      </c>
      <c r="E628" s="6" t="str">
        <v>DIRECT</v>
      </c>
      <c r="F628" s="6" t="str">
        <v>CAMS</v>
      </c>
      <c r="G628" s="6">
        <v>119598</v>
      </c>
      <c r="H628" s="6">
        <v>43593</v>
      </c>
      <c r="I628" s="6" t="str">
        <v>STAMP DUTY</v>
      </c>
      <c r="J628" s="5">
        <v>2.5</v>
      </c>
      <c r="K628" s="5">
        <v>0</v>
      </c>
      <c r="L628" s="5">
        <v>0</v>
      </c>
      <c r="M628" s="5">
        <v>16691.313999999998</v>
      </c>
      <c r="N628" s="5" t="str">
        <v>STAMP_DUTY</v>
      </c>
      <c r="O628" s="5">
        <v>0</v>
      </c>
    </row>
    <row r="629" spans="1:15" ht="17" x14ac:dyDescent="0.2">
      <c r="A629" s="5" t="str">
        <v>SBI Mutual Fund</v>
      </c>
      <c r="B629" s="5" t="str">
        <v>AAAA9992</v>
      </c>
      <c r="C629" s="5" t="str">
        <v>AAAAA1111A</v>
      </c>
      <c r="D629" s="6" t="str">
        <v>SBI Liquid Fund Direct Growth</v>
      </c>
      <c r="E629" s="6" t="str">
        <v>DIRECT</v>
      </c>
      <c r="F629" s="6" t="str">
        <v>CAMS</v>
      </c>
      <c r="G629" s="6">
        <v>119598</v>
      </c>
      <c r="H629" s="6">
        <v>43623</v>
      </c>
      <c r="I629" s="6" t="str">
        <v>Purchase - SIP</v>
      </c>
      <c r="J629" s="5">
        <v>5000</v>
      </c>
      <c r="K629" s="5">
        <v>162.77199999999999</v>
      </c>
      <c r="L629" s="5">
        <v>30.7178</v>
      </c>
      <c r="M629" s="5">
        <v>16854.085999999999</v>
      </c>
      <c r="N629" s="5" t="str">
        <v>PURCHASE_SIP</v>
      </c>
      <c r="O629" s="5">
        <v>0</v>
      </c>
    </row>
    <row r="630" spans="1:15" ht="17" x14ac:dyDescent="0.2">
      <c r="A630" s="5" t="str">
        <v>SBI Mutual Fund</v>
      </c>
      <c r="B630" s="5" t="str">
        <v>AAAA9992</v>
      </c>
      <c r="C630" s="5" t="str">
        <v>AAAAA1111A</v>
      </c>
      <c r="D630" s="6" t="str">
        <v>SBI Liquid Fund Direct Growth</v>
      </c>
      <c r="E630" s="6" t="str">
        <v>DIRECT</v>
      </c>
      <c r="F630" s="6" t="str">
        <v>CAMS</v>
      </c>
      <c r="G630" s="6">
        <v>119598</v>
      </c>
      <c r="H630" s="6">
        <v>43653</v>
      </c>
      <c r="I630" s="6" t="str">
        <v>Purchase - SIP</v>
      </c>
      <c r="J630" s="5">
        <v>5000</v>
      </c>
      <c r="K630" s="5">
        <v>162.01900000000001</v>
      </c>
      <c r="L630" s="5">
        <v>30.860600000000002</v>
      </c>
      <c r="M630" s="5">
        <v>17016.105</v>
      </c>
      <c r="N630" s="5" t="str">
        <v>PURCHASE_SIP</v>
      </c>
      <c r="O630" s="5">
        <v>0</v>
      </c>
    </row>
    <row r="631" spans="1:15" ht="17" x14ac:dyDescent="0.2">
      <c r="A631" s="5" t="str">
        <v>SBI Mutual Fund</v>
      </c>
      <c r="B631" s="5" t="str">
        <v>AAAA9992</v>
      </c>
      <c r="C631" s="5" t="str">
        <v>AAAAA1111A</v>
      </c>
      <c r="D631" s="6" t="str">
        <v>SBI Liquid Fund Direct Growth</v>
      </c>
      <c r="E631" s="6" t="str">
        <v>DIRECT</v>
      </c>
      <c r="F631" s="6" t="str">
        <v>CAMS</v>
      </c>
      <c r="G631" s="6">
        <v>119598</v>
      </c>
      <c r="H631" s="6">
        <v>43683</v>
      </c>
      <c r="I631" s="6" t="str">
        <v>Purchase - SIP</v>
      </c>
      <c r="J631" s="5">
        <v>5000</v>
      </c>
      <c r="K631" s="5">
        <v>157.30799999999999</v>
      </c>
      <c r="L631" s="5">
        <v>31.784800000000001</v>
      </c>
      <c r="M631" s="5">
        <v>17173.413</v>
      </c>
      <c r="N631" s="5" t="str">
        <v>PURCHASE_SIP</v>
      </c>
      <c r="O631" s="5">
        <v>0</v>
      </c>
    </row>
    <row r="632" spans="1:15" ht="17" x14ac:dyDescent="0.2">
      <c r="A632" s="5" t="str">
        <v>SBI Mutual Fund</v>
      </c>
      <c r="B632" s="5" t="str">
        <v>AAAA9992</v>
      </c>
      <c r="C632" s="5" t="str">
        <v>AAAAA1111A</v>
      </c>
      <c r="D632" s="6" t="str">
        <v>SBI Liquid Fund Direct Growth</v>
      </c>
      <c r="E632" s="6" t="str">
        <v>DIRECT</v>
      </c>
      <c r="F632" s="6" t="str">
        <v>CAMS</v>
      </c>
      <c r="G632" s="6">
        <v>119598</v>
      </c>
      <c r="H632" s="6">
        <v>43713</v>
      </c>
      <c r="I632" s="6" t="str">
        <v>Purchase - SIP</v>
      </c>
      <c r="J632" s="5">
        <v>5000</v>
      </c>
      <c r="K632" s="5">
        <v>159.21799999999999</v>
      </c>
      <c r="L632" s="5">
        <v>31.403400000000001</v>
      </c>
      <c r="M632" s="5">
        <v>17332.632000000001</v>
      </c>
      <c r="N632" s="5" t="str">
        <v>PURCHASE_SIP</v>
      </c>
      <c r="O632" s="5">
        <v>0</v>
      </c>
    </row>
    <row r="633" spans="1:15" ht="17" x14ac:dyDescent="0.2">
      <c r="A633" s="5" t="str">
        <v>SBI Mutual Fund</v>
      </c>
      <c r="B633" s="5" t="str">
        <v>AAAA9992</v>
      </c>
      <c r="C633" s="5" t="str">
        <v>AAAAA1111A</v>
      </c>
      <c r="D633" s="6" t="str">
        <v>SBI Liquid Fund Direct Growth</v>
      </c>
      <c r="E633" s="6" t="str">
        <v>DIRECT</v>
      </c>
      <c r="F633" s="6" t="str">
        <v>CAMS</v>
      </c>
      <c r="G633" s="6">
        <v>119598</v>
      </c>
      <c r="H633" s="6">
        <v>43743</v>
      </c>
      <c r="I633" s="6" t="str">
        <v>Purchase - SIP</v>
      </c>
      <c r="J633" s="5">
        <v>5000</v>
      </c>
      <c r="K633" s="5">
        <v>160.566</v>
      </c>
      <c r="L633" s="5">
        <v>31.139800000000001</v>
      </c>
      <c r="M633" s="5">
        <v>17493.198</v>
      </c>
      <c r="N633" s="5" t="str">
        <v>PURCHASE_SIP</v>
      </c>
      <c r="O633" s="5">
        <v>0</v>
      </c>
    </row>
    <row r="634" spans="1:15" ht="17" x14ac:dyDescent="0.2">
      <c r="A634" s="5" t="str">
        <v>SBI Mutual Fund</v>
      </c>
      <c r="B634" s="5" t="str">
        <v>AAAA9992</v>
      </c>
      <c r="C634" s="5" t="str">
        <v>AAAAA1111A</v>
      </c>
      <c r="D634" s="6" t="str">
        <v>SBI Liquid Fund Direct Growth</v>
      </c>
      <c r="E634" s="6" t="str">
        <v>DIRECT</v>
      </c>
      <c r="F634" s="6" t="str">
        <v>CAMS</v>
      </c>
      <c r="G634" s="6">
        <v>119598</v>
      </c>
      <c r="H634" s="6">
        <v>43773</v>
      </c>
      <c r="I634" s="6" t="str">
        <v>Purchase - SIP</v>
      </c>
      <c r="J634" s="5">
        <v>5000</v>
      </c>
      <c r="K634" s="5">
        <v>161.012</v>
      </c>
      <c r="L634" s="5">
        <v>31.053599999999999</v>
      </c>
      <c r="M634" s="5">
        <v>17654.21</v>
      </c>
      <c r="N634" s="5" t="str">
        <v>PURCHASE_SIP</v>
      </c>
      <c r="O634" s="5">
        <v>0</v>
      </c>
    </row>
    <row r="635" spans="1:15" ht="17" x14ac:dyDescent="0.2">
      <c r="A635" s="5" t="str">
        <v>SBI Mutual Fund</v>
      </c>
      <c r="B635" s="5" t="str">
        <v>AAAA9992</v>
      </c>
      <c r="C635" s="5" t="str">
        <v>AAAAA1111A</v>
      </c>
      <c r="D635" s="6" t="str">
        <v>SBI Liquid Fund Direct Growth</v>
      </c>
      <c r="E635" s="6" t="str">
        <v>DIRECT</v>
      </c>
      <c r="F635" s="6" t="str">
        <v>CAMS</v>
      </c>
      <c r="G635" s="6">
        <v>119598</v>
      </c>
      <c r="H635" s="6">
        <v>43773</v>
      </c>
      <c r="I635" s="6" t="str">
        <v>STAMP DUTY</v>
      </c>
      <c r="J635" s="5">
        <v>2.5</v>
      </c>
      <c r="K635" s="5">
        <v>0</v>
      </c>
      <c r="L635" s="5">
        <v>0</v>
      </c>
      <c r="M635" s="5">
        <v>17654.21</v>
      </c>
      <c r="N635" s="5" t="str">
        <v>STAMP_DUTY</v>
      </c>
      <c r="O635" s="5">
        <v>0</v>
      </c>
    </row>
    <row r="636" spans="1:15" ht="17" x14ac:dyDescent="0.2">
      <c r="A636" s="5" t="str">
        <v>SBI Mutual Fund</v>
      </c>
      <c r="B636" s="5" t="str">
        <v>AAAA9992</v>
      </c>
      <c r="C636" s="5" t="str">
        <v>AAAAA1111A</v>
      </c>
      <c r="D636" s="6" t="str">
        <v>SBI Liquid Fund Direct Growth</v>
      </c>
      <c r="E636" s="6" t="str">
        <v>DIRECT</v>
      </c>
      <c r="F636" s="6" t="str">
        <v>CAMS</v>
      </c>
      <c r="G636" s="6">
        <v>119598</v>
      </c>
      <c r="H636" s="6">
        <v>43803</v>
      </c>
      <c r="I636" s="6" t="str">
        <v>Purchase - SIP</v>
      </c>
      <c r="J636" s="5">
        <v>5000</v>
      </c>
      <c r="K636" s="5">
        <v>163.60499999999999</v>
      </c>
      <c r="L636" s="5">
        <v>30.561299999999999</v>
      </c>
      <c r="M636" s="5">
        <v>17817.814999999999</v>
      </c>
      <c r="N636" s="5" t="str">
        <v>PURCHASE_SIP</v>
      </c>
      <c r="O636" s="5">
        <v>0</v>
      </c>
    </row>
    <row r="637" spans="1:15" ht="17" x14ac:dyDescent="0.2">
      <c r="A637" s="5" t="str">
        <v>SBI Mutual Fund</v>
      </c>
      <c r="B637" s="5" t="str">
        <v>AAAA9992</v>
      </c>
      <c r="C637" s="5" t="str">
        <v>AAAAA1111A</v>
      </c>
      <c r="D637" s="6" t="str">
        <v>SBI Liquid Fund Direct Growth</v>
      </c>
      <c r="E637" s="6" t="str">
        <v>DIRECT</v>
      </c>
      <c r="F637" s="6" t="str">
        <v>CAMS</v>
      </c>
      <c r="G637" s="6">
        <v>119598</v>
      </c>
      <c r="H637" s="6">
        <v>43803</v>
      </c>
      <c r="I637" s="6" t="str">
        <v>STAMP DUTY</v>
      </c>
      <c r="J637" s="5">
        <v>2.5</v>
      </c>
      <c r="K637" s="5">
        <v>0</v>
      </c>
      <c r="L637" s="5">
        <v>0</v>
      </c>
      <c r="M637" s="5">
        <v>17817.814999999999</v>
      </c>
      <c r="N637" s="5" t="str">
        <v>STAMP_DUTY</v>
      </c>
      <c r="O637" s="5">
        <v>0</v>
      </c>
    </row>
    <row r="638" spans="1:15" ht="17" x14ac:dyDescent="0.2">
      <c r="A638" s="5" t="str">
        <v>SBI Mutual Fund</v>
      </c>
      <c r="B638" s="5" t="str">
        <v>AAAA9992</v>
      </c>
      <c r="C638" s="5" t="str">
        <v>AAAAA1111A</v>
      </c>
      <c r="D638" s="6" t="str">
        <v>SBI Liquid Fund Direct Growth</v>
      </c>
      <c r="E638" s="6" t="str">
        <v>DIRECT</v>
      </c>
      <c r="F638" s="6" t="str">
        <v>CAMS</v>
      </c>
      <c r="G638" s="6">
        <v>119598</v>
      </c>
      <c r="H638" s="6">
        <v>43833</v>
      </c>
      <c r="I638" s="6" t="str">
        <v>Purchase - SIP</v>
      </c>
      <c r="J638" s="5">
        <v>5000</v>
      </c>
      <c r="K638" s="5">
        <v>160.489</v>
      </c>
      <c r="L638" s="5">
        <v>31.154800000000002</v>
      </c>
      <c r="M638" s="5">
        <v>17978.304</v>
      </c>
      <c r="N638" s="5" t="str">
        <v>PURCHASE_SIP</v>
      </c>
      <c r="O638" s="5">
        <v>0</v>
      </c>
    </row>
    <row r="639" spans="1:15" ht="17" x14ac:dyDescent="0.2">
      <c r="A639" s="5" t="str">
        <v>SBI Mutual Fund</v>
      </c>
      <c r="B639" s="5" t="str">
        <v>AAAA9992</v>
      </c>
      <c r="C639" s="5" t="str">
        <v>AAAAA1111A</v>
      </c>
      <c r="D639" s="6" t="str">
        <v>SBI Liquid Fund Direct Growth</v>
      </c>
      <c r="E639" s="6" t="str">
        <v>DIRECT</v>
      </c>
      <c r="F639" s="6" t="str">
        <v>CAMS</v>
      </c>
      <c r="G639" s="6">
        <v>119598</v>
      </c>
      <c r="H639" s="6">
        <v>43863</v>
      </c>
      <c r="I639" s="6" t="str">
        <v>Purchase - SIP</v>
      </c>
      <c r="J639" s="5">
        <v>5000</v>
      </c>
      <c r="K639" s="5">
        <v>156.30600000000001</v>
      </c>
      <c r="L639" s="5">
        <v>31.988499999999998</v>
      </c>
      <c r="M639" s="5">
        <v>18134.611000000001</v>
      </c>
      <c r="N639" s="5" t="str">
        <v>PURCHASE_SIP</v>
      </c>
      <c r="O639" s="5">
        <v>0</v>
      </c>
    </row>
    <row r="640" spans="1:15" ht="17" x14ac:dyDescent="0.2">
      <c r="A640" s="5" t="str">
        <v>SBI Mutual Fund</v>
      </c>
      <c r="B640" s="5" t="str">
        <v>AAAA9992</v>
      </c>
      <c r="C640" s="5" t="str">
        <v>AAAAA1111A</v>
      </c>
      <c r="D640" s="6" t="str">
        <v>SBI Liquid Fund Direct Growth</v>
      </c>
      <c r="E640" s="6" t="str">
        <v>DIRECT</v>
      </c>
      <c r="F640" s="6" t="str">
        <v>CAMS</v>
      </c>
      <c r="G640" s="6">
        <v>119598</v>
      </c>
      <c r="H640" s="6">
        <v>43893</v>
      </c>
      <c r="I640" s="6" t="str">
        <v>Purchase - SIP</v>
      </c>
      <c r="J640" s="5">
        <v>5000</v>
      </c>
      <c r="K640" s="5">
        <v>153.21299999999999</v>
      </c>
      <c r="L640" s="5">
        <v>32.634300000000003</v>
      </c>
      <c r="M640" s="5">
        <v>18287.824000000001</v>
      </c>
      <c r="N640" s="5" t="str">
        <v>PURCHASE_SIP</v>
      </c>
      <c r="O640" s="5">
        <v>0</v>
      </c>
    </row>
    <row r="641" spans="1:15" ht="17" x14ac:dyDescent="0.2">
      <c r="A641" s="5" t="str">
        <v>SBI Mutual Fund</v>
      </c>
      <c r="B641" s="5" t="str">
        <v>AAAA9992</v>
      </c>
      <c r="C641" s="5" t="str">
        <v>AAAAA1111A</v>
      </c>
      <c r="D641" s="6" t="str">
        <v>SBI Liquid Fund Direct Growth</v>
      </c>
      <c r="E641" s="6" t="str">
        <v>DIRECT</v>
      </c>
      <c r="F641" s="6" t="str">
        <v>CAMS</v>
      </c>
      <c r="G641" s="6">
        <v>119598</v>
      </c>
      <c r="H641" s="6">
        <v>43923</v>
      </c>
      <c r="I641" s="6" t="str">
        <v>Purchase - SIP</v>
      </c>
      <c r="J641" s="5">
        <v>5000</v>
      </c>
      <c r="K641" s="5">
        <v>148.792</v>
      </c>
      <c r="L641" s="5">
        <v>33.603999999999999</v>
      </c>
      <c r="M641" s="5">
        <v>18436.616000000002</v>
      </c>
      <c r="N641" s="5" t="str">
        <v>PURCHASE_SIP</v>
      </c>
      <c r="O641" s="5">
        <v>0</v>
      </c>
    </row>
    <row r="642" spans="1:15" ht="17" x14ac:dyDescent="0.2">
      <c r="A642" s="5" t="str">
        <v>SBI Mutual Fund</v>
      </c>
      <c r="B642" s="5" t="str">
        <v>AAAA9992</v>
      </c>
      <c r="C642" s="5" t="str">
        <v>AAAAA1111A</v>
      </c>
      <c r="D642" s="6" t="str">
        <v>SBI Liquid Fund Direct Growth</v>
      </c>
      <c r="E642" s="6" t="str">
        <v>DIRECT</v>
      </c>
      <c r="F642" s="6" t="str">
        <v>CAMS</v>
      </c>
      <c r="G642" s="6">
        <v>119598</v>
      </c>
      <c r="H642" s="6">
        <v>43923</v>
      </c>
      <c r="I642" s="6" t="str">
        <v>STT TAX</v>
      </c>
      <c r="J642" s="5">
        <v>2.5</v>
      </c>
      <c r="K642" s="5">
        <v>0</v>
      </c>
      <c r="L642" s="5">
        <v>0</v>
      </c>
      <c r="M642" s="5">
        <v>18436.616000000002</v>
      </c>
      <c r="N642" s="5" t="str">
        <v>STT_TAX</v>
      </c>
      <c r="O642" s="5">
        <v>0</v>
      </c>
    </row>
    <row r="643" spans="1:15" ht="17" x14ac:dyDescent="0.2">
      <c r="A643" s="5" t="str">
        <v>SBI Mutual Fund</v>
      </c>
      <c r="B643" s="5" t="str">
        <v>AAAA9992</v>
      </c>
      <c r="C643" s="5" t="str">
        <v>AAAAA1111A</v>
      </c>
      <c r="D643" s="6" t="str">
        <v>SBI Liquid Fund Direct Growth</v>
      </c>
      <c r="E643" s="6" t="str">
        <v>DIRECT</v>
      </c>
      <c r="F643" s="6" t="str">
        <v>CAMS</v>
      </c>
      <c r="G643" s="6">
        <v>119598</v>
      </c>
      <c r="H643" s="6">
        <v>43953</v>
      </c>
      <c r="I643" s="6" t="str">
        <v>Purchase - SIP</v>
      </c>
      <c r="J643" s="5">
        <v>5000</v>
      </c>
      <c r="K643" s="5">
        <v>150.88999999999999</v>
      </c>
      <c r="L643" s="5">
        <v>33.136699999999998</v>
      </c>
      <c r="M643" s="5">
        <v>18587.506000000001</v>
      </c>
      <c r="N643" s="5" t="str">
        <v>PURCHASE_SIP</v>
      </c>
      <c r="O643" s="5">
        <v>0</v>
      </c>
    </row>
    <row r="644" spans="1:15" ht="17" x14ac:dyDescent="0.2">
      <c r="A644" s="5" t="str">
        <v>SBI Mutual Fund</v>
      </c>
      <c r="B644" s="5" t="str">
        <v>AAAA9992</v>
      </c>
      <c r="C644" s="5" t="str">
        <v>AAAAA1111A</v>
      </c>
      <c r="D644" s="6" t="str">
        <v>SBI Liquid Fund Direct Growth</v>
      </c>
      <c r="E644" s="6" t="str">
        <v>DIRECT</v>
      </c>
      <c r="F644" s="6" t="str">
        <v>CAMS</v>
      </c>
      <c r="G644" s="6">
        <v>119598</v>
      </c>
      <c r="H644" s="6">
        <v>43983</v>
      </c>
      <c r="I644" s="6" t="str">
        <v>Purchase - SIP</v>
      </c>
      <c r="J644" s="5">
        <v>5000</v>
      </c>
      <c r="K644" s="5">
        <v>152.15100000000001</v>
      </c>
      <c r="L644" s="5">
        <v>32.862099999999998</v>
      </c>
      <c r="M644" s="5">
        <v>18739.656999999999</v>
      </c>
      <c r="N644" s="5" t="str">
        <v>PURCHASE_SIP</v>
      </c>
      <c r="O644" s="5">
        <v>0</v>
      </c>
    </row>
    <row r="645" spans="1:15" ht="17" x14ac:dyDescent="0.2">
      <c r="A645" s="5" t="str">
        <v>SBI Mutual Fund</v>
      </c>
      <c r="B645" s="5" t="str">
        <v>AAAA9992</v>
      </c>
      <c r="C645" s="5" t="str">
        <v>AAAAA1111A</v>
      </c>
      <c r="D645" s="6" t="str">
        <v>SBI Liquid Fund Direct Growth</v>
      </c>
      <c r="E645" s="6" t="str">
        <v>DIRECT</v>
      </c>
      <c r="F645" s="6" t="str">
        <v>CAMS</v>
      </c>
      <c r="G645" s="6">
        <v>119598</v>
      </c>
      <c r="H645" s="6">
        <v>44013</v>
      </c>
      <c r="I645" s="6" t="str">
        <v>Purchase - SIP</v>
      </c>
      <c r="J645" s="5">
        <v>5000</v>
      </c>
      <c r="K645" s="5">
        <v>150.27799999999999</v>
      </c>
      <c r="L645" s="5">
        <v>33.271700000000003</v>
      </c>
      <c r="M645" s="5">
        <v>18889.935000000001</v>
      </c>
      <c r="N645" s="5" t="str">
        <v>PURCHASE_SIP</v>
      </c>
      <c r="O645" s="5">
        <v>0</v>
      </c>
    </row>
    <row r="646" spans="1:15" ht="17" x14ac:dyDescent="0.2">
      <c r="A646" s="5" t="str">
        <v>SBI Mutual Fund</v>
      </c>
      <c r="B646" s="5" t="str">
        <v>AAAA9992</v>
      </c>
      <c r="C646" s="5" t="str">
        <v>AAAAA1111A</v>
      </c>
      <c r="D646" s="6" t="str">
        <v>SBI Liquid Fund Direct Growth</v>
      </c>
      <c r="E646" s="6" t="str">
        <v>DIRECT</v>
      </c>
      <c r="F646" s="6" t="str">
        <v>CAMS</v>
      </c>
      <c r="G646" s="6">
        <v>119598</v>
      </c>
      <c r="H646" s="6">
        <v>44043</v>
      </c>
      <c r="I646" s="6" t="str">
        <v>Purchase - SIP</v>
      </c>
      <c r="J646" s="5">
        <v>5000</v>
      </c>
      <c r="K646" s="5">
        <v>146.31800000000001</v>
      </c>
      <c r="L646" s="5">
        <v>34.1723</v>
      </c>
      <c r="M646" s="5">
        <v>19036.252</v>
      </c>
      <c r="N646" s="5" t="str">
        <v>PURCHASE_SIP</v>
      </c>
      <c r="O646" s="5">
        <v>0</v>
      </c>
    </row>
    <row r="647" spans="1:15" ht="17" x14ac:dyDescent="0.2">
      <c r="A647" s="5" t="str">
        <v>SBI Mutual Fund</v>
      </c>
      <c r="B647" s="5" t="str">
        <v>AAAA9992</v>
      </c>
      <c r="C647" s="5" t="str">
        <v>AAAAA1111A</v>
      </c>
      <c r="D647" s="6" t="str">
        <v>SBI Liquid Fund Direct Growth</v>
      </c>
      <c r="E647" s="6" t="str">
        <v>DIRECT</v>
      </c>
      <c r="F647" s="6" t="str">
        <v>CAMS</v>
      </c>
      <c r="G647" s="6">
        <v>119598</v>
      </c>
      <c r="H647" s="6">
        <v>44073</v>
      </c>
      <c r="I647" s="6" t="str">
        <v>Purchase - SIP</v>
      </c>
      <c r="J647" s="5">
        <v>5000</v>
      </c>
      <c r="K647" s="5">
        <v>148.48400000000001</v>
      </c>
      <c r="L647" s="5">
        <v>33.673699999999997</v>
      </c>
      <c r="M647" s="5">
        <v>19184.736000000001</v>
      </c>
      <c r="N647" s="5" t="str">
        <v>PURCHASE_SIP</v>
      </c>
      <c r="O647" s="5">
        <v>0</v>
      </c>
    </row>
    <row r="648" spans="1:15" ht="17" x14ac:dyDescent="0.2">
      <c r="A648" s="5" t="str">
        <v>SBI Mutual Fund</v>
      </c>
      <c r="B648" s="5" t="str">
        <v>AAAA9992</v>
      </c>
      <c r="C648" s="5" t="str">
        <v>AAAAA1111A</v>
      </c>
      <c r="D648" s="6" t="str">
        <v>SBI Liquid Fund Direct Growth</v>
      </c>
      <c r="E648" s="6" t="str">
        <v>DIRECT</v>
      </c>
      <c r="F648" s="6" t="str">
        <v>CAMS</v>
      </c>
      <c r="G648" s="6">
        <v>119598</v>
      </c>
      <c r="H648" s="6">
        <v>44073</v>
      </c>
      <c r="I648" s="6" t="str">
        <v>STT TAX</v>
      </c>
      <c r="J648" s="5">
        <v>2.5</v>
      </c>
      <c r="K648" s="5">
        <v>0</v>
      </c>
      <c r="L648" s="5">
        <v>0</v>
      </c>
      <c r="M648" s="5">
        <v>19184.736000000001</v>
      </c>
      <c r="N648" s="5" t="str">
        <v>STT_TAX</v>
      </c>
      <c r="O648" s="5">
        <v>0</v>
      </c>
    </row>
    <row r="649" spans="1:15" ht="17" x14ac:dyDescent="0.2">
      <c r="A649" s="5" t="str">
        <v>SBI Mutual Fund</v>
      </c>
      <c r="B649" s="5" t="str">
        <v>AAAA9992</v>
      </c>
      <c r="C649" s="5" t="str">
        <v>AAAAA1111A</v>
      </c>
      <c r="D649" s="6" t="str">
        <v>SBI Liquid Fund Direct Growth</v>
      </c>
      <c r="E649" s="6" t="str">
        <v>DIRECT</v>
      </c>
      <c r="F649" s="6" t="str">
        <v>CAMS</v>
      </c>
      <c r="G649" s="6">
        <v>119598</v>
      </c>
      <c r="H649" s="6">
        <v>44103</v>
      </c>
      <c r="I649" s="6" t="str">
        <v>Purchase - SIP</v>
      </c>
      <c r="J649" s="5">
        <v>5000</v>
      </c>
      <c r="K649" s="5">
        <v>150.226</v>
      </c>
      <c r="L649" s="5">
        <v>33.283099999999997</v>
      </c>
      <c r="M649" s="5">
        <v>19334.963</v>
      </c>
      <c r="N649" s="5" t="str">
        <v>PURCHASE_SIP</v>
      </c>
      <c r="O649" s="5">
        <v>0</v>
      </c>
    </row>
    <row r="650" spans="1:15" ht="17" x14ac:dyDescent="0.2">
      <c r="A650" s="5" t="str">
        <v>SBI Mutual Fund</v>
      </c>
      <c r="B650" s="5" t="str">
        <v>AAAA9992</v>
      </c>
      <c r="C650" s="5" t="str">
        <v>AAAAA1111A</v>
      </c>
      <c r="D650" s="6" t="str">
        <v>SBI Liquid Fund Direct Growth</v>
      </c>
      <c r="E650" s="6" t="str">
        <v>DIRECT</v>
      </c>
      <c r="F650" s="6" t="str">
        <v>CAMS</v>
      </c>
      <c r="G650" s="6">
        <v>119598</v>
      </c>
      <c r="H650" s="6">
        <v>44133</v>
      </c>
      <c r="I650" s="6" t="str">
        <v>Purchase - SIP</v>
      </c>
      <c r="J650" s="5">
        <v>5000</v>
      </c>
      <c r="K650" s="5">
        <v>151.29900000000001</v>
      </c>
      <c r="L650" s="5">
        <v>33.0473</v>
      </c>
      <c r="M650" s="5">
        <v>19486.260999999999</v>
      </c>
      <c r="N650" s="5" t="str">
        <v>PURCHASE_SIP</v>
      </c>
      <c r="O650" s="5">
        <v>0</v>
      </c>
    </row>
    <row r="651" spans="1:15" ht="17" x14ac:dyDescent="0.2">
      <c r="A651" s="5" t="str">
        <v>SBI Mutual Fund</v>
      </c>
      <c r="B651" s="5" t="str">
        <v>AAAA9992</v>
      </c>
      <c r="C651" s="5" t="str">
        <v>AAAAA1111A</v>
      </c>
      <c r="D651" s="6" t="str">
        <v>SBI Liquid Fund Direct Growth</v>
      </c>
      <c r="E651" s="6" t="str">
        <v>DIRECT</v>
      </c>
      <c r="F651" s="6" t="str">
        <v>CAMS</v>
      </c>
      <c r="G651" s="6">
        <v>119598</v>
      </c>
      <c r="H651" s="6">
        <v>44163</v>
      </c>
      <c r="I651" s="6" t="str">
        <v>Purchase - SIP</v>
      </c>
      <c r="J651" s="5">
        <v>5000</v>
      </c>
      <c r="K651" s="5">
        <v>151.87100000000001</v>
      </c>
      <c r="L651" s="5">
        <v>32.922800000000002</v>
      </c>
      <c r="M651" s="5">
        <v>19638.132000000001</v>
      </c>
      <c r="N651" s="5" t="str">
        <v>PURCHASE_SIP</v>
      </c>
      <c r="O651" s="5">
        <v>0</v>
      </c>
    </row>
    <row r="652" spans="1:15" ht="17" x14ac:dyDescent="0.2">
      <c r="A652" s="5" t="str">
        <v>SBI Mutual Fund</v>
      </c>
      <c r="B652" s="5" t="str">
        <v>AAAA9992</v>
      </c>
      <c r="C652" s="5" t="str">
        <v>AAAAA1111A</v>
      </c>
      <c r="D652" s="6" t="str">
        <v>SBI Liquid Fund Direct Growth</v>
      </c>
      <c r="E652" s="6" t="str">
        <v>DIRECT</v>
      </c>
      <c r="F652" s="6" t="str">
        <v>CAMS</v>
      </c>
      <c r="G652" s="6">
        <v>119598</v>
      </c>
      <c r="H652" s="6">
        <v>44163</v>
      </c>
      <c r="I652" s="6" t="str">
        <v>STT TAX</v>
      </c>
      <c r="J652" s="5">
        <v>2.5</v>
      </c>
      <c r="K652" s="5">
        <v>0</v>
      </c>
      <c r="L652" s="5">
        <v>0</v>
      </c>
      <c r="M652" s="5">
        <v>19638.132000000001</v>
      </c>
      <c r="N652" s="5" t="str">
        <v>STT_TAX</v>
      </c>
      <c r="O652" s="5">
        <v>0</v>
      </c>
    </row>
    <row r="653" spans="1:15" ht="17" x14ac:dyDescent="0.2">
      <c r="A653" s="5" t="str">
        <v>SBI Mutual Fund</v>
      </c>
      <c r="B653" s="5" t="str">
        <v>AAAA9992</v>
      </c>
      <c r="C653" s="5" t="str">
        <v>AAAAA1111A</v>
      </c>
      <c r="D653" s="6" t="str">
        <v>SBI Liquid Fund Direct Growth</v>
      </c>
      <c r="E653" s="6" t="str">
        <v>DIRECT</v>
      </c>
      <c r="F653" s="6" t="str">
        <v>CAMS</v>
      </c>
      <c r="G653" s="6">
        <v>119598</v>
      </c>
      <c r="H653" s="6">
        <v>44193</v>
      </c>
      <c r="I653" s="6" t="str">
        <v>Purchase - SIP</v>
      </c>
      <c r="J653" s="5">
        <v>5000</v>
      </c>
      <c r="K653" s="5">
        <v>149.11500000000001</v>
      </c>
      <c r="L653" s="5">
        <v>33.531300000000002</v>
      </c>
      <c r="M653" s="5">
        <v>19787.245999999999</v>
      </c>
      <c r="N653" s="5" t="str">
        <v>PURCHASE_SIP</v>
      </c>
      <c r="O653" s="5">
        <v>0</v>
      </c>
    </row>
    <row r="654" spans="1:15" ht="17" x14ac:dyDescent="0.2">
      <c r="A654" s="5" t="str">
        <v>SBI Mutual Fund</v>
      </c>
      <c r="B654" s="5" t="str">
        <v>AAAA9992</v>
      </c>
      <c r="C654" s="5" t="str">
        <v>AAAAA1111A</v>
      </c>
      <c r="D654" s="6" t="str">
        <v>SBI Liquid Fund Direct Growth</v>
      </c>
      <c r="E654" s="6" t="str">
        <v>DIRECT</v>
      </c>
      <c r="F654" s="6" t="str">
        <v>CAMS</v>
      </c>
      <c r="G654" s="6">
        <v>119598</v>
      </c>
      <c r="H654" s="6">
        <v>44223</v>
      </c>
      <c r="I654" s="6" t="str">
        <v>Purchase - SIP</v>
      </c>
      <c r="J654" s="5">
        <v>5000</v>
      </c>
      <c r="K654" s="5">
        <v>145.47200000000001</v>
      </c>
      <c r="L654" s="5">
        <v>34.371000000000002</v>
      </c>
      <c r="M654" s="5">
        <v>19932.718000000001</v>
      </c>
      <c r="N654" s="5" t="str">
        <v>PURCHASE_SIP</v>
      </c>
      <c r="O654" s="5">
        <v>0</v>
      </c>
    </row>
    <row r="655" spans="1:15" ht="17" x14ac:dyDescent="0.2">
      <c r="A655" s="5" t="str">
        <v>SBI Mutual Fund</v>
      </c>
      <c r="B655" s="5" t="str">
        <v>AAAA9992</v>
      </c>
      <c r="C655" s="5" t="str">
        <v>AAAAA1111A</v>
      </c>
      <c r="D655" s="6" t="str">
        <v>SBI Liquid Fund Direct Growth</v>
      </c>
      <c r="E655" s="6" t="str">
        <v>DIRECT</v>
      </c>
      <c r="F655" s="6" t="str">
        <v>CAMS</v>
      </c>
      <c r="G655" s="6">
        <v>119598</v>
      </c>
      <c r="H655" s="6">
        <v>44253</v>
      </c>
      <c r="I655" s="6" t="str">
        <v>Purchase - SIP</v>
      </c>
      <c r="J655" s="5">
        <v>5000</v>
      </c>
      <c r="K655" s="5">
        <v>141.94499999999999</v>
      </c>
      <c r="L655" s="5">
        <v>35.225000000000001</v>
      </c>
      <c r="M655" s="5">
        <v>20074.663</v>
      </c>
      <c r="N655" s="5" t="str">
        <v>PURCHASE_SIP</v>
      </c>
      <c r="O655" s="5">
        <v>0</v>
      </c>
    </row>
    <row r="656" spans="1:15" ht="17" x14ac:dyDescent="0.2">
      <c r="A656" s="5" t="str">
        <v>SBI Mutual Fund</v>
      </c>
      <c r="B656" s="5" t="str">
        <v>AAAA9992</v>
      </c>
      <c r="C656" s="5" t="str">
        <v>AAAAA1111A</v>
      </c>
      <c r="D656" s="6" t="str">
        <v>SBI Liquid Fund Direct Growth</v>
      </c>
      <c r="E656" s="6" t="str">
        <v>DIRECT</v>
      </c>
      <c r="F656" s="6" t="str">
        <v>CAMS</v>
      </c>
      <c r="G656" s="6">
        <v>119598</v>
      </c>
      <c r="H656" s="6">
        <v>44283</v>
      </c>
      <c r="I656" s="6" t="str">
        <v>Purchase - SIP</v>
      </c>
      <c r="J656" s="5">
        <v>5000</v>
      </c>
      <c r="K656" s="5">
        <v>138.233</v>
      </c>
      <c r="L656" s="5">
        <v>36.170900000000003</v>
      </c>
      <c r="M656" s="5">
        <v>20212.896000000001</v>
      </c>
      <c r="N656" s="5" t="str">
        <v>PURCHASE_SIP</v>
      </c>
      <c r="O656" s="5">
        <v>0</v>
      </c>
    </row>
    <row r="657" spans="1:15" ht="17" x14ac:dyDescent="0.2">
      <c r="A657" s="5" t="str">
        <v>SBI Mutual Fund</v>
      </c>
      <c r="B657" s="5" t="str">
        <v>AAAA9992</v>
      </c>
      <c r="C657" s="5" t="str">
        <v>AAAAA1111A</v>
      </c>
      <c r="D657" s="6" t="str">
        <v>SBI Liquid Fund Direct Growth</v>
      </c>
      <c r="E657" s="6" t="str">
        <v>DIRECT</v>
      </c>
      <c r="F657" s="6" t="str">
        <v>CAMS</v>
      </c>
      <c r="G657" s="6">
        <v>119598</v>
      </c>
      <c r="H657" s="6">
        <v>44313</v>
      </c>
      <c r="I657" s="6" t="str">
        <v>Purchase - SIP</v>
      </c>
      <c r="J657" s="5">
        <v>5000</v>
      </c>
      <c r="K657" s="5">
        <v>137.965</v>
      </c>
      <c r="L657" s="5">
        <v>36.241199999999999</v>
      </c>
      <c r="M657" s="5">
        <v>20350.86</v>
      </c>
      <c r="N657" s="5" t="str">
        <v>PURCHASE_SIP</v>
      </c>
      <c r="O657" s="5">
        <v>0</v>
      </c>
    </row>
    <row r="658" spans="1:15" ht="17" x14ac:dyDescent="0.2">
      <c r="A658" s="5" t="str">
        <v>SBI Mutual Fund</v>
      </c>
      <c r="B658" s="5" t="str">
        <v>AAAA9992</v>
      </c>
      <c r="C658" s="5" t="str">
        <v>AAAAA1111A</v>
      </c>
      <c r="D658" s="6" t="str">
        <v>SBI Liquid Fund Direct Growth</v>
      </c>
      <c r="E658" s="6" t="str">
        <v>DIRECT</v>
      </c>
      <c r="F658" s="6" t="str">
        <v>CAMS</v>
      </c>
      <c r="G658" s="6">
        <v>119598</v>
      </c>
      <c r="H658" s="6">
        <v>44343</v>
      </c>
      <c r="I658" s="6" t="str">
        <v>Purchase - SIP</v>
      </c>
      <c r="J658" s="5">
        <v>5000</v>
      </c>
      <c r="K658" s="5">
        <v>137.84200000000001</v>
      </c>
      <c r="L658" s="5">
        <v>36.273400000000002</v>
      </c>
      <c r="M658" s="5">
        <v>20488.702000000001</v>
      </c>
      <c r="N658" s="5" t="str">
        <v>PURCHASE_SIP</v>
      </c>
      <c r="O658" s="5">
        <v>0</v>
      </c>
    </row>
    <row r="659" spans="1:15" ht="17" x14ac:dyDescent="0.2">
      <c r="A659" s="5" t="str">
        <v>SBI Mutual Fund</v>
      </c>
      <c r="B659" s="5" t="str">
        <v>AAAA9992</v>
      </c>
      <c r="C659" s="5" t="str">
        <v>AAAAA1111A</v>
      </c>
      <c r="D659" s="6" t="str">
        <v>SBI Liquid Fund Direct Growth</v>
      </c>
      <c r="E659" s="6" t="str">
        <v>DIRECT</v>
      </c>
      <c r="F659" s="6" t="str">
        <v>CAMS</v>
      </c>
      <c r="G659" s="6">
        <v>119598</v>
      </c>
      <c r="H659" s="6">
        <v>44373</v>
      </c>
      <c r="I659" s="6" t="str">
        <v>Purchase - SIP</v>
      </c>
      <c r="J659" s="5">
        <v>5000</v>
      </c>
      <c r="K659" s="5">
        <v>134.24100000000001</v>
      </c>
      <c r="L659" s="5">
        <v>37.246299999999998</v>
      </c>
      <c r="M659" s="5">
        <v>20622.942999999999</v>
      </c>
      <c r="N659" s="5" t="str">
        <v>PURCHASE_SIP</v>
      </c>
      <c r="O659" s="5">
        <v>0</v>
      </c>
    </row>
    <row r="660" spans="1:15" ht="17" x14ac:dyDescent="0.2">
      <c r="A660" s="5" t="str">
        <v>SBI Mutual Fund</v>
      </c>
      <c r="B660" s="5" t="str">
        <v>AAAA9992</v>
      </c>
      <c r="C660" s="5" t="str">
        <v>AAAAA1111A</v>
      </c>
      <c r="D660" s="6" t="str">
        <v>SBI Liquid Fund Direct Growth</v>
      </c>
      <c r="E660" s="6" t="str">
        <v>DIRECT</v>
      </c>
      <c r="F660" s="6" t="str">
        <v>CAMS</v>
      </c>
      <c r="G660" s="6">
        <v>119598</v>
      </c>
      <c r="H660" s="6">
        <v>44403</v>
      </c>
      <c r="I660" s="6" t="str">
        <v>Purchase - SIP</v>
      </c>
      <c r="J660" s="5">
        <v>5000</v>
      </c>
      <c r="K660" s="5">
        <v>131.13900000000001</v>
      </c>
      <c r="L660" s="5">
        <v>38.127600000000001</v>
      </c>
      <c r="M660" s="5">
        <v>20754.081999999999</v>
      </c>
      <c r="N660" s="5" t="str">
        <v>PURCHASE_SIP</v>
      </c>
      <c r="O660" s="5">
        <v>0</v>
      </c>
    </row>
    <row r="661" spans="1:15" ht="17" x14ac:dyDescent="0.2">
      <c r="A661" s="5" t="str">
        <v>SBI Mutual Fund</v>
      </c>
      <c r="B661" s="5" t="str">
        <v>AAAA9992</v>
      </c>
      <c r="C661" s="5" t="str">
        <v>AAAAA1111A</v>
      </c>
      <c r="D661" s="6" t="str">
        <v>SBI Liquid Fund Direct Growth</v>
      </c>
      <c r="E661" s="6" t="str">
        <v>DIRECT</v>
      </c>
      <c r="F661" s="6" t="str">
        <v>CAMS</v>
      </c>
      <c r="G661" s="6">
        <v>119598</v>
      </c>
      <c r="H661" s="6">
        <v>44433</v>
      </c>
      <c r="I661" s="6" t="str">
        <v>Purchase - SIP</v>
      </c>
      <c r="J661" s="5">
        <v>5000</v>
      </c>
      <c r="K661" s="5">
        <v>130.821</v>
      </c>
      <c r="L661" s="5">
        <v>38.220199999999998</v>
      </c>
      <c r="M661" s="5">
        <v>20884.902999999998</v>
      </c>
      <c r="N661" s="5" t="str">
        <v>PURCHASE_SIP</v>
      </c>
      <c r="O661" s="5">
        <v>0</v>
      </c>
    </row>
    <row r="662" spans="1:15" ht="17" x14ac:dyDescent="0.2">
      <c r="A662" s="5" t="str">
        <v>SBI Mutual Fund</v>
      </c>
      <c r="B662" s="5" t="str">
        <v>AAAA9992</v>
      </c>
      <c r="C662" s="5" t="str">
        <v>AAAAA1111A</v>
      </c>
      <c r="D662" s="6" t="str">
        <v>SBI Liquid Fund Direct Growth</v>
      </c>
      <c r="E662" s="6" t="str">
        <v>DIRECT</v>
      </c>
      <c r="F662" s="6" t="str">
        <v>CAMS</v>
      </c>
      <c r="G662" s="6">
        <v>119598</v>
      </c>
      <c r="H662" s="6">
        <v>44463</v>
      </c>
      <c r="I662" s="6" t="str">
        <v>Purchase - SIP</v>
      </c>
      <c r="J662" s="5">
        <v>5000</v>
      </c>
      <c r="K662" s="5">
        <v>127.35599999999999</v>
      </c>
      <c r="L662" s="5">
        <v>39.26</v>
      </c>
      <c r="M662" s="5">
        <v>21012.258999999998</v>
      </c>
      <c r="N662" s="5" t="str">
        <v>PURCHASE_SIP</v>
      </c>
      <c r="O662" s="5">
        <v>0</v>
      </c>
    </row>
    <row r="663" spans="1:15" ht="17" x14ac:dyDescent="0.2">
      <c r="A663" s="5" t="str">
        <v>SBI Mutual Fund</v>
      </c>
      <c r="B663" s="5" t="str">
        <v>AAAA9992</v>
      </c>
      <c r="C663" s="5" t="str">
        <v>AAAAA1111A</v>
      </c>
      <c r="D663" s="6" t="str">
        <v>SBI Liquid Fund Direct Growth</v>
      </c>
      <c r="E663" s="6" t="str">
        <v>DIRECT</v>
      </c>
      <c r="F663" s="6" t="str">
        <v>CAMS</v>
      </c>
      <c r="G663" s="6">
        <v>119598</v>
      </c>
      <c r="H663" s="6">
        <v>44493</v>
      </c>
      <c r="I663" s="6" t="str">
        <v>Purchase - SIP</v>
      </c>
      <c r="J663" s="5">
        <v>5000</v>
      </c>
      <c r="K663" s="5">
        <v>124.98099999999999</v>
      </c>
      <c r="L663" s="5">
        <v>40.0062</v>
      </c>
      <c r="M663" s="5">
        <v>21137.24</v>
      </c>
      <c r="N663" s="5" t="str">
        <v>PURCHASE_SIP</v>
      </c>
      <c r="O663" s="5">
        <v>0</v>
      </c>
    </row>
    <row r="664" spans="1:15" ht="17" x14ac:dyDescent="0.2">
      <c r="A664" s="5" t="str">
        <v>SBI Mutual Fund</v>
      </c>
      <c r="B664" s="5" t="str">
        <v>AAAA9992</v>
      </c>
      <c r="C664" s="5" t="str">
        <v>AAAAA1111A</v>
      </c>
      <c r="D664" s="6" t="str">
        <v>SBI Liquid Fund Direct Growth</v>
      </c>
      <c r="E664" s="6" t="str">
        <v>DIRECT</v>
      </c>
      <c r="F664" s="6" t="str">
        <v>CAMS</v>
      </c>
      <c r="G664" s="6">
        <v>119598</v>
      </c>
      <c r="H664" s="6">
        <v>44523</v>
      </c>
      <c r="I664" s="6" t="str">
        <v>Purchase - SIP</v>
      </c>
      <c r="J664" s="5">
        <v>5000</v>
      </c>
      <c r="K664" s="5">
        <v>124.384</v>
      </c>
      <c r="L664" s="5">
        <v>40.1982</v>
      </c>
      <c r="M664" s="5">
        <v>21261.623</v>
      </c>
      <c r="N664" s="5" t="str">
        <v>PURCHASE_SIP</v>
      </c>
      <c r="O664" s="5">
        <v>0</v>
      </c>
    </row>
    <row r="665" spans="1:15" ht="17" x14ac:dyDescent="0.2">
      <c r="A665" s="5" t="str">
        <v>SBI Mutual Fund</v>
      </c>
      <c r="B665" s="5" t="str">
        <v>AAAA9992</v>
      </c>
      <c r="C665" s="5" t="str">
        <v>AAAAA1111A</v>
      </c>
      <c r="D665" s="6" t="str">
        <v>SBI Liquid Fund Direct Growth</v>
      </c>
      <c r="E665" s="6" t="str">
        <v>DIRECT</v>
      </c>
      <c r="F665" s="6" t="str">
        <v>CAMS</v>
      </c>
      <c r="G665" s="6">
        <v>119598</v>
      </c>
      <c r="H665" s="6">
        <v>44553</v>
      </c>
      <c r="I665" s="6" t="str">
        <v>Purchase - SIP</v>
      </c>
      <c r="J665" s="5">
        <v>5000</v>
      </c>
      <c r="K665" s="5">
        <v>121.495</v>
      </c>
      <c r="L665" s="5">
        <v>41.154000000000003</v>
      </c>
      <c r="M665" s="5">
        <v>21383.117999999999</v>
      </c>
      <c r="N665" s="5" t="str">
        <v>PURCHASE_SIP</v>
      </c>
      <c r="O665" s="5">
        <v>0</v>
      </c>
    </row>
    <row r="666" spans="1:15" ht="17" x14ac:dyDescent="0.2">
      <c r="A666" s="5" t="str">
        <v>SBI Mutual Fund</v>
      </c>
      <c r="B666" s="5" t="str">
        <v>AAAA9992</v>
      </c>
      <c r="C666" s="5" t="str">
        <v>AAAAA1111A</v>
      </c>
      <c r="D666" s="6" t="str">
        <v>SBI Liquid Fund Direct Growth</v>
      </c>
      <c r="E666" s="6" t="str">
        <v>DIRECT</v>
      </c>
      <c r="F666" s="6" t="str">
        <v>CAMS</v>
      </c>
      <c r="G666" s="6">
        <v>119598</v>
      </c>
      <c r="H666" s="6">
        <v>44583</v>
      </c>
      <c r="I666" s="6" t="str">
        <v>Purchase - SIP</v>
      </c>
      <c r="J666" s="5">
        <v>5000</v>
      </c>
      <c r="K666" s="5">
        <v>119.429</v>
      </c>
      <c r="L666" s="5">
        <v>41.865900000000003</v>
      </c>
      <c r="M666" s="5">
        <v>21502.546999999999</v>
      </c>
      <c r="N666" s="5" t="str">
        <v>PURCHASE_SIP</v>
      </c>
      <c r="O666" s="5">
        <v>0</v>
      </c>
    </row>
    <row r="667" spans="1:15" ht="17" x14ac:dyDescent="0.2">
      <c r="A667" s="5" t="str">
        <v>SBI Mutual Fund</v>
      </c>
      <c r="B667" s="5" t="str">
        <v>AAAA9992</v>
      </c>
      <c r="C667" s="5" t="str">
        <v>AAAAA1111A</v>
      </c>
      <c r="D667" s="6" t="str">
        <v>SBI Liquid Fund Direct Growth</v>
      </c>
      <c r="E667" s="6" t="str">
        <v>DIRECT</v>
      </c>
      <c r="F667" s="6" t="str">
        <v>CAMS</v>
      </c>
      <c r="G667" s="6">
        <v>119598</v>
      </c>
      <c r="H667" s="6">
        <v>44613</v>
      </c>
      <c r="I667" s="6" t="str">
        <v>Purchase - SIP</v>
      </c>
      <c r="J667" s="5">
        <v>5000</v>
      </c>
      <c r="K667" s="5">
        <v>119.639</v>
      </c>
      <c r="L667" s="5">
        <v>41.792499999999997</v>
      </c>
      <c r="M667" s="5">
        <v>21622.186000000002</v>
      </c>
      <c r="N667" s="5" t="str">
        <v>PURCHASE_SIP</v>
      </c>
      <c r="O667" s="5">
        <v>0</v>
      </c>
    </row>
    <row r="668" spans="1:15" ht="17" x14ac:dyDescent="0.2">
      <c r="A668" s="5" t="str">
        <v>SBI Mutual Fund</v>
      </c>
      <c r="B668" s="5" t="str">
        <v>AAAA9992</v>
      </c>
      <c r="C668" s="5" t="str">
        <v>AAAAA1111A</v>
      </c>
      <c r="D668" s="6" t="str">
        <v>SBI Liquid Fund Direct Growth</v>
      </c>
      <c r="E668" s="6" t="str">
        <v>DIRECT</v>
      </c>
      <c r="F668" s="6" t="str">
        <v>CAMS</v>
      </c>
      <c r="G668" s="6">
        <v>119598</v>
      </c>
      <c r="H668" s="6">
        <v>44613</v>
      </c>
      <c r="I668" s="6" t="str">
        <v>STAMP DUTY</v>
      </c>
      <c r="J668" s="5">
        <v>2.5</v>
      </c>
      <c r="K668" s="5">
        <v>0</v>
      </c>
      <c r="L668" s="5">
        <v>0</v>
      </c>
      <c r="M668" s="5">
        <v>21622.186000000002</v>
      </c>
      <c r="N668" s="5" t="str">
        <v>STAMP_DUTY</v>
      </c>
      <c r="O668" s="5">
        <v>0</v>
      </c>
    </row>
    <row r="669" spans="1:15" ht="17" x14ac:dyDescent="0.2">
      <c r="A669" s="5" t="str">
        <v>SBI Mutual Fund</v>
      </c>
      <c r="B669" s="5" t="str">
        <v>AAAA9992</v>
      </c>
      <c r="C669" s="5" t="str">
        <v>AAAAA1111A</v>
      </c>
      <c r="D669" s="6" t="str">
        <v>SBI Liquid Fund Direct Growth</v>
      </c>
      <c r="E669" s="6" t="str">
        <v>DIRECT</v>
      </c>
      <c r="F669" s="6" t="str">
        <v>CAMS</v>
      </c>
      <c r="G669" s="6">
        <v>119598</v>
      </c>
      <c r="H669" s="6">
        <v>44643</v>
      </c>
      <c r="I669" s="6" t="str">
        <v>Purchase - SIP</v>
      </c>
      <c r="J669" s="5">
        <v>5000</v>
      </c>
      <c r="K669" s="5">
        <v>116.873</v>
      </c>
      <c r="L669" s="5">
        <v>42.781599999999997</v>
      </c>
      <c r="M669" s="5">
        <v>21739.058000000001</v>
      </c>
      <c r="N669" s="5" t="str">
        <v>PURCHASE_SIP</v>
      </c>
      <c r="O669" s="5">
        <v>0</v>
      </c>
    </row>
    <row r="670" spans="1:15" ht="17" x14ac:dyDescent="0.2">
      <c r="A670" s="5" t="str">
        <v>SBI Mutual Fund</v>
      </c>
      <c r="B670" s="5" t="str">
        <v>AAAA9992</v>
      </c>
      <c r="C670" s="5" t="str">
        <v>AAAAA1111A</v>
      </c>
      <c r="D670" s="6" t="str">
        <v>SBI Liquid Fund Direct Growth</v>
      </c>
      <c r="E670" s="6" t="str">
        <v>DIRECT</v>
      </c>
      <c r="F670" s="6" t="str">
        <v>CAMS</v>
      </c>
      <c r="G670" s="6">
        <v>119598</v>
      </c>
      <c r="H670" s="6">
        <v>44673</v>
      </c>
      <c r="I670" s="6" t="str">
        <v>Purchase - SIP</v>
      </c>
      <c r="J670" s="5">
        <v>5000</v>
      </c>
      <c r="K670" s="5">
        <v>114.614</v>
      </c>
      <c r="L670" s="5">
        <v>43.624699999999997</v>
      </c>
      <c r="M670" s="5">
        <v>21853.671999999999</v>
      </c>
      <c r="N670" s="5" t="str">
        <v>PURCHASE_SIP</v>
      </c>
      <c r="O670" s="5">
        <v>0</v>
      </c>
    </row>
    <row r="671" spans="1:15" ht="17" x14ac:dyDescent="0.2">
      <c r="A671" s="5" t="str">
        <v>SBI Mutual Fund</v>
      </c>
      <c r="B671" s="5" t="str">
        <v>AAAA9992</v>
      </c>
      <c r="C671" s="5" t="str">
        <v>AAAAA1111A</v>
      </c>
      <c r="D671" s="6" t="str">
        <v>SBI Liquid Fund Direct Growth</v>
      </c>
      <c r="E671" s="6" t="str">
        <v>DIRECT</v>
      </c>
      <c r="F671" s="6" t="str">
        <v>CAMS</v>
      </c>
      <c r="G671" s="6">
        <v>119598</v>
      </c>
      <c r="H671" s="6">
        <v>44703</v>
      </c>
      <c r="I671" s="6" t="str">
        <v>Purchase - SIP</v>
      </c>
      <c r="J671" s="5">
        <v>5000</v>
      </c>
      <c r="K671" s="5">
        <v>112.723</v>
      </c>
      <c r="L671" s="5">
        <v>44.356400000000001</v>
      </c>
      <c r="M671" s="5">
        <v>21966.395</v>
      </c>
      <c r="N671" s="5" t="str">
        <v>PURCHASE_SIP</v>
      </c>
      <c r="O671" s="5">
        <v>0</v>
      </c>
    </row>
    <row r="672" spans="1:15" ht="17" x14ac:dyDescent="0.2">
      <c r="A672" s="5" t="str">
        <v>SBI Mutual Fund</v>
      </c>
      <c r="B672" s="5" t="str">
        <v>AAAA9992</v>
      </c>
      <c r="C672" s="5" t="str">
        <v>AAAAA1111A</v>
      </c>
      <c r="D672" s="6" t="str">
        <v>SBI Liquid Fund Direct Growth</v>
      </c>
      <c r="E672" s="6" t="str">
        <v>DIRECT</v>
      </c>
      <c r="F672" s="6" t="str">
        <v>CAMS</v>
      </c>
      <c r="G672" s="6">
        <v>119598</v>
      </c>
      <c r="H672" s="6">
        <v>44733</v>
      </c>
      <c r="I672" s="6" t="str">
        <v>Purchase - SIP</v>
      </c>
      <c r="J672" s="5">
        <v>5000</v>
      </c>
      <c r="K672" s="5">
        <v>112.21899999999999</v>
      </c>
      <c r="L672" s="5">
        <v>44.555799999999998</v>
      </c>
      <c r="M672" s="5">
        <v>22078.614000000001</v>
      </c>
      <c r="N672" s="5" t="str">
        <v>PURCHASE_SIP</v>
      </c>
      <c r="O672" s="5">
        <v>0</v>
      </c>
    </row>
    <row r="673" spans="1:15" ht="17" x14ac:dyDescent="0.2">
      <c r="A673" s="5" t="str">
        <v>SBI Mutual Fund</v>
      </c>
      <c r="B673" s="5" t="str">
        <v>AAAA9992</v>
      </c>
      <c r="C673" s="5" t="str">
        <v>AAAAA1111A</v>
      </c>
      <c r="D673" s="6" t="str">
        <v>SBI Liquid Fund Direct Growth</v>
      </c>
      <c r="E673" s="6" t="str">
        <v>DIRECT</v>
      </c>
      <c r="F673" s="6" t="str">
        <v>CAMS</v>
      </c>
      <c r="G673" s="6">
        <v>119598</v>
      </c>
      <c r="H673" s="6">
        <v>44733</v>
      </c>
      <c r="I673" s="6" t="str">
        <v>STAMP DUTY</v>
      </c>
      <c r="J673" s="5">
        <v>2.5</v>
      </c>
      <c r="K673" s="5">
        <v>0</v>
      </c>
      <c r="L673" s="5">
        <v>0</v>
      </c>
      <c r="M673" s="5">
        <v>22078.614000000001</v>
      </c>
      <c r="N673" s="5" t="str">
        <v>STAMP_DUTY</v>
      </c>
      <c r="O673" s="5">
        <v>0</v>
      </c>
    </row>
    <row r="674" spans="1:15" ht="17" x14ac:dyDescent="0.2">
      <c r="A674" s="5" t="str">
        <v>SBI Mutual Fund</v>
      </c>
      <c r="B674" s="5" t="str">
        <v>AAAA9992</v>
      </c>
      <c r="C674" s="5" t="str">
        <v>AAAAA1111A</v>
      </c>
      <c r="D674" s="6" t="str">
        <v>SBI Liquid Fund Direct Growth</v>
      </c>
      <c r="E674" s="6" t="str">
        <v>DIRECT</v>
      </c>
      <c r="F674" s="6" t="str">
        <v>CAMS</v>
      </c>
      <c r="G674" s="6">
        <v>119598</v>
      </c>
      <c r="H674" s="6">
        <v>44763</v>
      </c>
      <c r="I674" s="6" t="str">
        <v>Purchase - SIP</v>
      </c>
      <c r="J674" s="5">
        <v>5000</v>
      </c>
      <c r="K674" s="5">
        <v>109.054</v>
      </c>
      <c r="L674" s="5">
        <v>45.848700000000001</v>
      </c>
      <c r="M674" s="5">
        <v>22187.669000000002</v>
      </c>
      <c r="N674" s="5" t="str">
        <v>PURCHASE_SIP</v>
      </c>
      <c r="O674" s="5">
        <v>0</v>
      </c>
    </row>
    <row r="675" spans="1:15" ht="17" x14ac:dyDescent="0.2">
      <c r="A675" s="5" t="str">
        <v>SBI Mutual Fund</v>
      </c>
      <c r="B675" s="5" t="str">
        <v>AAAA9992</v>
      </c>
      <c r="C675" s="5" t="str">
        <v>AAAAA1111A</v>
      </c>
      <c r="D675" s="6" t="str">
        <v>SBI Liquid Fund Direct Growth</v>
      </c>
      <c r="E675" s="6" t="str">
        <v>DIRECT</v>
      </c>
      <c r="F675" s="6" t="str">
        <v>CAMS</v>
      </c>
      <c r="G675" s="6">
        <v>119598</v>
      </c>
      <c r="H675" s="6">
        <v>44793</v>
      </c>
      <c r="I675" s="6" t="str">
        <v>Purchase - SIP</v>
      </c>
      <c r="J675" s="5">
        <v>5000</v>
      </c>
      <c r="K675" s="5">
        <v>109.361</v>
      </c>
      <c r="L675" s="5">
        <v>45.720300000000002</v>
      </c>
      <c r="M675" s="5">
        <v>22297.028999999999</v>
      </c>
      <c r="N675" s="5" t="str">
        <v>PURCHASE_SIP</v>
      </c>
      <c r="O675" s="5">
        <v>0</v>
      </c>
    </row>
    <row r="676" spans="1:15" ht="17" x14ac:dyDescent="0.2">
      <c r="A676" s="5" t="str">
        <v>SBI Mutual Fund</v>
      </c>
      <c r="B676" s="5" t="str">
        <v>AAAA9992</v>
      </c>
      <c r="C676" s="5" t="str">
        <v>AAAAA1111A</v>
      </c>
      <c r="D676" s="6" t="str">
        <v>SBI Liquid Fund Direct Growth</v>
      </c>
      <c r="E676" s="6" t="str">
        <v>DIRECT</v>
      </c>
      <c r="F676" s="6" t="str">
        <v>CAMS</v>
      </c>
      <c r="G676" s="6">
        <v>119598</v>
      </c>
      <c r="H676" s="6">
        <v>44823</v>
      </c>
      <c r="I676" s="6" t="str">
        <v>Purchase - SIP</v>
      </c>
      <c r="J676" s="5">
        <v>5000</v>
      </c>
      <c r="K676" s="5">
        <v>108.297</v>
      </c>
      <c r="L676" s="5">
        <v>46.1693</v>
      </c>
      <c r="M676" s="5">
        <v>22405.326000000001</v>
      </c>
      <c r="N676" s="5" t="str">
        <v>PURCHASE_SIP</v>
      </c>
      <c r="O676" s="5">
        <v>0</v>
      </c>
    </row>
    <row r="677" spans="1:15" ht="17" x14ac:dyDescent="0.2">
      <c r="A677" s="5" t="str">
        <v>SBI Mutual Fund</v>
      </c>
      <c r="B677" s="5" t="str">
        <v>AAAA9992</v>
      </c>
      <c r="C677" s="5" t="str">
        <v>AAAAA1111A</v>
      </c>
      <c r="D677" s="6" t="str">
        <v>SBI Liquid Fund Direct Growth</v>
      </c>
      <c r="E677" s="6" t="str">
        <v>DIRECT</v>
      </c>
      <c r="F677" s="6" t="str">
        <v>CAMS</v>
      </c>
      <c r="G677" s="6">
        <v>119598</v>
      </c>
      <c r="H677" s="6">
        <v>44823</v>
      </c>
      <c r="I677" s="6" t="str">
        <v>STT TAX</v>
      </c>
      <c r="J677" s="5">
        <v>2.5</v>
      </c>
      <c r="K677" s="5">
        <v>0</v>
      </c>
      <c r="L677" s="5">
        <v>0</v>
      </c>
      <c r="M677" s="5">
        <v>22405.326000000001</v>
      </c>
      <c r="N677" s="5" t="str">
        <v>STT_TAX</v>
      </c>
      <c r="O677" s="5">
        <v>0</v>
      </c>
    </row>
    <row r="678" spans="1:15" ht="17" x14ac:dyDescent="0.2">
      <c r="A678" s="5" t="str">
        <v>SBI Mutual Fund</v>
      </c>
      <c r="B678" s="5" t="str">
        <v>AAAA9992</v>
      </c>
      <c r="C678" s="5" t="str">
        <v>AAAAA1111A</v>
      </c>
      <c r="D678" s="6" t="str">
        <v>SBI Liquid Fund Direct Growth</v>
      </c>
      <c r="E678" s="6" t="str">
        <v>DIRECT</v>
      </c>
      <c r="F678" s="6" t="str">
        <v>CAMS</v>
      </c>
      <c r="G678" s="6">
        <v>119598</v>
      </c>
      <c r="H678" s="6">
        <v>44853</v>
      </c>
      <c r="I678" s="6" t="str">
        <v>Purchase - SIP</v>
      </c>
      <c r="J678" s="5">
        <v>5000</v>
      </c>
      <c r="K678" s="5">
        <v>109.96899999999999</v>
      </c>
      <c r="L678" s="5">
        <v>45.467399999999998</v>
      </c>
      <c r="M678" s="5">
        <v>22515.294999999998</v>
      </c>
      <c r="N678" s="5" t="str">
        <v>PURCHASE_SIP</v>
      </c>
      <c r="O678" s="5">
        <v>0</v>
      </c>
    </row>
    <row r="679" spans="1:15" ht="17" x14ac:dyDescent="0.2">
      <c r="A679" s="5" t="str">
        <v>SBI Mutual Fund</v>
      </c>
      <c r="B679" s="5" t="str">
        <v>AAAA9992</v>
      </c>
      <c r="C679" s="5" t="str">
        <v>AAAAA1111A</v>
      </c>
      <c r="D679" s="6" t="str">
        <v>SBI Liquid Fund Direct Growth</v>
      </c>
      <c r="E679" s="6" t="str">
        <v>DIRECT</v>
      </c>
      <c r="F679" s="6" t="str">
        <v>CAMS</v>
      </c>
      <c r="G679" s="6">
        <v>119598</v>
      </c>
      <c r="H679" s="6">
        <v>44883</v>
      </c>
      <c r="I679" s="6" t="str">
        <v>Purchase - SIP</v>
      </c>
      <c r="J679" s="5">
        <v>5000</v>
      </c>
      <c r="K679" s="5">
        <v>107.48699999999999</v>
      </c>
      <c r="L679" s="5">
        <v>46.517400000000002</v>
      </c>
      <c r="M679" s="5">
        <v>22622.781999999999</v>
      </c>
      <c r="N679" s="5" t="str">
        <v>PURCHASE_SIP</v>
      </c>
      <c r="O679" s="5">
        <v>0</v>
      </c>
    </row>
    <row r="680" spans="1:15" ht="17" x14ac:dyDescent="0.2">
      <c r="A680" s="5" t="str">
        <v>SBI Mutual Fund</v>
      </c>
      <c r="B680" s="5" t="str">
        <v>AAAA9992</v>
      </c>
      <c r="C680" s="5" t="str">
        <v>AAAAA1111A</v>
      </c>
      <c r="D680" s="6" t="str">
        <v>SBI Liquid Fund Direct Growth</v>
      </c>
      <c r="E680" s="6" t="str">
        <v>DIRECT</v>
      </c>
      <c r="F680" s="6" t="str">
        <v>CAMS</v>
      </c>
      <c r="G680" s="6">
        <v>119598</v>
      </c>
      <c r="H680" s="6">
        <v>44883</v>
      </c>
      <c r="I680" s="6" t="str">
        <v>STAMP DUTY</v>
      </c>
      <c r="J680" s="5">
        <v>2.5</v>
      </c>
      <c r="K680" s="5">
        <v>0</v>
      </c>
      <c r="L680" s="5">
        <v>0</v>
      </c>
      <c r="M680" s="5">
        <v>22622.781999999999</v>
      </c>
      <c r="N680" s="5" t="str">
        <v>STAMP_DUTY</v>
      </c>
      <c r="O680" s="5">
        <v>0</v>
      </c>
    </row>
    <row r="681" spans="1:15" ht="17" x14ac:dyDescent="0.2">
      <c r="A681" s="5" t="str">
        <v>SBI Mutual Fund</v>
      </c>
      <c r="B681" s="5" t="str">
        <v>AAAA9992</v>
      </c>
      <c r="C681" s="5" t="str">
        <v>AAAAA1111A</v>
      </c>
      <c r="D681" s="6" t="str">
        <v>SBI Liquid Fund Direct Growth</v>
      </c>
      <c r="E681" s="6" t="str">
        <v>DIRECT</v>
      </c>
      <c r="F681" s="6" t="str">
        <v>CAMS</v>
      </c>
      <c r="G681" s="6">
        <v>119598</v>
      </c>
      <c r="H681" s="6">
        <v>44913</v>
      </c>
      <c r="I681" s="6" t="str">
        <v>Purchase - SIP</v>
      </c>
      <c r="J681" s="5">
        <v>5000</v>
      </c>
      <c r="K681" s="5">
        <v>109.352</v>
      </c>
      <c r="L681" s="5">
        <v>45.723799999999997</v>
      </c>
      <c r="M681" s="5">
        <v>22732.133999999998</v>
      </c>
      <c r="N681" s="5" t="str">
        <v>PURCHASE_SIP</v>
      </c>
      <c r="O681" s="5">
        <v>0</v>
      </c>
    </row>
    <row r="682" spans="1:15" ht="17" x14ac:dyDescent="0.2">
      <c r="A682" s="5" t="str">
        <v>SBI Mutual Fund</v>
      </c>
      <c r="B682" s="5" t="str">
        <v>AAAA9992</v>
      </c>
      <c r="C682" s="5" t="str">
        <v>AAAAA1111A</v>
      </c>
      <c r="D682" s="6" t="str">
        <v>SBI Liquid Fund Direct Growth</v>
      </c>
      <c r="E682" s="6" t="str">
        <v>DIRECT</v>
      </c>
      <c r="F682" s="6" t="str">
        <v>CAMS</v>
      </c>
      <c r="G682" s="6">
        <v>119598</v>
      </c>
      <c r="H682" s="6">
        <v>44943</v>
      </c>
      <c r="I682" s="6" t="str">
        <v>Purchase - SIP</v>
      </c>
      <c r="J682" s="5">
        <v>5000</v>
      </c>
      <c r="K682" s="5">
        <v>109.014</v>
      </c>
      <c r="L682" s="5">
        <v>45.8658</v>
      </c>
      <c r="M682" s="5">
        <v>22841.148000000001</v>
      </c>
      <c r="N682" s="5" t="str">
        <v>PURCHASE_SIP</v>
      </c>
      <c r="O682" s="5">
        <v>0</v>
      </c>
    </row>
    <row r="683" spans="1:15" ht="17" x14ac:dyDescent="0.2">
      <c r="A683" s="5" t="str">
        <v>SBI Mutual Fund</v>
      </c>
      <c r="B683" s="5" t="str">
        <v>AAAA9992</v>
      </c>
      <c r="C683" s="5" t="str">
        <v>AAAAA1111A</v>
      </c>
      <c r="D683" s="6" t="str">
        <v>SBI Liquid Fund Direct Growth</v>
      </c>
      <c r="E683" s="6" t="str">
        <v>DIRECT</v>
      </c>
      <c r="F683" s="6" t="str">
        <v>CAMS</v>
      </c>
      <c r="G683" s="6">
        <v>119598</v>
      </c>
      <c r="H683" s="6">
        <v>44973</v>
      </c>
      <c r="I683" s="6" t="str">
        <v>Purchase - SIP</v>
      </c>
      <c r="J683" s="5">
        <v>5000</v>
      </c>
      <c r="K683" s="5">
        <v>108.072</v>
      </c>
      <c r="L683" s="5">
        <v>46.265500000000003</v>
      </c>
      <c r="M683" s="5">
        <v>22949.22</v>
      </c>
      <c r="N683" s="5" t="str">
        <v>PURCHASE_SIP</v>
      </c>
      <c r="O683" s="5">
        <v>0</v>
      </c>
    </row>
    <row r="684" spans="1:15" ht="17" x14ac:dyDescent="0.2">
      <c r="A684" s="5" t="str">
        <v>SBI Mutual Fund</v>
      </c>
      <c r="B684" s="5" t="str">
        <v>AAAA9992</v>
      </c>
      <c r="C684" s="5" t="str">
        <v>AAAAA1111A</v>
      </c>
      <c r="D684" s="6" t="str">
        <v>SBI Liquid Fund Direct Growth</v>
      </c>
      <c r="E684" s="6" t="str">
        <v>DIRECT</v>
      </c>
      <c r="F684" s="6" t="str">
        <v>CAMS</v>
      </c>
      <c r="G684" s="6">
        <v>119598</v>
      </c>
      <c r="H684" s="6">
        <v>45003</v>
      </c>
      <c r="I684" s="6" t="str">
        <v>Purchase - SIP</v>
      </c>
      <c r="J684" s="5">
        <v>5000</v>
      </c>
      <c r="K684" s="5">
        <v>106.075</v>
      </c>
      <c r="L684" s="5">
        <v>47.136400000000002</v>
      </c>
      <c r="M684" s="5">
        <v>23055.294999999998</v>
      </c>
      <c r="N684" s="5" t="str">
        <v>PURCHASE_SIP</v>
      </c>
      <c r="O684" s="5">
        <v>0</v>
      </c>
    </row>
    <row r="685" spans="1:15" ht="17" x14ac:dyDescent="0.2">
      <c r="A685" s="5" t="str">
        <v>SBI Mutual Fund</v>
      </c>
      <c r="B685" s="5" t="str">
        <v>AAAA9992</v>
      </c>
      <c r="C685" s="5" t="str">
        <v>AAAAA1111A</v>
      </c>
      <c r="D685" s="6" t="str">
        <v>SBI Liquid Fund Direct Growth</v>
      </c>
      <c r="E685" s="6" t="str">
        <v>DIRECT</v>
      </c>
      <c r="F685" s="6" t="str">
        <v>CAMS</v>
      </c>
      <c r="G685" s="6">
        <v>119598</v>
      </c>
      <c r="H685" s="6">
        <v>45033</v>
      </c>
      <c r="I685" s="6" t="str">
        <v>Purchase - SIP</v>
      </c>
      <c r="J685" s="5">
        <v>5000</v>
      </c>
      <c r="K685" s="5">
        <v>106.756</v>
      </c>
      <c r="L685" s="5">
        <v>46.835900000000002</v>
      </c>
      <c r="M685" s="5">
        <v>23162.050999999999</v>
      </c>
      <c r="N685" s="5" t="str">
        <v>PURCHASE_SIP</v>
      </c>
      <c r="O685" s="5">
        <v>0</v>
      </c>
    </row>
    <row r="686" spans="1:15" ht="17" x14ac:dyDescent="0.2">
      <c r="A686" s="5" t="str">
        <v>SBI Mutual Fund</v>
      </c>
      <c r="B686" s="5" t="str">
        <v>AAAA9992</v>
      </c>
      <c r="C686" s="5" t="str">
        <v>AAAAA1111A</v>
      </c>
      <c r="D686" s="6" t="str">
        <v>SBI Liquid Fund Direct Growth</v>
      </c>
      <c r="E686" s="6" t="str">
        <v>DIRECT</v>
      </c>
      <c r="F686" s="6" t="str">
        <v>CAMS</v>
      </c>
      <c r="G686" s="6">
        <v>119598</v>
      </c>
      <c r="H686" s="6">
        <v>45063</v>
      </c>
      <c r="I686" s="6" t="str">
        <v>Purchase - SIP</v>
      </c>
      <c r="J686" s="5">
        <v>5000</v>
      </c>
      <c r="K686" s="5">
        <v>105.43300000000001</v>
      </c>
      <c r="L686" s="5">
        <v>47.423299999999998</v>
      </c>
      <c r="M686" s="5">
        <v>23267.484</v>
      </c>
      <c r="N686" s="5" t="str">
        <v>PURCHASE_SIP</v>
      </c>
      <c r="O686" s="5">
        <v>0</v>
      </c>
    </row>
    <row r="687" spans="1:15" ht="17" x14ac:dyDescent="0.2">
      <c r="A687" s="5" t="str">
        <v>SBI Mutual Fund</v>
      </c>
      <c r="B687" s="5" t="str">
        <v>AAAA9992</v>
      </c>
      <c r="C687" s="5" t="str">
        <v>AAAAA1111A</v>
      </c>
      <c r="D687" s="6" t="str">
        <v>SBI Liquid Fund Direct Growth</v>
      </c>
      <c r="E687" s="6" t="str">
        <v>DIRECT</v>
      </c>
      <c r="F687" s="6" t="str">
        <v>CAMS</v>
      </c>
      <c r="G687" s="6">
        <v>119598</v>
      </c>
      <c r="H687" s="6">
        <v>45093</v>
      </c>
      <c r="I687" s="6" t="str">
        <v>Purchase - SIP</v>
      </c>
      <c r="J687" s="5">
        <v>5000</v>
      </c>
      <c r="K687" s="5">
        <v>103.58</v>
      </c>
      <c r="L687" s="5">
        <v>48.271799999999999</v>
      </c>
      <c r="M687" s="5">
        <v>23371.063999999998</v>
      </c>
      <c r="N687" s="5" t="str">
        <v>PURCHASE_SIP</v>
      </c>
      <c r="O687" s="5">
        <v>0</v>
      </c>
    </row>
    <row r="688" spans="1:15" ht="17" x14ac:dyDescent="0.2">
      <c r="A688" s="5" t="str">
        <v>SBI Mutual Fund</v>
      </c>
      <c r="B688" s="5" t="str">
        <v>AAAA9992</v>
      </c>
      <c r="C688" s="5" t="str">
        <v>AAAAA1111A</v>
      </c>
      <c r="D688" s="6" t="str">
        <v>SBI Liquid Fund Direct Growth</v>
      </c>
      <c r="E688" s="6" t="str">
        <v>DIRECT</v>
      </c>
      <c r="F688" s="6" t="str">
        <v>CAMS</v>
      </c>
      <c r="G688" s="6">
        <v>119598</v>
      </c>
      <c r="H688" s="6">
        <v>45123</v>
      </c>
      <c r="I688" s="6" t="str">
        <v>Purchase - SIP</v>
      </c>
      <c r="J688" s="5">
        <v>5000</v>
      </c>
      <c r="K688" s="5">
        <v>100.771</v>
      </c>
      <c r="L688" s="5">
        <v>49.6175</v>
      </c>
      <c r="M688" s="5">
        <v>23471.834999999999</v>
      </c>
      <c r="N688" s="5" t="str">
        <v>PURCHASE_SIP</v>
      </c>
      <c r="O688" s="5">
        <v>0</v>
      </c>
    </row>
    <row r="689" spans="1:15" ht="17" x14ac:dyDescent="0.2">
      <c r="A689" s="5" t="str">
        <v>SBI Mutual Fund</v>
      </c>
      <c r="B689" s="5" t="str">
        <v>AAAA9992</v>
      </c>
      <c r="C689" s="5" t="str">
        <v>AAAAA1111A</v>
      </c>
      <c r="D689" s="6" t="str">
        <v>SBI Liquid Fund Direct Growth</v>
      </c>
      <c r="E689" s="6" t="str">
        <v>DIRECT</v>
      </c>
      <c r="F689" s="6" t="str">
        <v>CAMS</v>
      </c>
      <c r="G689" s="6">
        <v>119598</v>
      </c>
      <c r="H689" s="6">
        <v>45153</v>
      </c>
      <c r="I689" s="6" t="str">
        <v>Purchase - SIP</v>
      </c>
      <c r="J689" s="5">
        <v>5000</v>
      </c>
      <c r="K689" s="5">
        <v>101.611</v>
      </c>
      <c r="L689" s="5">
        <v>49.207500000000003</v>
      </c>
      <c r="M689" s="5">
        <v>23573.446</v>
      </c>
      <c r="N689" s="5" t="str">
        <v>PURCHASE_SIP</v>
      </c>
      <c r="O689" s="5">
        <v>0</v>
      </c>
    </row>
    <row r="690" spans="1:15" ht="17" x14ac:dyDescent="0.2">
      <c r="A690" s="5" t="str">
        <v>SBI Mutual Fund</v>
      </c>
      <c r="B690" s="5" t="str">
        <v>AAAA9992</v>
      </c>
      <c r="C690" s="5" t="str">
        <v>AAAAA1111A</v>
      </c>
      <c r="D690" s="6" t="str">
        <v>SBI Liquid Fund Direct Growth</v>
      </c>
      <c r="E690" s="6" t="str">
        <v>DIRECT</v>
      </c>
      <c r="F690" s="6" t="str">
        <v>CAMS</v>
      </c>
      <c r="G690" s="6">
        <v>119598</v>
      </c>
      <c r="H690" s="6">
        <v>45183</v>
      </c>
      <c r="I690" s="6" t="str">
        <v>Purchase - SIP</v>
      </c>
      <c r="J690" s="5">
        <v>5000</v>
      </c>
      <c r="K690" s="5">
        <v>99.593999999999994</v>
      </c>
      <c r="L690" s="5">
        <v>50.204000000000001</v>
      </c>
      <c r="M690" s="5">
        <v>23673.040000000001</v>
      </c>
      <c r="N690" s="5" t="str">
        <v>PURCHASE_SIP</v>
      </c>
      <c r="O690" s="5">
        <v>0</v>
      </c>
    </row>
    <row r="691" spans="1:15" ht="17" x14ac:dyDescent="0.2">
      <c r="A691" s="5" t="str">
        <v>SBI Mutual Fund</v>
      </c>
      <c r="B691" s="5" t="str">
        <v>AAAA9992</v>
      </c>
      <c r="C691" s="5" t="str">
        <v>AAAAA1111A</v>
      </c>
      <c r="D691" s="6" t="str">
        <v>SBI Liquid Fund Direct Growth</v>
      </c>
      <c r="E691" s="6" t="str">
        <v>DIRECT</v>
      </c>
      <c r="F691" s="6" t="str">
        <v>CAMS</v>
      </c>
      <c r="G691" s="6">
        <v>119598</v>
      </c>
      <c r="H691" s="6">
        <v>45213</v>
      </c>
      <c r="I691" s="6" t="str">
        <v>Purchase - SIP</v>
      </c>
      <c r="J691" s="5">
        <v>5000</v>
      </c>
      <c r="K691" s="5">
        <v>100.602</v>
      </c>
      <c r="L691" s="5">
        <v>49.700800000000001</v>
      </c>
      <c r="M691" s="5">
        <v>23773.642</v>
      </c>
      <c r="N691" s="5" t="str">
        <v>PURCHASE_SIP</v>
      </c>
      <c r="O691" s="5">
        <v>0</v>
      </c>
    </row>
    <row r="692" spans="1:15" ht="17" x14ac:dyDescent="0.2">
      <c r="A692" s="5" t="str">
        <v>SBI Mutual Fund</v>
      </c>
      <c r="B692" s="5" t="str">
        <v>AAAA9992</v>
      </c>
      <c r="C692" s="5" t="str">
        <v>AAAAA1111A</v>
      </c>
      <c r="D692" s="6" t="str">
        <v>SBI Liquid Fund Direct Growth</v>
      </c>
      <c r="E692" s="6" t="str">
        <v>DIRECT</v>
      </c>
      <c r="F692" s="6" t="str">
        <v>CAMS</v>
      </c>
      <c r="G692" s="6">
        <v>119598</v>
      </c>
      <c r="H692" s="6">
        <v>45213</v>
      </c>
      <c r="I692" s="6" t="str">
        <v>STT TAX</v>
      </c>
      <c r="J692" s="5">
        <v>2.5</v>
      </c>
      <c r="K692" s="5">
        <v>0</v>
      </c>
      <c r="L692" s="5">
        <v>0</v>
      </c>
      <c r="M692" s="5">
        <v>23773.642</v>
      </c>
      <c r="N692" s="5" t="str">
        <v>STT_TAX</v>
      </c>
      <c r="O692" s="5">
        <v>0</v>
      </c>
    </row>
    <row r="693" spans="1:15" ht="17" x14ac:dyDescent="0.2">
      <c r="A693" s="5" t="str">
        <v>SBI Mutual Fund</v>
      </c>
      <c r="B693" s="5" t="str">
        <v>AAAA9992</v>
      </c>
      <c r="C693" s="5" t="str">
        <v>AAAAA1111A</v>
      </c>
      <c r="D693" s="6" t="str">
        <v>SBI Liquid Fund Direct Growth</v>
      </c>
      <c r="E693" s="6" t="str">
        <v>DIRECT</v>
      </c>
      <c r="F693" s="6" t="str">
        <v>CAMS</v>
      </c>
      <c r="G693" s="6">
        <v>119598</v>
      </c>
      <c r="H693" s="6">
        <v>45243</v>
      </c>
      <c r="I693" s="6" t="str">
        <v>Purchase - SIP</v>
      </c>
      <c r="J693" s="5">
        <v>5000</v>
      </c>
      <c r="K693" s="5">
        <v>100.10599999999999</v>
      </c>
      <c r="L693" s="5">
        <v>49.946899999999999</v>
      </c>
      <c r="M693" s="5">
        <v>23873.748</v>
      </c>
      <c r="N693" s="5" t="str">
        <v>PURCHASE_SIP</v>
      </c>
      <c r="O693" s="5">
        <v>0</v>
      </c>
    </row>
    <row r="694" spans="1:15" ht="17" x14ac:dyDescent="0.2">
      <c r="A694" s="5" t="str">
        <v>SBI Mutual Fund</v>
      </c>
      <c r="B694" s="5" t="str">
        <v>AAAA9992</v>
      </c>
      <c r="C694" s="5" t="str">
        <v>AAAAA1111A</v>
      </c>
      <c r="D694" s="6" t="str">
        <v>SBI Liquid Fund Direct Growth</v>
      </c>
      <c r="E694" s="6" t="str">
        <v>DIRECT</v>
      </c>
      <c r="F694" s="6" t="str">
        <v>CAMS</v>
      </c>
      <c r="G694" s="6">
        <v>119598</v>
      </c>
      <c r="H694" s="6">
        <v>45273</v>
      </c>
      <c r="I694" s="6" t="str">
        <v>Purchase - SIP</v>
      </c>
      <c r="J694" s="5">
        <v>5000</v>
      </c>
      <c r="K694" s="5">
        <v>97.356999999999999</v>
      </c>
      <c r="L694" s="5">
        <v>51.357500000000002</v>
      </c>
      <c r="M694" s="5">
        <v>23971.105</v>
      </c>
      <c r="N694" s="5" t="str">
        <v>PURCHASE_SIP</v>
      </c>
      <c r="O694" s="5">
        <v>0</v>
      </c>
    </row>
    <row r="695" spans="1:15" ht="17" x14ac:dyDescent="0.2">
      <c r="A695" s="5" t="str">
        <v>SBI Mutual Fund</v>
      </c>
      <c r="B695" s="5" t="str">
        <v>AAAA9992</v>
      </c>
      <c r="C695" s="5" t="str">
        <v>AAAAA1111A</v>
      </c>
      <c r="D695" s="6" t="str">
        <v>SBI Liquid Fund Direct Growth</v>
      </c>
      <c r="E695" s="6" t="str">
        <v>DIRECT</v>
      </c>
      <c r="F695" s="6" t="str">
        <v>CAMS</v>
      </c>
      <c r="G695" s="6">
        <v>119598</v>
      </c>
      <c r="H695" s="6">
        <v>45273</v>
      </c>
      <c r="I695" s="6" t="str">
        <v>STT TAX</v>
      </c>
      <c r="J695" s="5">
        <v>2.5</v>
      </c>
      <c r="K695" s="5">
        <v>0</v>
      </c>
      <c r="L695" s="5">
        <v>0</v>
      </c>
      <c r="M695" s="5">
        <v>23971.105</v>
      </c>
      <c r="N695" s="5" t="str">
        <v>STT_TAX</v>
      </c>
      <c r="O695" s="5">
        <v>0</v>
      </c>
    </row>
    <row r="696" spans="1:15" ht="17" x14ac:dyDescent="0.2">
      <c r="A696" s="5" t="str">
        <v>SBI Mutual Fund</v>
      </c>
      <c r="B696" s="5" t="str">
        <v>AAAA9992</v>
      </c>
      <c r="C696" s="5" t="str">
        <v>AAAAA1111A</v>
      </c>
      <c r="D696" s="6" t="str">
        <v>SBI Liquid Fund Direct Growth</v>
      </c>
      <c r="E696" s="6" t="str">
        <v>DIRECT</v>
      </c>
      <c r="F696" s="6" t="str">
        <v>CAMS</v>
      </c>
      <c r="G696" s="6">
        <v>119598</v>
      </c>
      <c r="H696" s="6">
        <v>45303</v>
      </c>
      <c r="I696" s="6" t="str">
        <v>Purchase - SIP</v>
      </c>
      <c r="J696" s="5">
        <v>5000</v>
      </c>
      <c r="K696" s="5">
        <v>97.584000000000003</v>
      </c>
      <c r="L696" s="5">
        <v>51.237900000000003</v>
      </c>
      <c r="M696" s="5">
        <v>24068.688999999998</v>
      </c>
      <c r="N696" s="5" t="str">
        <v>PURCHASE_SIP</v>
      </c>
      <c r="O696" s="5">
        <v>0</v>
      </c>
    </row>
    <row r="697" spans="1:15" ht="17" x14ac:dyDescent="0.2">
      <c r="A697" s="5" t="str">
        <v>SBI Mutual Fund</v>
      </c>
      <c r="B697" s="5" t="str">
        <v>AAAA9992</v>
      </c>
      <c r="C697" s="5" t="str">
        <v>AAAAA1111A</v>
      </c>
      <c r="D697" s="6" t="str">
        <v>SBI Liquid Fund Direct Growth</v>
      </c>
      <c r="E697" s="6" t="str">
        <v>DIRECT</v>
      </c>
      <c r="F697" s="6" t="str">
        <v>CAMS</v>
      </c>
      <c r="G697" s="6">
        <v>119598</v>
      </c>
      <c r="H697" s="6">
        <v>45333</v>
      </c>
      <c r="I697" s="6" t="str">
        <v>Purchase - SIP</v>
      </c>
      <c r="J697" s="5">
        <v>5000</v>
      </c>
      <c r="K697" s="5">
        <v>99.004000000000005</v>
      </c>
      <c r="L697" s="5">
        <v>50.502800000000001</v>
      </c>
      <c r="M697" s="5">
        <v>24167.692999999999</v>
      </c>
      <c r="N697" s="5" t="str">
        <v>PURCHASE_SIP</v>
      </c>
      <c r="O697" s="5">
        <v>0</v>
      </c>
    </row>
    <row r="698" spans="1:15" ht="17" x14ac:dyDescent="0.2">
      <c r="A698" s="5" t="str">
        <v>SBI Mutual Fund</v>
      </c>
      <c r="B698" s="5" t="str">
        <v>AAAA9992</v>
      </c>
      <c r="C698" s="5" t="str">
        <v>AAAAA1111A</v>
      </c>
      <c r="D698" s="6" t="str">
        <v>SBI Liquid Fund Direct Growth</v>
      </c>
      <c r="E698" s="6" t="str">
        <v>DIRECT</v>
      </c>
      <c r="F698" s="6" t="str">
        <v>CAMS</v>
      </c>
      <c r="G698" s="6">
        <v>119598</v>
      </c>
      <c r="H698" s="6">
        <v>45363</v>
      </c>
      <c r="I698" s="6" t="str">
        <v>Purchase - SIP</v>
      </c>
      <c r="J698" s="5">
        <v>5000</v>
      </c>
      <c r="K698" s="5">
        <v>98.85</v>
      </c>
      <c r="L698" s="5">
        <v>50.581899999999997</v>
      </c>
      <c r="M698" s="5">
        <v>24266.543000000001</v>
      </c>
      <c r="N698" s="5" t="str">
        <v>PURCHASE_SIP</v>
      </c>
      <c r="O698" s="5">
        <v>0</v>
      </c>
    </row>
    <row r="699" spans="1:15" ht="17" x14ac:dyDescent="0.2">
      <c r="A699" s="5" t="str">
        <v>SBI Mutual Fund</v>
      </c>
      <c r="B699" s="5" t="str">
        <v>AAAA9992</v>
      </c>
      <c r="C699" s="5" t="str">
        <v>AAAAA1111A</v>
      </c>
      <c r="D699" s="6" t="str">
        <v>SBI Liquid Fund Direct Growth</v>
      </c>
      <c r="E699" s="6" t="str">
        <v>DIRECT</v>
      </c>
      <c r="F699" s="6" t="str">
        <v>CAMS</v>
      </c>
      <c r="G699" s="6">
        <v>119598</v>
      </c>
      <c r="H699" s="6">
        <v>45363</v>
      </c>
      <c r="I699" s="6" t="str">
        <v>STT TAX</v>
      </c>
      <c r="J699" s="5">
        <v>2.5</v>
      </c>
      <c r="K699" s="5">
        <v>0</v>
      </c>
      <c r="L699" s="5">
        <v>0</v>
      </c>
      <c r="M699" s="5">
        <v>24266.543000000001</v>
      </c>
      <c r="N699" s="5" t="str">
        <v>STT_TAX</v>
      </c>
      <c r="O699" s="5">
        <v>0</v>
      </c>
    </row>
    <row r="700" spans="1:15" ht="17" x14ac:dyDescent="0.2">
      <c r="A700" s="5" t="str">
        <v>SBI Mutual Fund</v>
      </c>
      <c r="B700" s="5" t="str">
        <v>AAAA9992</v>
      </c>
      <c r="C700" s="5" t="str">
        <v>AAAAA1111A</v>
      </c>
      <c r="D700" s="6" t="str">
        <v>SBI Liquid Fund Direct Growth</v>
      </c>
      <c r="E700" s="6" t="str">
        <v>DIRECT</v>
      </c>
      <c r="F700" s="6" t="str">
        <v>CAMS</v>
      </c>
      <c r="G700" s="6">
        <v>119598</v>
      </c>
      <c r="H700" s="6">
        <v>45393</v>
      </c>
      <c r="I700" s="6" t="str">
        <v>Purchase - SIP</v>
      </c>
      <c r="J700" s="5">
        <v>5000</v>
      </c>
      <c r="K700" s="5">
        <v>96.876000000000005</v>
      </c>
      <c r="L700" s="5">
        <v>51.612499999999997</v>
      </c>
      <c r="M700" s="5">
        <v>24363.419000000002</v>
      </c>
      <c r="N700" s="5" t="str">
        <v>PURCHASE_SIP</v>
      </c>
      <c r="O700" s="5">
        <v>0</v>
      </c>
    </row>
    <row r="701" spans="1:15" ht="17" x14ac:dyDescent="0.2">
      <c r="A701" s="5" t="str">
        <v>SBI Mutual Fund</v>
      </c>
      <c r="B701" s="5" t="str">
        <v>AAAA9992</v>
      </c>
      <c r="C701" s="5" t="str">
        <v>AAAAA1111A</v>
      </c>
      <c r="D701" s="6" t="str">
        <v>SBI Liquid Fund Direct Growth</v>
      </c>
      <c r="E701" s="6" t="str">
        <v>DIRECT</v>
      </c>
      <c r="F701" s="6" t="str">
        <v>CAMS</v>
      </c>
      <c r="G701" s="6">
        <v>119598</v>
      </c>
      <c r="H701" s="6">
        <v>45423</v>
      </c>
      <c r="I701" s="6" t="str">
        <v>Purchase - SIP</v>
      </c>
      <c r="J701" s="5">
        <v>5000</v>
      </c>
      <c r="K701" s="5">
        <v>98.316000000000003</v>
      </c>
      <c r="L701" s="5">
        <v>50.856499999999997</v>
      </c>
      <c r="M701" s="5">
        <v>24461.734</v>
      </c>
      <c r="N701" s="5" t="str">
        <v>PURCHASE_SIP</v>
      </c>
      <c r="O701" s="5">
        <v>0</v>
      </c>
    </row>
    <row r="702" spans="1:15" ht="17" x14ac:dyDescent="0.2">
      <c r="A702" s="5" t="str">
        <v>SBI Mutual Fund</v>
      </c>
      <c r="B702" s="5" t="str">
        <v>AAAA9992</v>
      </c>
      <c r="C702" s="5" t="str">
        <v>AAAAA1111A</v>
      </c>
      <c r="D702" s="6" t="str">
        <v>SBI Liquid Fund Direct Growth</v>
      </c>
      <c r="E702" s="6" t="str">
        <v>DIRECT</v>
      </c>
      <c r="F702" s="6" t="str">
        <v>CAMS</v>
      </c>
      <c r="G702" s="6">
        <v>119598</v>
      </c>
      <c r="H702" s="6">
        <v>45453</v>
      </c>
      <c r="I702" s="6" t="str">
        <v>Purchase - SIP</v>
      </c>
      <c r="J702" s="5">
        <v>5000</v>
      </c>
      <c r="K702" s="5">
        <v>99.736000000000004</v>
      </c>
      <c r="L702" s="5">
        <v>50.132300000000001</v>
      </c>
      <c r="M702" s="5">
        <v>24561.471000000001</v>
      </c>
      <c r="N702" s="5" t="str">
        <v>PURCHASE_SIP</v>
      </c>
      <c r="O702" s="5">
        <v>0</v>
      </c>
    </row>
    <row r="703" spans="1:15" ht="17" x14ac:dyDescent="0.2">
      <c r="A703" s="5" t="str">
        <v>SBI Mutual Fund</v>
      </c>
      <c r="B703" s="5" t="str">
        <v>AAAA9992</v>
      </c>
      <c r="C703" s="5" t="str">
        <v>AAAAA1111A</v>
      </c>
      <c r="D703" s="6" t="str">
        <v>SBI Liquid Fund Direct Growth</v>
      </c>
      <c r="E703" s="6" t="str">
        <v>DIRECT</v>
      </c>
      <c r="F703" s="6" t="str">
        <v>CAMS</v>
      </c>
      <c r="G703" s="6">
        <v>119598</v>
      </c>
      <c r="H703" s="6">
        <v>45483</v>
      </c>
      <c r="I703" s="6" t="str">
        <v>Purchase - SIP</v>
      </c>
      <c r="J703" s="5">
        <v>5000</v>
      </c>
      <c r="K703" s="5">
        <v>97.064999999999998</v>
      </c>
      <c r="L703" s="5">
        <v>51.512</v>
      </c>
      <c r="M703" s="5">
        <v>24658.535</v>
      </c>
      <c r="N703" s="5" t="str">
        <v>PURCHASE_SIP</v>
      </c>
      <c r="O703" s="5">
        <v>0</v>
      </c>
    </row>
    <row r="704" spans="1:15" ht="17" x14ac:dyDescent="0.2">
      <c r="A704" s="5" t="str">
        <v>SBI Mutual Fund</v>
      </c>
      <c r="B704" s="5" t="str">
        <v>AAAA9992</v>
      </c>
      <c r="C704" s="5" t="str">
        <v>AAAAA1111A</v>
      </c>
      <c r="D704" s="6" t="str">
        <v>SBI Liquid Fund Direct Growth</v>
      </c>
      <c r="E704" s="6" t="str">
        <v>DIRECT</v>
      </c>
      <c r="F704" s="6" t="str">
        <v>CAMS</v>
      </c>
      <c r="G704" s="6">
        <v>119598</v>
      </c>
      <c r="H704" s="6">
        <v>45513</v>
      </c>
      <c r="I704" s="6" t="str">
        <v>Purchase - SIP</v>
      </c>
      <c r="J704" s="5">
        <v>5000</v>
      </c>
      <c r="K704" s="5">
        <v>97.957999999999998</v>
      </c>
      <c r="L704" s="5">
        <v>51.042099999999998</v>
      </c>
      <c r="M704" s="5">
        <v>24756.493999999999</v>
      </c>
      <c r="N704" s="5" t="str">
        <v>PURCHASE_SIP</v>
      </c>
      <c r="O704" s="5">
        <v>0</v>
      </c>
    </row>
    <row r="705" spans="1:15" ht="17" x14ac:dyDescent="0.2">
      <c r="A705" s="5" t="str">
        <v>SBI Mutual Fund</v>
      </c>
      <c r="B705" s="5" t="str">
        <v>AAAA9992</v>
      </c>
      <c r="C705" s="5" t="str">
        <v>AAAAA1111A</v>
      </c>
      <c r="D705" s="6" t="str">
        <v>SBI Liquid Fund Direct Growth</v>
      </c>
      <c r="E705" s="6" t="str">
        <v>DIRECT</v>
      </c>
      <c r="F705" s="6" t="str">
        <v>CAMS</v>
      </c>
      <c r="G705" s="6">
        <v>119598</v>
      </c>
      <c r="H705" s="6">
        <v>45543</v>
      </c>
      <c r="I705" s="6" t="str">
        <v>Purchase - SIP</v>
      </c>
      <c r="J705" s="5">
        <v>5000</v>
      </c>
      <c r="K705" s="5">
        <v>96.242000000000004</v>
      </c>
      <c r="L705" s="5">
        <v>51.952599999999997</v>
      </c>
      <c r="M705" s="5">
        <v>24852.735000000001</v>
      </c>
      <c r="N705" s="5" t="str">
        <v>PURCHASE_SIP</v>
      </c>
      <c r="O705" s="5">
        <v>0</v>
      </c>
    </row>
    <row r="706" spans="1:15" ht="17" x14ac:dyDescent="0.2">
      <c r="A706" s="5" t="str">
        <v>SBI Mutual Fund</v>
      </c>
      <c r="B706" s="5" t="str">
        <v>AAAA9992</v>
      </c>
      <c r="C706" s="5" t="str">
        <v>AAAAA1111A</v>
      </c>
      <c r="D706" s="6" t="str">
        <v>SBI Liquid Fund Direct Growth</v>
      </c>
      <c r="E706" s="6" t="str">
        <v>DIRECT</v>
      </c>
      <c r="F706" s="6" t="str">
        <v>CAMS</v>
      </c>
      <c r="G706" s="6">
        <v>119598</v>
      </c>
      <c r="H706" s="6">
        <v>45573</v>
      </c>
      <c r="I706" s="6" t="str">
        <v>Purchase - SIP</v>
      </c>
      <c r="J706" s="5">
        <v>5000</v>
      </c>
      <c r="K706" s="5">
        <v>95.010999999999996</v>
      </c>
      <c r="L706" s="5">
        <v>52.6252</v>
      </c>
      <c r="M706" s="5">
        <v>24947.746999999999</v>
      </c>
      <c r="N706" s="5" t="str">
        <v>PURCHASE_SIP</v>
      </c>
      <c r="O706" s="5">
        <v>0</v>
      </c>
    </row>
    <row r="707" spans="1:15" ht="17" x14ac:dyDescent="0.2">
      <c r="A707" s="5" t="str">
        <v>SBI Mutual Fund</v>
      </c>
      <c r="B707" s="5" t="str">
        <v>AAAA9992</v>
      </c>
      <c r="C707" s="5" t="str">
        <v>AAAAA1111A</v>
      </c>
      <c r="D707" s="6" t="str">
        <v>SBI Liquid Fund Direct Growth</v>
      </c>
      <c r="E707" s="6" t="str">
        <v>DIRECT</v>
      </c>
      <c r="F707" s="6" t="str">
        <v>CAMS</v>
      </c>
      <c r="G707" s="6">
        <v>119598</v>
      </c>
      <c r="H707" s="6">
        <v>45603</v>
      </c>
      <c r="I707" s="6" t="str">
        <v>Purchase - SIP</v>
      </c>
      <c r="J707" s="5">
        <v>5000</v>
      </c>
      <c r="K707" s="5">
        <v>96.025999999999996</v>
      </c>
      <c r="L707" s="5">
        <v>52.069400000000002</v>
      </c>
      <c r="M707" s="5">
        <v>25043.773000000001</v>
      </c>
      <c r="N707" s="5" t="str">
        <v>PURCHASE_SIP</v>
      </c>
      <c r="O707" s="5">
        <v>0</v>
      </c>
    </row>
    <row r="708" spans="1:15" ht="17" x14ac:dyDescent="0.2">
      <c r="A708" s="5" t="str">
        <v>SBI Mutual Fund</v>
      </c>
      <c r="B708" s="5" t="str">
        <v>AAAA9992</v>
      </c>
      <c r="C708" s="5" t="str">
        <v>AAAAA1111A</v>
      </c>
      <c r="D708" s="6" t="str">
        <v>SBI Liquid Fund Direct Growth</v>
      </c>
      <c r="E708" s="6" t="str">
        <v>DIRECT</v>
      </c>
      <c r="F708" s="6" t="str">
        <v>CAMS</v>
      </c>
      <c r="G708" s="6">
        <v>119598</v>
      </c>
      <c r="H708" s="6">
        <v>45633</v>
      </c>
      <c r="I708" s="6" t="str">
        <v>Purchase - SIP</v>
      </c>
      <c r="J708" s="5">
        <v>5000</v>
      </c>
      <c r="K708" s="5">
        <v>95.308000000000007</v>
      </c>
      <c r="L708" s="5">
        <v>52.461799999999997</v>
      </c>
      <c r="M708" s="5">
        <v>25139.08</v>
      </c>
      <c r="N708" s="5" t="str">
        <v>PURCHASE_SIP</v>
      </c>
      <c r="O708" s="5">
        <v>0</v>
      </c>
    </row>
    <row r="709" spans="1:15" ht="17" x14ac:dyDescent="0.2">
      <c r="A709" s="5" t="str">
        <v>SBI Mutual Fund</v>
      </c>
      <c r="B709" s="5" t="str">
        <v>AAAA9992</v>
      </c>
      <c r="C709" s="5" t="str">
        <v>AAAAA1111A</v>
      </c>
      <c r="D709" s="6" t="str">
        <v>SBI Liquid Fund Direct Growth</v>
      </c>
      <c r="E709" s="6" t="str">
        <v>DIRECT</v>
      </c>
      <c r="F709" s="6" t="str">
        <v>CAMS</v>
      </c>
      <c r="G709" s="6">
        <v>119598</v>
      </c>
      <c r="H709" s="6">
        <v>45663</v>
      </c>
      <c r="I709" s="6" t="str">
        <v>Purchase - SIP</v>
      </c>
      <c r="J709" s="5">
        <v>5000</v>
      </c>
      <c r="K709" s="5">
        <v>96.397999999999996</v>
      </c>
      <c r="L709" s="5">
        <v>51.868400000000001</v>
      </c>
      <c r="M709" s="5">
        <v>25235.477999999999</v>
      </c>
      <c r="N709" s="5" t="str">
        <v>PURCHASE_SIP</v>
      </c>
      <c r="O709" s="5">
        <v>0</v>
      </c>
    </row>
    <row r="710" spans="1:15" ht="17" x14ac:dyDescent="0.2">
      <c r="A710" s="5" t="str">
        <v>SBI Mutual Fund</v>
      </c>
      <c r="B710" s="5" t="str">
        <v>AAAA9992</v>
      </c>
      <c r="C710" s="5" t="str">
        <v>AAAAA1111A</v>
      </c>
      <c r="D710" s="6" t="str">
        <v>SBI Liquid Fund Direct Growth</v>
      </c>
      <c r="E710" s="6" t="str">
        <v>DIRECT</v>
      </c>
      <c r="F710" s="6" t="str">
        <v>CAMS</v>
      </c>
      <c r="G710" s="6">
        <v>119598</v>
      </c>
      <c r="H710" s="6">
        <v>45693</v>
      </c>
      <c r="I710" s="6" t="str">
        <v>Purchase - SIP</v>
      </c>
      <c r="J710" s="5">
        <v>5000</v>
      </c>
      <c r="K710" s="5">
        <v>96.707999999999998</v>
      </c>
      <c r="L710" s="5">
        <v>51.701799999999999</v>
      </c>
      <c r="M710" s="5">
        <v>25332.186000000002</v>
      </c>
      <c r="N710" s="5" t="str">
        <v>PURCHASE_SIP</v>
      </c>
      <c r="O710" s="5">
        <v>0</v>
      </c>
    </row>
    <row r="711" spans="1:15" ht="17" x14ac:dyDescent="0.2">
      <c r="A711" s="5" t="str">
        <v>SBI Mutual Fund</v>
      </c>
      <c r="B711" s="5" t="str">
        <v>AAAA9992</v>
      </c>
      <c r="C711" s="5" t="str">
        <v>AAAAA1111A</v>
      </c>
      <c r="D711" s="6" t="str">
        <v>SBI Liquid Fund Direct Growth</v>
      </c>
      <c r="E711" s="6" t="str">
        <v>DIRECT</v>
      </c>
      <c r="F711" s="6" t="str">
        <v>CAMS</v>
      </c>
      <c r="G711" s="6">
        <v>119598</v>
      </c>
      <c r="H711" s="6">
        <v>45723</v>
      </c>
      <c r="I711" s="6" t="str">
        <v>Purchase - SIP</v>
      </c>
      <c r="J711" s="5">
        <v>5000</v>
      </c>
      <c r="K711" s="5">
        <v>96.256</v>
      </c>
      <c r="L711" s="5">
        <v>51.944899999999997</v>
      </c>
      <c r="M711" s="5">
        <v>25428.441999999999</v>
      </c>
      <c r="N711" s="5" t="str">
        <v>PURCHASE_SIP</v>
      </c>
      <c r="O711" s="5">
        <v>0</v>
      </c>
    </row>
    <row r="712" spans="1:15" ht="17" x14ac:dyDescent="0.2">
      <c r="A712" s="5" t="str">
        <v>SBI Mutual Fund</v>
      </c>
      <c r="B712" s="5" t="str">
        <v>AAAA9992</v>
      </c>
      <c r="C712" s="5" t="str">
        <v>AAAAA1111A</v>
      </c>
      <c r="D712" s="6" t="str">
        <v>SBI Liquid Fund Direct Growth</v>
      </c>
      <c r="E712" s="6" t="str">
        <v>DIRECT</v>
      </c>
      <c r="F712" s="6" t="str">
        <v>CAMS</v>
      </c>
      <c r="G712" s="6">
        <v>119598</v>
      </c>
      <c r="H712" s="6">
        <v>45723</v>
      </c>
      <c r="I712" s="6" t="str">
        <v>STAMP DUTY</v>
      </c>
      <c r="J712" s="5">
        <v>2.5</v>
      </c>
      <c r="K712" s="5">
        <v>0</v>
      </c>
      <c r="L712" s="5">
        <v>0</v>
      </c>
      <c r="M712" s="5">
        <v>25428.441999999999</v>
      </c>
      <c r="N712" s="5" t="str">
        <v>STAMP_DUTY</v>
      </c>
      <c r="O712" s="5">
        <v>0</v>
      </c>
    </row>
    <row r="713" spans="1:15" ht="17" x14ac:dyDescent="0.2">
      <c r="A713" s="5" t="str">
        <v>SBI Mutual Fund</v>
      </c>
      <c r="B713" s="5" t="str">
        <v>AAAA9992</v>
      </c>
      <c r="C713" s="5" t="str">
        <v>AAAAA1111A</v>
      </c>
      <c r="D713" s="6" t="str">
        <v>SBI Liquid Fund Direct Growth</v>
      </c>
      <c r="E713" s="6" t="str">
        <v>DIRECT</v>
      </c>
      <c r="F713" s="6" t="str">
        <v>CAMS</v>
      </c>
      <c r="G713" s="6">
        <v>119598</v>
      </c>
      <c r="H713" s="6">
        <v>45753</v>
      </c>
      <c r="I713" s="6" t="str">
        <v>Purchase - SIP</v>
      </c>
      <c r="J713" s="5">
        <v>5000</v>
      </c>
      <c r="K713" s="5">
        <v>95.700999999999993</v>
      </c>
      <c r="L713" s="5">
        <v>52.246099999999998</v>
      </c>
      <c r="M713" s="5">
        <v>25524.143</v>
      </c>
      <c r="N713" s="5" t="str">
        <v>PURCHASE_SIP</v>
      </c>
      <c r="O713" s="5">
        <v>0</v>
      </c>
    </row>
    <row r="714" spans="1:15" ht="17" x14ac:dyDescent="0.2">
      <c r="A714" s="5" t="str">
        <v>SBI Mutual Fund</v>
      </c>
      <c r="B714" s="5" t="str">
        <v>AAAA9992</v>
      </c>
      <c r="C714" s="5" t="str">
        <v>AAAAA1111A</v>
      </c>
      <c r="D714" s="6" t="str">
        <v>SBI Liquid Fund Direct Growth</v>
      </c>
      <c r="E714" s="6" t="str">
        <v>DIRECT</v>
      </c>
      <c r="F714" s="6" t="str">
        <v>CAMS</v>
      </c>
      <c r="G714" s="6">
        <v>119598</v>
      </c>
      <c r="H714" s="6">
        <v>45783</v>
      </c>
      <c r="I714" s="6" t="str">
        <v>Purchase - SIP</v>
      </c>
      <c r="J714" s="5">
        <v>5000</v>
      </c>
      <c r="K714" s="5">
        <v>93.515000000000001</v>
      </c>
      <c r="L714" s="5">
        <v>53.467399999999998</v>
      </c>
      <c r="M714" s="5">
        <v>25617.657999999999</v>
      </c>
      <c r="N714" s="5" t="str">
        <v>PURCHASE_SIP</v>
      </c>
      <c r="O714" s="5">
        <v>0</v>
      </c>
    </row>
    <row r="715" spans="1:15" ht="17" x14ac:dyDescent="0.2">
      <c r="A715" s="5" t="str">
        <v>SBI Mutual Fund</v>
      </c>
      <c r="B715" s="5" t="str">
        <v>AAAA9992</v>
      </c>
      <c r="C715" s="5" t="str">
        <v>AAAAA1111A</v>
      </c>
      <c r="D715" s="6" t="str">
        <v>SBI Liquid Fund Direct Growth</v>
      </c>
      <c r="E715" s="6" t="str">
        <v>DIRECT</v>
      </c>
      <c r="F715" s="6" t="str">
        <v>CAMS</v>
      </c>
      <c r="G715" s="6">
        <v>119598</v>
      </c>
      <c r="H715" s="6">
        <v>45813</v>
      </c>
      <c r="I715" s="6" t="str">
        <v>Purchase - SIP</v>
      </c>
      <c r="J715" s="5">
        <v>5000</v>
      </c>
      <c r="K715" s="5">
        <v>93.325000000000003</v>
      </c>
      <c r="L715" s="5">
        <v>53.576000000000001</v>
      </c>
      <c r="M715" s="5">
        <v>25710.983</v>
      </c>
      <c r="N715" s="5" t="str">
        <v>PURCHASE_SIP</v>
      </c>
      <c r="O715" s="5">
        <v>0</v>
      </c>
    </row>
    <row r="716" spans="1:15" ht="17" x14ac:dyDescent="0.2">
      <c r="A716" s="5" t="str">
        <v>SBI Mutual Fund</v>
      </c>
      <c r="B716" s="5" t="str">
        <v>AAAA9992</v>
      </c>
      <c r="C716" s="5" t="str">
        <v>AAAAA1111A</v>
      </c>
      <c r="D716" s="6" t="str">
        <v>SBI Liquid Fund Direct Growth</v>
      </c>
      <c r="E716" s="6" t="str">
        <v>DIRECT</v>
      </c>
      <c r="F716" s="6" t="str">
        <v>CAMS</v>
      </c>
      <c r="G716" s="6">
        <v>119598</v>
      </c>
      <c r="H716" s="6">
        <v>45813</v>
      </c>
      <c r="I716" s="6" t="str">
        <v>STAMP DUTY</v>
      </c>
      <c r="J716" s="5">
        <v>2.5</v>
      </c>
      <c r="K716" s="5">
        <v>0</v>
      </c>
      <c r="L716" s="5">
        <v>0</v>
      </c>
      <c r="M716" s="5">
        <v>25710.983</v>
      </c>
      <c r="N716" s="5" t="str">
        <v>STAMP_DUTY</v>
      </c>
      <c r="O716" s="5">
        <v>0</v>
      </c>
    </row>
    <row r="717" spans="1:15" ht="17" x14ac:dyDescent="0.2">
      <c r="A717" s="5" t="str">
        <v>SBI Mutual Fund</v>
      </c>
      <c r="B717" s="5" t="str">
        <v>AAAA9992</v>
      </c>
      <c r="C717" s="5" t="str">
        <v>AAAAA1111A</v>
      </c>
      <c r="D717" s="6" t="str">
        <v>SBI Liquid Fund Direct Growth</v>
      </c>
      <c r="E717" s="6" t="str">
        <v>DIRECT</v>
      </c>
      <c r="F717" s="6" t="str">
        <v>CAMS</v>
      </c>
      <c r="G717" s="6">
        <v>119598</v>
      </c>
      <c r="H717" s="6">
        <v>45843</v>
      </c>
      <c r="I717" s="6" t="str">
        <v>Purchase - SIP</v>
      </c>
      <c r="J717" s="5">
        <v>5000</v>
      </c>
      <c r="K717" s="5">
        <v>93.102000000000004</v>
      </c>
      <c r="L717" s="5">
        <v>53.704300000000003</v>
      </c>
      <c r="M717" s="5">
        <v>25804.085999999999</v>
      </c>
      <c r="N717" s="5" t="str">
        <v>PURCHASE_SIP</v>
      </c>
      <c r="O717" s="5">
        <v>0</v>
      </c>
    </row>
    <row r="718" spans="1:15" ht="17" x14ac:dyDescent="0.2">
      <c r="A718" s="5" t="str">
        <v>SBI Mutual Fund</v>
      </c>
      <c r="B718" s="5" t="str">
        <v>AAAA9992</v>
      </c>
      <c r="C718" s="5" t="str">
        <v>AAAAA1111A</v>
      </c>
      <c r="D718" s="6" t="str">
        <v>SBI Liquid Fund Direct Growth</v>
      </c>
      <c r="E718" s="6" t="str">
        <v>DIRECT</v>
      </c>
      <c r="F718" s="6" t="str">
        <v>CAMS</v>
      </c>
      <c r="G718" s="6">
        <v>119598</v>
      </c>
      <c r="H718" s="6">
        <v>45843</v>
      </c>
      <c r="I718" s="6" t="str">
        <v>STAMP DUTY</v>
      </c>
      <c r="J718" s="5">
        <v>2.5</v>
      </c>
      <c r="K718" s="5">
        <v>0</v>
      </c>
      <c r="L718" s="5">
        <v>0</v>
      </c>
      <c r="M718" s="5">
        <v>25804.085999999999</v>
      </c>
      <c r="N718" s="5" t="str">
        <v>STAMP_DUTY</v>
      </c>
      <c r="O718" s="5">
        <v>0</v>
      </c>
    </row>
    <row r="719" spans="1:15" ht="17" x14ac:dyDescent="0.2">
      <c r="A719" s="5" t="str">
        <v>SBI Mutual Fund</v>
      </c>
      <c r="B719" s="5" t="str">
        <v>AAAA9992</v>
      </c>
      <c r="C719" s="5" t="str">
        <v>AAAAA1111A</v>
      </c>
      <c r="D719" s="6" t="str">
        <v>SBI Liquid Fund Direct Growth</v>
      </c>
      <c r="E719" s="6" t="str">
        <v>DIRECT</v>
      </c>
      <c r="F719" s="6" t="str">
        <v>CAMS</v>
      </c>
      <c r="G719" s="6">
        <v>119598</v>
      </c>
      <c r="H719" s="6">
        <v>45873</v>
      </c>
      <c r="I719" s="6" t="str">
        <v>Purchase - SIP</v>
      </c>
      <c r="J719" s="5">
        <v>5000</v>
      </c>
      <c r="K719" s="5">
        <v>93.926000000000002</v>
      </c>
      <c r="L719" s="5">
        <v>53.233499999999999</v>
      </c>
      <c r="M719" s="5">
        <v>25898.010999999999</v>
      </c>
      <c r="N719" s="5" t="str">
        <v>PURCHASE_SIP</v>
      </c>
      <c r="O719" s="5">
        <v>0</v>
      </c>
    </row>
    <row r="720" spans="1:15" ht="17" x14ac:dyDescent="0.2">
      <c r="A720" s="5" t="str">
        <v>SBI Mutual Fund</v>
      </c>
      <c r="B720" s="5" t="str">
        <v>AAAA9992</v>
      </c>
      <c r="C720" s="5" t="str">
        <v>AAAAA1111A</v>
      </c>
      <c r="D720" s="6" t="str">
        <v>SBI Liquid Fund Direct Growth</v>
      </c>
      <c r="E720" s="6" t="str">
        <v>DIRECT</v>
      </c>
      <c r="F720" s="6" t="str">
        <v>CAMS</v>
      </c>
      <c r="G720" s="6">
        <v>119598</v>
      </c>
      <c r="H720" s="6">
        <v>45873</v>
      </c>
      <c r="I720" s="6" t="str">
        <v>STAMP DUTY</v>
      </c>
      <c r="J720" s="5">
        <v>2.5</v>
      </c>
      <c r="K720" s="5">
        <v>0</v>
      </c>
      <c r="L720" s="5">
        <v>0</v>
      </c>
      <c r="M720" s="5">
        <v>25898.010999999999</v>
      </c>
      <c r="N720" s="5" t="str">
        <v>STAMP_DUTY</v>
      </c>
      <c r="O720" s="5">
        <v>0</v>
      </c>
    </row>
    <row r="721" spans="1:15" ht="17" x14ac:dyDescent="0.2">
      <c r="A721" s="5" t="str">
        <v>SBI Mutual Fund</v>
      </c>
      <c r="B721" s="5" t="str">
        <v>AAAA9992</v>
      </c>
      <c r="C721" s="5" t="str">
        <v>AAAAA1111A</v>
      </c>
      <c r="D721" s="6" t="str">
        <v>SBI Liquid Fund Direct Growth</v>
      </c>
      <c r="E721" s="6" t="str">
        <v>DIRECT</v>
      </c>
      <c r="F721" s="6" t="str">
        <v>CAMS</v>
      </c>
      <c r="G721" s="6">
        <v>119598</v>
      </c>
      <c r="H721" s="6">
        <v>45903</v>
      </c>
      <c r="I721" s="6" t="str">
        <v>Purchase - SIP</v>
      </c>
      <c r="J721" s="5">
        <v>5000</v>
      </c>
      <c r="K721" s="5">
        <v>93.796999999999997</v>
      </c>
      <c r="L721" s="5">
        <v>53.306800000000003</v>
      </c>
      <c r="M721" s="5">
        <v>25991.808000000001</v>
      </c>
      <c r="N721" s="5" t="str">
        <v>PURCHASE_SIP</v>
      </c>
      <c r="O721" s="5">
        <v>0</v>
      </c>
    </row>
    <row r="722" spans="1:15" ht="17" x14ac:dyDescent="0.2">
      <c r="A722" s="5" t="str">
        <v>SBI Mutual Fund</v>
      </c>
      <c r="B722" s="5" t="str">
        <v>AAAA9992</v>
      </c>
      <c r="C722" s="5" t="str">
        <v>AAAAA1111A</v>
      </c>
      <c r="D722" s="6" t="str">
        <v>SBI Liquid Fund Direct Growth</v>
      </c>
      <c r="E722" s="6" t="str">
        <v>DIRECT</v>
      </c>
      <c r="F722" s="6" t="str">
        <v>CAMS</v>
      </c>
      <c r="G722" s="6">
        <v>119598</v>
      </c>
      <c r="H722" s="6">
        <v>45933</v>
      </c>
      <c r="I722" s="6" t="str">
        <v>Purchase - SIP</v>
      </c>
      <c r="J722" s="5">
        <v>5000</v>
      </c>
      <c r="K722" s="5">
        <v>94.131</v>
      </c>
      <c r="L722" s="5">
        <v>53.117400000000004</v>
      </c>
      <c r="M722" s="5">
        <v>26085.938999999998</v>
      </c>
      <c r="N722" s="5" t="str">
        <v>PURCHASE_SIP</v>
      </c>
      <c r="O722" s="5">
        <v>0</v>
      </c>
    </row>
    <row r="723" spans="1:15" ht="17" x14ac:dyDescent="0.2">
      <c r="A723" s="5" t="str">
        <v>SBI Mutual Fund</v>
      </c>
      <c r="B723" s="5" t="str">
        <v>AAAA9992</v>
      </c>
      <c r="C723" s="5" t="str">
        <v>AAAAA1111A</v>
      </c>
      <c r="D723" s="6" t="str">
        <v>SBI Liquid Fund Direct Growth</v>
      </c>
      <c r="E723" s="6" t="str">
        <v>DIRECT</v>
      </c>
      <c r="F723" s="6" t="str">
        <v>CAMS</v>
      </c>
      <c r="G723" s="6">
        <v>119598</v>
      </c>
      <c r="H723" s="6">
        <v>45963</v>
      </c>
      <c r="I723" s="6" t="str">
        <v>Purchase - SIP</v>
      </c>
      <c r="J723" s="5">
        <v>5000</v>
      </c>
      <c r="K723" s="5">
        <v>94.878</v>
      </c>
      <c r="L723" s="5">
        <v>52.699300000000001</v>
      </c>
      <c r="M723" s="5">
        <v>26180.816999999999</v>
      </c>
      <c r="N723" s="5" t="str">
        <v>PURCHASE_SIP</v>
      </c>
      <c r="O723" s="5">
        <v>0</v>
      </c>
    </row>
    <row r="724" spans="1:15" ht="17" x14ac:dyDescent="0.2">
      <c r="A724" s="5" t="str">
        <v>SBI Mutual Fund</v>
      </c>
      <c r="B724" s="5" t="str">
        <v>AAAA9992</v>
      </c>
      <c r="C724" s="5" t="str">
        <v>AAAAA1111A</v>
      </c>
      <c r="D724" s="6" t="str">
        <v>SBI Liquid Fund Direct Growth</v>
      </c>
      <c r="E724" s="6" t="str">
        <v>DIRECT</v>
      </c>
      <c r="F724" s="6" t="str">
        <v>CAMS</v>
      </c>
      <c r="G724" s="6">
        <v>119598</v>
      </c>
      <c r="H724" s="6">
        <v>45993</v>
      </c>
      <c r="I724" s="6" t="str">
        <v>Purchase - SIP</v>
      </c>
      <c r="J724" s="5">
        <v>5000</v>
      </c>
      <c r="K724" s="5">
        <v>92.869</v>
      </c>
      <c r="L724" s="5">
        <v>53.839199999999998</v>
      </c>
      <c r="M724" s="5">
        <v>26273.686000000002</v>
      </c>
      <c r="N724" s="5" t="str">
        <v>PURCHASE_SIP</v>
      </c>
      <c r="O724" s="5">
        <v>0</v>
      </c>
    </row>
    <row r="725" spans="1:15" ht="17" x14ac:dyDescent="0.2">
      <c r="A725" s="5" t="str">
        <v>SBI Mutual Fund</v>
      </c>
      <c r="B725" s="5" t="str">
        <v>AAAA9992</v>
      </c>
      <c r="C725" s="5" t="str">
        <v>AAAAA1111A</v>
      </c>
      <c r="D725" s="6" t="str">
        <v>SBI Liquid Fund Direct Growth</v>
      </c>
      <c r="E725" s="6" t="str">
        <v>DIRECT</v>
      </c>
      <c r="F725" s="6" t="str">
        <v>CAMS</v>
      </c>
      <c r="G725" s="6">
        <v>119598</v>
      </c>
      <c r="H725" s="6">
        <v>46023</v>
      </c>
      <c r="I725" s="6" t="str">
        <v>Purchase - SIP</v>
      </c>
      <c r="J725" s="5">
        <v>5000</v>
      </c>
      <c r="K725" s="5">
        <v>91.227999999999994</v>
      </c>
      <c r="L725" s="5">
        <v>54.807600000000001</v>
      </c>
      <c r="M725" s="5">
        <v>26364.914000000001</v>
      </c>
      <c r="N725" s="5" t="str">
        <v>PURCHASE_SIP</v>
      </c>
      <c r="O725" s="5">
        <v>0</v>
      </c>
    </row>
    <row r="726" spans="1:15" ht="17" x14ac:dyDescent="0.2">
      <c r="A726" s="5" t="str">
        <v>SBI Mutual Fund</v>
      </c>
      <c r="B726" s="5" t="str">
        <v>AAAA9992</v>
      </c>
      <c r="C726" s="5" t="str">
        <v>AAAAA1111A</v>
      </c>
      <c r="D726" s="6" t="str">
        <v>SBI Liquid Fund Direct Growth</v>
      </c>
      <c r="E726" s="6" t="str">
        <v>DIRECT</v>
      </c>
      <c r="F726" s="6" t="str">
        <v>CAMS</v>
      </c>
      <c r="G726" s="6">
        <v>119598</v>
      </c>
      <c r="H726" s="6">
        <v>46023</v>
      </c>
      <c r="I726" s="6" t="str">
        <v>STT TAX</v>
      </c>
      <c r="J726" s="5">
        <v>2.5</v>
      </c>
      <c r="K726" s="5">
        <v>0</v>
      </c>
      <c r="L726" s="5">
        <v>0</v>
      </c>
      <c r="M726" s="5">
        <v>26364.914000000001</v>
      </c>
      <c r="N726" s="5" t="str">
        <v>STT_TAX</v>
      </c>
      <c r="O726" s="5">
        <v>0</v>
      </c>
    </row>
    <row r="727" spans="1:15" ht="17" x14ac:dyDescent="0.2">
      <c r="A727" s="5" t="str">
        <v>SBI Mutual Fund</v>
      </c>
      <c r="B727" s="5" t="str">
        <v>AAAA9992</v>
      </c>
      <c r="C727" s="5" t="str">
        <v>AAAAA1111A</v>
      </c>
      <c r="D727" s="6" t="str">
        <v>SBI Liquid Fund Direct Growth</v>
      </c>
      <c r="E727" s="6" t="str">
        <v>DIRECT</v>
      </c>
      <c r="F727" s="6" t="str">
        <v>CAMS</v>
      </c>
      <c r="G727" s="6">
        <v>119598</v>
      </c>
      <c r="H727" s="6">
        <v>46053</v>
      </c>
      <c r="I727" s="6" t="str">
        <v>Purchase - SIP</v>
      </c>
      <c r="J727" s="5">
        <v>5000</v>
      </c>
      <c r="K727" s="5">
        <v>90.55</v>
      </c>
      <c r="L727" s="5">
        <v>55.218200000000003</v>
      </c>
      <c r="M727" s="5">
        <v>26455.464</v>
      </c>
      <c r="N727" s="5" t="str">
        <v>PURCHASE_SIP</v>
      </c>
      <c r="O727" s="5">
        <v>0</v>
      </c>
    </row>
    <row r="728" spans="1:15" ht="17" x14ac:dyDescent="0.2">
      <c r="A728" s="5" t="str">
        <v>SBI Mutual Fund</v>
      </c>
      <c r="B728" s="5" t="str">
        <v>AAAA9992</v>
      </c>
      <c r="C728" s="5" t="str">
        <v>AAAAA1111A</v>
      </c>
      <c r="D728" s="6" t="str">
        <v>SBI Liquid Fund Direct Growth</v>
      </c>
      <c r="E728" s="6" t="str">
        <v>DIRECT</v>
      </c>
      <c r="F728" s="6" t="str">
        <v>CAMS</v>
      </c>
      <c r="G728" s="6">
        <v>119598</v>
      </c>
      <c r="H728" s="6">
        <v>46083</v>
      </c>
      <c r="I728" s="6" t="str">
        <v>Purchase - SIP</v>
      </c>
      <c r="J728" s="5">
        <v>5000</v>
      </c>
      <c r="K728" s="5">
        <v>88.111000000000004</v>
      </c>
      <c r="L728" s="5">
        <v>56.746400000000001</v>
      </c>
      <c r="M728" s="5">
        <v>26543.576000000001</v>
      </c>
      <c r="N728" s="5" t="str">
        <v>PURCHASE_SIP</v>
      </c>
      <c r="O728" s="5">
        <v>0</v>
      </c>
    </row>
    <row r="729" spans="1:15" ht="17" x14ac:dyDescent="0.2">
      <c r="A729" s="5" t="str">
        <v>SBI Mutual Fund</v>
      </c>
      <c r="B729" s="5" t="str">
        <v>AAAA9992</v>
      </c>
      <c r="C729" s="5" t="str">
        <v>AAAAA1111A</v>
      </c>
      <c r="D729" s="6" t="str">
        <v>SBI Liquid Fund Direct Growth</v>
      </c>
      <c r="E729" s="6" t="str">
        <v>DIRECT</v>
      </c>
      <c r="F729" s="6" t="str">
        <v>CAMS</v>
      </c>
      <c r="G729" s="6">
        <v>119598</v>
      </c>
      <c r="H729" s="6">
        <v>46113</v>
      </c>
      <c r="I729" s="6" t="str">
        <v>Purchase - SIP</v>
      </c>
      <c r="J729" s="5">
        <v>5000</v>
      </c>
      <c r="K729" s="5">
        <v>89.811999999999998</v>
      </c>
      <c r="L729" s="5">
        <v>55.671500000000002</v>
      </c>
      <c r="M729" s="5">
        <v>26633.387999999999</v>
      </c>
      <c r="N729" s="5" t="str">
        <v>PURCHASE_SIP</v>
      </c>
      <c r="O729" s="5">
        <v>0</v>
      </c>
    </row>
    <row r="730" spans="1:15" ht="17" x14ac:dyDescent="0.2">
      <c r="A730" s="5" t="str">
        <v>SBI Mutual Fund</v>
      </c>
      <c r="B730" s="5" t="str">
        <v>AAAA9992</v>
      </c>
      <c r="C730" s="5" t="str">
        <v>AAAAA1111A</v>
      </c>
      <c r="D730" s="6" t="str">
        <v>SBI Liquid Fund Direct Growth</v>
      </c>
      <c r="E730" s="6" t="str">
        <v>DIRECT</v>
      </c>
      <c r="F730" s="6" t="str">
        <v>CAMS</v>
      </c>
      <c r="G730" s="6">
        <v>119598</v>
      </c>
      <c r="H730" s="6">
        <v>46143</v>
      </c>
      <c r="I730" s="6" t="str">
        <v>Purchase - SIP</v>
      </c>
      <c r="J730" s="5">
        <v>5000</v>
      </c>
      <c r="K730" s="5">
        <v>88.796999999999997</v>
      </c>
      <c r="L730" s="5">
        <v>56.308199999999999</v>
      </c>
      <c r="M730" s="5">
        <v>26722.185000000001</v>
      </c>
      <c r="N730" s="5" t="str">
        <v>PURCHASE_SIP</v>
      </c>
      <c r="O730" s="5">
        <v>0</v>
      </c>
    </row>
    <row r="731" spans="1:15" ht="17" x14ac:dyDescent="0.2">
      <c r="A731" s="5" t="str">
        <v>SBI Mutual Fund</v>
      </c>
      <c r="B731" s="5" t="str">
        <v>AAAA9992</v>
      </c>
      <c r="C731" s="5" t="str">
        <v>AAAAA1111A</v>
      </c>
      <c r="D731" s="6" t="str">
        <v>SBI Liquid Fund Direct Growth</v>
      </c>
      <c r="E731" s="6" t="str">
        <v>DIRECT</v>
      </c>
      <c r="F731" s="6" t="str">
        <v>CAMS</v>
      </c>
      <c r="G731" s="6">
        <v>119598</v>
      </c>
      <c r="H731" s="6">
        <v>46173</v>
      </c>
      <c r="I731" s="6" t="str">
        <v>Purchase - SIP</v>
      </c>
      <c r="J731" s="5">
        <v>5000</v>
      </c>
      <c r="K731" s="5">
        <v>86.54</v>
      </c>
      <c r="L731" s="5">
        <v>57.777000000000001</v>
      </c>
      <c r="M731" s="5">
        <v>26808.724999999999</v>
      </c>
      <c r="N731" s="5" t="str">
        <v>PURCHASE_SIP</v>
      </c>
      <c r="O731" s="5">
        <v>0</v>
      </c>
    </row>
    <row r="732" spans="1:15" ht="17" x14ac:dyDescent="0.2">
      <c r="A732" s="5" t="str">
        <v>SBI Mutual Fund</v>
      </c>
      <c r="B732" s="5" t="str">
        <v>AAAA9992</v>
      </c>
      <c r="C732" s="5" t="str">
        <v>AAAAA1111A</v>
      </c>
      <c r="D732" s="6" t="str">
        <v>SBI Liquid Fund Direct Growth</v>
      </c>
      <c r="E732" s="6" t="str">
        <v>DIRECT</v>
      </c>
      <c r="F732" s="6" t="str">
        <v>CAMS</v>
      </c>
      <c r="G732" s="6">
        <v>119598</v>
      </c>
      <c r="H732" s="6">
        <v>46203</v>
      </c>
      <c r="I732" s="6" t="str">
        <v>Purchase - SIP</v>
      </c>
      <c r="J732" s="5">
        <v>5000</v>
      </c>
      <c r="K732" s="5">
        <v>85.667000000000002</v>
      </c>
      <c r="L732" s="5">
        <v>58.365600000000001</v>
      </c>
      <c r="M732" s="5">
        <v>26894.392</v>
      </c>
      <c r="N732" s="5" t="str">
        <v>PURCHASE_SIP</v>
      </c>
      <c r="O732" s="5">
        <v>0</v>
      </c>
    </row>
    <row r="733" spans="1:15" ht="17" x14ac:dyDescent="0.2">
      <c r="A733" s="5" t="str">
        <v>SBI Mutual Fund</v>
      </c>
      <c r="B733" s="5" t="str">
        <v>AAAA9992</v>
      </c>
      <c r="C733" s="5" t="str">
        <v>AAAAA1111A</v>
      </c>
      <c r="D733" s="6" t="str">
        <v>SBI Liquid Fund Direct Growth</v>
      </c>
      <c r="E733" s="6" t="str">
        <v>DIRECT</v>
      </c>
      <c r="F733" s="6" t="str">
        <v>CAMS</v>
      </c>
      <c r="G733" s="6">
        <v>119598</v>
      </c>
      <c r="H733" s="6">
        <v>46203</v>
      </c>
      <c r="I733" s="6" t="str">
        <v>STAMP DUTY</v>
      </c>
      <c r="J733" s="5">
        <v>2.5</v>
      </c>
      <c r="K733" s="5">
        <v>0</v>
      </c>
      <c r="L733" s="5">
        <v>0</v>
      </c>
      <c r="M733" s="5">
        <v>26894.392</v>
      </c>
      <c r="N733" s="5" t="str">
        <v>STAMP_DUTY</v>
      </c>
      <c r="O733" s="5">
        <v>0</v>
      </c>
    </row>
    <row r="734" spans="1:15" ht="17" x14ac:dyDescent="0.2">
      <c r="A734" s="5" t="str">
        <v>ICICI Prudential Mutual Fund</v>
      </c>
      <c r="B734" s="5" t="str">
        <v>AAAA9993</v>
      </c>
      <c r="C734" s="5" t="str">
        <v>AAAAA1111A</v>
      </c>
      <c r="D734" s="6" t="str">
        <v>ICICI Pru Equity &amp; Debt Fund - Direct Growth</v>
      </c>
      <c r="E734" s="6" t="str">
        <v>DIRECT</v>
      </c>
      <c r="F734" s="6" t="str">
        <v>CAMS</v>
      </c>
      <c r="G734" s="6">
        <v>120664</v>
      </c>
      <c r="H734" s="6">
        <v>40536</v>
      </c>
      <c r="I734" s="6" t="str">
        <v>Purchase - SIP</v>
      </c>
      <c r="J734" s="5">
        <v>5000</v>
      </c>
      <c r="K734" s="5">
        <v>250.798</v>
      </c>
      <c r="L734" s="5">
        <v>19.936399999999999</v>
      </c>
      <c r="M734" s="5">
        <v>250.798</v>
      </c>
      <c r="N734" s="5" t="str">
        <v>PURCHASE_SIP</v>
      </c>
      <c r="O734" s="5">
        <v>0</v>
      </c>
    </row>
    <row r="735" spans="1:15" ht="17" x14ac:dyDescent="0.2">
      <c r="A735" s="5" t="str">
        <v>ICICI Prudential Mutual Fund</v>
      </c>
      <c r="B735" s="5" t="str">
        <v>AAAA9993</v>
      </c>
      <c r="C735" s="5" t="str">
        <v>AAAAA1111A</v>
      </c>
      <c r="D735" s="6" t="str">
        <v>ICICI Pru Equity &amp; Debt Fund - Direct Growth</v>
      </c>
      <c r="E735" s="6" t="str">
        <v>DIRECT</v>
      </c>
      <c r="F735" s="6" t="str">
        <v>CAMS</v>
      </c>
      <c r="G735" s="6">
        <v>120664</v>
      </c>
      <c r="H735" s="6">
        <v>40566</v>
      </c>
      <c r="I735" s="6" t="str">
        <v>Purchase - SIP</v>
      </c>
      <c r="J735" s="5">
        <v>5000</v>
      </c>
      <c r="K735" s="5">
        <v>255.46199999999999</v>
      </c>
      <c r="L735" s="5">
        <v>19.572399999999998</v>
      </c>
      <c r="M735" s="5">
        <v>506.26</v>
      </c>
      <c r="N735" s="5" t="str">
        <v>PURCHASE_SIP</v>
      </c>
      <c r="O735" s="5">
        <v>0</v>
      </c>
    </row>
    <row r="736" spans="1:15" ht="17" x14ac:dyDescent="0.2">
      <c r="A736" s="5" t="str">
        <v>ICICI Prudential Mutual Fund</v>
      </c>
      <c r="B736" s="5" t="str">
        <v>AAAA9993</v>
      </c>
      <c r="C736" s="5" t="str">
        <v>AAAAA1111A</v>
      </c>
      <c r="D736" s="6" t="str">
        <v>ICICI Pru Equity &amp; Debt Fund - Direct Growth</v>
      </c>
      <c r="E736" s="6" t="str">
        <v>DIRECT</v>
      </c>
      <c r="F736" s="6" t="str">
        <v>CAMS</v>
      </c>
      <c r="G736" s="6">
        <v>120664</v>
      </c>
      <c r="H736" s="6">
        <v>40566</v>
      </c>
      <c r="I736" s="6" t="str">
        <v>STT TAX</v>
      </c>
      <c r="J736" s="5">
        <v>2.5</v>
      </c>
      <c r="K736" s="5">
        <v>0</v>
      </c>
      <c r="L736" s="5">
        <v>0</v>
      </c>
      <c r="M736" s="5">
        <v>506.26</v>
      </c>
      <c r="N736" s="5" t="str">
        <v>STT_TAX</v>
      </c>
      <c r="O736" s="5">
        <v>0</v>
      </c>
    </row>
    <row r="737" spans="1:15" ht="17" x14ac:dyDescent="0.2">
      <c r="A737" s="5" t="str">
        <v>ICICI Prudential Mutual Fund</v>
      </c>
      <c r="B737" s="5" t="str">
        <v>AAAA9993</v>
      </c>
      <c r="C737" s="5" t="str">
        <v>AAAAA1111A</v>
      </c>
      <c r="D737" s="6" t="str">
        <v>ICICI Pru Equity &amp; Debt Fund - Direct Growth</v>
      </c>
      <c r="E737" s="6" t="str">
        <v>DIRECT</v>
      </c>
      <c r="F737" s="6" t="str">
        <v>CAMS</v>
      </c>
      <c r="G737" s="6">
        <v>120664</v>
      </c>
      <c r="H737" s="6">
        <v>40596</v>
      </c>
      <c r="I737" s="6" t="str">
        <v>Purchase - SIP</v>
      </c>
      <c r="J737" s="5">
        <v>5000</v>
      </c>
      <c r="K737" s="5">
        <v>257.31900000000002</v>
      </c>
      <c r="L737" s="5">
        <v>19.431100000000001</v>
      </c>
      <c r="M737" s="5">
        <v>763.57899999999995</v>
      </c>
      <c r="N737" s="5" t="str">
        <v>PURCHASE_SIP</v>
      </c>
      <c r="O737" s="5">
        <v>0</v>
      </c>
    </row>
    <row r="738" spans="1:15" ht="17" x14ac:dyDescent="0.2">
      <c r="A738" s="5" t="str">
        <v>ICICI Prudential Mutual Fund</v>
      </c>
      <c r="B738" s="5" t="str">
        <v>AAAA9993</v>
      </c>
      <c r="C738" s="5" t="str">
        <v>AAAAA1111A</v>
      </c>
      <c r="D738" s="6" t="str">
        <v>ICICI Pru Equity &amp; Debt Fund - Direct Growth</v>
      </c>
      <c r="E738" s="6" t="str">
        <v>DIRECT</v>
      </c>
      <c r="F738" s="6" t="str">
        <v>CAMS</v>
      </c>
      <c r="G738" s="6">
        <v>120664</v>
      </c>
      <c r="H738" s="6">
        <v>40626</v>
      </c>
      <c r="I738" s="6" t="str">
        <v>Purchase - SIP</v>
      </c>
      <c r="J738" s="5">
        <v>5000</v>
      </c>
      <c r="K738" s="5">
        <v>262.29500000000002</v>
      </c>
      <c r="L738" s="5">
        <v>19.0625</v>
      </c>
      <c r="M738" s="5">
        <v>1025.875</v>
      </c>
      <c r="N738" s="5" t="str">
        <v>PURCHASE_SIP</v>
      </c>
      <c r="O738" s="5">
        <v>0</v>
      </c>
    </row>
    <row r="739" spans="1:15" ht="17" x14ac:dyDescent="0.2">
      <c r="A739" s="5" t="str">
        <v>ICICI Prudential Mutual Fund</v>
      </c>
      <c r="B739" s="5" t="str">
        <v>AAAA9993</v>
      </c>
      <c r="C739" s="5" t="str">
        <v>AAAAA1111A</v>
      </c>
      <c r="D739" s="6" t="str">
        <v>ICICI Pru Equity &amp; Debt Fund - Direct Growth</v>
      </c>
      <c r="E739" s="6" t="str">
        <v>DIRECT</v>
      </c>
      <c r="F739" s="6" t="str">
        <v>CAMS</v>
      </c>
      <c r="G739" s="6">
        <v>120664</v>
      </c>
      <c r="H739" s="6">
        <v>40656</v>
      </c>
      <c r="I739" s="6" t="str">
        <v>Purchase - SIP</v>
      </c>
      <c r="J739" s="5">
        <v>5000</v>
      </c>
      <c r="K739" s="5">
        <v>267.351</v>
      </c>
      <c r="L739" s="5">
        <v>18.702000000000002</v>
      </c>
      <c r="M739" s="5">
        <v>1293.2260000000001</v>
      </c>
      <c r="N739" s="5" t="str">
        <v>PURCHASE_SIP</v>
      </c>
      <c r="O739" s="5">
        <v>0</v>
      </c>
    </row>
    <row r="740" spans="1:15" ht="17" x14ac:dyDescent="0.2">
      <c r="A740" s="5" t="str">
        <v>ICICI Prudential Mutual Fund</v>
      </c>
      <c r="B740" s="5" t="str">
        <v>AAAA9993</v>
      </c>
      <c r="C740" s="5" t="str">
        <v>AAAAA1111A</v>
      </c>
      <c r="D740" s="6" t="str">
        <v>ICICI Pru Equity &amp; Debt Fund - Direct Growth</v>
      </c>
      <c r="E740" s="6" t="str">
        <v>DIRECT</v>
      </c>
      <c r="F740" s="6" t="str">
        <v>CAMS</v>
      </c>
      <c r="G740" s="6">
        <v>120664</v>
      </c>
      <c r="H740" s="6">
        <v>40686</v>
      </c>
      <c r="I740" s="6" t="str">
        <v>Purchase - SIP</v>
      </c>
      <c r="J740" s="5">
        <v>5000</v>
      </c>
      <c r="K740" s="5">
        <v>263.565</v>
      </c>
      <c r="L740" s="5">
        <v>18.970600000000001</v>
      </c>
      <c r="M740" s="5">
        <v>1556.7919999999999</v>
      </c>
      <c r="N740" s="5" t="str">
        <v>PURCHASE_SIP</v>
      </c>
      <c r="O740" s="5">
        <v>0</v>
      </c>
    </row>
    <row r="741" spans="1:15" ht="17" x14ac:dyDescent="0.2">
      <c r="A741" s="5" t="str">
        <v>ICICI Prudential Mutual Fund</v>
      </c>
      <c r="B741" s="5" t="str">
        <v>AAAA9993</v>
      </c>
      <c r="C741" s="5" t="str">
        <v>AAAAA1111A</v>
      </c>
      <c r="D741" s="6" t="str">
        <v>ICICI Pru Equity &amp; Debt Fund - Direct Growth</v>
      </c>
      <c r="E741" s="6" t="str">
        <v>DIRECT</v>
      </c>
      <c r="F741" s="6" t="str">
        <v>CAMS</v>
      </c>
      <c r="G741" s="6">
        <v>120664</v>
      </c>
      <c r="H741" s="6">
        <v>40716</v>
      </c>
      <c r="I741" s="6" t="str">
        <v>Purchase - SIP</v>
      </c>
      <c r="J741" s="5">
        <v>5000</v>
      </c>
      <c r="K741" s="5">
        <v>263.44200000000001</v>
      </c>
      <c r="L741" s="5">
        <v>18.979500000000002</v>
      </c>
      <c r="M741" s="5">
        <v>1820.2339999999999</v>
      </c>
      <c r="N741" s="5" t="str">
        <v>PURCHASE_SIP</v>
      </c>
      <c r="O741" s="5">
        <v>0</v>
      </c>
    </row>
    <row r="742" spans="1:15" ht="17" x14ac:dyDescent="0.2">
      <c r="A742" s="5" t="str">
        <v>ICICI Prudential Mutual Fund</v>
      </c>
      <c r="B742" s="5" t="str">
        <v>AAAA9993</v>
      </c>
      <c r="C742" s="5" t="str">
        <v>AAAAA1111A</v>
      </c>
      <c r="D742" s="6" t="str">
        <v>ICICI Pru Equity &amp; Debt Fund - Direct Growth</v>
      </c>
      <c r="E742" s="6" t="str">
        <v>DIRECT</v>
      </c>
      <c r="F742" s="6" t="str">
        <v>CAMS</v>
      </c>
      <c r="G742" s="6">
        <v>120664</v>
      </c>
      <c r="H742" s="6">
        <v>40746</v>
      </c>
      <c r="I742" s="6" t="str">
        <v>Purchase - SIP</v>
      </c>
      <c r="J742" s="5">
        <v>5000</v>
      </c>
      <c r="K742" s="5">
        <v>268.24400000000003</v>
      </c>
      <c r="L742" s="5">
        <v>18.639700000000001</v>
      </c>
      <c r="M742" s="5">
        <v>2088.4780000000001</v>
      </c>
      <c r="N742" s="5" t="str">
        <v>PURCHASE_SIP</v>
      </c>
      <c r="O742" s="5">
        <v>0</v>
      </c>
    </row>
    <row r="743" spans="1:15" ht="17" x14ac:dyDescent="0.2">
      <c r="A743" s="5" t="str">
        <v>ICICI Prudential Mutual Fund</v>
      </c>
      <c r="B743" s="5" t="str">
        <v>AAAA9993</v>
      </c>
      <c r="C743" s="5" t="str">
        <v>AAAAA1111A</v>
      </c>
      <c r="D743" s="6" t="str">
        <v>ICICI Pru Equity &amp; Debt Fund - Direct Growth</v>
      </c>
      <c r="E743" s="6" t="str">
        <v>DIRECT</v>
      </c>
      <c r="F743" s="6" t="str">
        <v>CAMS</v>
      </c>
      <c r="G743" s="6">
        <v>120664</v>
      </c>
      <c r="H743" s="6">
        <v>40776</v>
      </c>
      <c r="I743" s="6" t="str">
        <v>Purchase - SIP</v>
      </c>
      <c r="J743" s="5">
        <v>5000</v>
      </c>
      <c r="K743" s="5">
        <v>273.279</v>
      </c>
      <c r="L743" s="5">
        <v>18.296299999999999</v>
      </c>
      <c r="M743" s="5">
        <v>2361.7570000000001</v>
      </c>
      <c r="N743" s="5" t="str">
        <v>PURCHASE_SIP</v>
      </c>
      <c r="O743" s="5">
        <v>0</v>
      </c>
    </row>
    <row r="744" spans="1:15" ht="17" x14ac:dyDescent="0.2">
      <c r="A744" s="5" t="str">
        <v>ICICI Prudential Mutual Fund</v>
      </c>
      <c r="B744" s="5" t="str">
        <v>AAAA9993</v>
      </c>
      <c r="C744" s="5" t="str">
        <v>AAAAA1111A</v>
      </c>
      <c r="D744" s="6" t="str">
        <v>ICICI Pru Equity &amp; Debt Fund - Direct Growth</v>
      </c>
      <c r="E744" s="6" t="str">
        <v>DIRECT</v>
      </c>
      <c r="F744" s="6" t="str">
        <v>CAMS</v>
      </c>
      <c r="G744" s="6">
        <v>120664</v>
      </c>
      <c r="H744" s="6">
        <v>40806</v>
      </c>
      <c r="I744" s="6" t="str">
        <v>Purchase - SIP</v>
      </c>
      <c r="J744" s="5">
        <v>5000</v>
      </c>
      <c r="K744" s="5">
        <v>273.06700000000001</v>
      </c>
      <c r="L744" s="5">
        <v>18.310500000000001</v>
      </c>
      <c r="M744" s="5">
        <v>2634.8240000000001</v>
      </c>
      <c r="N744" s="5" t="str">
        <v>PURCHASE_SIP</v>
      </c>
      <c r="O744" s="5">
        <v>0</v>
      </c>
    </row>
    <row r="745" spans="1:15" ht="17" x14ac:dyDescent="0.2">
      <c r="A745" s="5" t="str">
        <v>ICICI Prudential Mutual Fund</v>
      </c>
      <c r="B745" s="5" t="str">
        <v>AAAA9993</v>
      </c>
      <c r="C745" s="5" t="str">
        <v>AAAAA1111A</v>
      </c>
      <c r="D745" s="6" t="str">
        <v>ICICI Pru Equity &amp; Debt Fund - Direct Growth</v>
      </c>
      <c r="E745" s="6" t="str">
        <v>DIRECT</v>
      </c>
      <c r="F745" s="6" t="str">
        <v>CAMS</v>
      </c>
      <c r="G745" s="6">
        <v>120664</v>
      </c>
      <c r="H745" s="6">
        <v>40806</v>
      </c>
      <c r="I745" s="6" t="str">
        <v>STT TAX</v>
      </c>
      <c r="J745" s="5">
        <v>2.5</v>
      </c>
      <c r="K745" s="5">
        <v>0</v>
      </c>
      <c r="L745" s="5">
        <v>0</v>
      </c>
      <c r="M745" s="5">
        <v>2634.8240000000001</v>
      </c>
      <c r="N745" s="5" t="str">
        <v>STT_TAX</v>
      </c>
      <c r="O745" s="5">
        <v>0</v>
      </c>
    </row>
    <row r="746" spans="1:15" ht="17" x14ac:dyDescent="0.2">
      <c r="A746" s="5" t="str">
        <v>ICICI Prudential Mutual Fund</v>
      </c>
      <c r="B746" s="5" t="str">
        <v>AAAA9993</v>
      </c>
      <c r="C746" s="5" t="str">
        <v>AAAAA1111A</v>
      </c>
      <c r="D746" s="6" t="str">
        <v>ICICI Pru Equity &amp; Debt Fund - Direct Growth</v>
      </c>
      <c r="E746" s="6" t="str">
        <v>DIRECT</v>
      </c>
      <c r="F746" s="6" t="str">
        <v>CAMS</v>
      </c>
      <c r="G746" s="6">
        <v>120664</v>
      </c>
      <c r="H746" s="6">
        <v>40836</v>
      </c>
      <c r="I746" s="6" t="str">
        <v>Purchase - SIP</v>
      </c>
      <c r="J746" s="5">
        <v>5000</v>
      </c>
      <c r="K746" s="5">
        <v>266.89400000000001</v>
      </c>
      <c r="L746" s="5">
        <v>18.734000000000002</v>
      </c>
      <c r="M746" s="5">
        <v>2901.7179999999998</v>
      </c>
      <c r="N746" s="5" t="str">
        <v>PURCHASE_SIP</v>
      </c>
      <c r="O746" s="5">
        <v>0</v>
      </c>
    </row>
    <row r="747" spans="1:15" ht="17" x14ac:dyDescent="0.2">
      <c r="A747" s="5" t="str">
        <v>ICICI Prudential Mutual Fund</v>
      </c>
      <c r="B747" s="5" t="str">
        <v>AAAA9993</v>
      </c>
      <c r="C747" s="5" t="str">
        <v>AAAAA1111A</v>
      </c>
      <c r="D747" s="6" t="str">
        <v>ICICI Pru Equity &amp; Debt Fund - Direct Growth</v>
      </c>
      <c r="E747" s="6" t="str">
        <v>DIRECT</v>
      </c>
      <c r="F747" s="6" t="str">
        <v>CAMS</v>
      </c>
      <c r="G747" s="6">
        <v>120664</v>
      </c>
      <c r="H747" s="6">
        <v>40866</v>
      </c>
      <c r="I747" s="6" t="str">
        <v>Purchase - SIP</v>
      </c>
      <c r="J747" s="5">
        <v>5000</v>
      </c>
      <c r="K747" s="5">
        <v>267.07600000000002</v>
      </c>
      <c r="L747" s="5">
        <v>18.721299999999999</v>
      </c>
      <c r="M747" s="5">
        <v>3168.7939999999999</v>
      </c>
      <c r="N747" s="5" t="str">
        <v>PURCHASE_SIP</v>
      </c>
      <c r="O747" s="5">
        <v>0</v>
      </c>
    </row>
    <row r="748" spans="1:15" ht="17" x14ac:dyDescent="0.2">
      <c r="A748" s="5" t="str">
        <v>ICICI Prudential Mutual Fund</v>
      </c>
      <c r="B748" s="5" t="str">
        <v>AAAA9993</v>
      </c>
      <c r="C748" s="5" t="str">
        <v>AAAAA1111A</v>
      </c>
      <c r="D748" s="6" t="str">
        <v>ICICI Pru Equity &amp; Debt Fund - Direct Growth</v>
      </c>
      <c r="E748" s="6" t="str">
        <v>DIRECT</v>
      </c>
      <c r="F748" s="6" t="str">
        <v>CAMS</v>
      </c>
      <c r="G748" s="6">
        <v>120664</v>
      </c>
      <c r="H748" s="6">
        <v>40896</v>
      </c>
      <c r="I748" s="6" t="str">
        <v>Purchase - SIP</v>
      </c>
      <c r="J748" s="5">
        <v>5000</v>
      </c>
      <c r="K748" s="5">
        <v>266.53399999999999</v>
      </c>
      <c r="L748" s="5">
        <v>18.7593</v>
      </c>
      <c r="M748" s="5">
        <v>3435.328</v>
      </c>
      <c r="N748" s="5" t="str">
        <v>PURCHASE_SIP</v>
      </c>
      <c r="O748" s="5">
        <v>0</v>
      </c>
    </row>
    <row r="749" spans="1:15" ht="17" x14ac:dyDescent="0.2">
      <c r="A749" s="5" t="str">
        <v>ICICI Prudential Mutual Fund</v>
      </c>
      <c r="B749" s="5" t="str">
        <v>AAAA9993</v>
      </c>
      <c r="C749" s="5" t="str">
        <v>AAAAA1111A</v>
      </c>
      <c r="D749" s="6" t="str">
        <v>ICICI Pru Equity &amp; Debt Fund - Direct Growth</v>
      </c>
      <c r="E749" s="6" t="str">
        <v>DIRECT</v>
      </c>
      <c r="F749" s="6" t="str">
        <v>CAMS</v>
      </c>
      <c r="G749" s="6">
        <v>120664</v>
      </c>
      <c r="H749" s="6">
        <v>40926</v>
      </c>
      <c r="I749" s="6" t="str">
        <v>Purchase - SIP</v>
      </c>
      <c r="J749" s="5">
        <v>5000</v>
      </c>
      <c r="K749" s="5">
        <v>268.27999999999997</v>
      </c>
      <c r="L749" s="5">
        <v>18.6373</v>
      </c>
      <c r="M749" s="5">
        <v>3703.6080000000002</v>
      </c>
      <c r="N749" s="5" t="str">
        <v>PURCHASE_SIP</v>
      </c>
      <c r="O749" s="5">
        <v>0</v>
      </c>
    </row>
    <row r="750" spans="1:15" ht="17" x14ac:dyDescent="0.2">
      <c r="A750" s="5" t="str">
        <v>ICICI Prudential Mutual Fund</v>
      </c>
      <c r="B750" s="5" t="str">
        <v>AAAA9993</v>
      </c>
      <c r="C750" s="5" t="str">
        <v>AAAAA1111A</v>
      </c>
      <c r="D750" s="6" t="str">
        <v>ICICI Pru Equity &amp; Debt Fund - Direct Growth</v>
      </c>
      <c r="E750" s="6" t="str">
        <v>DIRECT</v>
      </c>
      <c r="F750" s="6" t="str">
        <v>CAMS</v>
      </c>
      <c r="G750" s="6">
        <v>120664</v>
      </c>
      <c r="H750" s="6">
        <v>40956</v>
      </c>
      <c r="I750" s="6" t="str">
        <v>Purchase - SIP</v>
      </c>
      <c r="J750" s="5">
        <v>5000</v>
      </c>
      <c r="K750" s="5">
        <v>263.10399999999998</v>
      </c>
      <c r="L750" s="5">
        <v>19.003900000000002</v>
      </c>
      <c r="M750" s="5">
        <v>3966.712</v>
      </c>
      <c r="N750" s="5" t="str">
        <v>PURCHASE_SIP</v>
      </c>
      <c r="O750" s="5">
        <v>0</v>
      </c>
    </row>
    <row r="751" spans="1:15" ht="17" x14ac:dyDescent="0.2">
      <c r="A751" s="5" t="str">
        <v>ICICI Prudential Mutual Fund</v>
      </c>
      <c r="B751" s="5" t="str">
        <v>AAAA9993</v>
      </c>
      <c r="C751" s="5" t="str">
        <v>AAAAA1111A</v>
      </c>
      <c r="D751" s="6" t="str">
        <v>ICICI Pru Equity &amp; Debt Fund - Direct Growth</v>
      </c>
      <c r="E751" s="6" t="str">
        <v>DIRECT</v>
      </c>
      <c r="F751" s="6" t="str">
        <v>CAMS</v>
      </c>
      <c r="G751" s="6">
        <v>120664</v>
      </c>
      <c r="H751" s="6">
        <v>40986</v>
      </c>
      <c r="I751" s="6" t="str">
        <v>Purchase - SIP</v>
      </c>
      <c r="J751" s="5">
        <v>5000</v>
      </c>
      <c r="K751" s="5">
        <v>264.21199999999999</v>
      </c>
      <c r="L751" s="5">
        <v>18.924199999999999</v>
      </c>
      <c r="M751" s="5">
        <v>4230.9250000000002</v>
      </c>
      <c r="N751" s="5" t="str">
        <v>PURCHASE_SIP</v>
      </c>
      <c r="O751" s="5">
        <v>0</v>
      </c>
    </row>
    <row r="752" spans="1:15" ht="17" x14ac:dyDescent="0.2">
      <c r="A752" s="5" t="str">
        <v>ICICI Prudential Mutual Fund</v>
      </c>
      <c r="B752" s="5" t="str">
        <v>AAAA9993</v>
      </c>
      <c r="C752" s="5" t="str">
        <v>AAAAA1111A</v>
      </c>
      <c r="D752" s="6" t="str">
        <v>ICICI Pru Equity &amp; Debt Fund - Direct Growth</v>
      </c>
      <c r="E752" s="6" t="str">
        <v>DIRECT</v>
      </c>
      <c r="F752" s="6" t="str">
        <v>CAMS</v>
      </c>
      <c r="G752" s="6">
        <v>120664</v>
      </c>
      <c r="H752" s="6">
        <v>41016</v>
      </c>
      <c r="I752" s="6" t="str">
        <v>Purchase - SIP</v>
      </c>
      <c r="J752" s="5">
        <v>5000</v>
      </c>
      <c r="K752" s="5">
        <v>258.87</v>
      </c>
      <c r="L752" s="5">
        <v>19.314699999999998</v>
      </c>
      <c r="M752" s="5">
        <v>4489.7939999999999</v>
      </c>
      <c r="N752" s="5" t="str">
        <v>PURCHASE_SIP</v>
      </c>
      <c r="O752" s="5">
        <v>0</v>
      </c>
    </row>
    <row r="753" spans="1:15" ht="17" x14ac:dyDescent="0.2">
      <c r="A753" s="5" t="str">
        <v>ICICI Prudential Mutual Fund</v>
      </c>
      <c r="B753" s="5" t="str">
        <v>AAAA9993</v>
      </c>
      <c r="C753" s="5" t="str">
        <v>AAAAA1111A</v>
      </c>
      <c r="D753" s="6" t="str">
        <v>ICICI Pru Equity &amp; Debt Fund - Direct Growth</v>
      </c>
      <c r="E753" s="6" t="str">
        <v>DIRECT</v>
      </c>
      <c r="F753" s="6" t="str">
        <v>CAMS</v>
      </c>
      <c r="G753" s="6">
        <v>120664</v>
      </c>
      <c r="H753" s="6">
        <v>41016</v>
      </c>
      <c r="I753" s="6" t="str">
        <v>STT TAX</v>
      </c>
      <c r="J753" s="5">
        <v>2.5</v>
      </c>
      <c r="K753" s="5">
        <v>0</v>
      </c>
      <c r="L753" s="5">
        <v>0</v>
      </c>
      <c r="M753" s="5">
        <v>4489.7939999999999</v>
      </c>
      <c r="N753" s="5" t="str">
        <v>STT_TAX</v>
      </c>
      <c r="O753" s="5">
        <v>0</v>
      </c>
    </row>
    <row r="754" spans="1:15" ht="17" x14ac:dyDescent="0.2">
      <c r="A754" s="5" t="str">
        <v>ICICI Prudential Mutual Fund</v>
      </c>
      <c r="B754" s="5" t="str">
        <v>AAAA9993</v>
      </c>
      <c r="C754" s="5" t="str">
        <v>AAAAA1111A</v>
      </c>
      <c r="D754" s="6" t="str">
        <v>ICICI Pru Equity &amp; Debt Fund - Direct Growth</v>
      </c>
      <c r="E754" s="6" t="str">
        <v>DIRECT</v>
      </c>
      <c r="F754" s="6" t="str">
        <v>CAMS</v>
      </c>
      <c r="G754" s="6">
        <v>120664</v>
      </c>
      <c r="H754" s="6">
        <v>41016</v>
      </c>
      <c r="I754" s="6" t="str">
        <v>Dividend Paid</v>
      </c>
      <c r="J754" s="5">
        <v>2244.9</v>
      </c>
      <c r="K754" s="5">
        <v>0</v>
      </c>
      <c r="L754" s="5">
        <v>0</v>
      </c>
      <c r="M754" s="5">
        <v>4489.7939999999999</v>
      </c>
      <c r="N754" s="5" t="str">
        <v>DIVIDEND_PAYOUT</v>
      </c>
      <c r="O754" s="5">
        <v>2244.9</v>
      </c>
    </row>
    <row r="755" spans="1:15" ht="17" x14ac:dyDescent="0.2">
      <c r="A755" s="5" t="str">
        <v>ICICI Prudential Mutual Fund</v>
      </c>
      <c r="B755" s="5" t="str">
        <v>AAAA9993</v>
      </c>
      <c r="C755" s="5" t="str">
        <v>AAAAA1111A</v>
      </c>
      <c r="D755" s="6" t="str">
        <v>ICICI Pru Equity &amp; Debt Fund - Direct Growth</v>
      </c>
      <c r="E755" s="6" t="str">
        <v>DIRECT</v>
      </c>
      <c r="F755" s="6" t="str">
        <v>CAMS</v>
      </c>
      <c r="G755" s="6">
        <v>120664</v>
      </c>
      <c r="H755" s="6">
        <v>41046</v>
      </c>
      <c r="I755" s="6" t="str">
        <v>Purchase - SIP</v>
      </c>
      <c r="J755" s="5">
        <v>5000</v>
      </c>
      <c r="K755" s="5">
        <v>262.66399999999999</v>
      </c>
      <c r="L755" s="5">
        <v>19.035799999999998</v>
      </c>
      <c r="M755" s="5">
        <v>4752.4579999999996</v>
      </c>
      <c r="N755" s="5" t="str">
        <v>PURCHASE_SIP</v>
      </c>
      <c r="O755" s="5">
        <v>0</v>
      </c>
    </row>
    <row r="756" spans="1:15" ht="17" x14ac:dyDescent="0.2">
      <c r="A756" s="5" t="str">
        <v>ICICI Prudential Mutual Fund</v>
      </c>
      <c r="B756" s="5" t="str">
        <v>AAAA9993</v>
      </c>
      <c r="C756" s="5" t="str">
        <v>AAAAA1111A</v>
      </c>
      <c r="D756" s="6" t="str">
        <v>ICICI Pru Equity &amp; Debt Fund - Direct Growth</v>
      </c>
      <c r="E756" s="6" t="str">
        <v>DIRECT</v>
      </c>
      <c r="F756" s="6" t="str">
        <v>CAMS</v>
      </c>
      <c r="G756" s="6">
        <v>120664</v>
      </c>
      <c r="H756" s="6">
        <v>41076</v>
      </c>
      <c r="I756" s="6" t="str">
        <v>Purchase - SIP</v>
      </c>
      <c r="J756" s="5">
        <v>5000</v>
      </c>
      <c r="K756" s="5">
        <v>267.74299999999999</v>
      </c>
      <c r="L756" s="5">
        <v>18.674600000000002</v>
      </c>
      <c r="M756" s="5">
        <v>5020.201</v>
      </c>
      <c r="N756" s="5" t="str">
        <v>PURCHASE_SIP</v>
      </c>
      <c r="O756" s="5">
        <v>0</v>
      </c>
    </row>
    <row r="757" spans="1:15" ht="17" x14ac:dyDescent="0.2">
      <c r="A757" s="5" t="str">
        <v>ICICI Prudential Mutual Fund</v>
      </c>
      <c r="B757" s="5" t="str">
        <v>AAAA9993</v>
      </c>
      <c r="C757" s="5" t="str">
        <v>AAAAA1111A</v>
      </c>
      <c r="D757" s="6" t="str">
        <v>ICICI Pru Equity &amp; Debt Fund - Direct Growth</v>
      </c>
      <c r="E757" s="6" t="str">
        <v>DIRECT</v>
      </c>
      <c r="F757" s="6" t="str">
        <v>CAMS</v>
      </c>
      <c r="G757" s="6">
        <v>120664</v>
      </c>
      <c r="H757" s="6">
        <v>41106</v>
      </c>
      <c r="I757" s="6" t="str">
        <v>Purchase - SIP</v>
      </c>
      <c r="J757" s="5">
        <v>5000</v>
      </c>
      <c r="K757" s="5">
        <v>260.05</v>
      </c>
      <c r="L757" s="5">
        <v>19.2271</v>
      </c>
      <c r="M757" s="5">
        <v>5280.2510000000002</v>
      </c>
      <c r="N757" s="5" t="str">
        <v>PURCHASE_SIP</v>
      </c>
      <c r="O757" s="5">
        <v>0</v>
      </c>
    </row>
    <row r="758" spans="1:15" ht="17" x14ac:dyDescent="0.2">
      <c r="A758" s="5" t="str">
        <v>ICICI Prudential Mutual Fund</v>
      </c>
      <c r="B758" s="5" t="str">
        <v>AAAA9993</v>
      </c>
      <c r="C758" s="5" t="str">
        <v>AAAAA1111A</v>
      </c>
      <c r="D758" s="6" t="str">
        <v>ICICI Pru Equity &amp; Debt Fund - Direct Growth</v>
      </c>
      <c r="E758" s="6" t="str">
        <v>DIRECT</v>
      </c>
      <c r="F758" s="6" t="str">
        <v>CAMS</v>
      </c>
      <c r="G758" s="6">
        <v>120664</v>
      </c>
      <c r="H758" s="6">
        <v>41106</v>
      </c>
      <c r="I758" s="6" t="str">
        <v>Dividend Paid</v>
      </c>
      <c r="J758" s="5">
        <v>2640.13</v>
      </c>
      <c r="K758" s="5">
        <v>0</v>
      </c>
      <c r="L758" s="5">
        <v>0</v>
      </c>
      <c r="M758" s="5">
        <v>5280.2510000000002</v>
      </c>
      <c r="N758" s="5" t="str">
        <v>DIVIDEND_PAYOUT</v>
      </c>
      <c r="O758" s="5">
        <v>2640.13</v>
      </c>
    </row>
    <row r="759" spans="1:15" ht="17" x14ac:dyDescent="0.2">
      <c r="A759" s="5" t="str">
        <v>ICICI Prudential Mutual Fund</v>
      </c>
      <c r="B759" s="5" t="str">
        <v>AAAA9993</v>
      </c>
      <c r="C759" s="5" t="str">
        <v>AAAAA1111A</v>
      </c>
      <c r="D759" s="6" t="str">
        <v>ICICI Pru Equity &amp; Debt Fund - Direct Growth</v>
      </c>
      <c r="E759" s="6" t="str">
        <v>DIRECT</v>
      </c>
      <c r="F759" s="6" t="str">
        <v>CAMS</v>
      </c>
      <c r="G759" s="6">
        <v>120664</v>
      </c>
      <c r="H759" s="6">
        <v>41136</v>
      </c>
      <c r="I759" s="6" t="str">
        <v>Purchase - SIP</v>
      </c>
      <c r="J759" s="5">
        <v>5000</v>
      </c>
      <c r="K759" s="5">
        <v>262.66699999999997</v>
      </c>
      <c r="L759" s="5">
        <v>19.035499999999999</v>
      </c>
      <c r="M759" s="5">
        <v>5542.9179999999997</v>
      </c>
      <c r="N759" s="5" t="str">
        <v>PURCHASE_SIP</v>
      </c>
      <c r="O759" s="5">
        <v>0</v>
      </c>
    </row>
    <row r="760" spans="1:15" ht="17" x14ac:dyDescent="0.2">
      <c r="A760" s="5" t="str">
        <v>ICICI Prudential Mutual Fund</v>
      </c>
      <c r="B760" s="5" t="str">
        <v>AAAA9993</v>
      </c>
      <c r="C760" s="5" t="str">
        <v>AAAAA1111A</v>
      </c>
      <c r="D760" s="6" t="str">
        <v>ICICI Pru Equity &amp; Debt Fund - Direct Growth</v>
      </c>
      <c r="E760" s="6" t="str">
        <v>DIRECT</v>
      </c>
      <c r="F760" s="6" t="str">
        <v>CAMS</v>
      </c>
      <c r="G760" s="6">
        <v>120664</v>
      </c>
      <c r="H760" s="6">
        <v>41166</v>
      </c>
      <c r="I760" s="6" t="str">
        <v>Purchase - SIP</v>
      </c>
      <c r="J760" s="5">
        <v>5000</v>
      </c>
      <c r="K760" s="5">
        <v>258.95</v>
      </c>
      <c r="L760" s="5">
        <v>19.308700000000002</v>
      </c>
      <c r="M760" s="5">
        <v>5801.8680000000004</v>
      </c>
      <c r="N760" s="5" t="str">
        <v>PURCHASE_SIP</v>
      </c>
      <c r="O760" s="5">
        <v>0</v>
      </c>
    </row>
    <row r="761" spans="1:15" ht="17" x14ac:dyDescent="0.2">
      <c r="A761" s="5" t="str">
        <v>ICICI Prudential Mutual Fund</v>
      </c>
      <c r="B761" s="5" t="str">
        <v>AAAA9993</v>
      </c>
      <c r="C761" s="5" t="str">
        <v>AAAAA1111A</v>
      </c>
      <c r="D761" s="6" t="str">
        <v>ICICI Pru Equity &amp; Debt Fund - Direct Growth</v>
      </c>
      <c r="E761" s="6" t="str">
        <v>DIRECT</v>
      </c>
      <c r="F761" s="6" t="str">
        <v>CAMS</v>
      </c>
      <c r="G761" s="6">
        <v>120664</v>
      </c>
      <c r="H761" s="6">
        <v>41196</v>
      </c>
      <c r="I761" s="6" t="str">
        <v>Purchase - SIP</v>
      </c>
      <c r="J761" s="5">
        <v>5000</v>
      </c>
      <c r="K761" s="5">
        <v>257.58699999999999</v>
      </c>
      <c r="L761" s="5">
        <v>19.410900000000002</v>
      </c>
      <c r="M761" s="5">
        <v>6059.4549999999999</v>
      </c>
      <c r="N761" s="5" t="str">
        <v>PURCHASE_SIP</v>
      </c>
      <c r="O761" s="5">
        <v>0</v>
      </c>
    </row>
    <row r="762" spans="1:15" ht="17" x14ac:dyDescent="0.2">
      <c r="A762" s="5" t="str">
        <v>ICICI Prudential Mutual Fund</v>
      </c>
      <c r="B762" s="5" t="str">
        <v>AAAA9993</v>
      </c>
      <c r="C762" s="5" t="str">
        <v>AAAAA1111A</v>
      </c>
      <c r="D762" s="6" t="str">
        <v>ICICI Pru Equity &amp; Debt Fund - Direct Growth</v>
      </c>
      <c r="E762" s="6" t="str">
        <v>DIRECT</v>
      </c>
      <c r="F762" s="6" t="str">
        <v>CAMS</v>
      </c>
      <c r="G762" s="6">
        <v>120664</v>
      </c>
      <c r="H762" s="6">
        <v>41196</v>
      </c>
      <c r="I762" s="6" t="str">
        <v>Dividend Paid</v>
      </c>
      <c r="J762" s="5">
        <v>3029.73</v>
      </c>
      <c r="K762" s="5">
        <v>0</v>
      </c>
      <c r="L762" s="5">
        <v>0</v>
      </c>
      <c r="M762" s="5">
        <v>6059.4549999999999</v>
      </c>
      <c r="N762" s="5" t="str">
        <v>DIVIDEND_PAYOUT</v>
      </c>
      <c r="O762" s="5">
        <v>3029.73</v>
      </c>
    </row>
    <row r="763" spans="1:15" ht="17" x14ac:dyDescent="0.2">
      <c r="A763" s="5" t="str">
        <v>ICICI Prudential Mutual Fund</v>
      </c>
      <c r="B763" s="5" t="str">
        <v>AAAA9993</v>
      </c>
      <c r="C763" s="5" t="str">
        <v>AAAAA1111A</v>
      </c>
      <c r="D763" s="6" t="str">
        <v>ICICI Pru Equity &amp; Debt Fund - Direct Growth</v>
      </c>
      <c r="E763" s="6" t="str">
        <v>DIRECT</v>
      </c>
      <c r="F763" s="6" t="str">
        <v>CAMS</v>
      </c>
      <c r="G763" s="6">
        <v>120664</v>
      </c>
      <c r="H763" s="6">
        <v>41226</v>
      </c>
      <c r="I763" s="6" t="str">
        <v>Purchase - SIP</v>
      </c>
      <c r="J763" s="5">
        <v>5000</v>
      </c>
      <c r="K763" s="5">
        <v>252.65199999999999</v>
      </c>
      <c r="L763" s="5">
        <v>19.790099999999999</v>
      </c>
      <c r="M763" s="5">
        <v>6312.1059999999998</v>
      </c>
      <c r="N763" s="5" t="str">
        <v>PURCHASE_SIP</v>
      </c>
      <c r="O763" s="5">
        <v>0</v>
      </c>
    </row>
    <row r="764" spans="1:15" ht="17" x14ac:dyDescent="0.2">
      <c r="A764" s="5" t="str">
        <v>ICICI Prudential Mutual Fund</v>
      </c>
      <c r="B764" s="5" t="str">
        <v>AAAA9993</v>
      </c>
      <c r="C764" s="5" t="str">
        <v>AAAAA1111A</v>
      </c>
      <c r="D764" s="6" t="str">
        <v>ICICI Pru Equity &amp; Debt Fund - Direct Growth</v>
      </c>
      <c r="E764" s="6" t="str">
        <v>DIRECT</v>
      </c>
      <c r="F764" s="6" t="str">
        <v>CAMS</v>
      </c>
      <c r="G764" s="6">
        <v>120664</v>
      </c>
      <c r="H764" s="6">
        <v>41226</v>
      </c>
      <c r="I764" s="6" t="str">
        <v>STT TAX</v>
      </c>
      <c r="J764" s="5">
        <v>2.5</v>
      </c>
      <c r="K764" s="5">
        <v>0</v>
      </c>
      <c r="L764" s="5">
        <v>0</v>
      </c>
      <c r="M764" s="5">
        <v>6312.1059999999998</v>
      </c>
      <c r="N764" s="5" t="str">
        <v>STT_TAX</v>
      </c>
      <c r="O764" s="5">
        <v>0</v>
      </c>
    </row>
    <row r="765" spans="1:15" ht="17" x14ac:dyDescent="0.2">
      <c r="A765" s="5" t="str">
        <v>ICICI Prudential Mutual Fund</v>
      </c>
      <c r="B765" s="5" t="str">
        <v>AAAA9993</v>
      </c>
      <c r="C765" s="5" t="str">
        <v>AAAAA1111A</v>
      </c>
      <c r="D765" s="6" t="str">
        <v>ICICI Pru Equity &amp; Debt Fund - Direct Growth</v>
      </c>
      <c r="E765" s="6" t="str">
        <v>DIRECT</v>
      </c>
      <c r="F765" s="6" t="str">
        <v>CAMS</v>
      </c>
      <c r="G765" s="6">
        <v>120664</v>
      </c>
      <c r="H765" s="6">
        <v>41256</v>
      </c>
      <c r="I765" s="6" t="str">
        <v>Purchase - SIP</v>
      </c>
      <c r="J765" s="5">
        <v>5000</v>
      </c>
      <c r="K765" s="5">
        <v>247.381</v>
      </c>
      <c r="L765" s="5">
        <v>20.2117</v>
      </c>
      <c r="M765" s="5">
        <v>6559.4880000000003</v>
      </c>
      <c r="N765" s="5" t="str">
        <v>PURCHASE_SIP</v>
      </c>
      <c r="O765" s="5">
        <v>0</v>
      </c>
    </row>
    <row r="766" spans="1:15" ht="17" x14ac:dyDescent="0.2">
      <c r="A766" s="5" t="str">
        <v>ICICI Prudential Mutual Fund</v>
      </c>
      <c r="B766" s="5" t="str">
        <v>AAAA9993</v>
      </c>
      <c r="C766" s="5" t="str">
        <v>AAAAA1111A</v>
      </c>
      <c r="D766" s="6" t="str">
        <v>ICICI Pru Equity &amp; Debt Fund - Direct Growth</v>
      </c>
      <c r="E766" s="6" t="str">
        <v>DIRECT</v>
      </c>
      <c r="F766" s="6" t="str">
        <v>CAMS</v>
      </c>
      <c r="G766" s="6">
        <v>120664</v>
      </c>
      <c r="H766" s="6">
        <v>41286</v>
      </c>
      <c r="I766" s="6" t="str">
        <v>Purchase - SIP</v>
      </c>
      <c r="J766" s="5">
        <v>5000</v>
      </c>
      <c r="K766" s="5">
        <v>245.84100000000001</v>
      </c>
      <c r="L766" s="5">
        <v>20.3383</v>
      </c>
      <c r="M766" s="5">
        <v>6805.3289999999997</v>
      </c>
      <c r="N766" s="5" t="str">
        <v>PURCHASE_SIP</v>
      </c>
      <c r="O766" s="5">
        <v>0</v>
      </c>
    </row>
    <row r="767" spans="1:15" ht="17" x14ac:dyDescent="0.2">
      <c r="A767" s="5" t="str">
        <v>ICICI Prudential Mutual Fund</v>
      </c>
      <c r="B767" s="5" t="str">
        <v>AAAA9993</v>
      </c>
      <c r="C767" s="5" t="str">
        <v>AAAAA1111A</v>
      </c>
      <c r="D767" s="6" t="str">
        <v>ICICI Pru Equity &amp; Debt Fund - Direct Growth</v>
      </c>
      <c r="E767" s="6" t="str">
        <v>DIRECT</v>
      </c>
      <c r="F767" s="6" t="str">
        <v>CAMS</v>
      </c>
      <c r="G767" s="6">
        <v>120664</v>
      </c>
      <c r="H767" s="6">
        <v>41316</v>
      </c>
      <c r="I767" s="6" t="str">
        <v>Purchase - SIP</v>
      </c>
      <c r="J767" s="5">
        <v>5000</v>
      </c>
      <c r="K767" s="5">
        <v>243.024</v>
      </c>
      <c r="L767" s="5">
        <v>20.574100000000001</v>
      </c>
      <c r="M767" s="5">
        <v>7048.3530000000001</v>
      </c>
      <c r="N767" s="5" t="str">
        <v>PURCHASE_SIP</v>
      </c>
      <c r="O767" s="5">
        <v>0</v>
      </c>
    </row>
    <row r="768" spans="1:15" ht="17" x14ac:dyDescent="0.2">
      <c r="A768" s="5" t="str">
        <v>ICICI Prudential Mutual Fund</v>
      </c>
      <c r="B768" s="5" t="str">
        <v>AAAA9993</v>
      </c>
      <c r="C768" s="5" t="str">
        <v>AAAAA1111A</v>
      </c>
      <c r="D768" s="6" t="str">
        <v>ICICI Pru Equity &amp; Debt Fund - Direct Growth</v>
      </c>
      <c r="E768" s="6" t="str">
        <v>DIRECT</v>
      </c>
      <c r="F768" s="6" t="str">
        <v>CAMS</v>
      </c>
      <c r="G768" s="6">
        <v>120664</v>
      </c>
      <c r="H768" s="6">
        <v>41346</v>
      </c>
      <c r="I768" s="6" t="str">
        <v>Purchase - SIP</v>
      </c>
      <c r="J768" s="5">
        <v>5000</v>
      </c>
      <c r="K768" s="5">
        <v>244.03299999999999</v>
      </c>
      <c r="L768" s="5">
        <v>20.489100000000001</v>
      </c>
      <c r="M768" s="5">
        <v>7292.3850000000002</v>
      </c>
      <c r="N768" s="5" t="str">
        <v>PURCHASE_SIP</v>
      </c>
      <c r="O768" s="5">
        <v>0</v>
      </c>
    </row>
    <row r="769" spans="1:15" ht="17" x14ac:dyDescent="0.2">
      <c r="A769" s="5" t="str">
        <v>ICICI Prudential Mutual Fund</v>
      </c>
      <c r="B769" s="5" t="str">
        <v>AAAA9993</v>
      </c>
      <c r="C769" s="5" t="str">
        <v>AAAAA1111A</v>
      </c>
      <c r="D769" s="6" t="str">
        <v>ICICI Pru Equity &amp; Debt Fund - Direct Growth</v>
      </c>
      <c r="E769" s="6" t="str">
        <v>DIRECT</v>
      </c>
      <c r="F769" s="6" t="str">
        <v>CAMS</v>
      </c>
      <c r="G769" s="6">
        <v>120664</v>
      </c>
      <c r="H769" s="6">
        <v>41376</v>
      </c>
      <c r="I769" s="6" t="str">
        <v>Purchase - SIP</v>
      </c>
      <c r="J769" s="5">
        <v>5000</v>
      </c>
      <c r="K769" s="5">
        <v>243.506</v>
      </c>
      <c r="L769" s="5">
        <v>20.533300000000001</v>
      </c>
      <c r="M769" s="5">
        <v>7535.8919999999998</v>
      </c>
      <c r="N769" s="5" t="str">
        <v>PURCHASE_SIP</v>
      </c>
      <c r="O769" s="5">
        <v>0</v>
      </c>
    </row>
    <row r="770" spans="1:15" ht="17" x14ac:dyDescent="0.2">
      <c r="A770" s="5" t="str">
        <v>ICICI Prudential Mutual Fund</v>
      </c>
      <c r="B770" s="5" t="str">
        <v>AAAA9993</v>
      </c>
      <c r="C770" s="5" t="str">
        <v>AAAAA1111A</v>
      </c>
      <c r="D770" s="6" t="str">
        <v>ICICI Pru Equity &amp; Debt Fund - Direct Growth</v>
      </c>
      <c r="E770" s="6" t="str">
        <v>DIRECT</v>
      </c>
      <c r="F770" s="6" t="str">
        <v>CAMS</v>
      </c>
      <c r="G770" s="6">
        <v>120664</v>
      </c>
      <c r="H770" s="6">
        <v>41406</v>
      </c>
      <c r="I770" s="6" t="str">
        <v>Purchase - SIP</v>
      </c>
      <c r="J770" s="5">
        <v>5000</v>
      </c>
      <c r="K770" s="5">
        <v>240.71299999999999</v>
      </c>
      <c r="L770" s="5">
        <v>20.771599999999999</v>
      </c>
      <c r="M770" s="5">
        <v>7776.6049999999996</v>
      </c>
      <c r="N770" s="5" t="str">
        <v>PURCHASE_SIP</v>
      </c>
      <c r="O770" s="5">
        <v>0</v>
      </c>
    </row>
    <row r="771" spans="1:15" ht="17" x14ac:dyDescent="0.2">
      <c r="A771" s="5" t="str">
        <v>ICICI Prudential Mutual Fund</v>
      </c>
      <c r="B771" s="5" t="str">
        <v>AAAA9993</v>
      </c>
      <c r="C771" s="5" t="str">
        <v>AAAAA1111A</v>
      </c>
      <c r="D771" s="6" t="str">
        <v>ICICI Pru Equity &amp; Debt Fund - Direct Growth</v>
      </c>
      <c r="E771" s="6" t="str">
        <v>DIRECT</v>
      </c>
      <c r="F771" s="6" t="str">
        <v>CAMS</v>
      </c>
      <c r="G771" s="6">
        <v>120664</v>
      </c>
      <c r="H771" s="6">
        <v>41436</v>
      </c>
      <c r="I771" s="6" t="str">
        <v>Purchase - SIP</v>
      </c>
      <c r="J771" s="5">
        <v>5000</v>
      </c>
      <c r="K771" s="5">
        <v>236.905</v>
      </c>
      <c r="L771" s="5">
        <v>21.105499999999999</v>
      </c>
      <c r="M771" s="5">
        <v>8013.51</v>
      </c>
      <c r="N771" s="5" t="str">
        <v>PURCHASE_SIP</v>
      </c>
      <c r="O771" s="5">
        <v>0</v>
      </c>
    </row>
    <row r="772" spans="1:15" ht="17" x14ac:dyDescent="0.2">
      <c r="A772" s="5" t="str">
        <v>ICICI Prudential Mutual Fund</v>
      </c>
      <c r="B772" s="5" t="str">
        <v>AAAA9993</v>
      </c>
      <c r="C772" s="5" t="str">
        <v>AAAAA1111A</v>
      </c>
      <c r="D772" s="6" t="str">
        <v>ICICI Pru Equity &amp; Debt Fund - Direct Growth</v>
      </c>
      <c r="E772" s="6" t="str">
        <v>DIRECT</v>
      </c>
      <c r="F772" s="6" t="str">
        <v>CAMS</v>
      </c>
      <c r="G772" s="6">
        <v>120664</v>
      </c>
      <c r="H772" s="6">
        <v>41466</v>
      </c>
      <c r="I772" s="6" t="str">
        <v>Purchase - SIP</v>
      </c>
      <c r="J772" s="5">
        <v>5000</v>
      </c>
      <c r="K772" s="5">
        <v>237.15299999999999</v>
      </c>
      <c r="L772" s="5">
        <v>21.083400000000001</v>
      </c>
      <c r="M772" s="5">
        <v>8250.6630000000005</v>
      </c>
      <c r="N772" s="5" t="str">
        <v>PURCHASE_SIP</v>
      </c>
      <c r="O772" s="5">
        <v>0</v>
      </c>
    </row>
    <row r="773" spans="1:15" ht="17" x14ac:dyDescent="0.2">
      <c r="A773" s="5" t="str">
        <v>ICICI Prudential Mutual Fund</v>
      </c>
      <c r="B773" s="5" t="str">
        <v>AAAA9993</v>
      </c>
      <c r="C773" s="5" t="str">
        <v>AAAAA1111A</v>
      </c>
      <c r="D773" s="6" t="str">
        <v>ICICI Pru Equity &amp; Debt Fund - Direct Growth</v>
      </c>
      <c r="E773" s="6" t="str">
        <v>DIRECT</v>
      </c>
      <c r="F773" s="6" t="str">
        <v>CAMS</v>
      </c>
      <c r="G773" s="6">
        <v>120664</v>
      </c>
      <c r="H773" s="6">
        <v>41496</v>
      </c>
      <c r="I773" s="6" t="str">
        <v>Purchase - SIP</v>
      </c>
      <c r="J773" s="5">
        <v>5000</v>
      </c>
      <c r="K773" s="5">
        <v>239.91800000000001</v>
      </c>
      <c r="L773" s="5">
        <v>20.840499999999999</v>
      </c>
      <c r="M773" s="5">
        <v>8490.5810000000001</v>
      </c>
      <c r="N773" s="5" t="str">
        <v>PURCHASE_SIP</v>
      </c>
      <c r="O773" s="5">
        <v>0</v>
      </c>
    </row>
    <row r="774" spans="1:15" ht="17" x14ac:dyDescent="0.2">
      <c r="A774" s="5" t="str">
        <v>ICICI Prudential Mutual Fund</v>
      </c>
      <c r="B774" s="5" t="str">
        <v>AAAA9993</v>
      </c>
      <c r="C774" s="5" t="str">
        <v>AAAAA1111A</v>
      </c>
      <c r="D774" s="6" t="str">
        <v>ICICI Pru Equity &amp; Debt Fund - Direct Growth</v>
      </c>
      <c r="E774" s="6" t="str">
        <v>DIRECT</v>
      </c>
      <c r="F774" s="6" t="str">
        <v>CAMS</v>
      </c>
      <c r="G774" s="6">
        <v>120664</v>
      </c>
      <c r="H774" s="6">
        <v>41496</v>
      </c>
      <c r="I774" s="6" t="str">
        <v>STAMP DUTY</v>
      </c>
      <c r="J774" s="5">
        <v>2.5</v>
      </c>
      <c r="K774" s="5">
        <v>0</v>
      </c>
      <c r="L774" s="5">
        <v>0</v>
      </c>
      <c r="M774" s="5">
        <v>8490.5810000000001</v>
      </c>
      <c r="N774" s="5" t="str">
        <v>STAMP_DUTY</v>
      </c>
      <c r="O774" s="5">
        <v>0</v>
      </c>
    </row>
    <row r="775" spans="1:15" ht="17" x14ac:dyDescent="0.2">
      <c r="A775" s="5" t="str">
        <v>ICICI Prudential Mutual Fund</v>
      </c>
      <c r="B775" s="5" t="str">
        <v>AAAA9993</v>
      </c>
      <c r="C775" s="5" t="str">
        <v>AAAAA1111A</v>
      </c>
      <c r="D775" s="6" t="str">
        <v>ICICI Pru Equity &amp; Debt Fund - Direct Growth</v>
      </c>
      <c r="E775" s="6" t="str">
        <v>DIRECT</v>
      </c>
      <c r="F775" s="6" t="str">
        <v>CAMS</v>
      </c>
      <c r="G775" s="6">
        <v>120664</v>
      </c>
      <c r="H775" s="6">
        <v>41526</v>
      </c>
      <c r="I775" s="6" t="str">
        <v>Purchase - SIP</v>
      </c>
      <c r="J775" s="5">
        <v>5000</v>
      </c>
      <c r="K775" s="5">
        <v>243.50700000000001</v>
      </c>
      <c r="L775" s="5">
        <v>20.533300000000001</v>
      </c>
      <c r="M775" s="5">
        <v>8734.0879999999997</v>
      </c>
      <c r="N775" s="5" t="str">
        <v>PURCHASE_SIP</v>
      </c>
      <c r="O775" s="5">
        <v>0</v>
      </c>
    </row>
    <row r="776" spans="1:15" ht="17" x14ac:dyDescent="0.2">
      <c r="A776" s="5" t="str">
        <v>ICICI Prudential Mutual Fund</v>
      </c>
      <c r="B776" s="5" t="str">
        <v>AAAA9993</v>
      </c>
      <c r="C776" s="5" t="str">
        <v>AAAAA1111A</v>
      </c>
      <c r="D776" s="6" t="str">
        <v>ICICI Pru Equity &amp; Debt Fund - Direct Growth</v>
      </c>
      <c r="E776" s="6" t="str">
        <v>DIRECT</v>
      </c>
      <c r="F776" s="6" t="str">
        <v>CAMS</v>
      </c>
      <c r="G776" s="6">
        <v>120664</v>
      </c>
      <c r="H776" s="6">
        <v>41556</v>
      </c>
      <c r="I776" s="6" t="str">
        <v>Purchase - SIP</v>
      </c>
      <c r="J776" s="5">
        <v>5000</v>
      </c>
      <c r="K776" s="5">
        <v>241.95099999999999</v>
      </c>
      <c r="L776" s="5">
        <v>20.665400000000002</v>
      </c>
      <c r="M776" s="5">
        <v>8976.0390000000007</v>
      </c>
      <c r="N776" s="5" t="str">
        <v>PURCHASE_SIP</v>
      </c>
      <c r="O776" s="5">
        <v>0</v>
      </c>
    </row>
    <row r="777" spans="1:15" ht="17" x14ac:dyDescent="0.2">
      <c r="A777" s="5" t="str">
        <v>ICICI Prudential Mutual Fund</v>
      </c>
      <c r="B777" s="5" t="str">
        <v>AAAA9993</v>
      </c>
      <c r="C777" s="5" t="str">
        <v>AAAAA1111A</v>
      </c>
      <c r="D777" s="6" t="str">
        <v>ICICI Pru Equity &amp; Debt Fund - Direct Growth</v>
      </c>
      <c r="E777" s="6" t="str">
        <v>DIRECT</v>
      </c>
      <c r="F777" s="6" t="str">
        <v>CAMS</v>
      </c>
      <c r="G777" s="6">
        <v>120664</v>
      </c>
      <c r="H777" s="6">
        <v>41556</v>
      </c>
      <c r="I777" s="6" t="str">
        <v>STT TAX</v>
      </c>
      <c r="J777" s="5">
        <v>2.5</v>
      </c>
      <c r="K777" s="5">
        <v>0</v>
      </c>
      <c r="L777" s="5">
        <v>0</v>
      </c>
      <c r="M777" s="5">
        <v>8976.0390000000007</v>
      </c>
      <c r="N777" s="5" t="str">
        <v>STT_TAX</v>
      </c>
      <c r="O777" s="5">
        <v>0</v>
      </c>
    </row>
    <row r="778" spans="1:15" ht="17" x14ac:dyDescent="0.2">
      <c r="A778" s="5" t="str">
        <v>ICICI Prudential Mutual Fund</v>
      </c>
      <c r="B778" s="5" t="str">
        <v>AAAA9993</v>
      </c>
      <c r="C778" s="5" t="str">
        <v>AAAAA1111A</v>
      </c>
      <c r="D778" s="6" t="str">
        <v>ICICI Pru Equity &amp; Debt Fund - Direct Growth</v>
      </c>
      <c r="E778" s="6" t="str">
        <v>DIRECT</v>
      </c>
      <c r="F778" s="6" t="str">
        <v>CAMS</v>
      </c>
      <c r="G778" s="6">
        <v>120664</v>
      </c>
      <c r="H778" s="6">
        <v>41586</v>
      </c>
      <c r="I778" s="6" t="str">
        <v>Purchase - SIP</v>
      </c>
      <c r="J778" s="5">
        <v>5000</v>
      </c>
      <c r="K778" s="5">
        <v>237.92400000000001</v>
      </c>
      <c r="L778" s="5">
        <v>21.0151</v>
      </c>
      <c r="M778" s="5">
        <v>9213.9629999999997</v>
      </c>
      <c r="N778" s="5" t="str">
        <v>PURCHASE_SIP</v>
      </c>
      <c r="O778" s="5">
        <v>0</v>
      </c>
    </row>
    <row r="779" spans="1:15" ht="17" x14ac:dyDescent="0.2">
      <c r="A779" s="5" t="str">
        <v>ICICI Prudential Mutual Fund</v>
      </c>
      <c r="B779" s="5" t="str">
        <v>AAAA9993</v>
      </c>
      <c r="C779" s="5" t="str">
        <v>AAAAA1111A</v>
      </c>
      <c r="D779" s="6" t="str">
        <v>ICICI Pru Equity &amp; Debt Fund - Direct Growth</v>
      </c>
      <c r="E779" s="6" t="str">
        <v>DIRECT</v>
      </c>
      <c r="F779" s="6" t="str">
        <v>CAMS</v>
      </c>
      <c r="G779" s="6">
        <v>120664</v>
      </c>
      <c r="H779" s="6">
        <v>41616</v>
      </c>
      <c r="I779" s="6" t="str">
        <v>Purchase - SIP</v>
      </c>
      <c r="J779" s="5">
        <v>5000</v>
      </c>
      <c r="K779" s="5">
        <v>240.53899999999999</v>
      </c>
      <c r="L779" s="5">
        <v>20.7867</v>
      </c>
      <c r="M779" s="5">
        <v>9454.5010000000002</v>
      </c>
      <c r="N779" s="5" t="str">
        <v>PURCHASE_SIP</v>
      </c>
      <c r="O779" s="5">
        <v>0</v>
      </c>
    </row>
    <row r="780" spans="1:15" ht="17" x14ac:dyDescent="0.2">
      <c r="A780" s="5" t="str">
        <v>ICICI Prudential Mutual Fund</v>
      </c>
      <c r="B780" s="5" t="str">
        <v>AAAA9993</v>
      </c>
      <c r="C780" s="5" t="str">
        <v>AAAAA1111A</v>
      </c>
      <c r="D780" s="6" t="str">
        <v>ICICI Pru Equity &amp; Debt Fund - Direct Growth</v>
      </c>
      <c r="E780" s="6" t="str">
        <v>DIRECT</v>
      </c>
      <c r="F780" s="6" t="str">
        <v>CAMS</v>
      </c>
      <c r="G780" s="6">
        <v>120664</v>
      </c>
      <c r="H780" s="6">
        <v>41646</v>
      </c>
      <c r="I780" s="6" t="str">
        <v>Purchase - SIP</v>
      </c>
      <c r="J780" s="5">
        <v>5000</v>
      </c>
      <c r="K780" s="5">
        <v>245.19800000000001</v>
      </c>
      <c r="L780" s="5">
        <v>20.3917</v>
      </c>
      <c r="M780" s="5">
        <v>9699.6990000000005</v>
      </c>
      <c r="N780" s="5" t="str">
        <v>PURCHASE_SIP</v>
      </c>
      <c r="O780" s="5">
        <v>0</v>
      </c>
    </row>
    <row r="781" spans="1:15" ht="17" x14ac:dyDescent="0.2">
      <c r="A781" s="5" t="str">
        <v>ICICI Prudential Mutual Fund</v>
      </c>
      <c r="B781" s="5" t="str">
        <v>AAAA9993</v>
      </c>
      <c r="C781" s="5" t="str">
        <v>AAAAA1111A</v>
      </c>
      <c r="D781" s="6" t="str">
        <v>ICICI Pru Equity &amp; Debt Fund - Direct Growth</v>
      </c>
      <c r="E781" s="6" t="str">
        <v>DIRECT</v>
      </c>
      <c r="F781" s="6" t="str">
        <v>CAMS</v>
      </c>
      <c r="G781" s="6">
        <v>120664</v>
      </c>
      <c r="H781" s="6">
        <v>41676</v>
      </c>
      <c r="I781" s="6" t="str">
        <v>Purchase - SIP</v>
      </c>
      <c r="J781" s="5">
        <v>5000</v>
      </c>
      <c r="K781" s="5">
        <v>241.542</v>
      </c>
      <c r="L781" s="5">
        <v>20.700299999999999</v>
      </c>
      <c r="M781" s="5">
        <v>9941.2420000000002</v>
      </c>
      <c r="N781" s="5" t="str">
        <v>PURCHASE_SIP</v>
      </c>
      <c r="O781" s="5">
        <v>0</v>
      </c>
    </row>
    <row r="782" spans="1:15" ht="17" x14ac:dyDescent="0.2">
      <c r="A782" s="5" t="str">
        <v>ICICI Prudential Mutual Fund</v>
      </c>
      <c r="B782" s="5" t="str">
        <v>AAAA9993</v>
      </c>
      <c r="C782" s="5" t="str">
        <v>AAAAA1111A</v>
      </c>
      <c r="D782" s="6" t="str">
        <v>ICICI Pru Equity &amp; Debt Fund - Direct Growth</v>
      </c>
      <c r="E782" s="6" t="str">
        <v>DIRECT</v>
      </c>
      <c r="F782" s="6" t="str">
        <v>CAMS</v>
      </c>
      <c r="G782" s="6">
        <v>120664</v>
      </c>
      <c r="H782" s="6">
        <v>41706</v>
      </c>
      <c r="I782" s="6" t="str">
        <v>Purchase - SIP</v>
      </c>
      <c r="J782" s="5">
        <v>5000</v>
      </c>
      <c r="K782" s="5">
        <v>245.91800000000001</v>
      </c>
      <c r="L782" s="5">
        <v>20.332000000000001</v>
      </c>
      <c r="M782" s="5">
        <v>10187.16</v>
      </c>
      <c r="N782" s="5" t="str">
        <v>PURCHASE_SIP</v>
      </c>
      <c r="O782" s="5">
        <v>0</v>
      </c>
    </row>
    <row r="783" spans="1:15" ht="17" x14ac:dyDescent="0.2">
      <c r="A783" s="5" t="str">
        <v>ICICI Prudential Mutual Fund</v>
      </c>
      <c r="B783" s="5" t="str">
        <v>AAAA9993</v>
      </c>
      <c r="C783" s="5" t="str">
        <v>AAAAA1111A</v>
      </c>
      <c r="D783" s="6" t="str">
        <v>ICICI Pru Equity &amp; Debt Fund - Direct Growth</v>
      </c>
      <c r="E783" s="6" t="str">
        <v>DIRECT</v>
      </c>
      <c r="F783" s="6" t="str">
        <v>CAMS</v>
      </c>
      <c r="G783" s="6">
        <v>120664</v>
      </c>
      <c r="H783" s="6">
        <v>41736</v>
      </c>
      <c r="I783" s="6" t="str">
        <v>Purchase - SIP</v>
      </c>
      <c r="J783" s="5">
        <v>5000</v>
      </c>
      <c r="K783" s="5">
        <v>243.64500000000001</v>
      </c>
      <c r="L783" s="5">
        <v>20.521699999999999</v>
      </c>
      <c r="M783" s="5">
        <v>10430.805</v>
      </c>
      <c r="N783" s="5" t="str">
        <v>PURCHASE_SIP</v>
      </c>
      <c r="O783" s="5">
        <v>0</v>
      </c>
    </row>
    <row r="784" spans="1:15" ht="17" x14ac:dyDescent="0.2">
      <c r="A784" s="5" t="str">
        <v>ICICI Prudential Mutual Fund</v>
      </c>
      <c r="B784" s="5" t="str">
        <v>AAAA9993</v>
      </c>
      <c r="C784" s="5" t="str">
        <v>AAAAA1111A</v>
      </c>
      <c r="D784" s="6" t="str">
        <v>ICICI Pru Equity &amp; Debt Fund - Direct Growth</v>
      </c>
      <c r="E784" s="6" t="str">
        <v>DIRECT</v>
      </c>
      <c r="F784" s="6" t="str">
        <v>CAMS</v>
      </c>
      <c r="G784" s="6">
        <v>120664</v>
      </c>
      <c r="H784" s="6">
        <v>41736</v>
      </c>
      <c r="I784" s="6" t="str">
        <v>Redemption</v>
      </c>
      <c r="J784" s="5">
        <v>-42811.51</v>
      </c>
      <c r="K784" s="5">
        <v>-2086.1610000000001</v>
      </c>
      <c r="L784" s="5">
        <v>20.521699999999999</v>
      </c>
      <c r="M784" s="5">
        <v>8344.6440000000002</v>
      </c>
      <c r="N784" s="5" t="str">
        <v>REDEMPTION</v>
      </c>
      <c r="O784" s="5">
        <v>0</v>
      </c>
    </row>
    <row r="785" spans="1:15" ht="17" x14ac:dyDescent="0.2">
      <c r="A785" s="5" t="str">
        <v>ICICI Prudential Mutual Fund</v>
      </c>
      <c r="B785" s="5" t="str">
        <v>AAAA9993</v>
      </c>
      <c r="C785" s="5" t="str">
        <v>AAAAA1111A</v>
      </c>
      <c r="D785" s="6" t="str">
        <v>ICICI Pru Equity &amp; Debt Fund - Direct Growth</v>
      </c>
      <c r="E785" s="6" t="str">
        <v>DIRECT</v>
      </c>
      <c r="F785" s="6" t="str">
        <v>CAMS</v>
      </c>
      <c r="G785" s="6">
        <v>120664</v>
      </c>
      <c r="H785" s="6">
        <v>41766</v>
      </c>
      <c r="I785" s="6" t="str">
        <v>Purchase - SIP</v>
      </c>
      <c r="J785" s="5">
        <v>5000</v>
      </c>
      <c r="K785" s="5">
        <v>245.97499999999999</v>
      </c>
      <c r="L785" s="5">
        <v>20.327300000000001</v>
      </c>
      <c r="M785" s="5">
        <v>8590.6190000000006</v>
      </c>
      <c r="N785" s="5" t="str">
        <v>PURCHASE_SIP</v>
      </c>
      <c r="O785" s="5">
        <v>0</v>
      </c>
    </row>
    <row r="786" spans="1:15" ht="17" x14ac:dyDescent="0.2">
      <c r="A786" s="5" t="str">
        <v>ICICI Prudential Mutual Fund</v>
      </c>
      <c r="B786" s="5" t="str">
        <v>AAAA9993</v>
      </c>
      <c r="C786" s="5" t="str">
        <v>AAAAA1111A</v>
      </c>
      <c r="D786" s="6" t="str">
        <v>ICICI Pru Equity &amp; Debt Fund - Direct Growth</v>
      </c>
      <c r="E786" s="6" t="str">
        <v>DIRECT</v>
      </c>
      <c r="F786" s="6" t="str">
        <v>CAMS</v>
      </c>
      <c r="G786" s="6">
        <v>120664</v>
      </c>
      <c r="H786" s="6">
        <v>41766</v>
      </c>
      <c r="I786" s="6" t="str">
        <v>Dividend Paid</v>
      </c>
      <c r="J786" s="5">
        <v>4295.3100000000004</v>
      </c>
      <c r="K786" s="5">
        <v>0</v>
      </c>
      <c r="L786" s="5">
        <v>0</v>
      </c>
      <c r="M786" s="5">
        <v>8590.6190000000006</v>
      </c>
      <c r="N786" s="5" t="str">
        <v>DIVIDEND_PAYOUT</v>
      </c>
      <c r="O786" s="5">
        <v>4295.3100000000004</v>
      </c>
    </row>
    <row r="787" spans="1:15" ht="17" x14ac:dyDescent="0.2">
      <c r="A787" s="5" t="str">
        <v>ICICI Prudential Mutual Fund</v>
      </c>
      <c r="B787" s="5" t="str">
        <v>AAAA9993</v>
      </c>
      <c r="C787" s="5" t="str">
        <v>AAAAA1111A</v>
      </c>
      <c r="D787" s="6" t="str">
        <v>ICICI Pru Equity &amp; Debt Fund - Direct Growth</v>
      </c>
      <c r="E787" s="6" t="str">
        <v>DIRECT</v>
      </c>
      <c r="F787" s="6" t="str">
        <v>CAMS</v>
      </c>
      <c r="G787" s="6">
        <v>120664</v>
      </c>
      <c r="H787" s="6">
        <v>41796</v>
      </c>
      <c r="I787" s="6" t="str">
        <v>Purchase - SIP</v>
      </c>
      <c r="J787" s="5">
        <v>5000</v>
      </c>
      <c r="K787" s="5">
        <v>247.63200000000001</v>
      </c>
      <c r="L787" s="5">
        <v>20.191299999999998</v>
      </c>
      <c r="M787" s="5">
        <v>8838.25</v>
      </c>
      <c r="N787" s="5" t="str">
        <v>PURCHASE_SIP</v>
      </c>
      <c r="O787" s="5">
        <v>0</v>
      </c>
    </row>
    <row r="788" spans="1:15" ht="17" x14ac:dyDescent="0.2">
      <c r="A788" s="5" t="str">
        <v>ICICI Prudential Mutual Fund</v>
      </c>
      <c r="B788" s="5" t="str">
        <v>AAAA9993</v>
      </c>
      <c r="C788" s="5" t="str">
        <v>AAAAA1111A</v>
      </c>
      <c r="D788" s="6" t="str">
        <v>ICICI Pru Equity &amp; Debt Fund - Direct Growth</v>
      </c>
      <c r="E788" s="6" t="str">
        <v>DIRECT</v>
      </c>
      <c r="F788" s="6" t="str">
        <v>CAMS</v>
      </c>
      <c r="G788" s="6">
        <v>120664</v>
      </c>
      <c r="H788" s="6">
        <v>41796</v>
      </c>
      <c r="I788" s="6" t="str">
        <v>STT TAX</v>
      </c>
      <c r="J788" s="5">
        <v>2.5</v>
      </c>
      <c r="K788" s="5">
        <v>0</v>
      </c>
      <c r="L788" s="5">
        <v>0</v>
      </c>
      <c r="M788" s="5">
        <v>8838.25</v>
      </c>
      <c r="N788" s="5" t="str">
        <v>STT_TAX</v>
      </c>
      <c r="O788" s="5">
        <v>0</v>
      </c>
    </row>
    <row r="789" spans="1:15" ht="17" x14ac:dyDescent="0.2">
      <c r="A789" s="5" t="str">
        <v>ICICI Prudential Mutual Fund</v>
      </c>
      <c r="B789" s="5" t="str">
        <v>AAAA9993</v>
      </c>
      <c r="C789" s="5" t="str">
        <v>AAAAA1111A</v>
      </c>
      <c r="D789" s="6" t="str">
        <v>ICICI Pru Equity &amp; Debt Fund - Direct Growth</v>
      </c>
      <c r="E789" s="6" t="str">
        <v>DIRECT</v>
      </c>
      <c r="F789" s="6" t="str">
        <v>CAMS</v>
      </c>
      <c r="G789" s="6">
        <v>120664</v>
      </c>
      <c r="H789" s="6">
        <v>41826</v>
      </c>
      <c r="I789" s="6" t="str">
        <v>Purchase - SIP</v>
      </c>
      <c r="J789" s="5">
        <v>5000</v>
      </c>
      <c r="K789" s="5">
        <v>243.94900000000001</v>
      </c>
      <c r="L789" s="5">
        <v>20.496099999999998</v>
      </c>
      <c r="M789" s="5">
        <v>9082.1990000000005</v>
      </c>
      <c r="N789" s="5" t="str">
        <v>PURCHASE_SIP</v>
      </c>
      <c r="O789" s="5">
        <v>0</v>
      </c>
    </row>
    <row r="790" spans="1:15" ht="17" x14ac:dyDescent="0.2">
      <c r="A790" s="5" t="str">
        <v>ICICI Prudential Mutual Fund</v>
      </c>
      <c r="B790" s="5" t="str">
        <v>AAAA9993</v>
      </c>
      <c r="C790" s="5" t="str">
        <v>AAAAA1111A</v>
      </c>
      <c r="D790" s="6" t="str">
        <v>ICICI Pru Equity &amp; Debt Fund - Direct Growth</v>
      </c>
      <c r="E790" s="6" t="str">
        <v>DIRECT</v>
      </c>
      <c r="F790" s="6" t="str">
        <v>CAMS</v>
      </c>
      <c r="G790" s="6">
        <v>120664</v>
      </c>
      <c r="H790" s="6">
        <v>41826</v>
      </c>
      <c r="I790" s="6" t="str">
        <v>STAMP DUTY</v>
      </c>
      <c r="J790" s="5">
        <v>2.5</v>
      </c>
      <c r="K790" s="5">
        <v>0</v>
      </c>
      <c r="L790" s="5">
        <v>0</v>
      </c>
      <c r="M790" s="5">
        <v>9082.1990000000005</v>
      </c>
      <c r="N790" s="5" t="str">
        <v>STAMP_DUTY</v>
      </c>
      <c r="O790" s="5">
        <v>0</v>
      </c>
    </row>
    <row r="791" spans="1:15" ht="17" x14ac:dyDescent="0.2">
      <c r="A791" s="5" t="str">
        <v>ICICI Prudential Mutual Fund</v>
      </c>
      <c r="B791" s="5" t="str">
        <v>AAAA9993</v>
      </c>
      <c r="C791" s="5" t="str">
        <v>AAAAA1111A</v>
      </c>
      <c r="D791" s="6" t="str">
        <v>ICICI Pru Equity &amp; Debt Fund - Direct Growth</v>
      </c>
      <c r="E791" s="6" t="str">
        <v>DIRECT</v>
      </c>
      <c r="F791" s="6" t="str">
        <v>CAMS</v>
      </c>
      <c r="G791" s="6">
        <v>120664</v>
      </c>
      <c r="H791" s="6">
        <v>41856</v>
      </c>
      <c r="I791" s="6" t="str">
        <v>Purchase - SIP</v>
      </c>
      <c r="J791" s="5">
        <v>5000</v>
      </c>
      <c r="K791" s="5">
        <v>247.76400000000001</v>
      </c>
      <c r="L791" s="5">
        <v>20.180499999999999</v>
      </c>
      <c r="M791" s="5">
        <v>9329.9629999999997</v>
      </c>
      <c r="N791" s="5" t="str">
        <v>PURCHASE_SIP</v>
      </c>
      <c r="O791" s="5">
        <v>0</v>
      </c>
    </row>
    <row r="792" spans="1:15" ht="17" x14ac:dyDescent="0.2">
      <c r="A792" s="5" t="str">
        <v>ICICI Prudential Mutual Fund</v>
      </c>
      <c r="B792" s="5" t="str">
        <v>AAAA9993</v>
      </c>
      <c r="C792" s="5" t="str">
        <v>AAAAA1111A</v>
      </c>
      <c r="D792" s="6" t="str">
        <v>ICICI Pru Equity &amp; Debt Fund - Direct Growth</v>
      </c>
      <c r="E792" s="6" t="str">
        <v>DIRECT</v>
      </c>
      <c r="F792" s="6" t="str">
        <v>CAMS</v>
      </c>
      <c r="G792" s="6">
        <v>120664</v>
      </c>
      <c r="H792" s="6">
        <v>41886</v>
      </c>
      <c r="I792" s="6" t="str">
        <v>Purchase - SIP</v>
      </c>
      <c r="J792" s="5">
        <v>5000</v>
      </c>
      <c r="K792" s="5">
        <v>251.84200000000001</v>
      </c>
      <c r="L792" s="5">
        <v>19.8537</v>
      </c>
      <c r="M792" s="5">
        <v>9581.8060000000005</v>
      </c>
      <c r="N792" s="5" t="str">
        <v>PURCHASE_SIP</v>
      </c>
      <c r="O792" s="5">
        <v>0</v>
      </c>
    </row>
    <row r="793" spans="1:15" ht="17" x14ac:dyDescent="0.2">
      <c r="A793" s="5" t="str">
        <v>ICICI Prudential Mutual Fund</v>
      </c>
      <c r="B793" s="5" t="str">
        <v>AAAA9993</v>
      </c>
      <c r="C793" s="5" t="str">
        <v>AAAAA1111A</v>
      </c>
      <c r="D793" s="6" t="str">
        <v>ICICI Pru Equity &amp; Debt Fund - Direct Growth</v>
      </c>
      <c r="E793" s="6" t="str">
        <v>DIRECT</v>
      </c>
      <c r="F793" s="6" t="str">
        <v>CAMS</v>
      </c>
      <c r="G793" s="6">
        <v>120664</v>
      </c>
      <c r="H793" s="6">
        <v>41886</v>
      </c>
      <c r="I793" s="6" t="str">
        <v>STAMP DUTY</v>
      </c>
      <c r="J793" s="5">
        <v>2.5</v>
      </c>
      <c r="K793" s="5">
        <v>0</v>
      </c>
      <c r="L793" s="5">
        <v>0</v>
      </c>
      <c r="M793" s="5">
        <v>9581.8060000000005</v>
      </c>
      <c r="N793" s="5" t="str">
        <v>STAMP_DUTY</v>
      </c>
      <c r="O793" s="5">
        <v>0</v>
      </c>
    </row>
    <row r="794" spans="1:15" ht="17" x14ac:dyDescent="0.2">
      <c r="A794" s="5" t="str">
        <v>ICICI Prudential Mutual Fund</v>
      </c>
      <c r="B794" s="5" t="str">
        <v>AAAA9993</v>
      </c>
      <c r="C794" s="5" t="str">
        <v>AAAAA1111A</v>
      </c>
      <c r="D794" s="6" t="str">
        <v>ICICI Pru Equity &amp; Debt Fund - Direct Growth</v>
      </c>
      <c r="E794" s="6" t="str">
        <v>DIRECT</v>
      </c>
      <c r="F794" s="6" t="str">
        <v>CAMS</v>
      </c>
      <c r="G794" s="6">
        <v>120664</v>
      </c>
      <c r="H794" s="6">
        <v>41916</v>
      </c>
      <c r="I794" s="6" t="str">
        <v>Purchase - SIP</v>
      </c>
      <c r="J794" s="5">
        <v>5000</v>
      </c>
      <c r="K794" s="5">
        <v>251.92500000000001</v>
      </c>
      <c r="L794" s="5">
        <v>19.847200000000001</v>
      </c>
      <c r="M794" s="5">
        <v>9833.7309999999998</v>
      </c>
      <c r="N794" s="5" t="str">
        <v>PURCHASE_SIP</v>
      </c>
      <c r="O794" s="5">
        <v>0</v>
      </c>
    </row>
    <row r="795" spans="1:15" ht="17" x14ac:dyDescent="0.2">
      <c r="A795" s="5" t="str">
        <v>ICICI Prudential Mutual Fund</v>
      </c>
      <c r="B795" s="5" t="str">
        <v>AAAA9993</v>
      </c>
      <c r="C795" s="5" t="str">
        <v>AAAAA1111A</v>
      </c>
      <c r="D795" s="6" t="str">
        <v>ICICI Pru Equity &amp; Debt Fund - Direct Growth</v>
      </c>
      <c r="E795" s="6" t="str">
        <v>DIRECT</v>
      </c>
      <c r="F795" s="6" t="str">
        <v>CAMS</v>
      </c>
      <c r="G795" s="6">
        <v>120664</v>
      </c>
      <c r="H795" s="6">
        <v>41946</v>
      </c>
      <c r="I795" s="6" t="str">
        <v>Purchase - SIP</v>
      </c>
      <c r="J795" s="5">
        <v>5000</v>
      </c>
      <c r="K795" s="5">
        <v>246.42599999999999</v>
      </c>
      <c r="L795" s="5">
        <v>20.29</v>
      </c>
      <c r="M795" s="5">
        <v>10080.156999999999</v>
      </c>
      <c r="N795" s="5" t="str">
        <v>PURCHASE_SIP</v>
      </c>
      <c r="O795" s="5">
        <v>0</v>
      </c>
    </row>
    <row r="796" spans="1:15" ht="17" x14ac:dyDescent="0.2">
      <c r="A796" s="5" t="str">
        <v>ICICI Prudential Mutual Fund</v>
      </c>
      <c r="B796" s="5" t="str">
        <v>AAAA9993</v>
      </c>
      <c r="C796" s="5" t="str">
        <v>AAAAA1111A</v>
      </c>
      <c r="D796" s="6" t="str">
        <v>ICICI Pru Equity &amp; Debt Fund - Direct Growth</v>
      </c>
      <c r="E796" s="6" t="str">
        <v>DIRECT</v>
      </c>
      <c r="F796" s="6" t="str">
        <v>CAMS</v>
      </c>
      <c r="G796" s="6">
        <v>120664</v>
      </c>
      <c r="H796" s="6">
        <v>41946</v>
      </c>
      <c r="I796" s="6" t="str">
        <v>STT TAX</v>
      </c>
      <c r="J796" s="5">
        <v>2.5</v>
      </c>
      <c r="K796" s="5">
        <v>0</v>
      </c>
      <c r="L796" s="5">
        <v>0</v>
      </c>
      <c r="M796" s="5">
        <v>10080.156999999999</v>
      </c>
      <c r="N796" s="5" t="str">
        <v>STT_TAX</v>
      </c>
      <c r="O796" s="5">
        <v>0</v>
      </c>
    </row>
    <row r="797" spans="1:15" ht="17" x14ac:dyDescent="0.2">
      <c r="A797" s="5" t="str">
        <v>ICICI Prudential Mutual Fund</v>
      </c>
      <c r="B797" s="5" t="str">
        <v>AAAA9993</v>
      </c>
      <c r="C797" s="5" t="str">
        <v>AAAAA1111A</v>
      </c>
      <c r="D797" s="6" t="str">
        <v>ICICI Pru Equity &amp; Debt Fund - Direct Growth</v>
      </c>
      <c r="E797" s="6" t="str">
        <v>DIRECT</v>
      </c>
      <c r="F797" s="6" t="str">
        <v>CAMS</v>
      </c>
      <c r="G797" s="6">
        <v>120664</v>
      </c>
      <c r="H797" s="6">
        <v>41976</v>
      </c>
      <c r="I797" s="6" t="str">
        <v>Purchase - SIP</v>
      </c>
      <c r="J797" s="5">
        <v>5000</v>
      </c>
      <c r="K797" s="5">
        <v>244.244</v>
      </c>
      <c r="L797" s="5">
        <v>20.471299999999999</v>
      </c>
      <c r="M797" s="5">
        <v>10324.402</v>
      </c>
      <c r="N797" s="5" t="str">
        <v>PURCHASE_SIP</v>
      </c>
      <c r="O797" s="5">
        <v>0</v>
      </c>
    </row>
    <row r="798" spans="1:15" ht="17" x14ac:dyDescent="0.2">
      <c r="A798" s="5" t="str">
        <v>ICICI Prudential Mutual Fund</v>
      </c>
      <c r="B798" s="5" t="str">
        <v>AAAA9993</v>
      </c>
      <c r="C798" s="5" t="str">
        <v>AAAAA1111A</v>
      </c>
      <c r="D798" s="6" t="str">
        <v>ICICI Pru Equity &amp; Debt Fund - Direct Growth</v>
      </c>
      <c r="E798" s="6" t="str">
        <v>DIRECT</v>
      </c>
      <c r="F798" s="6" t="str">
        <v>CAMS</v>
      </c>
      <c r="G798" s="6">
        <v>120664</v>
      </c>
      <c r="H798" s="6">
        <v>42006</v>
      </c>
      <c r="I798" s="6" t="str">
        <v>Purchase - SIP</v>
      </c>
      <c r="J798" s="5">
        <v>5000</v>
      </c>
      <c r="K798" s="5">
        <v>237.322</v>
      </c>
      <c r="L798" s="5">
        <v>21.0684</v>
      </c>
      <c r="M798" s="5">
        <v>10561.724</v>
      </c>
      <c r="N798" s="5" t="str">
        <v>PURCHASE_SIP</v>
      </c>
      <c r="O798" s="5">
        <v>0</v>
      </c>
    </row>
    <row r="799" spans="1:15" ht="17" x14ac:dyDescent="0.2">
      <c r="A799" s="5" t="str">
        <v>ICICI Prudential Mutual Fund</v>
      </c>
      <c r="B799" s="5" t="str">
        <v>AAAA9993</v>
      </c>
      <c r="C799" s="5" t="str">
        <v>AAAAA1111A</v>
      </c>
      <c r="D799" s="6" t="str">
        <v>ICICI Pru Equity &amp; Debt Fund - Direct Growth</v>
      </c>
      <c r="E799" s="6" t="str">
        <v>DIRECT</v>
      </c>
      <c r="F799" s="6" t="str">
        <v>CAMS</v>
      </c>
      <c r="G799" s="6">
        <v>120664</v>
      </c>
      <c r="H799" s="6">
        <v>42036</v>
      </c>
      <c r="I799" s="6" t="str">
        <v>Purchase - SIP</v>
      </c>
      <c r="J799" s="5">
        <v>5000</v>
      </c>
      <c r="K799" s="5">
        <v>238.68600000000001</v>
      </c>
      <c r="L799" s="5">
        <v>20.948</v>
      </c>
      <c r="M799" s="5">
        <v>10800.409</v>
      </c>
      <c r="N799" s="5" t="str">
        <v>PURCHASE_SIP</v>
      </c>
      <c r="O799" s="5">
        <v>0</v>
      </c>
    </row>
    <row r="800" spans="1:15" ht="17" x14ac:dyDescent="0.2">
      <c r="A800" s="5" t="str">
        <v>ICICI Prudential Mutual Fund</v>
      </c>
      <c r="B800" s="5" t="str">
        <v>AAAA9993</v>
      </c>
      <c r="C800" s="5" t="str">
        <v>AAAAA1111A</v>
      </c>
      <c r="D800" s="6" t="str">
        <v>ICICI Pru Equity &amp; Debt Fund - Direct Growth</v>
      </c>
      <c r="E800" s="6" t="str">
        <v>DIRECT</v>
      </c>
      <c r="F800" s="6" t="str">
        <v>CAMS</v>
      </c>
      <c r="G800" s="6">
        <v>120664</v>
      </c>
      <c r="H800" s="6">
        <v>42036</v>
      </c>
      <c r="I800" s="6" t="str">
        <v>STT TAX</v>
      </c>
      <c r="J800" s="5">
        <v>2.5</v>
      </c>
      <c r="K800" s="5">
        <v>0</v>
      </c>
      <c r="L800" s="5">
        <v>0</v>
      </c>
      <c r="M800" s="5">
        <v>10800.409</v>
      </c>
      <c r="N800" s="5" t="str">
        <v>STT_TAX</v>
      </c>
      <c r="O800" s="5">
        <v>0</v>
      </c>
    </row>
    <row r="801" spans="1:15" ht="17" x14ac:dyDescent="0.2">
      <c r="A801" s="5" t="str">
        <v>ICICI Prudential Mutual Fund</v>
      </c>
      <c r="B801" s="5" t="str">
        <v>AAAA9993</v>
      </c>
      <c r="C801" s="5" t="str">
        <v>AAAAA1111A</v>
      </c>
      <c r="D801" s="6" t="str">
        <v>ICICI Pru Equity &amp; Debt Fund - Direct Growth</v>
      </c>
      <c r="E801" s="6" t="str">
        <v>DIRECT</v>
      </c>
      <c r="F801" s="6" t="str">
        <v>CAMS</v>
      </c>
      <c r="G801" s="6">
        <v>120664</v>
      </c>
      <c r="H801" s="6">
        <v>42066</v>
      </c>
      <c r="I801" s="6" t="str">
        <v>Purchase - SIP</v>
      </c>
      <c r="J801" s="5">
        <v>5000</v>
      </c>
      <c r="K801" s="5">
        <v>233.69300000000001</v>
      </c>
      <c r="L801" s="5">
        <v>21.395600000000002</v>
      </c>
      <c r="M801" s="5">
        <v>11034.102000000001</v>
      </c>
      <c r="N801" s="5" t="str">
        <v>PURCHASE_SIP</v>
      </c>
      <c r="O801" s="5">
        <v>0</v>
      </c>
    </row>
    <row r="802" spans="1:15" ht="17" x14ac:dyDescent="0.2">
      <c r="A802" s="5" t="str">
        <v>ICICI Prudential Mutual Fund</v>
      </c>
      <c r="B802" s="5" t="str">
        <v>AAAA9993</v>
      </c>
      <c r="C802" s="5" t="str">
        <v>AAAAA1111A</v>
      </c>
      <c r="D802" s="6" t="str">
        <v>ICICI Pru Equity &amp; Debt Fund - Direct Growth</v>
      </c>
      <c r="E802" s="6" t="str">
        <v>DIRECT</v>
      </c>
      <c r="F802" s="6" t="str">
        <v>CAMS</v>
      </c>
      <c r="G802" s="6">
        <v>120664</v>
      </c>
      <c r="H802" s="6">
        <v>42096</v>
      </c>
      <c r="I802" s="6" t="str">
        <v>Purchase - SIP</v>
      </c>
      <c r="J802" s="5">
        <v>5000</v>
      </c>
      <c r="K802" s="5">
        <v>230.50800000000001</v>
      </c>
      <c r="L802" s="5">
        <v>21.691199999999998</v>
      </c>
      <c r="M802" s="5">
        <v>11264.61</v>
      </c>
      <c r="N802" s="5" t="str">
        <v>PURCHASE_SIP</v>
      </c>
      <c r="O802" s="5">
        <v>0</v>
      </c>
    </row>
    <row r="803" spans="1:15" ht="17" x14ac:dyDescent="0.2">
      <c r="A803" s="5" t="str">
        <v>ICICI Prudential Mutual Fund</v>
      </c>
      <c r="B803" s="5" t="str">
        <v>AAAA9993</v>
      </c>
      <c r="C803" s="5" t="str">
        <v>AAAAA1111A</v>
      </c>
      <c r="D803" s="6" t="str">
        <v>ICICI Pru Equity &amp; Debt Fund - Direct Growth</v>
      </c>
      <c r="E803" s="6" t="str">
        <v>DIRECT</v>
      </c>
      <c r="F803" s="6" t="str">
        <v>CAMS</v>
      </c>
      <c r="G803" s="6">
        <v>120664</v>
      </c>
      <c r="H803" s="6">
        <v>42096</v>
      </c>
      <c r="I803" s="6" t="str">
        <v>STT TAX</v>
      </c>
      <c r="J803" s="5">
        <v>2.5</v>
      </c>
      <c r="K803" s="5">
        <v>0</v>
      </c>
      <c r="L803" s="5">
        <v>0</v>
      </c>
      <c r="M803" s="5">
        <v>11264.61</v>
      </c>
      <c r="N803" s="5" t="str">
        <v>STT_TAX</v>
      </c>
      <c r="O803" s="5">
        <v>0</v>
      </c>
    </row>
    <row r="804" spans="1:15" ht="17" x14ac:dyDescent="0.2">
      <c r="A804" s="5" t="str">
        <v>ICICI Prudential Mutual Fund</v>
      </c>
      <c r="B804" s="5" t="str">
        <v>AAAA9993</v>
      </c>
      <c r="C804" s="5" t="str">
        <v>AAAAA1111A</v>
      </c>
      <c r="D804" s="6" t="str">
        <v>ICICI Pru Equity &amp; Debt Fund - Direct Growth</v>
      </c>
      <c r="E804" s="6" t="str">
        <v>DIRECT</v>
      </c>
      <c r="F804" s="6" t="str">
        <v>CAMS</v>
      </c>
      <c r="G804" s="6">
        <v>120664</v>
      </c>
      <c r="H804" s="6">
        <v>42126</v>
      </c>
      <c r="I804" s="6" t="str">
        <v>Purchase - SIP</v>
      </c>
      <c r="J804" s="5">
        <v>5000</v>
      </c>
      <c r="K804" s="5">
        <v>230.85400000000001</v>
      </c>
      <c r="L804" s="5">
        <v>21.6587</v>
      </c>
      <c r="M804" s="5">
        <v>11495.464</v>
      </c>
      <c r="N804" s="5" t="str">
        <v>PURCHASE_SIP</v>
      </c>
      <c r="O804" s="5">
        <v>0</v>
      </c>
    </row>
    <row r="805" spans="1:15" ht="17" x14ac:dyDescent="0.2">
      <c r="A805" s="5" t="str">
        <v>ICICI Prudential Mutual Fund</v>
      </c>
      <c r="B805" s="5" t="str">
        <v>AAAA9993</v>
      </c>
      <c r="C805" s="5" t="str">
        <v>AAAAA1111A</v>
      </c>
      <c r="D805" s="6" t="str">
        <v>ICICI Pru Equity &amp; Debt Fund - Direct Growth</v>
      </c>
      <c r="E805" s="6" t="str">
        <v>DIRECT</v>
      </c>
      <c r="F805" s="6" t="str">
        <v>CAMS</v>
      </c>
      <c r="G805" s="6">
        <v>120664</v>
      </c>
      <c r="H805" s="6">
        <v>42126</v>
      </c>
      <c r="I805" s="6" t="str">
        <v>STT TAX</v>
      </c>
      <c r="J805" s="5">
        <v>2.5</v>
      </c>
      <c r="K805" s="5">
        <v>0</v>
      </c>
      <c r="L805" s="5">
        <v>0</v>
      </c>
      <c r="M805" s="5">
        <v>11495.464</v>
      </c>
      <c r="N805" s="5" t="str">
        <v>STT_TAX</v>
      </c>
      <c r="O805" s="5">
        <v>0</v>
      </c>
    </row>
    <row r="806" spans="1:15" ht="17" x14ac:dyDescent="0.2">
      <c r="A806" s="5" t="str">
        <v>ICICI Prudential Mutual Fund</v>
      </c>
      <c r="B806" s="5" t="str">
        <v>AAAA9993</v>
      </c>
      <c r="C806" s="5" t="str">
        <v>AAAAA1111A</v>
      </c>
      <c r="D806" s="6" t="str">
        <v>ICICI Pru Equity &amp; Debt Fund - Direct Growth</v>
      </c>
      <c r="E806" s="6" t="str">
        <v>DIRECT</v>
      </c>
      <c r="F806" s="6" t="str">
        <v>CAMS</v>
      </c>
      <c r="G806" s="6">
        <v>120664</v>
      </c>
      <c r="H806" s="6">
        <v>42156</v>
      </c>
      <c r="I806" s="6" t="str">
        <v>Purchase - SIP</v>
      </c>
      <c r="J806" s="5">
        <v>5000</v>
      </c>
      <c r="K806" s="5">
        <v>234.93799999999999</v>
      </c>
      <c r="L806" s="5">
        <v>21.282299999999999</v>
      </c>
      <c r="M806" s="5">
        <v>11730.401</v>
      </c>
      <c r="N806" s="5" t="str">
        <v>PURCHASE_SIP</v>
      </c>
      <c r="O806" s="5">
        <v>0</v>
      </c>
    </row>
    <row r="807" spans="1:15" ht="17" x14ac:dyDescent="0.2">
      <c r="A807" s="5" t="str">
        <v>ICICI Prudential Mutual Fund</v>
      </c>
      <c r="B807" s="5" t="str">
        <v>AAAA9993</v>
      </c>
      <c r="C807" s="5" t="str">
        <v>AAAAA1111A</v>
      </c>
      <c r="D807" s="6" t="str">
        <v>ICICI Pru Equity &amp; Debt Fund - Direct Growth</v>
      </c>
      <c r="E807" s="6" t="str">
        <v>DIRECT</v>
      </c>
      <c r="F807" s="6" t="str">
        <v>CAMS</v>
      </c>
      <c r="G807" s="6">
        <v>120664</v>
      </c>
      <c r="H807" s="6">
        <v>42186</v>
      </c>
      <c r="I807" s="6" t="str">
        <v>Purchase - SIP</v>
      </c>
      <c r="J807" s="5">
        <v>5000</v>
      </c>
      <c r="K807" s="5">
        <v>231.99600000000001</v>
      </c>
      <c r="L807" s="5">
        <v>21.552099999999999</v>
      </c>
      <c r="M807" s="5">
        <v>11962.397000000001</v>
      </c>
      <c r="N807" s="5" t="str">
        <v>PURCHASE_SIP</v>
      </c>
      <c r="O807" s="5">
        <v>0</v>
      </c>
    </row>
    <row r="808" spans="1:15" ht="17" x14ac:dyDescent="0.2">
      <c r="A808" s="5" t="str">
        <v>ICICI Prudential Mutual Fund</v>
      </c>
      <c r="B808" s="5" t="str">
        <v>AAAA9993</v>
      </c>
      <c r="C808" s="5" t="str">
        <v>AAAAA1111A</v>
      </c>
      <c r="D808" s="6" t="str">
        <v>ICICI Pru Equity &amp; Debt Fund - Direct Growth</v>
      </c>
      <c r="E808" s="6" t="str">
        <v>DIRECT</v>
      </c>
      <c r="F808" s="6" t="str">
        <v>CAMS</v>
      </c>
      <c r="G808" s="6">
        <v>120664</v>
      </c>
      <c r="H808" s="6">
        <v>42216</v>
      </c>
      <c r="I808" s="6" t="str">
        <v>Purchase - SIP</v>
      </c>
      <c r="J808" s="5">
        <v>5000</v>
      </c>
      <c r="K808" s="5">
        <v>227.38399999999999</v>
      </c>
      <c r="L808" s="5">
        <v>21.9893</v>
      </c>
      <c r="M808" s="5">
        <v>12189.781000000001</v>
      </c>
      <c r="N808" s="5" t="str">
        <v>PURCHASE_SIP</v>
      </c>
      <c r="O808" s="5">
        <v>0</v>
      </c>
    </row>
    <row r="809" spans="1:15" ht="17" x14ac:dyDescent="0.2">
      <c r="A809" s="5" t="str">
        <v>ICICI Prudential Mutual Fund</v>
      </c>
      <c r="B809" s="5" t="str">
        <v>AAAA9993</v>
      </c>
      <c r="C809" s="5" t="str">
        <v>AAAAA1111A</v>
      </c>
      <c r="D809" s="6" t="str">
        <v>ICICI Pru Equity &amp; Debt Fund - Direct Growth</v>
      </c>
      <c r="E809" s="6" t="str">
        <v>DIRECT</v>
      </c>
      <c r="F809" s="6" t="str">
        <v>CAMS</v>
      </c>
      <c r="G809" s="6">
        <v>120664</v>
      </c>
      <c r="H809" s="6">
        <v>42246</v>
      </c>
      <c r="I809" s="6" t="str">
        <v>Purchase - SIP</v>
      </c>
      <c r="J809" s="5">
        <v>5000</v>
      </c>
      <c r="K809" s="5">
        <v>228.065</v>
      </c>
      <c r="L809" s="5">
        <v>21.9236</v>
      </c>
      <c r="M809" s="5">
        <v>12417.846</v>
      </c>
      <c r="N809" s="5" t="str">
        <v>PURCHASE_SIP</v>
      </c>
      <c r="O809" s="5">
        <v>0</v>
      </c>
    </row>
    <row r="810" spans="1:15" ht="17" x14ac:dyDescent="0.2">
      <c r="A810" s="5" t="str">
        <v>ICICI Prudential Mutual Fund</v>
      </c>
      <c r="B810" s="5" t="str">
        <v>AAAA9993</v>
      </c>
      <c r="C810" s="5" t="str">
        <v>AAAAA1111A</v>
      </c>
      <c r="D810" s="6" t="str">
        <v>ICICI Pru Equity &amp; Debt Fund - Direct Growth</v>
      </c>
      <c r="E810" s="6" t="str">
        <v>DIRECT</v>
      </c>
      <c r="F810" s="6" t="str">
        <v>CAMS</v>
      </c>
      <c r="G810" s="6">
        <v>120664</v>
      </c>
      <c r="H810" s="6">
        <v>42276</v>
      </c>
      <c r="I810" s="6" t="str">
        <v>Purchase - SIP</v>
      </c>
      <c r="J810" s="5">
        <v>5000</v>
      </c>
      <c r="K810" s="5">
        <v>221.614</v>
      </c>
      <c r="L810" s="5">
        <v>22.561800000000002</v>
      </c>
      <c r="M810" s="5">
        <v>12639.46</v>
      </c>
      <c r="N810" s="5" t="str">
        <v>PURCHASE_SIP</v>
      </c>
      <c r="O810" s="5">
        <v>0</v>
      </c>
    </row>
    <row r="811" spans="1:15" ht="17" x14ac:dyDescent="0.2">
      <c r="A811" s="5" t="str">
        <v>ICICI Prudential Mutual Fund</v>
      </c>
      <c r="B811" s="5" t="str">
        <v>AAAA9993</v>
      </c>
      <c r="C811" s="5" t="str">
        <v>AAAAA1111A</v>
      </c>
      <c r="D811" s="6" t="str">
        <v>ICICI Pru Equity &amp; Debt Fund - Direct Growth</v>
      </c>
      <c r="E811" s="6" t="str">
        <v>DIRECT</v>
      </c>
      <c r="F811" s="6" t="str">
        <v>CAMS</v>
      </c>
      <c r="G811" s="6">
        <v>120664</v>
      </c>
      <c r="H811" s="6">
        <v>42306</v>
      </c>
      <c r="I811" s="6" t="str">
        <v>Purchase - SIP</v>
      </c>
      <c r="J811" s="5">
        <v>5000</v>
      </c>
      <c r="K811" s="5">
        <v>224.661</v>
      </c>
      <c r="L811" s="5">
        <v>22.255800000000001</v>
      </c>
      <c r="M811" s="5">
        <v>12864.12</v>
      </c>
      <c r="N811" s="5" t="str">
        <v>PURCHASE_SIP</v>
      </c>
      <c r="O811" s="5">
        <v>0</v>
      </c>
    </row>
    <row r="812" spans="1:15" ht="17" x14ac:dyDescent="0.2">
      <c r="A812" s="5" t="str">
        <v>ICICI Prudential Mutual Fund</v>
      </c>
      <c r="B812" s="5" t="str">
        <v>AAAA9993</v>
      </c>
      <c r="C812" s="5" t="str">
        <v>AAAAA1111A</v>
      </c>
      <c r="D812" s="6" t="str">
        <v>ICICI Pru Equity &amp; Debt Fund - Direct Growth</v>
      </c>
      <c r="E812" s="6" t="str">
        <v>DIRECT</v>
      </c>
      <c r="F812" s="6" t="str">
        <v>CAMS</v>
      </c>
      <c r="G812" s="6">
        <v>120664</v>
      </c>
      <c r="H812" s="6">
        <v>42336</v>
      </c>
      <c r="I812" s="6" t="str">
        <v>Purchase - SIP</v>
      </c>
      <c r="J812" s="5">
        <v>5000</v>
      </c>
      <c r="K812" s="5">
        <v>220.613</v>
      </c>
      <c r="L812" s="5">
        <v>22.664100000000001</v>
      </c>
      <c r="M812" s="5">
        <v>13084.733</v>
      </c>
      <c r="N812" s="5" t="str">
        <v>PURCHASE_SIP</v>
      </c>
      <c r="O812" s="5">
        <v>0</v>
      </c>
    </row>
    <row r="813" spans="1:15" ht="17" x14ac:dyDescent="0.2">
      <c r="A813" s="5" t="str">
        <v>ICICI Prudential Mutual Fund</v>
      </c>
      <c r="B813" s="5" t="str">
        <v>AAAA9993</v>
      </c>
      <c r="C813" s="5" t="str">
        <v>AAAAA1111A</v>
      </c>
      <c r="D813" s="6" t="str">
        <v>ICICI Pru Equity &amp; Debt Fund - Direct Growth</v>
      </c>
      <c r="E813" s="6" t="str">
        <v>DIRECT</v>
      </c>
      <c r="F813" s="6" t="str">
        <v>CAMS</v>
      </c>
      <c r="G813" s="6">
        <v>120664</v>
      </c>
      <c r="H813" s="6">
        <v>42336</v>
      </c>
      <c r="I813" s="6" t="str">
        <v>STT TAX</v>
      </c>
      <c r="J813" s="5">
        <v>2.5</v>
      </c>
      <c r="K813" s="5">
        <v>0</v>
      </c>
      <c r="L813" s="5">
        <v>0</v>
      </c>
      <c r="M813" s="5">
        <v>13084.733</v>
      </c>
      <c r="N813" s="5" t="str">
        <v>STT_TAX</v>
      </c>
      <c r="O813" s="5">
        <v>0</v>
      </c>
    </row>
    <row r="814" spans="1:15" ht="17" x14ac:dyDescent="0.2">
      <c r="A814" s="5" t="str">
        <v>ICICI Prudential Mutual Fund</v>
      </c>
      <c r="B814" s="5" t="str">
        <v>AAAA9993</v>
      </c>
      <c r="C814" s="5" t="str">
        <v>AAAAA1111A</v>
      </c>
      <c r="D814" s="6" t="str">
        <v>ICICI Pru Equity &amp; Debt Fund - Direct Growth</v>
      </c>
      <c r="E814" s="6" t="str">
        <v>DIRECT</v>
      </c>
      <c r="F814" s="6" t="str">
        <v>CAMS</v>
      </c>
      <c r="G814" s="6">
        <v>120664</v>
      </c>
      <c r="H814" s="6">
        <v>42366</v>
      </c>
      <c r="I814" s="6" t="str">
        <v>Purchase - SIP</v>
      </c>
      <c r="J814" s="5">
        <v>5000</v>
      </c>
      <c r="K814" s="5">
        <v>214.68100000000001</v>
      </c>
      <c r="L814" s="5">
        <v>23.290400000000002</v>
      </c>
      <c r="M814" s="5">
        <v>13299.414000000001</v>
      </c>
      <c r="N814" s="5" t="str">
        <v>PURCHASE_SIP</v>
      </c>
      <c r="O814" s="5">
        <v>0</v>
      </c>
    </row>
    <row r="815" spans="1:15" ht="17" x14ac:dyDescent="0.2">
      <c r="A815" s="5" t="str">
        <v>ICICI Prudential Mutual Fund</v>
      </c>
      <c r="B815" s="5" t="str">
        <v>AAAA9993</v>
      </c>
      <c r="C815" s="5" t="str">
        <v>AAAAA1111A</v>
      </c>
      <c r="D815" s="6" t="str">
        <v>ICICI Pru Equity &amp; Debt Fund - Direct Growth</v>
      </c>
      <c r="E815" s="6" t="str">
        <v>DIRECT</v>
      </c>
      <c r="F815" s="6" t="str">
        <v>CAMS</v>
      </c>
      <c r="G815" s="6">
        <v>120664</v>
      </c>
      <c r="H815" s="6">
        <v>42396</v>
      </c>
      <c r="I815" s="6" t="str">
        <v>Purchase - SIP</v>
      </c>
      <c r="J815" s="5">
        <v>5000</v>
      </c>
      <c r="K815" s="5">
        <v>217.88499999999999</v>
      </c>
      <c r="L815" s="5">
        <v>22.947900000000001</v>
      </c>
      <c r="M815" s="5">
        <v>13517.299000000001</v>
      </c>
      <c r="N815" s="5" t="str">
        <v>PURCHASE_SIP</v>
      </c>
      <c r="O815" s="5">
        <v>0</v>
      </c>
    </row>
    <row r="816" spans="1:15" ht="17" x14ac:dyDescent="0.2">
      <c r="A816" s="5" t="str">
        <v>ICICI Prudential Mutual Fund</v>
      </c>
      <c r="B816" s="5" t="str">
        <v>AAAA9993</v>
      </c>
      <c r="C816" s="5" t="str">
        <v>AAAAA1111A</v>
      </c>
      <c r="D816" s="6" t="str">
        <v>ICICI Pru Equity &amp; Debt Fund - Direct Growth</v>
      </c>
      <c r="E816" s="6" t="str">
        <v>DIRECT</v>
      </c>
      <c r="F816" s="6" t="str">
        <v>CAMS</v>
      </c>
      <c r="G816" s="6">
        <v>120664</v>
      </c>
      <c r="H816" s="6">
        <v>42396</v>
      </c>
      <c r="I816" s="6" t="str">
        <v>STT TAX</v>
      </c>
      <c r="J816" s="5">
        <v>2.5</v>
      </c>
      <c r="K816" s="5">
        <v>0</v>
      </c>
      <c r="L816" s="5">
        <v>0</v>
      </c>
      <c r="M816" s="5">
        <v>13517.299000000001</v>
      </c>
      <c r="N816" s="5" t="str">
        <v>STT_TAX</v>
      </c>
      <c r="O816" s="5">
        <v>0</v>
      </c>
    </row>
    <row r="817" spans="1:15" ht="17" x14ac:dyDescent="0.2">
      <c r="A817" s="5" t="str">
        <v>ICICI Prudential Mutual Fund</v>
      </c>
      <c r="B817" s="5" t="str">
        <v>AAAA9993</v>
      </c>
      <c r="C817" s="5" t="str">
        <v>AAAAA1111A</v>
      </c>
      <c r="D817" s="6" t="str">
        <v>ICICI Pru Equity &amp; Debt Fund - Direct Growth</v>
      </c>
      <c r="E817" s="6" t="str">
        <v>DIRECT</v>
      </c>
      <c r="F817" s="6" t="str">
        <v>CAMS</v>
      </c>
      <c r="G817" s="6">
        <v>120664</v>
      </c>
      <c r="H817" s="6">
        <v>42426</v>
      </c>
      <c r="I817" s="6" t="str">
        <v>Purchase - SIP</v>
      </c>
      <c r="J817" s="5">
        <v>5000</v>
      </c>
      <c r="K817" s="5">
        <v>217.137</v>
      </c>
      <c r="L817" s="5">
        <v>23.026900000000001</v>
      </c>
      <c r="M817" s="5">
        <v>13734.436</v>
      </c>
      <c r="N817" s="5" t="str">
        <v>PURCHASE_SIP</v>
      </c>
      <c r="O817" s="5">
        <v>0</v>
      </c>
    </row>
    <row r="818" spans="1:15" ht="17" x14ac:dyDescent="0.2">
      <c r="A818" s="5" t="str">
        <v>ICICI Prudential Mutual Fund</v>
      </c>
      <c r="B818" s="5" t="str">
        <v>AAAA9993</v>
      </c>
      <c r="C818" s="5" t="str">
        <v>AAAAA1111A</v>
      </c>
      <c r="D818" s="6" t="str">
        <v>ICICI Pru Equity &amp; Debt Fund - Direct Growth</v>
      </c>
      <c r="E818" s="6" t="str">
        <v>DIRECT</v>
      </c>
      <c r="F818" s="6" t="str">
        <v>CAMS</v>
      </c>
      <c r="G818" s="6">
        <v>120664</v>
      </c>
      <c r="H818" s="6">
        <v>42456</v>
      </c>
      <c r="I818" s="6" t="str">
        <v>Purchase - SIP</v>
      </c>
      <c r="J818" s="5">
        <v>5000</v>
      </c>
      <c r="K818" s="5">
        <v>215.30699999999999</v>
      </c>
      <c r="L818" s="5">
        <v>23.2226</v>
      </c>
      <c r="M818" s="5">
        <v>13949.744000000001</v>
      </c>
      <c r="N818" s="5" t="str">
        <v>PURCHASE_SIP</v>
      </c>
      <c r="O818" s="5">
        <v>0</v>
      </c>
    </row>
    <row r="819" spans="1:15" ht="17" x14ac:dyDescent="0.2">
      <c r="A819" s="5" t="str">
        <v>ICICI Prudential Mutual Fund</v>
      </c>
      <c r="B819" s="5" t="str">
        <v>AAAA9993</v>
      </c>
      <c r="C819" s="5" t="str">
        <v>AAAAA1111A</v>
      </c>
      <c r="D819" s="6" t="str">
        <v>ICICI Pru Equity &amp; Debt Fund - Direct Growth</v>
      </c>
      <c r="E819" s="6" t="str">
        <v>DIRECT</v>
      </c>
      <c r="F819" s="6" t="str">
        <v>CAMS</v>
      </c>
      <c r="G819" s="6">
        <v>120664</v>
      </c>
      <c r="H819" s="6">
        <v>42486</v>
      </c>
      <c r="I819" s="6" t="str">
        <v>Purchase - SIP</v>
      </c>
      <c r="J819" s="5">
        <v>5000</v>
      </c>
      <c r="K819" s="5">
        <v>218.309</v>
      </c>
      <c r="L819" s="5">
        <v>22.903400000000001</v>
      </c>
      <c r="M819" s="5">
        <v>14168.052</v>
      </c>
      <c r="N819" s="5" t="str">
        <v>PURCHASE_SIP</v>
      </c>
      <c r="O819" s="5">
        <v>0</v>
      </c>
    </row>
    <row r="820" spans="1:15" ht="17" x14ac:dyDescent="0.2">
      <c r="A820" s="5" t="str">
        <v>ICICI Prudential Mutual Fund</v>
      </c>
      <c r="B820" s="5" t="str">
        <v>AAAA9993</v>
      </c>
      <c r="C820" s="5" t="str">
        <v>AAAAA1111A</v>
      </c>
      <c r="D820" s="6" t="str">
        <v>ICICI Pru Equity &amp; Debt Fund - Direct Growth</v>
      </c>
      <c r="E820" s="6" t="str">
        <v>DIRECT</v>
      </c>
      <c r="F820" s="6" t="str">
        <v>CAMS</v>
      </c>
      <c r="G820" s="6">
        <v>120664</v>
      </c>
      <c r="H820" s="6">
        <v>42516</v>
      </c>
      <c r="I820" s="6" t="str">
        <v>Purchase - SIP</v>
      </c>
      <c r="J820" s="5">
        <v>5000</v>
      </c>
      <c r="K820" s="5">
        <v>220.87100000000001</v>
      </c>
      <c r="L820" s="5">
        <v>22.637699999999999</v>
      </c>
      <c r="M820" s="5">
        <v>14388.923000000001</v>
      </c>
      <c r="N820" s="5" t="str">
        <v>PURCHASE_SIP</v>
      </c>
      <c r="O820" s="5">
        <v>0</v>
      </c>
    </row>
    <row r="821" spans="1:15" ht="17" x14ac:dyDescent="0.2">
      <c r="A821" s="5" t="str">
        <v>ICICI Prudential Mutual Fund</v>
      </c>
      <c r="B821" s="5" t="str">
        <v>AAAA9993</v>
      </c>
      <c r="C821" s="5" t="str">
        <v>AAAAA1111A</v>
      </c>
      <c r="D821" s="6" t="str">
        <v>ICICI Pru Equity &amp; Debt Fund - Direct Growth</v>
      </c>
      <c r="E821" s="6" t="str">
        <v>DIRECT</v>
      </c>
      <c r="F821" s="6" t="str">
        <v>CAMS</v>
      </c>
      <c r="G821" s="6">
        <v>120664</v>
      </c>
      <c r="H821" s="6">
        <v>42546</v>
      </c>
      <c r="I821" s="6" t="str">
        <v>Purchase - SIP</v>
      </c>
      <c r="J821" s="5">
        <v>5000</v>
      </c>
      <c r="K821" s="5">
        <v>220.22200000000001</v>
      </c>
      <c r="L821" s="5">
        <v>22.7044</v>
      </c>
      <c r="M821" s="5">
        <v>14609.144</v>
      </c>
      <c r="N821" s="5" t="str">
        <v>PURCHASE_SIP</v>
      </c>
      <c r="O821" s="5">
        <v>0</v>
      </c>
    </row>
    <row r="822" spans="1:15" ht="17" x14ac:dyDescent="0.2">
      <c r="A822" s="5" t="str">
        <v>ICICI Prudential Mutual Fund</v>
      </c>
      <c r="B822" s="5" t="str">
        <v>AAAA9993</v>
      </c>
      <c r="C822" s="5" t="str">
        <v>AAAAA1111A</v>
      </c>
      <c r="D822" s="6" t="str">
        <v>ICICI Pru Equity &amp; Debt Fund - Direct Growth</v>
      </c>
      <c r="E822" s="6" t="str">
        <v>DIRECT</v>
      </c>
      <c r="F822" s="6" t="str">
        <v>CAMS</v>
      </c>
      <c r="G822" s="6">
        <v>120664</v>
      </c>
      <c r="H822" s="6">
        <v>42546</v>
      </c>
      <c r="I822" s="6" t="str">
        <v>STT TAX</v>
      </c>
      <c r="J822" s="5">
        <v>2.5</v>
      </c>
      <c r="K822" s="5">
        <v>0</v>
      </c>
      <c r="L822" s="5">
        <v>0</v>
      </c>
      <c r="M822" s="5">
        <v>14609.144</v>
      </c>
      <c r="N822" s="5" t="str">
        <v>STT_TAX</v>
      </c>
      <c r="O822" s="5">
        <v>0</v>
      </c>
    </row>
    <row r="823" spans="1:15" ht="17" x14ac:dyDescent="0.2">
      <c r="A823" s="5" t="str">
        <v>ICICI Prudential Mutual Fund</v>
      </c>
      <c r="B823" s="5" t="str">
        <v>AAAA9993</v>
      </c>
      <c r="C823" s="5" t="str">
        <v>AAAAA1111A</v>
      </c>
      <c r="D823" s="6" t="str">
        <v>ICICI Pru Equity &amp; Debt Fund - Direct Growth</v>
      </c>
      <c r="E823" s="6" t="str">
        <v>DIRECT</v>
      </c>
      <c r="F823" s="6" t="str">
        <v>CAMS</v>
      </c>
      <c r="G823" s="6">
        <v>120664</v>
      </c>
      <c r="H823" s="6">
        <v>42576</v>
      </c>
      <c r="I823" s="6" t="str">
        <v>Purchase - SIP</v>
      </c>
      <c r="J823" s="5">
        <v>5000</v>
      </c>
      <c r="K823" s="5">
        <v>223.364</v>
      </c>
      <c r="L823" s="5">
        <v>22.385000000000002</v>
      </c>
      <c r="M823" s="5">
        <v>14832.508</v>
      </c>
      <c r="N823" s="5" t="str">
        <v>PURCHASE_SIP</v>
      </c>
      <c r="O823" s="5">
        <v>0</v>
      </c>
    </row>
    <row r="824" spans="1:15" ht="17" x14ac:dyDescent="0.2">
      <c r="A824" s="5" t="str">
        <v>ICICI Prudential Mutual Fund</v>
      </c>
      <c r="B824" s="5" t="str">
        <v>AAAA9993</v>
      </c>
      <c r="C824" s="5" t="str">
        <v>AAAAA1111A</v>
      </c>
      <c r="D824" s="6" t="str">
        <v>ICICI Pru Equity &amp; Debt Fund - Direct Growth</v>
      </c>
      <c r="E824" s="6" t="str">
        <v>DIRECT</v>
      </c>
      <c r="F824" s="6" t="str">
        <v>CAMS</v>
      </c>
      <c r="G824" s="6">
        <v>120664</v>
      </c>
      <c r="H824" s="6">
        <v>42606</v>
      </c>
      <c r="I824" s="6" t="str">
        <v>Purchase - SIP</v>
      </c>
      <c r="J824" s="5">
        <v>5000</v>
      </c>
      <c r="K824" s="5">
        <v>218.15</v>
      </c>
      <c r="L824" s="5">
        <v>22.92</v>
      </c>
      <c r="M824" s="5">
        <v>15050.657999999999</v>
      </c>
      <c r="N824" s="5" t="str">
        <v>PURCHASE_SIP</v>
      </c>
      <c r="O824" s="5">
        <v>0</v>
      </c>
    </row>
    <row r="825" spans="1:15" ht="17" x14ac:dyDescent="0.2">
      <c r="A825" s="5" t="str">
        <v>ICICI Prudential Mutual Fund</v>
      </c>
      <c r="B825" s="5" t="str">
        <v>AAAA9993</v>
      </c>
      <c r="C825" s="5" t="str">
        <v>AAAAA1111A</v>
      </c>
      <c r="D825" s="6" t="str">
        <v>ICICI Pru Equity &amp; Debt Fund - Direct Growth</v>
      </c>
      <c r="E825" s="6" t="str">
        <v>DIRECT</v>
      </c>
      <c r="F825" s="6" t="str">
        <v>CAMS</v>
      </c>
      <c r="G825" s="6">
        <v>120664</v>
      </c>
      <c r="H825" s="6">
        <v>42606</v>
      </c>
      <c r="I825" s="6" t="str">
        <v>STT TAX</v>
      </c>
      <c r="J825" s="5">
        <v>2.5</v>
      </c>
      <c r="K825" s="5">
        <v>0</v>
      </c>
      <c r="L825" s="5">
        <v>0</v>
      </c>
      <c r="M825" s="5">
        <v>15050.657999999999</v>
      </c>
      <c r="N825" s="5" t="str">
        <v>STT_TAX</v>
      </c>
      <c r="O825" s="5">
        <v>0</v>
      </c>
    </row>
    <row r="826" spans="1:15" ht="17" x14ac:dyDescent="0.2">
      <c r="A826" s="5" t="str">
        <v>ICICI Prudential Mutual Fund</v>
      </c>
      <c r="B826" s="5" t="str">
        <v>AAAA9993</v>
      </c>
      <c r="C826" s="5" t="str">
        <v>AAAAA1111A</v>
      </c>
      <c r="D826" s="6" t="str">
        <v>ICICI Pru Equity &amp; Debt Fund - Direct Growth</v>
      </c>
      <c r="E826" s="6" t="str">
        <v>DIRECT</v>
      </c>
      <c r="F826" s="6" t="str">
        <v>CAMS</v>
      </c>
      <c r="G826" s="6">
        <v>120664</v>
      </c>
      <c r="H826" s="6">
        <v>42606</v>
      </c>
      <c r="I826" s="6" t="str">
        <v>Redemption</v>
      </c>
      <c r="J826" s="5">
        <v>-68992.28</v>
      </c>
      <c r="K826" s="5">
        <v>-3010.1320000000001</v>
      </c>
      <c r="L826" s="5">
        <v>22.92</v>
      </c>
      <c r="M826" s="5">
        <v>12040.527</v>
      </c>
      <c r="N826" s="5" t="str">
        <v>REDEMPTION</v>
      </c>
      <c r="O826" s="5">
        <v>0</v>
      </c>
    </row>
    <row r="827" spans="1:15" ht="17" x14ac:dyDescent="0.2">
      <c r="A827" s="5" t="str">
        <v>ICICI Prudential Mutual Fund</v>
      </c>
      <c r="B827" s="5" t="str">
        <v>AAAA9993</v>
      </c>
      <c r="C827" s="5" t="str">
        <v>AAAAA1111A</v>
      </c>
      <c r="D827" s="6" t="str">
        <v>ICICI Pru Equity &amp; Debt Fund - Direct Growth</v>
      </c>
      <c r="E827" s="6" t="str">
        <v>DIRECT</v>
      </c>
      <c r="F827" s="6" t="str">
        <v>CAMS</v>
      </c>
      <c r="G827" s="6">
        <v>120664</v>
      </c>
      <c r="H827" s="6">
        <v>42636</v>
      </c>
      <c r="I827" s="6" t="str">
        <v>Purchase - SIP</v>
      </c>
      <c r="J827" s="5">
        <v>5000</v>
      </c>
      <c r="K827" s="5">
        <v>217.727</v>
      </c>
      <c r="L827" s="5">
        <v>22.964500000000001</v>
      </c>
      <c r="M827" s="5">
        <v>12258.254000000001</v>
      </c>
      <c r="N827" s="5" t="str">
        <v>PURCHASE_SIP</v>
      </c>
      <c r="O827" s="5">
        <v>0</v>
      </c>
    </row>
    <row r="828" spans="1:15" ht="17" x14ac:dyDescent="0.2">
      <c r="A828" s="5" t="str">
        <v>ICICI Prudential Mutual Fund</v>
      </c>
      <c r="B828" s="5" t="str">
        <v>AAAA9993</v>
      </c>
      <c r="C828" s="5" t="str">
        <v>AAAAA1111A</v>
      </c>
      <c r="D828" s="6" t="str">
        <v>ICICI Pru Equity &amp; Debt Fund - Direct Growth</v>
      </c>
      <c r="E828" s="6" t="str">
        <v>DIRECT</v>
      </c>
      <c r="F828" s="6" t="str">
        <v>CAMS</v>
      </c>
      <c r="G828" s="6">
        <v>120664</v>
      </c>
      <c r="H828" s="6">
        <v>42666</v>
      </c>
      <c r="I828" s="6" t="str">
        <v>Purchase - SIP</v>
      </c>
      <c r="J828" s="5">
        <v>5000</v>
      </c>
      <c r="K828" s="5">
        <v>212.70699999999999</v>
      </c>
      <c r="L828" s="5">
        <v>23.506499999999999</v>
      </c>
      <c r="M828" s="5">
        <v>12470.96</v>
      </c>
      <c r="N828" s="5" t="str">
        <v>PURCHASE_SIP</v>
      </c>
      <c r="O828" s="5">
        <v>0</v>
      </c>
    </row>
    <row r="829" spans="1:15" ht="17" x14ac:dyDescent="0.2">
      <c r="A829" s="5" t="str">
        <v>ICICI Prudential Mutual Fund</v>
      </c>
      <c r="B829" s="5" t="str">
        <v>AAAA9993</v>
      </c>
      <c r="C829" s="5" t="str">
        <v>AAAAA1111A</v>
      </c>
      <c r="D829" s="6" t="str">
        <v>ICICI Pru Equity &amp; Debt Fund - Direct Growth</v>
      </c>
      <c r="E829" s="6" t="str">
        <v>DIRECT</v>
      </c>
      <c r="F829" s="6" t="str">
        <v>CAMS</v>
      </c>
      <c r="G829" s="6">
        <v>120664</v>
      </c>
      <c r="H829" s="6">
        <v>42666</v>
      </c>
      <c r="I829" s="6" t="str">
        <v>STAMP DUTY</v>
      </c>
      <c r="J829" s="5">
        <v>2.5</v>
      </c>
      <c r="K829" s="5">
        <v>0</v>
      </c>
      <c r="L829" s="5">
        <v>0</v>
      </c>
      <c r="M829" s="5">
        <v>12470.96</v>
      </c>
      <c r="N829" s="5" t="str">
        <v>STAMP_DUTY</v>
      </c>
      <c r="O829" s="5">
        <v>0</v>
      </c>
    </row>
    <row r="830" spans="1:15" ht="17" x14ac:dyDescent="0.2">
      <c r="A830" s="5" t="str">
        <v>ICICI Prudential Mutual Fund</v>
      </c>
      <c r="B830" s="5" t="str">
        <v>AAAA9993</v>
      </c>
      <c r="C830" s="5" t="str">
        <v>AAAAA1111A</v>
      </c>
      <c r="D830" s="6" t="str">
        <v>ICICI Pru Equity &amp; Debt Fund - Direct Growth</v>
      </c>
      <c r="E830" s="6" t="str">
        <v>DIRECT</v>
      </c>
      <c r="F830" s="6" t="str">
        <v>CAMS</v>
      </c>
      <c r="G830" s="6">
        <v>120664</v>
      </c>
      <c r="H830" s="6">
        <v>42696</v>
      </c>
      <c r="I830" s="6" t="str">
        <v>Purchase - SIP</v>
      </c>
      <c r="J830" s="5">
        <v>5000</v>
      </c>
      <c r="K830" s="5">
        <v>210.917</v>
      </c>
      <c r="L830" s="5">
        <v>23.706</v>
      </c>
      <c r="M830" s="5">
        <v>12681.878000000001</v>
      </c>
      <c r="N830" s="5" t="str">
        <v>PURCHASE_SIP</v>
      </c>
      <c r="O830" s="5">
        <v>0</v>
      </c>
    </row>
    <row r="831" spans="1:15" ht="17" x14ac:dyDescent="0.2">
      <c r="A831" s="5" t="str">
        <v>ICICI Prudential Mutual Fund</v>
      </c>
      <c r="B831" s="5" t="str">
        <v>AAAA9993</v>
      </c>
      <c r="C831" s="5" t="str">
        <v>AAAAA1111A</v>
      </c>
      <c r="D831" s="6" t="str">
        <v>ICICI Pru Equity &amp; Debt Fund - Direct Growth</v>
      </c>
      <c r="E831" s="6" t="str">
        <v>DIRECT</v>
      </c>
      <c r="F831" s="6" t="str">
        <v>CAMS</v>
      </c>
      <c r="G831" s="6">
        <v>120664</v>
      </c>
      <c r="H831" s="6">
        <v>42726</v>
      </c>
      <c r="I831" s="6" t="str">
        <v>Purchase - SIP</v>
      </c>
      <c r="J831" s="5">
        <v>5000</v>
      </c>
      <c r="K831" s="5">
        <v>207.958</v>
      </c>
      <c r="L831" s="5">
        <v>24.043299999999999</v>
      </c>
      <c r="M831" s="5">
        <v>12889.835999999999</v>
      </c>
      <c r="N831" s="5" t="str">
        <v>PURCHASE_SIP</v>
      </c>
      <c r="O831" s="5">
        <v>0</v>
      </c>
    </row>
    <row r="832" spans="1:15" ht="17" x14ac:dyDescent="0.2">
      <c r="A832" s="5" t="str">
        <v>ICICI Prudential Mutual Fund</v>
      </c>
      <c r="B832" s="5" t="str">
        <v>AAAA9993</v>
      </c>
      <c r="C832" s="5" t="str">
        <v>AAAAA1111A</v>
      </c>
      <c r="D832" s="6" t="str">
        <v>ICICI Pru Equity &amp; Debt Fund - Direct Growth</v>
      </c>
      <c r="E832" s="6" t="str">
        <v>DIRECT</v>
      </c>
      <c r="F832" s="6" t="str">
        <v>CAMS</v>
      </c>
      <c r="G832" s="6">
        <v>120664</v>
      </c>
      <c r="H832" s="6">
        <v>42726</v>
      </c>
      <c r="I832" s="6" t="str">
        <v>Dividend Paid</v>
      </c>
      <c r="J832" s="5">
        <v>6444.92</v>
      </c>
      <c r="K832" s="5">
        <v>0</v>
      </c>
      <c r="L832" s="5">
        <v>0</v>
      </c>
      <c r="M832" s="5">
        <v>12889.835999999999</v>
      </c>
      <c r="N832" s="5" t="str">
        <v>DIVIDEND_PAYOUT</v>
      </c>
      <c r="O832" s="5">
        <v>6444.92</v>
      </c>
    </row>
    <row r="833" spans="1:15" ht="17" x14ac:dyDescent="0.2">
      <c r="A833" s="5" t="str">
        <v>ICICI Prudential Mutual Fund</v>
      </c>
      <c r="B833" s="5" t="str">
        <v>AAAA9993</v>
      </c>
      <c r="C833" s="5" t="str">
        <v>AAAAA1111A</v>
      </c>
      <c r="D833" s="6" t="str">
        <v>ICICI Pru Equity &amp; Debt Fund - Direct Growth</v>
      </c>
      <c r="E833" s="6" t="str">
        <v>DIRECT</v>
      </c>
      <c r="F833" s="6" t="str">
        <v>CAMS</v>
      </c>
      <c r="G833" s="6">
        <v>120664</v>
      </c>
      <c r="H833" s="6">
        <v>42726</v>
      </c>
      <c r="I833" s="6" t="str">
        <v>Redemption</v>
      </c>
      <c r="J833" s="5">
        <v>-61982.91</v>
      </c>
      <c r="K833" s="5">
        <v>-2577.9670000000001</v>
      </c>
      <c r="L833" s="5">
        <v>24.043299999999999</v>
      </c>
      <c r="M833" s="5">
        <v>10311.868</v>
      </c>
      <c r="N833" s="5" t="str">
        <v>REDEMPTION</v>
      </c>
      <c r="O833" s="5">
        <v>0</v>
      </c>
    </row>
    <row r="834" spans="1:15" ht="17" x14ac:dyDescent="0.2">
      <c r="A834" s="5" t="str">
        <v>ICICI Prudential Mutual Fund</v>
      </c>
      <c r="B834" s="5" t="str">
        <v>AAAA9993</v>
      </c>
      <c r="C834" s="5" t="str">
        <v>AAAAA1111A</v>
      </c>
      <c r="D834" s="6" t="str">
        <v>ICICI Pru Equity &amp; Debt Fund - Direct Growth</v>
      </c>
      <c r="E834" s="6" t="str">
        <v>DIRECT</v>
      </c>
      <c r="F834" s="6" t="str">
        <v>CAMS</v>
      </c>
      <c r="G834" s="6">
        <v>120664</v>
      </c>
      <c r="H834" s="6">
        <v>42756</v>
      </c>
      <c r="I834" s="6" t="str">
        <v>Purchase - SIP</v>
      </c>
      <c r="J834" s="5">
        <v>5000</v>
      </c>
      <c r="K834" s="5">
        <v>210.07599999999999</v>
      </c>
      <c r="L834" s="5">
        <v>23.800999999999998</v>
      </c>
      <c r="M834" s="5">
        <v>10521.944</v>
      </c>
      <c r="N834" s="5" t="str">
        <v>PURCHASE_SIP</v>
      </c>
      <c r="O834" s="5">
        <v>0</v>
      </c>
    </row>
    <row r="835" spans="1:15" ht="17" x14ac:dyDescent="0.2">
      <c r="A835" s="5" t="str">
        <v>ICICI Prudential Mutual Fund</v>
      </c>
      <c r="B835" s="5" t="str">
        <v>AAAA9993</v>
      </c>
      <c r="C835" s="5" t="str">
        <v>AAAAA1111A</v>
      </c>
      <c r="D835" s="6" t="str">
        <v>ICICI Pru Equity &amp; Debt Fund - Direct Growth</v>
      </c>
      <c r="E835" s="6" t="str">
        <v>DIRECT</v>
      </c>
      <c r="F835" s="6" t="str">
        <v>CAMS</v>
      </c>
      <c r="G835" s="6">
        <v>120664</v>
      </c>
      <c r="H835" s="6">
        <v>42786</v>
      </c>
      <c r="I835" s="6" t="str">
        <v>Purchase - SIP</v>
      </c>
      <c r="J835" s="5">
        <v>5000</v>
      </c>
      <c r="K835" s="5">
        <v>207.476</v>
      </c>
      <c r="L835" s="5">
        <v>24.0992</v>
      </c>
      <c r="M835" s="5">
        <v>10729.42</v>
      </c>
      <c r="N835" s="5" t="str">
        <v>PURCHASE_SIP</v>
      </c>
      <c r="O835" s="5">
        <v>0</v>
      </c>
    </row>
    <row r="836" spans="1:15" ht="17" x14ac:dyDescent="0.2">
      <c r="A836" s="5" t="str">
        <v>ICICI Prudential Mutual Fund</v>
      </c>
      <c r="B836" s="5" t="str">
        <v>AAAA9993</v>
      </c>
      <c r="C836" s="5" t="str">
        <v>AAAAA1111A</v>
      </c>
      <c r="D836" s="6" t="str">
        <v>ICICI Pru Equity &amp; Debt Fund - Direct Growth</v>
      </c>
      <c r="E836" s="6" t="str">
        <v>DIRECT</v>
      </c>
      <c r="F836" s="6" t="str">
        <v>CAMS</v>
      </c>
      <c r="G836" s="6">
        <v>120664</v>
      </c>
      <c r="H836" s="6">
        <v>42786</v>
      </c>
      <c r="I836" s="6" t="str">
        <v>Dividend Paid</v>
      </c>
      <c r="J836" s="5">
        <v>5364.71</v>
      </c>
      <c r="K836" s="5">
        <v>0</v>
      </c>
      <c r="L836" s="5">
        <v>0</v>
      </c>
      <c r="M836" s="5">
        <v>10729.42</v>
      </c>
      <c r="N836" s="5" t="str">
        <v>DIVIDEND_PAYOUT</v>
      </c>
      <c r="O836" s="5">
        <v>5364.71</v>
      </c>
    </row>
    <row r="837" spans="1:15" ht="17" x14ac:dyDescent="0.2">
      <c r="A837" s="5" t="str">
        <v>ICICI Prudential Mutual Fund</v>
      </c>
      <c r="B837" s="5" t="str">
        <v>AAAA9993</v>
      </c>
      <c r="C837" s="5" t="str">
        <v>AAAAA1111A</v>
      </c>
      <c r="D837" s="6" t="str">
        <v>ICICI Pru Equity &amp; Debt Fund - Direct Growth</v>
      </c>
      <c r="E837" s="6" t="str">
        <v>DIRECT</v>
      </c>
      <c r="F837" s="6" t="str">
        <v>CAMS</v>
      </c>
      <c r="G837" s="6">
        <v>120664</v>
      </c>
      <c r="H837" s="6">
        <v>42816</v>
      </c>
      <c r="I837" s="6" t="str">
        <v>Purchase - SIP</v>
      </c>
      <c r="J837" s="5">
        <v>5000</v>
      </c>
      <c r="K837" s="5">
        <v>202.49199999999999</v>
      </c>
      <c r="L837" s="5">
        <v>24.692299999999999</v>
      </c>
      <c r="M837" s="5">
        <v>10931.912</v>
      </c>
      <c r="N837" s="5" t="str">
        <v>PURCHASE_SIP</v>
      </c>
      <c r="O837" s="5">
        <v>0</v>
      </c>
    </row>
    <row r="838" spans="1:15" ht="17" x14ac:dyDescent="0.2">
      <c r="A838" s="5" t="str">
        <v>ICICI Prudential Mutual Fund</v>
      </c>
      <c r="B838" s="5" t="str">
        <v>AAAA9993</v>
      </c>
      <c r="C838" s="5" t="str">
        <v>AAAAA1111A</v>
      </c>
      <c r="D838" s="6" t="str">
        <v>ICICI Pru Equity &amp; Debt Fund - Direct Growth</v>
      </c>
      <c r="E838" s="6" t="str">
        <v>DIRECT</v>
      </c>
      <c r="F838" s="6" t="str">
        <v>CAMS</v>
      </c>
      <c r="G838" s="6">
        <v>120664</v>
      </c>
      <c r="H838" s="6">
        <v>42816</v>
      </c>
      <c r="I838" s="6" t="str">
        <v>STT TAX</v>
      </c>
      <c r="J838" s="5">
        <v>2.5</v>
      </c>
      <c r="K838" s="5">
        <v>0</v>
      </c>
      <c r="L838" s="5">
        <v>0</v>
      </c>
      <c r="M838" s="5">
        <v>10931.912</v>
      </c>
      <c r="N838" s="5" t="str">
        <v>STT_TAX</v>
      </c>
      <c r="O838" s="5">
        <v>0</v>
      </c>
    </row>
    <row r="839" spans="1:15" ht="17" x14ac:dyDescent="0.2">
      <c r="A839" s="5" t="str">
        <v>ICICI Prudential Mutual Fund</v>
      </c>
      <c r="B839" s="5" t="str">
        <v>AAAA9993</v>
      </c>
      <c r="C839" s="5" t="str">
        <v>AAAAA1111A</v>
      </c>
      <c r="D839" s="6" t="str">
        <v>ICICI Pru Equity &amp; Debt Fund - Direct Growth</v>
      </c>
      <c r="E839" s="6" t="str">
        <v>DIRECT</v>
      </c>
      <c r="F839" s="6" t="str">
        <v>CAMS</v>
      </c>
      <c r="G839" s="6">
        <v>120664</v>
      </c>
      <c r="H839" s="6">
        <v>42846</v>
      </c>
      <c r="I839" s="6" t="str">
        <v>Purchase - SIP</v>
      </c>
      <c r="J839" s="5">
        <v>5000</v>
      </c>
      <c r="K839" s="5">
        <v>204.45699999999999</v>
      </c>
      <c r="L839" s="5">
        <v>24.455100000000002</v>
      </c>
      <c r="M839" s="5">
        <v>11136.369000000001</v>
      </c>
      <c r="N839" s="5" t="str">
        <v>PURCHASE_SIP</v>
      </c>
      <c r="O839" s="5">
        <v>0</v>
      </c>
    </row>
    <row r="840" spans="1:15" ht="17" x14ac:dyDescent="0.2">
      <c r="A840" s="5" t="str">
        <v>ICICI Prudential Mutual Fund</v>
      </c>
      <c r="B840" s="5" t="str">
        <v>AAAA9993</v>
      </c>
      <c r="C840" s="5" t="str">
        <v>AAAAA1111A</v>
      </c>
      <c r="D840" s="6" t="str">
        <v>ICICI Pru Equity &amp; Debt Fund - Direct Growth</v>
      </c>
      <c r="E840" s="6" t="str">
        <v>DIRECT</v>
      </c>
      <c r="F840" s="6" t="str">
        <v>CAMS</v>
      </c>
      <c r="G840" s="6">
        <v>120664</v>
      </c>
      <c r="H840" s="6">
        <v>42846</v>
      </c>
      <c r="I840" s="6" t="str">
        <v>STAMP DUTY</v>
      </c>
      <c r="J840" s="5">
        <v>2.5</v>
      </c>
      <c r="K840" s="5">
        <v>0</v>
      </c>
      <c r="L840" s="5">
        <v>0</v>
      </c>
      <c r="M840" s="5">
        <v>11136.369000000001</v>
      </c>
      <c r="N840" s="5" t="str">
        <v>STAMP_DUTY</v>
      </c>
      <c r="O840" s="5">
        <v>0</v>
      </c>
    </row>
    <row r="841" spans="1:15" ht="17" x14ac:dyDescent="0.2">
      <c r="A841" s="5" t="str">
        <v>ICICI Prudential Mutual Fund</v>
      </c>
      <c r="B841" s="5" t="str">
        <v>AAAA9993</v>
      </c>
      <c r="C841" s="5" t="str">
        <v>AAAAA1111A</v>
      </c>
      <c r="D841" s="6" t="str">
        <v>ICICI Pru Equity &amp; Debt Fund - Direct Growth</v>
      </c>
      <c r="E841" s="6" t="str">
        <v>DIRECT</v>
      </c>
      <c r="F841" s="6" t="str">
        <v>CAMS</v>
      </c>
      <c r="G841" s="6">
        <v>120664</v>
      </c>
      <c r="H841" s="6">
        <v>42846</v>
      </c>
      <c r="I841" s="6" t="str">
        <v>Dividend Paid</v>
      </c>
      <c r="J841" s="5">
        <v>5568.18</v>
      </c>
      <c r="K841" s="5">
        <v>0</v>
      </c>
      <c r="L841" s="5">
        <v>0</v>
      </c>
      <c r="M841" s="5">
        <v>11136.369000000001</v>
      </c>
      <c r="N841" s="5" t="str">
        <v>DIVIDEND_PAYOUT</v>
      </c>
      <c r="O841" s="5">
        <v>5568.18</v>
      </c>
    </row>
    <row r="842" spans="1:15" ht="17" x14ac:dyDescent="0.2">
      <c r="A842" s="5" t="str">
        <v>ICICI Prudential Mutual Fund</v>
      </c>
      <c r="B842" s="5" t="str">
        <v>AAAA9993</v>
      </c>
      <c r="C842" s="5" t="str">
        <v>AAAAA1111A</v>
      </c>
      <c r="D842" s="6" t="str">
        <v>ICICI Pru Equity &amp; Debt Fund - Direct Growth</v>
      </c>
      <c r="E842" s="6" t="str">
        <v>DIRECT</v>
      </c>
      <c r="F842" s="6" t="str">
        <v>CAMS</v>
      </c>
      <c r="G842" s="6">
        <v>120664</v>
      </c>
      <c r="H842" s="6">
        <v>42876</v>
      </c>
      <c r="I842" s="6" t="str">
        <v>Purchase - SIP</v>
      </c>
      <c r="J842" s="5">
        <v>5000</v>
      </c>
      <c r="K842" s="5">
        <v>204.30099999999999</v>
      </c>
      <c r="L842" s="5">
        <v>24.473700000000001</v>
      </c>
      <c r="M842" s="5">
        <v>11340.67</v>
      </c>
      <c r="N842" s="5" t="str">
        <v>PURCHASE_SIP</v>
      </c>
      <c r="O842" s="5">
        <v>0</v>
      </c>
    </row>
    <row r="843" spans="1:15" ht="17" x14ac:dyDescent="0.2">
      <c r="A843" s="5" t="str">
        <v>ICICI Prudential Mutual Fund</v>
      </c>
      <c r="B843" s="5" t="str">
        <v>AAAA9993</v>
      </c>
      <c r="C843" s="5" t="str">
        <v>AAAAA1111A</v>
      </c>
      <c r="D843" s="6" t="str">
        <v>ICICI Pru Equity &amp; Debt Fund - Direct Growth</v>
      </c>
      <c r="E843" s="6" t="str">
        <v>DIRECT</v>
      </c>
      <c r="F843" s="6" t="str">
        <v>CAMS</v>
      </c>
      <c r="G843" s="6">
        <v>120664</v>
      </c>
      <c r="H843" s="6">
        <v>42906</v>
      </c>
      <c r="I843" s="6" t="str">
        <v>Purchase - SIP</v>
      </c>
      <c r="J843" s="5">
        <v>5000</v>
      </c>
      <c r="K843" s="5">
        <v>208.25299999999999</v>
      </c>
      <c r="L843" s="5">
        <v>24.0093</v>
      </c>
      <c r="M843" s="5">
        <v>11548.923000000001</v>
      </c>
      <c r="N843" s="5" t="str">
        <v>PURCHASE_SIP</v>
      </c>
      <c r="O843" s="5">
        <v>0</v>
      </c>
    </row>
    <row r="844" spans="1:15" ht="17" x14ac:dyDescent="0.2">
      <c r="A844" s="5" t="str">
        <v>ICICI Prudential Mutual Fund</v>
      </c>
      <c r="B844" s="5" t="str">
        <v>AAAA9993</v>
      </c>
      <c r="C844" s="5" t="str">
        <v>AAAAA1111A</v>
      </c>
      <c r="D844" s="6" t="str">
        <v>ICICI Pru Equity &amp; Debt Fund - Direct Growth</v>
      </c>
      <c r="E844" s="6" t="str">
        <v>DIRECT</v>
      </c>
      <c r="F844" s="6" t="str">
        <v>CAMS</v>
      </c>
      <c r="G844" s="6">
        <v>120664</v>
      </c>
      <c r="H844" s="6">
        <v>42936</v>
      </c>
      <c r="I844" s="6" t="str">
        <v>Purchase - SIP</v>
      </c>
      <c r="J844" s="5">
        <v>5000</v>
      </c>
      <c r="K844" s="5">
        <v>209.17400000000001</v>
      </c>
      <c r="L844" s="5">
        <v>23.903600000000001</v>
      </c>
      <c r="M844" s="5">
        <v>11758.096</v>
      </c>
      <c r="N844" s="5" t="str">
        <v>PURCHASE_SIP</v>
      </c>
      <c r="O844" s="5">
        <v>0</v>
      </c>
    </row>
    <row r="845" spans="1:15" ht="17" x14ac:dyDescent="0.2">
      <c r="A845" s="5" t="str">
        <v>ICICI Prudential Mutual Fund</v>
      </c>
      <c r="B845" s="5" t="str">
        <v>AAAA9993</v>
      </c>
      <c r="C845" s="5" t="str">
        <v>AAAAA1111A</v>
      </c>
      <c r="D845" s="6" t="str">
        <v>ICICI Pru Equity &amp; Debt Fund - Direct Growth</v>
      </c>
      <c r="E845" s="6" t="str">
        <v>DIRECT</v>
      </c>
      <c r="F845" s="6" t="str">
        <v>CAMS</v>
      </c>
      <c r="G845" s="6">
        <v>120664</v>
      </c>
      <c r="H845" s="6">
        <v>42966</v>
      </c>
      <c r="I845" s="6" t="str">
        <v>Purchase - SIP</v>
      </c>
      <c r="J845" s="5">
        <v>5000</v>
      </c>
      <c r="K845" s="5">
        <v>205.196</v>
      </c>
      <c r="L845" s="5">
        <v>24.366900000000001</v>
      </c>
      <c r="M845" s="5">
        <v>11963.293</v>
      </c>
      <c r="N845" s="5" t="str">
        <v>PURCHASE_SIP</v>
      </c>
      <c r="O845" s="5">
        <v>0</v>
      </c>
    </row>
    <row r="846" spans="1:15" ht="17" x14ac:dyDescent="0.2">
      <c r="A846" s="5" t="str">
        <v>ICICI Prudential Mutual Fund</v>
      </c>
      <c r="B846" s="5" t="str">
        <v>AAAA9993</v>
      </c>
      <c r="C846" s="5" t="str">
        <v>AAAAA1111A</v>
      </c>
      <c r="D846" s="6" t="str">
        <v>ICICI Pru Equity &amp; Debt Fund - Direct Growth</v>
      </c>
      <c r="E846" s="6" t="str">
        <v>DIRECT</v>
      </c>
      <c r="F846" s="6" t="str">
        <v>CAMS</v>
      </c>
      <c r="G846" s="6">
        <v>120664</v>
      </c>
      <c r="H846" s="6">
        <v>42996</v>
      </c>
      <c r="I846" s="6" t="str">
        <v>Purchase - SIP</v>
      </c>
      <c r="J846" s="5">
        <v>5000</v>
      </c>
      <c r="K846" s="5">
        <v>208.42599999999999</v>
      </c>
      <c r="L846" s="5">
        <v>23.9893</v>
      </c>
      <c r="M846" s="5">
        <v>12171.718999999999</v>
      </c>
      <c r="N846" s="5" t="str">
        <v>PURCHASE_SIP</v>
      </c>
      <c r="O846" s="5">
        <v>0</v>
      </c>
    </row>
    <row r="847" spans="1:15" ht="17" x14ac:dyDescent="0.2">
      <c r="A847" s="5" t="str">
        <v>ICICI Prudential Mutual Fund</v>
      </c>
      <c r="B847" s="5" t="str">
        <v>AAAA9993</v>
      </c>
      <c r="C847" s="5" t="str">
        <v>AAAAA1111A</v>
      </c>
      <c r="D847" s="6" t="str">
        <v>ICICI Pru Equity &amp; Debt Fund - Direct Growth</v>
      </c>
      <c r="E847" s="6" t="str">
        <v>DIRECT</v>
      </c>
      <c r="F847" s="6" t="str">
        <v>CAMS</v>
      </c>
      <c r="G847" s="6">
        <v>120664</v>
      </c>
      <c r="H847" s="6">
        <v>43026</v>
      </c>
      <c r="I847" s="6" t="str">
        <v>Purchase - SIP</v>
      </c>
      <c r="J847" s="5">
        <v>5000</v>
      </c>
      <c r="K847" s="5">
        <v>206.54</v>
      </c>
      <c r="L847" s="5">
        <v>24.208300000000001</v>
      </c>
      <c r="M847" s="5">
        <v>12378.26</v>
      </c>
      <c r="N847" s="5" t="str">
        <v>PURCHASE_SIP</v>
      </c>
      <c r="O847" s="5">
        <v>0</v>
      </c>
    </row>
    <row r="848" spans="1:15" ht="17" x14ac:dyDescent="0.2">
      <c r="A848" s="5" t="str">
        <v>ICICI Prudential Mutual Fund</v>
      </c>
      <c r="B848" s="5" t="str">
        <v>AAAA9993</v>
      </c>
      <c r="C848" s="5" t="str">
        <v>AAAAA1111A</v>
      </c>
      <c r="D848" s="6" t="str">
        <v>ICICI Pru Equity &amp; Debt Fund - Direct Growth</v>
      </c>
      <c r="E848" s="6" t="str">
        <v>DIRECT</v>
      </c>
      <c r="F848" s="6" t="str">
        <v>CAMS</v>
      </c>
      <c r="G848" s="6">
        <v>120664</v>
      </c>
      <c r="H848" s="6">
        <v>43056</v>
      </c>
      <c r="I848" s="6" t="str">
        <v>Purchase - SIP</v>
      </c>
      <c r="J848" s="5">
        <v>5000</v>
      </c>
      <c r="K848" s="5">
        <v>206.78299999999999</v>
      </c>
      <c r="L848" s="5">
        <v>24.1799</v>
      </c>
      <c r="M848" s="5">
        <v>12585.043</v>
      </c>
      <c r="N848" s="5" t="str">
        <v>PURCHASE_SIP</v>
      </c>
      <c r="O848" s="5">
        <v>0</v>
      </c>
    </row>
    <row r="849" spans="1:15" ht="17" x14ac:dyDescent="0.2">
      <c r="A849" s="5" t="str">
        <v>ICICI Prudential Mutual Fund</v>
      </c>
      <c r="B849" s="5" t="str">
        <v>AAAA9993</v>
      </c>
      <c r="C849" s="5" t="str">
        <v>AAAAA1111A</v>
      </c>
      <c r="D849" s="6" t="str">
        <v>ICICI Pru Equity &amp; Debt Fund - Direct Growth</v>
      </c>
      <c r="E849" s="6" t="str">
        <v>DIRECT</v>
      </c>
      <c r="F849" s="6" t="str">
        <v>CAMS</v>
      </c>
      <c r="G849" s="6">
        <v>120664</v>
      </c>
      <c r="H849" s="6">
        <v>43056</v>
      </c>
      <c r="I849" s="6" t="str">
        <v>Redemption</v>
      </c>
      <c r="J849" s="5">
        <v>-60861.07</v>
      </c>
      <c r="K849" s="5">
        <v>-2517.009</v>
      </c>
      <c r="L849" s="5">
        <v>24.1799</v>
      </c>
      <c r="M849" s="5">
        <v>10068.034</v>
      </c>
      <c r="N849" s="5" t="str">
        <v>REDEMPTION</v>
      </c>
      <c r="O849" s="5">
        <v>0</v>
      </c>
    </row>
    <row r="850" spans="1:15" ht="17" x14ac:dyDescent="0.2">
      <c r="A850" s="5" t="str">
        <v>ICICI Prudential Mutual Fund</v>
      </c>
      <c r="B850" s="5" t="str">
        <v>AAAA9993</v>
      </c>
      <c r="C850" s="5" t="str">
        <v>AAAAA1111A</v>
      </c>
      <c r="D850" s="6" t="str">
        <v>ICICI Pru Equity &amp; Debt Fund - Direct Growth</v>
      </c>
      <c r="E850" s="6" t="str">
        <v>DIRECT</v>
      </c>
      <c r="F850" s="6" t="str">
        <v>CAMS</v>
      </c>
      <c r="G850" s="6">
        <v>120664</v>
      </c>
      <c r="H850" s="6">
        <v>43086</v>
      </c>
      <c r="I850" s="6" t="str">
        <v>Purchase - SIP</v>
      </c>
      <c r="J850" s="5">
        <v>5000</v>
      </c>
      <c r="K850" s="5">
        <v>201.09100000000001</v>
      </c>
      <c r="L850" s="5">
        <v>24.8644</v>
      </c>
      <c r="M850" s="5">
        <v>10269.125</v>
      </c>
      <c r="N850" s="5" t="str">
        <v>PURCHASE_SIP</v>
      </c>
      <c r="O850" s="5">
        <v>0</v>
      </c>
    </row>
    <row r="851" spans="1:15" ht="17" x14ac:dyDescent="0.2">
      <c r="A851" s="5" t="str">
        <v>ICICI Prudential Mutual Fund</v>
      </c>
      <c r="B851" s="5" t="str">
        <v>AAAA9993</v>
      </c>
      <c r="C851" s="5" t="str">
        <v>AAAAA1111A</v>
      </c>
      <c r="D851" s="6" t="str">
        <v>ICICI Pru Equity &amp; Debt Fund - Direct Growth</v>
      </c>
      <c r="E851" s="6" t="str">
        <v>DIRECT</v>
      </c>
      <c r="F851" s="6" t="str">
        <v>CAMS</v>
      </c>
      <c r="G851" s="6">
        <v>120664</v>
      </c>
      <c r="H851" s="6">
        <v>43116</v>
      </c>
      <c r="I851" s="6" t="str">
        <v>Purchase - SIP</v>
      </c>
      <c r="J851" s="5">
        <v>5000</v>
      </c>
      <c r="K851" s="5">
        <v>198.25200000000001</v>
      </c>
      <c r="L851" s="5">
        <v>25.220400000000001</v>
      </c>
      <c r="M851" s="5">
        <v>10467.377</v>
      </c>
      <c r="N851" s="5" t="str">
        <v>PURCHASE_SIP</v>
      </c>
      <c r="O851" s="5">
        <v>0</v>
      </c>
    </row>
    <row r="852" spans="1:15" ht="17" x14ac:dyDescent="0.2">
      <c r="A852" s="5" t="str">
        <v>ICICI Prudential Mutual Fund</v>
      </c>
      <c r="B852" s="5" t="str">
        <v>AAAA9993</v>
      </c>
      <c r="C852" s="5" t="str">
        <v>AAAAA1111A</v>
      </c>
      <c r="D852" s="6" t="str">
        <v>ICICI Pru Equity &amp; Debt Fund - Direct Growth</v>
      </c>
      <c r="E852" s="6" t="str">
        <v>DIRECT</v>
      </c>
      <c r="F852" s="6" t="str">
        <v>CAMS</v>
      </c>
      <c r="G852" s="6">
        <v>120664</v>
      </c>
      <c r="H852" s="6">
        <v>43116</v>
      </c>
      <c r="I852" s="6" t="str">
        <v>STAMP DUTY</v>
      </c>
      <c r="J852" s="5">
        <v>2.5</v>
      </c>
      <c r="K852" s="5">
        <v>0</v>
      </c>
      <c r="L852" s="5">
        <v>0</v>
      </c>
      <c r="M852" s="5">
        <v>10467.377</v>
      </c>
      <c r="N852" s="5" t="str">
        <v>STAMP_DUTY</v>
      </c>
      <c r="O852" s="5">
        <v>0</v>
      </c>
    </row>
    <row r="853" spans="1:15" ht="17" x14ac:dyDescent="0.2">
      <c r="A853" s="5" t="str">
        <v>ICICI Prudential Mutual Fund</v>
      </c>
      <c r="B853" s="5" t="str">
        <v>AAAA9993</v>
      </c>
      <c r="C853" s="5" t="str">
        <v>AAAAA1111A</v>
      </c>
      <c r="D853" s="6" t="str">
        <v>ICICI Pru Equity &amp; Debt Fund - Direct Growth</v>
      </c>
      <c r="E853" s="6" t="str">
        <v>DIRECT</v>
      </c>
      <c r="F853" s="6" t="str">
        <v>CAMS</v>
      </c>
      <c r="G853" s="6">
        <v>120664</v>
      </c>
      <c r="H853" s="6">
        <v>43146</v>
      </c>
      <c r="I853" s="6" t="str">
        <v>Purchase - SIP</v>
      </c>
      <c r="J853" s="5">
        <v>5000</v>
      </c>
      <c r="K853" s="5">
        <v>200.001</v>
      </c>
      <c r="L853" s="5">
        <v>24.9999</v>
      </c>
      <c r="M853" s="5">
        <v>10667.378000000001</v>
      </c>
      <c r="N853" s="5" t="str">
        <v>PURCHASE_SIP</v>
      </c>
      <c r="O853" s="5">
        <v>0</v>
      </c>
    </row>
    <row r="854" spans="1:15" ht="17" x14ac:dyDescent="0.2">
      <c r="A854" s="5" t="str">
        <v>ICICI Prudential Mutual Fund</v>
      </c>
      <c r="B854" s="5" t="str">
        <v>AAAA9993</v>
      </c>
      <c r="C854" s="5" t="str">
        <v>AAAAA1111A</v>
      </c>
      <c r="D854" s="6" t="str">
        <v>ICICI Pru Equity &amp; Debt Fund - Direct Growth</v>
      </c>
      <c r="E854" s="6" t="str">
        <v>DIRECT</v>
      </c>
      <c r="F854" s="6" t="str">
        <v>CAMS</v>
      </c>
      <c r="G854" s="6">
        <v>120664</v>
      </c>
      <c r="H854" s="6">
        <v>43176</v>
      </c>
      <c r="I854" s="6" t="str">
        <v>Purchase - SIP</v>
      </c>
      <c r="J854" s="5">
        <v>5000</v>
      </c>
      <c r="K854" s="5">
        <v>200.75</v>
      </c>
      <c r="L854" s="5">
        <v>24.906600000000001</v>
      </c>
      <c r="M854" s="5">
        <v>10868.128000000001</v>
      </c>
      <c r="N854" s="5" t="str">
        <v>PURCHASE_SIP</v>
      </c>
      <c r="O854" s="5">
        <v>0</v>
      </c>
    </row>
    <row r="855" spans="1:15" ht="17" x14ac:dyDescent="0.2">
      <c r="A855" s="5" t="str">
        <v>ICICI Prudential Mutual Fund</v>
      </c>
      <c r="B855" s="5" t="str">
        <v>AAAA9993</v>
      </c>
      <c r="C855" s="5" t="str">
        <v>AAAAA1111A</v>
      </c>
      <c r="D855" s="6" t="str">
        <v>ICICI Pru Equity &amp; Debt Fund - Direct Growth</v>
      </c>
      <c r="E855" s="6" t="str">
        <v>DIRECT</v>
      </c>
      <c r="F855" s="6" t="str">
        <v>CAMS</v>
      </c>
      <c r="G855" s="6">
        <v>120664</v>
      </c>
      <c r="H855" s="6">
        <v>43176</v>
      </c>
      <c r="I855" s="6" t="str">
        <v>STT TAX</v>
      </c>
      <c r="J855" s="5">
        <v>2.5</v>
      </c>
      <c r="K855" s="5">
        <v>0</v>
      </c>
      <c r="L855" s="5">
        <v>0</v>
      </c>
      <c r="M855" s="5">
        <v>10868.128000000001</v>
      </c>
      <c r="N855" s="5" t="str">
        <v>STT_TAX</v>
      </c>
      <c r="O855" s="5">
        <v>0</v>
      </c>
    </row>
    <row r="856" spans="1:15" ht="17" x14ac:dyDescent="0.2">
      <c r="A856" s="5" t="str">
        <v>ICICI Prudential Mutual Fund</v>
      </c>
      <c r="B856" s="5" t="str">
        <v>AAAA9993</v>
      </c>
      <c r="C856" s="5" t="str">
        <v>AAAAA1111A</v>
      </c>
      <c r="D856" s="6" t="str">
        <v>ICICI Pru Equity &amp; Debt Fund - Direct Growth</v>
      </c>
      <c r="E856" s="6" t="str">
        <v>DIRECT</v>
      </c>
      <c r="F856" s="6" t="str">
        <v>CAMS</v>
      </c>
      <c r="G856" s="6">
        <v>120664</v>
      </c>
      <c r="H856" s="6">
        <v>43176</v>
      </c>
      <c r="I856" s="6" t="str">
        <v>Dividend Paid</v>
      </c>
      <c r="J856" s="5">
        <v>5434.06</v>
      </c>
      <c r="K856" s="5">
        <v>0</v>
      </c>
      <c r="L856" s="5">
        <v>0</v>
      </c>
      <c r="M856" s="5">
        <v>10868.128000000001</v>
      </c>
      <c r="N856" s="5" t="str">
        <v>DIVIDEND_PAYOUT</v>
      </c>
      <c r="O856" s="5">
        <v>5434.06</v>
      </c>
    </row>
    <row r="857" spans="1:15" ht="17" x14ac:dyDescent="0.2">
      <c r="A857" s="5" t="str">
        <v>ICICI Prudential Mutual Fund</v>
      </c>
      <c r="B857" s="5" t="str">
        <v>AAAA9993</v>
      </c>
      <c r="C857" s="5" t="str">
        <v>AAAAA1111A</v>
      </c>
      <c r="D857" s="6" t="str">
        <v>ICICI Pru Equity &amp; Debt Fund - Direct Growth</v>
      </c>
      <c r="E857" s="6" t="str">
        <v>DIRECT</v>
      </c>
      <c r="F857" s="6" t="str">
        <v>CAMS</v>
      </c>
      <c r="G857" s="6">
        <v>120664</v>
      </c>
      <c r="H857" s="6">
        <v>43206</v>
      </c>
      <c r="I857" s="6" t="str">
        <v>Purchase - SIP</v>
      </c>
      <c r="J857" s="5">
        <v>5000</v>
      </c>
      <c r="K857" s="5">
        <v>199.36099999999999</v>
      </c>
      <c r="L857" s="5">
        <v>25.080100000000002</v>
      </c>
      <c r="M857" s="5">
        <v>11067.489</v>
      </c>
      <c r="N857" s="5" t="str">
        <v>PURCHASE_SIP</v>
      </c>
      <c r="O857" s="5">
        <v>0</v>
      </c>
    </row>
    <row r="858" spans="1:15" ht="17" x14ac:dyDescent="0.2">
      <c r="A858" s="5" t="str">
        <v>ICICI Prudential Mutual Fund</v>
      </c>
      <c r="B858" s="5" t="str">
        <v>AAAA9993</v>
      </c>
      <c r="C858" s="5" t="str">
        <v>AAAAA1111A</v>
      </c>
      <c r="D858" s="6" t="str">
        <v>ICICI Pru Equity &amp; Debt Fund - Direct Growth</v>
      </c>
      <c r="E858" s="6" t="str">
        <v>DIRECT</v>
      </c>
      <c r="F858" s="6" t="str">
        <v>CAMS</v>
      </c>
      <c r="G858" s="6">
        <v>120664</v>
      </c>
      <c r="H858" s="6">
        <v>43236</v>
      </c>
      <c r="I858" s="6" t="str">
        <v>Purchase - SIP</v>
      </c>
      <c r="J858" s="5">
        <v>5000</v>
      </c>
      <c r="K858" s="5">
        <v>198.077</v>
      </c>
      <c r="L858" s="5">
        <v>25.242699999999999</v>
      </c>
      <c r="M858" s="5">
        <v>11265.566000000001</v>
      </c>
      <c r="N858" s="5" t="str">
        <v>PURCHASE_SIP</v>
      </c>
      <c r="O858" s="5">
        <v>0</v>
      </c>
    </row>
    <row r="859" spans="1:15" ht="17" x14ac:dyDescent="0.2">
      <c r="A859" s="5" t="str">
        <v>ICICI Prudential Mutual Fund</v>
      </c>
      <c r="B859" s="5" t="str">
        <v>AAAA9993</v>
      </c>
      <c r="C859" s="5" t="str">
        <v>AAAAA1111A</v>
      </c>
      <c r="D859" s="6" t="str">
        <v>ICICI Pru Equity &amp; Debt Fund - Direct Growth</v>
      </c>
      <c r="E859" s="6" t="str">
        <v>DIRECT</v>
      </c>
      <c r="F859" s="6" t="str">
        <v>CAMS</v>
      </c>
      <c r="G859" s="6">
        <v>120664</v>
      </c>
      <c r="H859" s="6">
        <v>43266</v>
      </c>
      <c r="I859" s="6" t="str">
        <v>Purchase - SIP</v>
      </c>
      <c r="J859" s="5">
        <v>5000</v>
      </c>
      <c r="K859" s="5">
        <v>194.999</v>
      </c>
      <c r="L859" s="5">
        <v>25.641200000000001</v>
      </c>
      <c r="M859" s="5">
        <v>11460.565000000001</v>
      </c>
      <c r="N859" s="5" t="str">
        <v>PURCHASE_SIP</v>
      </c>
      <c r="O859" s="5">
        <v>0</v>
      </c>
    </row>
    <row r="860" spans="1:15" ht="17" x14ac:dyDescent="0.2">
      <c r="A860" s="5" t="str">
        <v>ICICI Prudential Mutual Fund</v>
      </c>
      <c r="B860" s="5" t="str">
        <v>AAAA9993</v>
      </c>
      <c r="C860" s="5" t="str">
        <v>AAAAA1111A</v>
      </c>
      <c r="D860" s="6" t="str">
        <v>ICICI Pru Equity &amp; Debt Fund - Direct Growth</v>
      </c>
      <c r="E860" s="6" t="str">
        <v>DIRECT</v>
      </c>
      <c r="F860" s="6" t="str">
        <v>CAMS</v>
      </c>
      <c r="G860" s="6">
        <v>120664</v>
      </c>
      <c r="H860" s="6">
        <v>43296</v>
      </c>
      <c r="I860" s="6" t="str">
        <v>Purchase - SIP</v>
      </c>
      <c r="J860" s="5">
        <v>5000</v>
      </c>
      <c r="K860" s="5">
        <v>197.03299999999999</v>
      </c>
      <c r="L860" s="5">
        <v>25.3765</v>
      </c>
      <c r="M860" s="5">
        <v>11657.598</v>
      </c>
      <c r="N860" s="5" t="str">
        <v>PURCHASE_SIP</v>
      </c>
      <c r="O860" s="5">
        <v>0</v>
      </c>
    </row>
    <row r="861" spans="1:15" ht="17" x14ac:dyDescent="0.2">
      <c r="A861" s="5" t="str">
        <v>ICICI Prudential Mutual Fund</v>
      </c>
      <c r="B861" s="5" t="str">
        <v>AAAA9993</v>
      </c>
      <c r="C861" s="5" t="str">
        <v>AAAAA1111A</v>
      </c>
      <c r="D861" s="6" t="str">
        <v>ICICI Pru Equity &amp; Debt Fund - Direct Growth</v>
      </c>
      <c r="E861" s="6" t="str">
        <v>DIRECT</v>
      </c>
      <c r="F861" s="6" t="str">
        <v>CAMS</v>
      </c>
      <c r="G861" s="6">
        <v>120664</v>
      </c>
      <c r="H861" s="6">
        <v>43326</v>
      </c>
      <c r="I861" s="6" t="str">
        <v>Purchase - SIP</v>
      </c>
      <c r="J861" s="5">
        <v>5000</v>
      </c>
      <c r="K861" s="5">
        <v>196.36</v>
      </c>
      <c r="L861" s="5">
        <v>25.4634</v>
      </c>
      <c r="M861" s="5">
        <v>11853.958000000001</v>
      </c>
      <c r="N861" s="5" t="str">
        <v>PURCHASE_SIP</v>
      </c>
      <c r="O861" s="5">
        <v>0</v>
      </c>
    </row>
    <row r="862" spans="1:15" ht="17" x14ac:dyDescent="0.2">
      <c r="A862" s="5" t="str">
        <v>ICICI Prudential Mutual Fund</v>
      </c>
      <c r="B862" s="5" t="str">
        <v>AAAA9993</v>
      </c>
      <c r="C862" s="5" t="str">
        <v>AAAAA1111A</v>
      </c>
      <c r="D862" s="6" t="str">
        <v>ICICI Pru Equity &amp; Debt Fund - Direct Growth</v>
      </c>
      <c r="E862" s="6" t="str">
        <v>DIRECT</v>
      </c>
      <c r="F862" s="6" t="str">
        <v>CAMS</v>
      </c>
      <c r="G862" s="6">
        <v>120664</v>
      </c>
      <c r="H862" s="6">
        <v>43356</v>
      </c>
      <c r="I862" s="6" t="str">
        <v>Purchase - SIP</v>
      </c>
      <c r="J862" s="5">
        <v>5000</v>
      </c>
      <c r="K862" s="5">
        <v>195.655</v>
      </c>
      <c r="L862" s="5">
        <v>25.555199999999999</v>
      </c>
      <c r="M862" s="5">
        <v>12049.612999999999</v>
      </c>
      <c r="N862" s="5" t="str">
        <v>PURCHASE_SIP</v>
      </c>
      <c r="O862" s="5">
        <v>0</v>
      </c>
    </row>
    <row r="863" spans="1:15" ht="17" x14ac:dyDescent="0.2">
      <c r="A863" s="5" t="str">
        <v>ICICI Prudential Mutual Fund</v>
      </c>
      <c r="B863" s="5" t="str">
        <v>AAAA9993</v>
      </c>
      <c r="C863" s="5" t="str">
        <v>AAAAA1111A</v>
      </c>
      <c r="D863" s="6" t="str">
        <v>ICICI Pru Equity &amp; Debt Fund - Direct Growth</v>
      </c>
      <c r="E863" s="6" t="str">
        <v>DIRECT</v>
      </c>
      <c r="F863" s="6" t="str">
        <v>CAMS</v>
      </c>
      <c r="G863" s="6">
        <v>120664</v>
      </c>
      <c r="H863" s="6">
        <v>43356</v>
      </c>
      <c r="I863" s="6" t="str">
        <v>STT TAX</v>
      </c>
      <c r="J863" s="5">
        <v>2.5</v>
      </c>
      <c r="K863" s="5">
        <v>0</v>
      </c>
      <c r="L863" s="5">
        <v>0</v>
      </c>
      <c r="M863" s="5">
        <v>12049.612999999999</v>
      </c>
      <c r="N863" s="5" t="str">
        <v>STT_TAX</v>
      </c>
      <c r="O863" s="5">
        <v>0</v>
      </c>
    </row>
    <row r="864" spans="1:15" ht="17" x14ac:dyDescent="0.2">
      <c r="A864" s="5" t="str">
        <v>ICICI Prudential Mutual Fund</v>
      </c>
      <c r="B864" s="5" t="str">
        <v>AAAA9993</v>
      </c>
      <c r="C864" s="5" t="str">
        <v>AAAAA1111A</v>
      </c>
      <c r="D864" s="6" t="str">
        <v>ICICI Pru Equity &amp; Debt Fund - Direct Growth</v>
      </c>
      <c r="E864" s="6" t="str">
        <v>DIRECT</v>
      </c>
      <c r="F864" s="6" t="str">
        <v>CAMS</v>
      </c>
      <c r="G864" s="6">
        <v>120664</v>
      </c>
      <c r="H864" s="6">
        <v>43386</v>
      </c>
      <c r="I864" s="6" t="str">
        <v>Purchase - SIP</v>
      </c>
      <c r="J864" s="5">
        <v>5000</v>
      </c>
      <c r="K864" s="5">
        <v>191.26300000000001</v>
      </c>
      <c r="L864" s="5">
        <v>26.141999999999999</v>
      </c>
      <c r="M864" s="5">
        <v>12240.876</v>
      </c>
      <c r="N864" s="5" t="str">
        <v>PURCHASE_SIP</v>
      </c>
      <c r="O864" s="5">
        <v>0</v>
      </c>
    </row>
    <row r="865" spans="1:15" ht="17" x14ac:dyDescent="0.2">
      <c r="A865" s="5" t="str">
        <v>ICICI Prudential Mutual Fund</v>
      </c>
      <c r="B865" s="5" t="str">
        <v>AAAA9993</v>
      </c>
      <c r="C865" s="5" t="str">
        <v>AAAAA1111A</v>
      </c>
      <c r="D865" s="6" t="str">
        <v>ICICI Pru Equity &amp; Debt Fund - Direct Growth</v>
      </c>
      <c r="E865" s="6" t="str">
        <v>DIRECT</v>
      </c>
      <c r="F865" s="6" t="str">
        <v>CAMS</v>
      </c>
      <c r="G865" s="6">
        <v>120664</v>
      </c>
      <c r="H865" s="6">
        <v>43416</v>
      </c>
      <c r="I865" s="6" t="str">
        <v>Purchase - SIP</v>
      </c>
      <c r="J865" s="5">
        <v>5000</v>
      </c>
      <c r="K865" s="5">
        <v>188.67</v>
      </c>
      <c r="L865" s="5">
        <v>26.501200000000001</v>
      </c>
      <c r="M865" s="5">
        <v>12429.547</v>
      </c>
      <c r="N865" s="5" t="str">
        <v>PURCHASE_SIP</v>
      </c>
      <c r="O865" s="5">
        <v>0</v>
      </c>
    </row>
    <row r="866" spans="1:15" ht="17" x14ac:dyDescent="0.2">
      <c r="A866" s="5" t="str">
        <v>ICICI Prudential Mutual Fund</v>
      </c>
      <c r="B866" s="5" t="str">
        <v>AAAA9993</v>
      </c>
      <c r="C866" s="5" t="str">
        <v>AAAAA1111A</v>
      </c>
      <c r="D866" s="6" t="str">
        <v>ICICI Pru Equity &amp; Debt Fund - Direct Growth</v>
      </c>
      <c r="E866" s="6" t="str">
        <v>DIRECT</v>
      </c>
      <c r="F866" s="6" t="str">
        <v>CAMS</v>
      </c>
      <c r="G866" s="6">
        <v>120664</v>
      </c>
      <c r="H866" s="6">
        <v>43446</v>
      </c>
      <c r="I866" s="6" t="str">
        <v>Purchase - SIP</v>
      </c>
      <c r="J866" s="5">
        <v>5000</v>
      </c>
      <c r="K866" s="5">
        <v>185.41399999999999</v>
      </c>
      <c r="L866" s="5">
        <v>26.966699999999999</v>
      </c>
      <c r="M866" s="5">
        <v>12614.96</v>
      </c>
      <c r="N866" s="5" t="str">
        <v>PURCHASE_SIP</v>
      </c>
      <c r="O866" s="5">
        <v>0</v>
      </c>
    </row>
    <row r="867" spans="1:15" ht="17" x14ac:dyDescent="0.2">
      <c r="A867" s="5" t="str">
        <v>ICICI Prudential Mutual Fund</v>
      </c>
      <c r="B867" s="5" t="str">
        <v>AAAA9993</v>
      </c>
      <c r="C867" s="5" t="str">
        <v>AAAAA1111A</v>
      </c>
      <c r="D867" s="6" t="str">
        <v>ICICI Pru Equity &amp; Debt Fund - Direct Growth</v>
      </c>
      <c r="E867" s="6" t="str">
        <v>DIRECT</v>
      </c>
      <c r="F867" s="6" t="str">
        <v>CAMS</v>
      </c>
      <c r="G867" s="6">
        <v>120664</v>
      </c>
      <c r="H867" s="6">
        <v>43476</v>
      </c>
      <c r="I867" s="6" t="str">
        <v>Purchase - SIP</v>
      </c>
      <c r="J867" s="5">
        <v>5000</v>
      </c>
      <c r="K867" s="5">
        <v>187.25200000000001</v>
      </c>
      <c r="L867" s="5">
        <v>26.702000000000002</v>
      </c>
      <c r="M867" s="5">
        <v>12802.212</v>
      </c>
      <c r="N867" s="5" t="str">
        <v>PURCHASE_SIP</v>
      </c>
      <c r="O867" s="5">
        <v>0</v>
      </c>
    </row>
    <row r="868" spans="1:15" ht="17" x14ac:dyDescent="0.2">
      <c r="A868" s="5" t="str">
        <v>ICICI Prudential Mutual Fund</v>
      </c>
      <c r="B868" s="5" t="str">
        <v>AAAA9993</v>
      </c>
      <c r="C868" s="5" t="str">
        <v>AAAAA1111A</v>
      </c>
      <c r="D868" s="6" t="str">
        <v>ICICI Pru Equity &amp; Debt Fund - Direct Growth</v>
      </c>
      <c r="E868" s="6" t="str">
        <v>DIRECT</v>
      </c>
      <c r="F868" s="6" t="str">
        <v>CAMS</v>
      </c>
      <c r="G868" s="6">
        <v>120664</v>
      </c>
      <c r="H868" s="6">
        <v>43506</v>
      </c>
      <c r="I868" s="6" t="str">
        <v>Purchase - SIP</v>
      </c>
      <c r="J868" s="5">
        <v>5000</v>
      </c>
      <c r="K868" s="5">
        <v>186.22</v>
      </c>
      <c r="L868" s="5">
        <v>26.849900000000002</v>
      </c>
      <c r="M868" s="5">
        <v>12988.432000000001</v>
      </c>
      <c r="N868" s="5" t="str">
        <v>PURCHASE_SIP</v>
      </c>
      <c r="O868" s="5">
        <v>0</v>
      </c>
    </row>
    <row r="869" spans="1:15" ht="17" x14ac:dyDescent="0.2">
      <c r="A869" s="5" t="str">
        <v>ICICI Prudential Mutual Fund</v>
      </c>
      <c r="B869" s="5" t="str">
        <v>AAAA9993</v>
      </c>
      <c r="C869" s="5" t="str">
        <v>AAAAA1111A</v>
      </c>
      <c r="D869" s="6" t="str">
        <v>ICICI Pru Equity &amp; Debt Fund - Direct Growth</v>
      </c>
      <c r="E869" s="6" t="str">
        <v>DIRECT</v>
      </c>
      <c r="F869" s="6" t="str">
        <v>CAMS</v>
      </c>
      <c r="G869" s="6">
        <v>120664</v>
      </c>
      <c r="H869" s="6">
        <v>43506</v>
      </c>
      <c r="I869" s="6" t="str">
        <v>STAMP DUTY</v>
      </c>
      <c r="J869" s="5">
        <v>2.5</v>
      </c>
      <c r="K869" s="5">
        <v>0</v>
      </c>
      <c r="L869" s="5">
        <v>0</v>
      </c>
      <c r="M869" s="5">
        <v>12988.432000000001</v>
      </c>
      <c r="N869" s="5" t="str">
        <v>STAMP_DUTY</v>
      </c>
      <c r="O869" s="5">
        <v>0</v>
      </c>
    </row>
    <row r="870" spans="1:15" ht="17" x14ac:dyDescent="0.2">
      <c r="A870" s="5" t="str">
        <v>ICICI Prudential Mutual Fund</v>
      </c>
      <c r="B870" s="5" t="str">
        <v>AAAA9993</v>
      </c>
      <c r="C870" s="5" t="str">
        <v>AAAAA1111A</v>
      </c>
      <c r="D870" s="6" t="str">
        <v>ICICI Pru Equity &amp; Debt Fund - Direct Growth</v>
      </c>
      <c r="E870" s="6" t="str">
        <v>DIRECT</v>
      </c>
      <c r="F870" s="6" t="str">
        <v>CAMS</v>
      </c>
      <c r="G870" s="6">
        <v>120664</v>
      </c>
      <c r="H870" s="6">
        <v>43536</v>
      </c>
      <c r="I870" s="6" t="str">
        <v>Purchase - SIP</v>
      </c>
      <c r="J870" s="5">
        <v>5000</v>
      </c>
      <c r="K870" s="5">
        <v>186.874</v>
      </c>
      <c r="L870" s="5">
        <v>26.7559</v>
      </c>
      <c r="M870" s="5">
        <v>13175.307000000001</v>
      </c>
      <c r="N870" s="5" t="str">
        <v>PURCHASE_SIP</v>
      </c>
      <c r="O870" s="5">
        <v>0</v>
      </c>
    </row>
    <row r="871" spans="1:15" ht="17" x14ac:dyDescent="0.2">
      <c r="A871" s="5" t="str">
        <v>ICICI Prudential Mutual Fund</v>
      </c>
      <c r="B871" s="5" t="str">
        <v>AAAA9993</v>
      </c>
      <c r="C871" s="5" t="str">
        <v>AAAAA1111A</v>
      </c>
      <c r="D871" s="6" t="str">
        <v>ICICI Pru Equity &amp; Debt Fund - Direct Growth</v>
      </c>
      <c r="E871" s="6" t="str">
        <v>DIRECT</v>
      </c>
      <c r="F871" s="6" t="str">
        <v>CAMS</v>
      </c>
      <c r="G871" s="6">
        <v>120664</v>
      </c>
      <c r="H871" s="6">
        <v>43566</v>
      </c>
      <c r="I871" s="6" t="str">
        <v>Purchase - SIP</v>
      </c>
      <c r="J871" s="5">
        <v>5000</v>
      </c>
      <c r="K871" s="5">
        <v>188.80699999999999</v>
      </c>
      <c r="L871" s="5">
        <v>26.481999999999999</v>
      </c>
      <c r="M871" s="5">
        <v>13364.114</v>
      </c>
      <c r="N871" s="5" t="str">
        <v>PURCHASE_SIP</v>
      </c>
      <c r="O871" s="5">
        <v>0</v>
      </c>
    </row>
    <row r="872" spans="1:15" ht="17" x14ac:dyDescent="0.2">
      <c r="A872" s="5" t="str">
        <v>ICICI Prudential Mutual Fund</v>
      </c>
      <c r="B872" s="5" t="str">
        <v>AAAA9993</v>
      </c>
      <c r="C872" s="5" t="str">
        <v>AAAAA1111A</v>
      </c>
      <c r="D872" s="6" t="str">
        <v>ICICI Pru Equity &amp; Debt Fund - Direct Growth</v>
      </c>
      <c r="E872" s="6" t="str">
        <v>DIRECT</v>
      </c>
      <c r="F872" s="6" t="str">
        <v>CAMS</v>
      </c>
      <c r="G872" s="6">
        <v>120664</v>
      </c>
      <c r="H872" s="6">
        <v>43596</v>
      </c>
      <c r="I872" s="6" t="str">
        <v>Purchase - SIP</v>
      </c>
      <c r="J872" s="5">
        <v>5000</v>
      </c>
      <c r="K872" s="5">
        <v>187.52500000000001</v>
      </c>
      <c r="L872" s="5">
        <v>26.6631</v>
      </c>
      <c r="M872" s="5">
        <v>13551.638999999999</v>
      </c>
      <c r="N872" s="5" t="str">
        <v>PURCHASE_SIP</v>
      </c>
      <c r="O872" s="5">
        <v>0</v>
      </c>
    </row>
    <row r="873" spans="1:15" ht="17" x14ac:dyDescent="0.2">
      <c r="A873" s="5" t="str">
        <v>ICICI Prudential Mutual Fund</v>
      </c>
      <c r="B873" s="5" t="str">
        <v>AAAA9993</v>
      </c>
      <c r="C873" s="5" t="str">
        <v>AAAAA1111A</v>
      </c>
      <c r="D873" s="6" t="str">
        <v>ICICI Pru Equity &amp; Debt Fund - Direct Growth</v>
      </c>
      <c r="E873" s="6" t="str">
        <v>DIRECT</v>
      </c>
      <c r="F873" s="6" t="str">
        <v>CAMS</v>
      </c>
      <c r="G873" s="6">
        <v>120664</v>
      </c>
      <c r="H873" s="6">
        <v>43626</v>
      </c>
      <c r="I873" s="6" t="str">
        <v>Purchase - SIP</v>
      </c>
      <c r="J873" s="5">
        <v>5000</v>
      </c>
      <c r="K873" s="5">
        <v>182.34899999999999</v>
      </c>
      <c r="L873" s="5">
        <v>27.419899999999998</v>
      </c>
      <c r="M873" s="5">
        <v>13733.989</v>
      </c>
      <c r="N873" s="5" t="str">
        <v>PURCHASE_SIP</v>
      </c>
      <c r="O873" s="5">
        <v>0</v>
      </c>
    </row>
    <row r="874" spans="1:15" ht="17" x14ac:dyDescent="0.2">
      <c r="A874" s="5" t="str">
        <v>ICICI Prudential Mutual Fund</v>
      </c>
      <c r="B874" s="5" t="str">
        <v>AAAA9993</v>
      </c>
      <c r="C874" s="5" t="str">
        <v>AAAAA1111A</v>
      </c>
      <c r="D874" s="6" t="str">
        <v>ICICI Pru Equity &amp; Debt Fund - Direct Growth</v>
      </c>
      <c r="E874" s="6" t="str">
        <v>DIRECT</v>
      </c>
      <c r="F874" s="6" t="str">
        <v>CAMS</v>
      </c>
      <c r="G874" s="6">
        <v>120664</v>
      </c>
      <c r="H874" s="6">
        <v>43656</v>
      </c>
      <c r="I874" s="6" t="str">
        <v>Purchase - SIP</v>
      </c>
      <c r="J874" s="5">
        <v>5000</v>
      </c>
      <c r="K874" s="5">
        <v>177.74</v>
      </c>
      <c r="L874" s="5">
        <v>28.1309</v>
      </c>
      <c r="M874" s="5">
        <v>13911.728999999999</v>
      </c>
      <c r="N874" s="5" t="str">
        <v>PURCHASE_SIP</v>
      </c>
      <c r="O874" s="5">
        <v>0</v>
      </c>
    </row>
    <row r="875" spans="1:15" ht="17" x14ac:dyDescent="0.2">
      <c r="A875" s="5" t="str">
        <v>ICICI Prudential Mutual Fund</v>
      </c>
      <c r="B875" s="5" t="str">
        <v>AAAA9993</v>
      </c>
      <c r="C875" s="5" t="str">
        <v>AAAAA1111A</v>
      </c>
      <c r="D875" s="6" t="str">
        <v>ICICI Pru Equity &amp; Debt Fund - Direct Growth</v>
      </c>
      <c r="E875" s="6" t="str">
        <v>DIRECT</v>
      </c>
      <c r="F875" s="6" t="str">
        <v>CAMS</v>
      </c>
      <c r="G875" s="6">
        <v>120664</v>
      </c>
      <c r="H875" s="6">
        <v>43686</v>
      </c>
      <c r="I875" s="6" t="str">
        <v>Purchase - SIP</v>
      </c>
      <c r="J875" s="5">
        <v>5000</v>
      </c>
      <c r="K875" s="5">
        <v>174.17599999999999</v>
      </c>
      <c r="L875" s="5">
        <v>28.706600000000002</v>
      </c>
      <c r="M875" s="5">
        <v>14085.905000000001</v>
      </c>
      <c r="N875" s="5" t="str">
        <v>PURCHASE_SIP</v>
      </c>
      <c r="O875" s="5">
        <v>0</v>
      </c>
    </row>
    <row r="876" spans="1:15" ht="17" x14ac:dyDescent="0.2">
      <c r="A876" s="5" t="str">
        <v>ICICI Prudential Mutual Fund</v>
      </c>
      <c r="B876" s="5" t="str">
        <v>AAAA9993</v>
      </c>
      <c r="C876" s="5" t="str">
        <v>AAAAA1111A</v>
      </c>
      <c r="D876" s="6" t="str">
        <v>ICICI Pru Equity &amp; Debt Fund - Direct Growth</v>
      </c>
      <c r="E876" s="6" t="str">
        <v>DIRECT</v>
      </c>
      <c r="F876" s="6" t="str">
        <v>CAMS</v>
      </c>
      <c r="G876" s="6">
        <v>120664</v>
      </c>
      <c r="H876" s="6">
        <v>43716</v>
      </c>
      <c r="I876" s="6" t="str">
        <v>Purchase - SIP</v>
      </c>
      <c r="J876" s="5">
        <v>5000</v>
      </c>
      <c r="K876" s="5">
        <v>169.87700000000001</v>
      </c>
      <c r="L876" s="5">
        <v>29.4331</v>
      </c>
      <c r="M876" s="5">
        <v>14255.781999999999</v>
      </c>
      <c r="N876" s="5" t="str">
        <v>PURCHASE_SIP</v>
      </c>
      <c r="O876" s="5">
        <v>0</v>
      </c>
    </row>
    <row r="877" spans="1:15" ht="17" x14ac:dyDescent="0.2">
      <c r="A877" s="5" t="str">
        <v>ICICI Prudential Mutual Fund</v>
      </c>
      <c r="B877" s="5" t="str">
        <v>AAAA9993</v>
      </c>
      <c r="C877" s="5" t="str">
        <v>AAAAA1111A</v>
      </c>
      <c r="D877" s="6" t="str">
        <v>ICICI Pru Equity &amp; Debt Fund - Direct Growth</v>
      </c>
      <c r="E877" s="6" t="str">
        <v>DIRECT</v>
      </c>
      <c r="F877" s="6" t="str">
        <v>CAMS</v>
      </c>
      <c r="G877" s="6">
        <v>120664</v>
      </c>
      <c r="H877" s="6">
        <v>43746</v>
      </c>
      <c r="I877" s="6" t="str">
        <v>Purchase - SIP</v>
      </c>
      <c r="J877" s="5">
        <v>5000</v>
      </c>
      <c r="K877" s="5">
        <v>169.822</v>
      </c>
      <c r="L877" s="5">
        <v>29.442599999999999</v>
      </c>
      <c r="M877" s="5">
        <v>14425.603999999999</v>
      </c>
      <c r="N877" s="5" t="str">
        <v>PURCHASE_SIP</v>
      </c>
      <c r="O877" s="5">
        <v>0</v>
      </c>
    </row>
    <row r="878" spans="1:15" ht="17" x14ac:dyDescent="0.2">
      <c r="A878" s="5" t="str">
        <v>ICICI Prudential Mutual Fund</v>
      </c>
      <c r="B878" s="5" t="str">
        <v>AAAA9993</v>
      </c>
      <c r="C878" s="5" t="str">
        <v>AAAAA1111A</v>
      </c>
      <c r="D878" s="6" t="str">
        <v>ICICI Pru Equity &amp; Debt Fund - Direct Growth</v>
      </c>
      <c r="E878" s="6" t="str">
        <v>DIRECT</v>
      </c>
      <c r="F878" s="6" t="str">
        <v>CAMS</v>
      </c>
      <c r="G878" s="6">
        <v>120664</v>
      </c>
      <c r="H878" s="6">
        <v>43746</v>
      </c>
      <c r="I878" s="6" t="str">
        <v>STAMP DUTY</v>
      </c>
      <c r="J878" s="5">
        <v>2.5</v>
      </c>
      <c r="K878" s="5">
        <v>0</v>
      </c>
      <c r="L878" s="5">
        <v>0</v>
      </c>
      <c r="M878" s="5">
        <v>14425.603999999999</v>
      </c>
      <c r="N878" s="5" t="str">
        <v>STAMP_DUTY</v>
      </c>
      <c r="O878" s="5">
        <v>0</v>
      </c>
    </row>
    <row r="879" spans="1:15" ht="17" x14ac:dyDescent="0.2">
      <c r="A879" s="5" t="str">
        <v>ICICI Prudential Mutual Fund</v>
      </c>
      <c r="B879" s="5" t="str">
        <v>AAAA9993</v>
      </c>
      <c r="C879" s="5" t="str">
        <v>AAAAA1111A</v>
      </c>
      <c r="D879" s="6" t="str">
        <v>ICICI Pru Equity &amp; Debt Fund - Direct Growth</v>
      </c>
      <c r="E879" s="6" t="str">
        <v>DIRECT</v>
      </c>
      <c r="F879" s="6" t="str">
        <v>CAMS</v>
      </c>
      <c r="G879" s="6">
        <v>120664</v>
      </c>
      <c r="H879" s="6">
        <v>43776</v>
      </c>
      <c r="I879" s="6" t="str">
        <v>Purchase - SIP</v>
      </c>
      <c r="J879" s="5">
        <v>5000</v>
      </c>
      <c r="K879" s="5">
        <v>166.184</v>
      </c>
      <c r="L879" s="5">
        <v>30.087199999999999</v>
      </c>
      <c r="M879" s="5">
        <v>14591.787</v>
      </c>
      <c r="N879" s="5" t="str">
        <v>PURCHASE_SIP</v>
      </c>
      <c r="O879" s="5">
        <v>0</v>
      </c>
    </row>
    <row r="880" spans="1:15" ht="17" x14ac:dyDescent="0.2">
      <c r="A880" s="5" t="str">
        <v>ICICI Prudential Mutual Fund</v>
      </c>
      <c r="B880" s="5" t="str">
        <v>AAAA9993</v>
      </c>
      <c r="C880" s="5" t="str">
        <v>AAAAA1111A</v>
      </c>
      <c r="D880" s="6" t="str">
        <v>ICICI Pru Equity &amp; Debt Fund - Direct Growth</v>
      </c>
      <c r="E880" s="6" t="str">
        <v>DIRECT</v>
      </c>
      <c r="F880" s="6" t="str">
        <v>CAMS</v>
      </c>
      <c r="G880" s="6">
        <v>120664</v>
      </c>
      <c r="H880" s="6">
        <v>43806</v>
      </c>
      <c r="I880" s="6" t="str">
        <v>Purchase - SIP</v>
      </c>
      <c r="J880" s="5">
        <v>5000</v>
      </c>
      <c r="K880" s="5">
        <v>167.31200000000001</v>
      </c>
      <c r="L880" s="5">
        <v>29.8842</v>
      </c>
      <c r="M880" s="5">
        <v>14759.1</v>
      </c>
      <c r="N880" s="5" t="str">
        <v>PURCHASE_SIP</v>
      </c>
      <c r="O880" s="5">
        <v>0</v>
      </c>
    </row>
    <row r="881" spans="1:15" ht="17" x14ac:dyDescent="0.2">
      <c r="A881" s="5" t="str">
        <v>ICICI Prudential Mutual Fund</v>
      </c>
      <c r="B881" s="5" t="str">
        <v>AAAA9993</v>
      </c>
      <c r="C881" s="5" t="str">
        <v>AAAAA1111A</v>
      </c>
      <c r="D881" s="6" t="str">
        <v>ICICI Pru Equity &amp; Debt Fund - Direct Growth</v>
      </c>
      <c r="E881" s="6" t="str">
        <v>DIRECT</v>
      </c>
      <c r="F881" s="6" t="str">
        <v>CAMS</v>
      </c>
      <c r="G881" s="6">
        <v>120664</v>
      </c>
      <c r="H881" s="6">
        <v>43806</v>
      </c>
      <c r="I881" s="6" t="str">
        <v>STT TAX</v>
      </c>
      <c r="J881" s="5">
        <v>2.5</v>
      </c>
      <c r="K881" s="5">
        <v>0</v>
      </c>
      <c r="L881" s="5">
        <v>0</v>
      </c>
      <c r="M881" s="5">
        <v>14759.1</v>
      </c>
      <c r="N881" s="5" t="str">
        <v>STT_TAX</v>
      </c>
      <c r="O881" s="5">
        <v>0</v>
      </c>
    </row>
    <row r="882" spans="1:15" ht="17" x14ac:dyDescent="0.2">
      <c r="A882" s="5" t="str">
        <v>ICICI Prudential Mutual Fund</v>
      </c>
      <c r="B882" s="5" t="str">
        <v>AAAA9993</v>
      </c>
      <c r="C882" s="5" t="str">
        <v>AAAAA1111A</v>
      </c>
      <c r="D882" s="6" t="str">
        <v>ICICI Pru Equity &amp; Debt Fund - Direct Growth</v>
      </c>
      <c r="E882" s="6" t="str">
        <v>DIRECT</v>
      </c>
      <c r="F882" s="6" t="str">
        <v>CAMS</v>
      </c>
      <c r="G882" s="6">
        <v>120664</v>
      </c>
      <c r="H882" s="6">
        <v>43836</v>
      </c>
      <c r="I882" s="6" t="str">
        <v>Purchase - SIP</v>
      </c>
      <c r="J882" s="5">
        <v>5000</v>
      </c>
      <c r="K882" s="5">
        <v>165.03</v>
      </c>
      <c r="L882" s="5">
        <v>30.297599999999999</v>
      </c>
      <c r="M882" s="5">
        <v>14924.129000000001</v>
      </c>
      <c r="N882" s="5" t="str">
        <v>PURCHASE_SIP</v>
      </c>
      <c r="O882" s="5">
        <v>0</v>
      </c>
    </row>
    <row r="883" spans="1:15" ht="17" x14ac:dyDescent="0.2">
      <c r="A883" s="5" t="str">
        <v>ICICI Prudential Mutual Fund</v>
      </c>
      <c r="B883" s="5" t="str">
        <v>AAAA9993</v>
      </c>
      <c r="C883" s="5" t="str">
        <v>AAAAA1111A</v>
      </c>
      <c r="D883" s="6" t="str">
        <v>ICICI Pru Equity &amp; Debt Fund - Direct Growth</v>
      </c>
      <c r="E883" s="6" t="str">
        <v>DIRECT</v>
      </c>
      <c r="F883" s="6" t="str">
        <v>CAMS</v>
      </c>
      <c r="G883" s="6">
        <v>120664</v>
      </c>
      <c r="H883" s="6">
        <v>43866</v>
      </c>
      <c r="I883" s="6" t="str">
        <v>Purchase - SIP</v>
      </c>
      <c r="J883" s="5">
        <v>5000</v>
      </c>
      <c r="K883" s="5">
        <v>166.23699999999999</v>
      </c>
      <c r="L883" s="5">
        <v>30.077500000000001</v>
      </c>
      <c r="M883" s="5">
        <v>15090.367</v>
      </c>
      <c r="N883" s="5" t="str">
        <v>PURCHASE_SIP</v>
      </c>
      <c r="O883" s="5">
        <v>0</v>
      </c>
    </row>
    <row r="884" spans="1:15" ht="17" x14ac:dyDescent="0.2">
      <c r="A884" s="5" t="str">
        <v>ICICI Prudential Mutual Fund</v>
      </c>
      <c r="B884" s="5" t="str">
        <v>AAAA9993</v>
      </c>
      <c r="C884" s="5" t="str">
        <v>AAAAA1111A</v>
      </c>
      <c r="D884" s="6" t="str">
        <v>ICICI Pru Equity &amp; Debt Fund - Direct Growth</v>
      </c>
      <c r="E884" s="6" t="str">
        <v>DIRECT</v>
      </c>
      <c r="F884" s="6" t="str">
        <v>CAMS</v>
      </c>
      <c r="G884" s="6">
        <v>120664</v>
      </c>
      <c r="H884" s="6">
        <v>43896</v>
      </c>
      <c r="I884" s="6" t="str">
        <v>Purchase - SIP</v>
      </c>
      <c r="J884" s="5">
        <v>5000</v>
      </c>
      <c r="K884" s="5">
        <v>164.595</v>
      </c>
      <c r="L884" s="5">
        <v>30.377600000000001</v>
      </c>
      <c r="M884" s="5">
        <v>15254.962</v>
      </c>
      <c r="N884" s="5" t="str">
        <v>PURCHASE_SIP</v>
      </c>
      <c r="O884" s="5">
        <v>0</v>
      </c>
    </row>
    <row r="885" spans="1:15" ht="17" x14ac:dyDescent="0.2">
      <c r="A885" s="5" t="str">
        <v>ICICI Prudential Mutual Fund</v>
      </c>
      <c r="B885" s="5" t="str">
        <v>AAAA9993</v>
      </c>
      <c r="C885" s="5" t="str">
        <v>AAAAA1111A</v>
      </c>
      <c r="D885" s="6" t="str">
        <v>ICICI Pru Equity &amp; Debt Fund - Direct Growth</v>
      </c>
      <c r="E885" s="6" t="str">
        <v>DIRECT</v>
      </c>
      <c r="F885" s="6" t="str">
        <v>CAMS</v>
      </c>
      <c r="G885" s="6">
        <v>120664</v>
      </c>
      <c r="H885" s="6">
        <v>43926</v>
      </c>
      <c r="I885" s="6" t="str">
        <v>Purchase - SIP</v>
      </c>
      <c r="J885" s="5">
        <v>5000</v>
      </c>
      <c r="K885" s="5">
        <v>164.845</v>
      </c>
      <c r="L885" s="5">
        <v>30.331499999999998</v>
      </c>
      <c r="M885" s="5">
        <v>15419.807000000001</v>
      </c>
      <c r="N885" s="5" t="str">
        <v>PURCHASE_SIP</v>
      </c>
      <c r="O885" s="5">
        <v>0</v>
      </c>
    </row>
    <row r="886" spans="1:15" ht="17" x14ac:dyDescent="0.2">
      <c r="A886" s="5" t="str">
        <v>ICICI Prudential Mutual Fund</v>
      </c>
      <c r="B886" s="5" t="str">
        <v>AAAA9993</v>
      </c>
      <c r="C886" s="5" t="str">
        <v>AAAAA1111A</v>
      </c>
      <c r="D886" s="6" t="str">
        <v>ICICI Pru Equity &amp; Debt Fund - Direct Growth</v>
      </c>
      <c r="E886" s="6" t="str">
        <v>DIRECT</v>
      </c>
      <c r="F886" s="6" t="str">
        <v>CAMS</v>
      </c>
      <c r="G886" s="6">
        <v>120664</v>
      </c>
      <c r="H886" s="6">
        <v>43956</v>
      </c>
      <c r="I886" s="6" t="str">
        <v>Purchase - SIP</v>
      </c>
      <c r="J886" s="5">
        <v>5000</v>
      </c>
      <c r="K886" s="5">
        <v>165.584</v>
      </c>
      <c r="L886" s="5">
        <v>30.196100000000001</v>
      </c>
      <c r="M886" s="5">
        <v>15585.391</v>
      </c>
      <c r="N886" s="5" t="str">
        <v>PURCHASE_SIP</v>
      </c>
      <c r="O886" s="5">
        <v>0</v>
      </c>
    </row>
    <row r="887" spans="1:15" ht="17" x14ac:dyDescent="0.2">
      <c r="A887" s="5" t="str">
        <v>ICICI Prudential Mutual Fund</v>
      </c>
      <c r="B887" s="5" t="str">
        <v>AAAA9993</v>
      </c>
      <c r="C887" s="5" t="str">
        <v>AAAAA1111A</v>
      </c>
      <c r="D887" s="6" t="str">
        <v>ICICI Pru Equity &amp; Debt Fund - Direct Growth</v>
      </c>
      <c r="E887" s="6" t="str">
        <v>DIRECT</v>
      </c>
      <c r="F887" s="6" t="str">
        <v>CAMS</v>
      </c>
      <c r="G887" s="6">
        <v>120664</v>
      </c>
      <c r="H887" s="6">
        <v>43986</v>
      </c>
      <c r="I887" s="6" t="str">
        <v>Purchase - SIP</v>
      </c>
      <c r="J887" s="5">
        <v>5000</v>
      </c>
      <c r="K887" s="5">
        <v>163.30099999999999</v>
      </c>
      <c r="L887" s="5">
        <v>30.618300000000001</v>
      </c>
      <c r="M887" s="5">
        <v>15748.692999999999</v>
      </c>
      <c r="N887" s="5" t="str">
        <v>PURCHASE_SIP</v>
      </c>
      <c r="O887" s="5">
        <v>0</v>
      </c>
    </row>
    <row r="888" spans="1:15" ht="17" x14ac:dyDescent="0.2">
      <c r="A888" s="5" t="str">
        <v>ICICI Prudential Mutual Fund</v>
      </c>
      <c r="B888" s="5" t="str">
        <v>AAAA9993</v>
      </c>
      <c r="C888" s="5" t="str">
        <v>AAAAA1111A</v>
      </c>
      <c r="D888" s="6" t="str">
        <v>ICICI Pru Equity &amp; Debt Fund - Direct Growth</v>
      </c>
      <c r="E888" s="6" t="str">
        <v>DIRECT</v>
      </c>
      <c r="F888" s="6" t="str">
        <v>CAMS</v>
      </c>
      <c r="G888" s="6">
        <v>120664</v>
      </c>
      <c r="H888" s="6">
        <v>43986</v>
      </c>
      <c r="I888" s="6" t="str">
        <v>Dividend Paid</v>
      </c>
      <c r="J888" s="5">
        <v>7874.35</v>
      </c>
      <c r="K888" s="5">
        <v>0</v>
      </c>
      <c r="L888" s="5">
        <v>0</v>
      </c>
      <c r="M888" s="5">
        <v>15748.692999999999</v>
      </c>
      <c r="N888" s="5" t="str">
        <v>DIVIDEND_PAYOUT</v>
      </c>
      <c r="O888" s="5">
        <v>7874.35</v>
      </c>
    </row>
    <row r="889" spans="1:15" ht="17" x14ac:dyDescent="0.2">
      <c r="A889" s="5" t="str">
        <v>ICICI Prudential Mutual Fund</v>
      </c>
      <c r="B889" s="5" t="str">
        <v>AAAA9993</v>
      </c>
      <c r="C889" s="5" t="str">
        <v>AAAAA1111A</v>
      </c>
      <c r="D889" s="6" t="str">
        <v>ICICI Pru Equity &amp; Debt Fund - Direct Growth</v>
      </c>
      <c r="E889" s="6" t="str">
        <v>DIRECT</v>
      </c>
      <c r="F889" s="6" t="str">
        <v>CAMS</v>
      </c>
      <c r="G889" s="6">
        <v>120664</v>
      </c>
      <c r="H889" s="6">
        <v>44016</v>
      </c>
      <c r="I889" s="6" t="str">
        <v>Purchase - SIP</v>
      </c>
      <c r="J889" s="5">
        <v>5000</v>
      </c>
      <c r="K889" s="5">
        <v>159.71</v>
      </c>
      <c r="L889" s="5">
        <v>31.306699999999999</v>
      </c>
      <c r="M889" s="5">
        <v>15908.403</v>
      </c>
      <c r="N889" s="5" t="str">
        <v>PURCHASE_SIP</v>
      </c>
      <c r="O889" s="5">
        <v>0</v>
      </c>
    </row>
    <row r="890" spans="1:15" ht="17" x14ac:dyDescent="0.2">
      <c r="A890" s="5" t="str">
        <v>ICICI Prudential Mutual Fund</v>
      </c>
      <c r="B890" s="5" t="str">
        <v>AAAA9993</v>
      </c>
      <c r="C890" s="5" t="str">
        <v>AAAAA1111A</v>
      </c>
      <c r="D890" s="6" t="str">
        <v>ICICI Pru Equity &amp; Debt Fund - Direct Growth</v>
      </c>
      <c r="E890" s="6" t="str">
        <v>DIRECT</v>
      </c>
      <c r="F890" s="6" t="str">
        <v>CAMS</v>
      </c>
      <c r="G890" s="6">
        <v>120664</v>
      </c>
      <c r="H890" s="6">
        <v>44046</v>
      </c>
      <c r="I890" s="6" t="str">
        <v>Purchase - SIP</v>
      </c>
      <c r="J890" s="5">
        <v>5000</v>
      </c>
      <c r="K890" s="5">
        <v>159.976</v>
      </c>
      <c r="L890" s="5">
        <v>31.2547</v>
      </c>
      <c r="M890" s="5">
        <v>16068.379000000001</v>
      </c>
      <c r="N890" s="5" t="str">
        <v>PURCHASE_SIP</v>
      </c>
      <c r="O890" s="5">
        <v>0</v>
      </c>
    </row>
    <row r="891" spans="1:15" ht="17" x14ac:dyDescent="0.2">
      <c r="A891" s="5" t="str">
        <v>ICICI Prudential Mutual Fund</v>
      </c>
      <c r="B891" s="5" t="str">
        <v>AAAA9993</v>
      </c>
      <c r="C891" s="5" t="str">
        <v>AAAAA1111A</v>
      </c>
      <c r="D891" s="6" t="str">
        <v>ICICI Pru Equity &amp; Debt Fund - Direct Growth</v>
      </c>
      <c r="E891" s="6" t="str">
        <v>DIRECT</v>
      </c>
      <c r="F891" s="6" t="str">
        <v>CAMS</v>
      </c>
      <c r="G891" s="6">
        <v>120664</v>
      </c>
      <c r="H891" s="6">
        <v>44076</v>
      </c>
      <c r="I891" s="6" t="str">
        <v>Purchase - SIP</v>
      </c>
      <c r="J891" s="5">
        <v>5000</v>
      </c>
      <c r="K891" s="5">
        <v>163.01499999999999</v>
      </c>
      <c r="L891" s="5">
        <v>30.672000000000001</v>
      </c>
      <c r="M891" s="5">
        <v>16231.394</v>
      </c>
      <c r="N891" s="5" t="str">
        <v>PURCHASE_SIP</v>
      </c>
      <c r="O891" s="5">
        <v>0</v>
      </c>
    </row>
    <row r="892" spans="1:15" ht="17" x14ac:dyDescent="0.2">
      <c r="A892" s="5" t="str">
        <v>ICICI Prudential Mutual Fund</v>
      </c>
      <c r="B892" s="5" t="str">
        <v>AAAA9993</v>
      </c>
      <c r="C892" s="5" t="str">
        <v>AAAAA1111A</v>
      </c>
      <c r="D892" s="6" t="str">
        <v>ICICI Pru Equity &amp; Debt Fund - Direct Growth</v>
      </c>
      <c r="E892" s="6" t="str">
        <v>DIRECT</v>
      </c>
      <c r="F892" s="6" t="str">
        <v>CAMS</v>
      </c>
      <c r="G892" s="6">
        <v>120664</v>
      </c>
      <c r="H892" s="6">
        <v>44106</v>
      </c>
      <c r="I892" s="6" t="str">
        <v>Purchase - SIP</v>
      </c>
      <c r="J892" s="5">
        <v>5000</v>
      </c>
      <c r="K892" s="5">
        <v>159.82300000000001</v>
      </c>
      <c r="L892" s="5">
        <v>31.284500000000001</v>
      </c>
      <c r="M892" s="5">
        <v>16391.218000000001</v>
      </c>
      <c r="N892" s="5" t="str">
        <v>PURCHASE_SIP</v>
      </c>
      <c r="O892" s="5">
        <v>0</v>
      </c>
    </row>
    <row r="893" spans="1:15" ht="17" x14ac:dyDescent="0.2">
      <c r="A893" s="5" t="str">
        <v>ICICI Prudential Mutual Fund</v>
      </c>
      <c r="B893" s="5" t="str">
        <v>AAAA9993</v>
      </c>
      <c r="C893" s="5" t="str">
        <v>AAAAA1111A</v>
      </c>
      <c r="D893" s="6" t="str">
        <v>ICICI Pru Equity &amp; Debt Fund - Direct Growth</v>
      </c>
      <c r="E893" s="6" t="str">
        <v>DIRECT</v>
      </c>
      <c r="F893" s="6" t="str">
        <v>CAMS</v>
      </c>
      <c r="G893" s="6">
        <v>120664</v>
      </c>
      <c r="H893" s="6">
        <v>44136</v>
      </c>
      <c r="I893" s="6" t="str">
        <v>Purchase - SIP</v>
      </c>
      <c r="J893" s="5">
        <v>5000</v>
      </c>
      <c r="K893" s="5">
        <v>156.84200000000001</v>
      </c>
      <c r="L893" s="5">
        <v>31.879100000000001</v>
      </c>
      <c r="M893" s="5">
        <v>16548.060000000001</v>
      </c>
      <c r="N893" s="5" t="str">
        <v>PURCHASE_SIP</v>
      </c>
      <c r="O893" s="5">
        <v>0</v>
      </c>
    </row>
    <row r="894" spans="1:15" ht="17" x14ac:dyDescent="0.2">
      <c r="A894" s="5" t="str">
        <v>ICICI Prudential Mutual Fund</v>
      </c>
      <c r="B894" s="5" t="str">
        <v>AAAA9993</v>
      </c>
      <c r="C894" s="5" t="str">
        <v>AAAAA1111A</v>
      </c>
      <c r="D894" s="6" t="str">
        <v>ICICI Pru Equity &amp; Debt Fund - Direct Growth</v>
      </c>
      <c r="E894" s="6" t="str">
        <v>DIRECT</v>
      </c>
      <c r="F894" s="6" t="str">
        <v>CAMS</v>
      </c>
      <c r="G894" s="6">
        <v>120664</v>
      </c>
      <c r="H894" s="6">
        <v>44166</v>
      </c>
      <c r="I894" s="6" t="str">
        <v>Purchase - SIP</v>
      </c>
      <c r="J894" s="5">
        <v>5000</v>
      </c>
      <c r="K894" s="5">
        <v>158.45099999999999</v>
      </c>
      <c r="L894" s="5">
        <v>31.555499999999999</v>
      </c>
      <c r="M894" s="5">
        <v>16706.510999999999</v>
      </c>
      <c r="N894" s="5" t="str">
        <v>PURCHASE_SIP</v>
      </c>
      <c r="O894" s="5">
        <v>0</v>
      </c>
    </row>
    <row r="895" spans="1:15" ht="17" x14ac:dyDescent="0.2">
      <c r="A895" s="5" t="str">
        <v>ICICI Prudential Mutual Fund</v>
      </c>
      <c r="B895" s="5" t="str">
        <v>AAAA9993</v>
      </c>
      <c r="C895" s="5" t="str">
        <v>AAAAA1111A</v>
      </c>
      <c r="D895" s="6" t="str">
        <v>ICICI Pru Equity &amp; Debt Fund - Direct Growth</v>
      </c>
      <c r="E895" s="6" t="str">
        <v>DIRECT</v>
      </c>
      <c r="F895" s="6" t="str">
        <v>CAMS</v>
      </c>
      <c r="G895" s="6">
        <v>120664</v>
      </c>
      <c r="H895" s="6">
        <v>44166</v>
      </c>
      <c r="I895" s="6" t="str">
        <v>Redemption</v>
      </c>
      <c r="J895" s="5">
        <v>-105436.33</v>
      </c>
      <c r="K895" s="5">
        <v>-3341.3020000000001</v>
      </c>
      <c r="L895" s="5">
        <v>31.555499999999999</v>
      </c>
      <c r="M895" s="5">
        <v>13365.209000000001</v>
      </c>
      <c r="N895" s="5" t="str">
        <v>REDEMPTION</v>
      </c>
      <c r="O895" s="5">
        <v>0</v>
      </c>
    </row>
    <row r="896" spans="1:15" ht="17" x14ac:dyDescent="0.2">
      <c r="A896" s="5" t="str">
        <v>ICICI Prudential Mutual Fund</v>
      </c>
      <c r="B896" s="5" t="str">
        <v>AAAA9993</v>
      </c>
      <c r="C896" s="5" t="str">
        <v>AAAAA1111A</v>
      </c>
      <c r="D896" s="6" t="str">
        <v>ICICI Pru Equity &amp; Debt Fund - Direct Growth</v>
      </c>
      <c r="E896" s="6" t="str">
        <v>DIRECT</v>
      </c>
      <c r="F896" s="6" t="str">
        <v>CAMS</v>
      </c>
      <c r="G896" s="6">
        <v>120664</v>
      </c>
      <c r="H896" s="6">
        <v>44196</v>
      </c>
      <c r="I896" s="6" t="str">
        <v>Purchase - SIP</v>
      </c>
      <c r="J896" s="5">
        <v>5000</v>
      </c>
      <c r="K896" s="5">
        <v>159.84700000000001</v>
      </c>
      <c r="L896" s="5">
        <v>31.279900000000001</v>
      </c>
      <c r="M896" s="5">
        <v>13525.056</v>
      </c>
      <c r="N896" s="5" t="str">
        <v>PURCHASE_SIP</v>
      </c>
      <c r="O896" s="5">
        <v>0</v>
      </c>
    </row>
    <row r="897" spans="1:15" ht="17" x14ac:dyDescent="0.2">
      <c r="A897" s="5" t="str">
        <v>ICICI Prudential Mutual Fund</v>
      </c>
      <c r="B897" s="5" t="str">
        <v>AAAA9993</v>
      </c>
      <c r="C897" s="5" t="str">
        <v>AAAAA1111A</v>
      </c>
      <c r="D897" s="6" t="str">
        <v>ICICI Pru Equity &amp; Debt Fund - Direct Growth</v>
      </c>
      <c r="E897" s="6" t="str">
        <v>DIRECT</v>
      </c>
      <c r="F897" s="6" t="str">
        <v>CAMS</v>
      </c>
      <c r="G897" s="6">
        <v>120664</v>
      </c>
      <c r="H897" s="6">
        <v>44226</v>
      </c>
      <c r="I897" s="6" t="str">
        <v>Purchase - SIP</v>
      </c>
      <c r="J897" s="5">
        <v>5000</v>
      </c>
      <c r="K897" s="5">
        <v>161.529</v>
      </c>
      <c r="L897" s="5">
        <v>30.9542</v>
      </c>
      <c r="M897" s="5">
        <v>13686.584999999999</v>
      </c>
      <c r="N897" s="5" t="str">
        <v>PURCHASE_SIP</v>
      </c>
      <c r="O897" s="5">
        <v>0</v>
      </c>
    </row>
    <row r="898" spans="1:15" ht="17" x14ac:dyDescent="0.2">
      <c r="A898" s="5" t="str">
        <v>ICICI Prudential Mutual Fund</v>
      </c>
      <c r="B898" s="5" t="str">
        <v>AAAA9993</v>
      </c>
      <c r="C898" s="5" t="str">
        <v>AAAAA1111A</v>
      </c>
      <c r="D898" s="6" t="str">
        <v>ICICI Pru Equity &amp; Debt Fund - Direct Growth</v>
      </c>
      <c r="E898" s="6" t="str">
        <v>DIRECT</v>
      </c>
      <c r="F898" s="6" t="str">
        <v>CAMS</v>
      </c>
      <c r="G898" s="6">
        <v>120664</v>
      </c>
      <c r="H898" s="6">
        <v>44256</v>
      </c>
      <c r="I898" s="6" t="str">
        <v>Purchase - SIP</v>
      </c>
      <c r="J898" s="5">
        <v>5000</v>
      </c>
      <c r="K898" s="5">
        <v>162.87</v>
      </c>
      <c r="L898" s="5">
        <v>30.699300000000001</v>
      </c>
      <c r="M898" s="5">
        <v>13849.455</v>
      </c>
      <c r="N898" s="5" t="str">
        <v>PURCHASE_SIP</v>
      </c>
      <c r="O898" s="5">
        <v>0</v>
      </c>
    </row>
    <row r="899" spans="1:15" ht="17" x14ac:dyDescent="0.2">
      <c r="A899" s="5" t="str">
        <v>ICICI Prudential Mutual Fund</v>
      </c>
      <c r="B899" s="5" t="str">
        <v>AAAA9993</v>
      </c>
      <c r="C899" s="5" t="str">
        <v>AAAAA1111A</v>
      </c>
      <c r="D899" s="6" t="str">
        <v>ICICI Pru Equity &amp; Debt Fund - Direct Growth</v>
      </c>
      <c r="E899" s="6" t="str">
        <v>DIRECT</v>
      </c>
      <c r="F899" s="6" t="str">
        <v>CAMS</v>
      </c>
      <c r="G899" s="6">
        <v>120664</v>
      </c>
      <c r="H899" s="6">
        <v>44286</v>
      </c>
      <c r="I899" s="6" t="str">
        <v>Purchase - SIP</v>
      </c>
      <c r="J899" s="5">
        <v>5000</v>
      </c>
      <c r="K899" s="5">
        <v>162.08799999999999</v>
      </c>
      <c r="L899" s="5">
        <v>30.8475</v>
      </c>
      <c r="M899" s="5">
        <v>14011.543</v>
      </c>
      <c r="N899" s="5" t="str">
        <v>PURCHASE_SIP</v>
      </c>
      <c r="O899" s="5">
        <v>0</v>
      </c>
    </row>
    <row r="900" spans="1:15" ht="17" x14ac:dyDescent="0.2">
      <c r="A900" s="5" t="str">
        <v>ICICI Prudential Mutual Fund</v>
      </c>
      <c r="B900" s="5" t="str">
        <v>AAAA9993</v>
      </c>
      <c r="C900" s="5" t="str">
        <v>AAAAA1111A</v>
      </c>
      <c r="D900" s="6" t="str">
        <v>ICICI Pru Equity &amp; Debt Fund - Direct Growth</v>
      </c>
      <c r="E900" s="6" t="str">
        <v>DIRECT</v>
      </c>
      <c r="F900" s="6" t="str">
        <v>CAMS</v>
      </c>
      <c r="G900" s="6">
        <v>120664</v>
      </c>
      <c r="H900" s="6">
        <v>44286</v>
      </c>
      <c r="I900" s="6" t="str">
        <v>STT TAX</v>
      </c>
      <c r="J900" s="5">
        <v>2.5</v>
      </c>
      <c r="K900" s="5">
        <v>0</v>
      </c>
      <c r="L900" s="5">
        <v>0</v>
      </c>
      <c r="M900" s="5">
        <v>14011.543</v>
      </c>
      <c r="N900" s="5" t="str">
        <v>STT_TAX</v>
      </c>
      <c r="O900" s="5">
        <v>0</v>
      </c>
    </row>
    <row r="901" spans="1:15" ht="17" x14ac:dyDescent="0.2">
      <c r="A901" s="5" t="str">
        <v>ICICI Prudential Mutual Fund</v>
      </c>
      <c r="B901" s="5" t="str">
        <v>AAAA9993</v>
      </c>
      <c r="C901" s="5" t="str">
        <v>AAAAA1111A</v>
      </c>
      <c r="D901" s="6" t="str">
        <v>ICICI Pru Equity &amp; Debt Fund - Direct Growth</v>
      </c>
      <c r="E901" s="6" t="str">
        <v>DIRECT</v>
      </c>
      <c r="F901" s="6" t="str">
        <v>CAMS</v>
      </c>
      <c r="G901" s="6">
        <v>120664</v>
      </c>
      <c r="H901" s="6">
        <v>44316</v>
      </c>
      <c r="I901" s="6" t="str">
        <v>Purchase - SIP</v>
      </c>
      <c r="J901" s="5">
        <v>5000</v>
      </c>
      <c r="K901" s="5">
        <v>163.227</v>
      </c>
      <c r="L901" s="5">
        <v>30.632200000000001</v>
      </c>
      <c r="M901" s="5">
        <v>14174.77</v>
      </c>
      <c r="N901" s="5" t="str">
        <v>PURCHASE_SIP</v>
      </c>
      <c r="O901" s="5">
        <v>0</v>
      </c>
    </row>
    <row r="902" spans="1:15" ht="17" x14ac:dyDescent="0.2">
      <c r="A902" s="5" t="str">
        <v>ICICI Prudential Mutual Fund</v>
      </c>
      <c r="B902" s="5" t="str">
        <v>AAAA9993</v>
      </c>
      <c r="C902" s="5" t="str">
        <v>AAAAA1111A</v>
      </c>
      <c r="D902" s="6" t="str">
        <v>ICICI Pru Equity &amp; Debt Fund - Direct Growth</v>
      </c>
      <c r="E902" s="6" t="str">
        <v>DIRECT</v>
      </c>
      <c r="F902" s="6" t="str">
        <v>CAMS</v>
      </c>
      <c r="G902" s="6">
        <v>120664</v>
      </c>
      <c r="H902" s="6">
        <v>44346</v>
      </c>
      <c r="I902" s="6" t="str">
        <v>Purchase - SIP</v>
      </c>
      <c r="J902" s="5">
        <v>5000</v>
      </c>
      <c r="K902" s="5">
        <v>162.19499999999999</v>
      </c>
      <c r="L902" s="5">
        <v>30.827100000000002</v>
      </c>
      <c r="M902" s="5">
        <v>14336.965</v>
      </c>
      <c r="N902" s="5" t="str">
        <v>PURCHASE_SIP</v>
      </c>
      <c r="O902" s="5">
        <v>0</v>
      </c>
    </row>
    <row r="903" spans="1:15" ht="17" x14ac:dyDescent="0.2">
      <c r="A903" s="5" t="str">
        <v>ICICI Prudential Mutual Fund</v>
      </c>
      <c r="B903" s="5" t="str">
        <v>AAAA9993</v>
      </c>
      <c r="C903" s="5" t="str">
        <v>AAAAA1111A</v>
      </c>
      <c r="D903" s="6" t="str">
        <v>ICICI Pru Equity &amp; Debt Fund - Direct Growth</v>
      </c>
      <c r="E903" s="6" t="str">
        <v>DIRECT</v>
      </c>
      <c r="F903" s="6" t="str">
        <v>CAMS</v>
      </c>
      <c r="G903" s="6">
        <v>120664</v>
      </c>
      <c r="H903" s="6">
        <v>44376</v>
      </c>
      <c r="I903" s="6" t="str">
        <v>Purchase - SIP</v>
      </c>
      <c r="J903" s="5">
        <v>5000</v>
      </c>
      <c r="K903" s="5">
        <v>162.13999999999999</v>
      </c>
      <c r="L903" s="5">
        <v>30.837599999999998</v>
      </c>
      <c r="M903" s="5">
        <v>14499.105</v>
      </c>
      <c r="N903" s="5" t="str">
        <v>PURCHASE_SIP</v>
      </c>
      <c r="O903" s="5">
        <v>0</v>
      </c>
    </row>
    <row r="904" spans="1:15" ht="17" x14ac:dyDescent="0.2">
      <c r="A904" s="5" t="str">
        <v>ICICI Prudential Mutual Fund</v>
      </c>
      <c r="B904" s="5" t="str">
        <v>AAAA9993</v>
      </c>
      <c r="C904" s="5" t="str">
        <v>AAAAA1111A</v>
      </c>
      <c r="D904" s="6" t="str">
        <v>ICICI Pru Equity &amp; Debt Fund - Direct Growth</v>
      </c>
      <c r="E904" s="6" t="str">
        <v>DIRECT</v>
      </c>
      <c r="F904" s="6" t="str">
        <v>CAMS</v>
      </c>
      <c r="G904" s="6">
        <v>120664</v>
      </c>
      <c r="H904" s="6">
        <v>44406</v>
      </c>
      <c r="I904" s="6" t="str">
        <v>Purchase - SIP</v>
      </c>
      <c r="J904" s="5">
        <v>5000</v>
      </c>
      <c r="K904" s="5">
        <v>162.065</v>
      </c>
      <c r="L904" s="5">
        <v>30.851700000000001</v>
      </c>
      <c r="M904" s="5">
        <v>14661.171</v>
      </c>
      <c r="N904" s="5" t="str">
        <v>PURCHASE_SIP</v>
      </c>
      <c r="O904" s="5">
        <v>0</v>
      </c>
    </row>
    <row r="905" spans="1:15" ht="17" x14ac:dyDescent="0.2">
      <c r="A905" s="5" t="str">
        <v>ICICI Prudential Mutual Fund</v>
      </c>
      <c r="B905" s="5" t="str">
        <v>AAAA9993</v>
      </c>
      <c r="C905" s="5" t="str">
        <v>AAAAA1111A</v>
      </c>
      <c r="D905" s="6" t="str">
        <v>ICICI Pru Equity &amp; Debt Fund - Direct Growth</v>
      </c>
      <c r="E905" s="6" t="str">
        <v>DIRECT</v>
      </c>
      <c r="F905" s="6" t="str">
        <v>CAMS</v>
      </c>
      <c r="G905" s="6">
        <v>120664</v>
      </c>
      <c r="H905" s="6">
        <v>44436</v>
      </c>
      <c r="I905" s="6" t="str">
        <v>Purchase - SIP</v>
      </c>
      <c r="J905" s="5">
        <v>5000</v>
      </c>
      <c r="K905" s="5">
        <v>159.16399999999999</v>
      </c>
      <c r="L905" s="5">
        <v>31.414100000000001</v>
      </c>
      <c r="M905" s="5">
        <v>14820.334999999999</v>
      </c>
      <c r="N905" s="5" t="str">
        <v>PURCHASE_SIP</v>
      </c>
      <c r="O905" s="5">
        <v>0</v>
      </c>
    </row>
    <row r="906" spans="1:15" ht="17" x14ac:dyDescent="0.2">
      <c r="A906" s="5" t="str">
        <v>ICICI Prudential Mutual Fund</v>
      </c>
      <c r="B906" s="5" t="str">
        <v>AAAA9993</v>
      </c>
      <c r="C906" s="5" t="str">
        <v>AAAAA1111A</v>
      </c>
      <c r="D906" s="6" t="str">
        <v>ICICI Pru Equity &amp; Debt Fund - Direct Growth</v>
      </c>
      <c r="E906" s="6" t="str">
        <v>DIRECT</v>
      </c>
      <c r="F906" s="6" t="str">
        <v>CAMS</v>
      </c>
      <c r="G906" s="6">
        <v>120664</v>
      </c>
      <c r="H906" s="6">
        <v>44466</v>
      </c>
      <c r="I906" s="6" t="str">
        <v>Purchase - SIP</v>
      </c>
      <c r="J906" s="5">
        <v>5000</v>
      </c>
      <c r="K906" s="5">
        <v>155.49</v>
      </c>
      <c r="L906" s="5">
        <v>32.156500000000001</v>
      </c>
      <c r="M906" s="5">
        <v>14975.824000000001</v>
      </c>
      <c r="N906" s="5" t="str">
        <v>PURCHASE_SIP</v>
      </c>
      <c r="O906" s="5">
        <v>0</v>
      </c>
    </row>
    <row r="907" spans="1:15" ht="17" x14ac:dyDescent="0.2">
      <c r="A907" s="5" t="str">
        <v>ICICI Prudential Mutual Fund</v>
      </c>
      <c r="B907" s="5" t="str">
        <v>AAAA9993</v>
      </c>
      <c r="C907" s="5" t="str">
        <v>AAAAA1111A</v>
      </c>
      <c r="D907" s="6" t="str">
        <v>ICICI Pru Equity &amp; Debt Fund - Direct Growth</v>
      </c>
      <c r="E907" s="6" t="str">
        <v>DIRECT</v>
      </c>
      <c r="F907" s="6" t="str">
        <v>CAMS</v>
      </c>
      <c r="G907" s="6">
        <v>120664</v>
      </c>
      <c r="H907" s="6">
        <v>44466</v>
      </c>
      <c r="I907" s="6" t="str">
        <v>Dividend Paid</v>
      </c>
      <c r="J907" s="5">
        <v>7487.91</v>
      </c>
      <c r="K907" s="5">
        <v>0</v>
      </c>
      <c r="L907" s="5">
        <v>0</v>
      </c>
      <c r="M907" s="5">
        <v>14975.824000000001</v>
      </c>
      <c r="N907" s="5" t="str">
        <v>DIVIDEND_PAYOUT</v>
      </c>
      <c r="O907" s="5">
        <v>7487.91</v>
      </c>
    </row>
    <row r="908" spans="1:15" ht="17" x14ac:dyDescent="0.2">
      <c r="A908" s="5" t="str">
        <v>ICICI Prudential Mutual Fund</v>
      </c>
      <c r="B908" s="5" t="str">
        <v>AAAA9993</v>
      </c>
      <c r="C908" s="5" t="str">
        <v>AAAAA1111A</v>
      </c>
      <c r="D908" s="6" t="str">
        <v>ICICI Pru Equity &amp; Debt Fund - Direct Growth</v>
      </c>
      <c r="E908" s="6" t="str">
        <v>DIRECT</v>
      </c>
      <c r="F908" s="6" t="str">
        <v>CAMS</v>
      </c>
      <c r="G908" s="6">
        <v>120664</v>
      </c>
      <c r="H908" s="6">
        <v>44496</v>
      </c>
      <c r="I908" s="6" t="str">
        <v>Purchase - SIP</v>
      </c>
      <c r="J908" s="5">
        <v>5000</v>
      </c>
      <c r="K908" s="5">
        <v>154.869</v>
      </c>
      <c r="L908" s="5">
        <v>32.285299999999999</v>
      </c>
      <c r="M908" s="5">
        <v>15130.692999999999</v>
      </c>
      <c r="N908" s="5" t="str">
        <v>PURCHASE_SIP</v>
      </c>
      <c r="O908" s="5">
        <v>0</v>
      </c>
    </row>
    <row r="909" spans="1:15" ht="17" x14ac:dyDescent="0.2">
      <c r="A909" s="5" t="str">
        <v>ICICI Prudential Mutual Fund</v>
      </c>
      <c r="B909" s="5" t="str">
        <v>AAAA9993</v>
      </c>
      <c r="C909" s="5" t="str">
        <v>AAAAA1111A</v>
      </c>
      <c r="D909" s="6" t="str">
        <v>ICICI Pru Equity &amp; Debt Fund - Direct Growth</v>
      </c>
      <c r="E909" s="6" t="str">
        <v>DIRECT</v>
      </c>
      <c r="F909" s="6" t="str">
        <v>CAMS</v>
      </c>
      <c r="G909" s="6">
        <v>120664</v>
      </c>
      <c r="H909" s="6">
        <v>44526</v>
      </c>
      <c r="I909" s="6" t="str">
        <v>Purchase - SIP</v>
      </c>
      <c r="J909" s="5">
        <v>5000</v>
      </c>
      <c r="K909" s="5">
        <v>152.16800000000001</v>
      </c>
      <c r="L909" s="5">
        <v>32.858499999999999</v>
      </c>
      <c r="M909" s="5">
        <v>15282.861000000001</v>
      </c>
      <c r="N909" s="5" t="str">
        <v>PURCHASE_SIP</v>
      </c>
      <c r="O909" s="5">
        <v>0</v>
      </c>
    </row>
    <row r="910" spans="1:15" ht="17" x14ac:dyDescent="0.2">
      <c r="A910" s="5" t="str">
        <v>ICICI Prudential Mutual Fund</v>
      </c>
      <c r="B910" s="5" t="str">
        <v>AAAA9993</v>
      </c>
      <c r="C910" s="5" t="str">
        <v>AAAAA1111A</v>
      </c>
      <c r="D910" s="6" t="str">
        <v>ICICI Pru Equity &amp; Debt Fund - Direct Growth</v>
      </c>
      <c r="E910" s="6" t="str">
        <v>DIRECT</v>
      </c>
      <c r="F910" s="6" t="str">
        <v>CAMS</v>
      </c>
      <c r="G910" s="6">
        <v>120664</v>
      </c>
      <c r="H910" s="6">
        <v>44556</v>
      </c>
      <c r="I910" s="6" t="str">
        <v>Purchase - SIP</v>
      </c>
      <c r="J910" s="5">
        <v>5000</v>
      </c>
      <c r="K910" s="5">
        <v>148.58600000000001</v>
      </c>
      <c r="L910" s="5">
        <v>33.650500000000001</v>
      </c>
      <c r="M910" s="5">
        <v>15431.447</v>
      </c>
      <c r="N910" s="5" t="str">
        <v>PURCHASE_SIP</v>
      </c>
      <c r="O910" s="5">
        <v>0</v>
      </c>
    </row>
    <row r="911" spans="1:15" ht="17" x14ac:dyDescent="0.2">
      <c r="A911" s="5" t="str">
        <v>ICICI Prudential Mutual Fund</v>
      </c>
      <c r="B911" s="5" t="str">
        <v>AAAA9993</v>
      </c>
      <c r="C911" s="5" t="str">
        <v>AAAAA1111A</v>
      </c>
      <c r="D911" s="6" t="str">
        <v>ICICI Pru Equity &amp; Debt Fund - Direct Growth</v>
      </c>
      <c r="E911" s="6" t="str">
        <v>DIRECT</v>
      </c>
      <c r="F911" s="6" t="str">
        <v>CAMS</v>
      </c>
      <c r="G911" s="6">
        <v>120664</v>
      </c>
      <c r="H911" s="6">
        <v>44586</v>
      </c>
      <c r="I911" s="6" t="str">
        <v>Purchase - SIP</v>
      </c>
      <c r="J911" s="5">
        <v>5000</v>
      </c>
      <c r="K911" s="5">
        <v>145.72200000000001</v>
      </c>
      <c r="L911" s="5">
        <v>34.311999999999998</v>
      </c>
      <c r="M911" s="5">
        <v>15577.169</v>
      </c>
      <c r="N911" s="5" t="str">
        <v>PURCHASE_SIP</v>
      </c>
      <c r="O911" s="5">
        <v>0</v>
      </c>
    </row>
    <row r="912" spans="1:15" ht="17" x14ac:dyDescent="0.2">
      <c r="A912" s="5" t="str">
        <v>ICICI Prudential Mutual Fund</v>
      </c>
      <c r="B912" s="5" t="str">
        <v>AAAA9993</v>
      </c>
      <c r="C912" s="5" t="str">
        <v>AAAAA1111A</v>
      </c>
      <c r="D912" s="6" t="str">
        <v>ICICI Pru Equity &amp; Debt Fund - Direct Growth</v>
      </c>
      <c r="E912" s="6" t="str">
        <v>DIRECT</v>
      </c>
      <c r="F912" s="6" t="str">
        <v>CAMS</v>
      </c>
      <c r="G912" s="6">
        <v>120664</v>
      </c>
      <c r="H912" s="6">
        <v>44586</v>
      </c>
      <c r="I912" s="6" t="str">
        <v>STT TAX</v>
      </c>
      <c r="J912" s="5">
        <v>2.5</v>
      </c>
      <c r="K912" s="5">
        <v>0</v>
      </c>
      <c r="L912" s="5">
        <v>0</v>
      </c>
      <c r="M912" s="5">
        <v>15577.169</v>
      </c>
      <c r="N912" s="5" t="str">
        <v>STT_TAX</v>
      </c>
      <c r="O912" s="5">
        <v>0</v>
      </c>
    </row>
    <row r="913" spans="1:15" ht="17" x14ac:dyDescent="0.2">
      <c r="A913" s="5" t="str">
        <v>ICICI Prudential Mutual Fund</v>
      </c>
      <c r="B913" s="5" t="str">
        <v>AAAA9993</v>
      </c>
      <c r="C913" s="5" t="str">
        <v>AAAAA1111A</v>
      </c>
      <c r="D913" s="6" t="str">
        <v>ICICI Pru Equity &amp; Debt Fund - Direct Growth</v>
      </c>
      <c r="E913" s="6" t="str">
        <v>DIRECT</v>
      </c>
      <c r="F913" s="6" t="str">
        <v>CAMS</v>
      </c>
      <c r="G913" s="6">
        <v>120664</v>
      </c>
      <c r="H913" s="6">
        <v>44616</v>
      </c>
      <c r="I913" s="6" t="str">
        <v>Purchase - SIP</v>
      </c>
      <c r="J913" s="5">
        <v>5000</v>
      </c>
      <c r="K913" s="5">
        <v>147.96100000000001</v>
      </c>
      <c r="L913" s="5">
        <v>33.7926</v>
      </c>
      <c r="M913" s="5">
        <v>15725.13</v>
      </c>
      <c r="N913" s="5" t="str">
        <v>PURCHASE_SIP</v>
      </c>
      <c r="O913" s="5">
        <v>0</v>
      </c>
    </row>
    <row r="914" spans="1:15" ht="17" x14ac:dyDescent="0.2">
      <c r="A914" s="5" t="str">
        <v>ICICI Prudential Mutual Fund</v>
      </c>
      <c r="B914" s="5" t="str">
        <v>AAAA9993</v>
      </c>
      <c r="C914" s="5" t="str">
        <v>AAAAA1111A</v>
      </c>
      <c r="D914" s="6" t="str">
        <v>ICICI Pru Equity &amp; Debt Fund - Direct Growth</v>
      </c>
      <c r="E914" s="6" t="str">
        <v>DIRECT</v>
      </c>
      <c r="F914" s="6" t="str">
        <v>CAMS</v>
      </c>
      <c r="G914" s="6">
        <v>120664</v>
      </c>
      <c r="H914" s="6">
        <v>44646</v>
      </c>
      <c r="I914" s="6" t="str">
        <v>Purchase - SIP</v>
      </c>
      <c r="J914" s="5">
        <v>5000</v>
      </c>
      <c r="K914" s="5">
        <v>149.92400000000001</v>
      </c>
      <c r="L914" s="5">
        <v>33.350299999999997</v>
      </c>
      <c r="M914" s="5">
        <v>15875.054</v>
      </c>
      <c r="N914" s="5" t="str">
        <v>PURCHASE_SIP</v>
      </c>
      <c r="O914" s="5">
        <v>0</v>
      </c>
    </row>
    <row r="915" spans="1:15" ht="17" x14ac:dyDescent="0.2">
      <c r="A915" s="5" t="str">
        <v>ICICI Prudential Mutual Fund</v>
      </c>
      <c r="B915" s="5" t="str">
        <v>AAAA9993</v>
      </c>
      <c r="C915" s="5" t="str">
        <v>AAAAA1111A</v>
      </c>
      <c r="D915" s="6" t="str">
        <v>ICICI Pru Equity &amp; Debt Fund - Direct Growth</v>
      </c>
      <c r="E915" s="6" t="str">
        <v>DIRECT</v>
      </c>
      <c r="F915" s="6" t="str">
        <v>CAMS</v>
      </c>
      <c r="G915" s="6">
        <v>120664</v>
      </c>
      <c r="H915" s="6">
        <v>44676</v>
      </c>
      <c r="I915" s="6" t="str">
        <v>Purchase - SIP</v>
      </c>
      <c r="J915" s="5">
        <v>5000</v>
      </c>
      <c r="K915" s="5">
        <v>147.77099999999999</v>
      </c>
      <c r="L915" s="5">
        <v>33.835999999999999</v>
      </c>
      <c r="M915" s="5">
        <v>16022.825999999999</v>
      </c>
      <c r="N915" s="5" t="str">
        <v>PURCHASE_SIP</v>
      </c>
      <c r="O915" s="5">
        <v>0</v>
      </c>
    </row>
    <row r="916" spans="1:15" ht="17" x14ac:dyDescent="0.2">
      <c r="A916" s="5" t="str">
        <v>ICICI Prudential Mutual Fund</v>
      </c>
      <c r="B916" s="5" t="str">
        <v>AAAA9993</v>
      </c>
      <c r="C916" s="5" t="str">
        <v>AAAAA1111A</v>
      </c>
      <c r="D916" s="6" t="str">
        <v>ICICI Pru Equity &amp; Debt Fund - Direct Growth</v>
      </c>
      <c r="E916" s="6" t="str">
        <v>DIRECT</v>
      </c>
      <c r="F916" s="6" t="str">
        <v>CAMS</v>
      </c>
      <c r="G916" s="6">
        <v>120664</v>
      </c>
      <c r="H916" s="6">
        <v>44706</v>
      </c>
      <c r="I916" s="6" t="str">
        <v>Purchase - SIP</v>
      </c>
      <c r="J916" s="5">
        <v>5000</v>
      </c>
      <c r="K916" s="5">
        <v>148.94499999999999</v>
      </c>
      <c r="L916" s="5">
        <v>33.569400000000002</v>
      </c>
      <c r="M916" s="5">
        <v>16171.771000000001</v>
      </c>
      <c r="N916" s="5" t="str">
        <v>PURCHASE_SIP</v>
      </c>
      <c r="O916" s="5">
        <v>0</v>
      </c>
    </row>
    <row r="917" spans="1:15" ht="17" x14ac:dyDescent="0.2">
      <c r="A917" s="5" t="str">
        <v>ICICI Prudential Mutual Fund</v>
      </c>
      <c r="B917" s="5" t="str">
        <v>AAAA9993</v>
      </c>
      <c r="C917" s="5" t="str">
        <v>AAAAA1111A</v>
      </c>
      <c r="D917" s="6" t="str">
        <v>ICICI Pru Equity &amp; Debt Fund - Direct Growth</v>
      </c>
      <c r="E917" s="6" t="str">
        <v>DIRECT</v>
      </c>
      <c r="F917" s="6" t="str">
        <v>CAMS</v>
      </c>
      <c r="G917" s="6">
        <v>120664</v>
      </c>
      <c r="H917" s="6">
        <v>44736</v>
      </c>
      <c r="I917" s="6" t="str">
        <v>Purchase - SIP</v>
      </c>
      <c r="J917" s="5">
        <v>5000</v>
      </c>
      <c r="K917" s="5">
        <v>148.33000000000001</v>
      </c>
      <c r="L917" s="5">
        <v>33.7087</v>
      </c>
      <c r="M917" s="5">
        <v>16320.101000000001</v>
      </c>
      <c r="N917" s="5" t="str">
        <v>PURCHASE_SIP</v>
      </c>
      <c r="O917" s="5">
        <v>0</v>
      </c>
    </row>
    <row r="918" spans="1:15" ht="17" x14ac:dyDescent="0.2">
      <c r="A918" s="5" t="str">
        <v>ICICI Prudential Mutual Fund</v>
      </c>
      <c r="B918" s="5" t="str">
        <v>AAAA9993</v>
      </c>
      <c r="C918" s="5" t="str">
        <v>AAAAA1111A</v>
      </c>
      <c r="D918" s="6" t="str">
        <v>ICICI Pru Equity &amp; Debt Fund - Direct Growth</v>
      </c>
      <c r="E918" s="6" t="str">
        <v>DIRECT</v>
      </c>
      <c r="F918" s="6" t="str">
        <v>CAMS</v>
      </c>
      <c r="G918" s="6">
        <v>120664</v>
      </c>
      <c r="H918" s="6">
        <v>44736</v>
      </c>
      <c r="I918" s="6" t="str">
        <v>STT TAX</v>
      </c>
      <c r="J918" s="5">
        <v>2.5</v>
      </c>
      <c r="K918" s="5">
        <v>0</v>
      </c>
      <c r="L918" s="5">
        <v>0</v>
      </c>
      <c r="M918" s="5">
        <v>16320.101000000001</v>
      </c>
      <c r="N918" s="5" t="str">
        <v>STT_TAX</v>
      </c>
      <c r="O918" s="5">
        <v>0</v>
      </c>
    </row>
    <row r="919" spans="1:15" ht="17" x14ac:dyDescent="0.2">
      <c r="A919" s="5" t="str">
        <v>ICICI Prudential Mutual Fund</v>
      </c>
      <c r="B919" s="5" t="str">
        <v>AAAA9993</v>
      </c>
      <c r="C919" s="5" t="str">
        <v>AAAAA1111A</v>
      </c>
      <c r="D919" s="6" t="str">
        <v>ICICI Pru Equity &amp; Debt Fund - Direct Growth</v>
      </c>
      <c r="E919" s="6" t="str">
        <v>DIRECT</v>
      </c>
      <c r="F919" s="6" t="str">
        <v>CAMS</v>
      </c>
      <c r="G919" s="6">
        <v>120664</v>
      </c>
      <c r="H919" s="6">
        <v>44766</v>
      </c>
      <c r="I919" s="6" t="str">
        <v>Purchase - SIP</v>
      </c>
      <c r="J919" s="5">
        <v>5000</v>
      </c>
      <c r="K919" s="5">
        <v>148.29</v>
      </c>
      <c r="L919" s="5">
        <v>33.717599999999997</v>
      </c>
      <c r="M919" s="5">
        <v>16468.391</v>
      </c>
      <c r="N919" s="5" t="str">
        <v>PURCHASE_SIP</v>
      </c>
      <c r="O919" s="5">
        <v>0</v>
      </c>
    </row>
    <row r="920" spans="1:15" ht="17" x14ac:dyDescent="0.2">
      <c r="A920" s="5" t="str">
        <v>ICICI Prudential Mutual Fund</v>
      </c>
      <c r="B920" s="5" t="str">
        <v>AAAA9993</v>
      </c>
      <c r="C920" s="5" t="str">
        <v>AAAAA1111A</v>
      </c>
      <c r="D920" s="6" t="str">
        <v>ICICI Pru Equity &amp; Debt Fund - Direct Growth</v>
      </c>
      <c r="E920" s="6" t="str">
        <v>DIRECT</v>
      </c>
      <c r="F920" s="6" t="str">
        <v>CAMS</v>
      </c>
      <c r="G920" s="6">
        <v>120664</v>
      </c>
      <c r="H920" s="6">
        <v>44796</v>
      </c>
      <c r="I920" s="6" t="str">
        <v>Purchase - SIP</v>
      </c>
      <c r="J920" s="5">
        <v>5000</v>
      </c>
      <c r="K920" s="5">
        <v>145.76900000000001</v>
      </c>
      <c r="L920" s="5">
        <v>34.300899999999999</v>
      </c>
      <c r="M920" s="5">
        <v>16614.16</v>
      </c>
      <c r="N920" s="5" t="str">
        <v>PURCHASE_SIP</v>
      </c>
      <c r="O920" s="5">
        <v>0</v>
      </c>
    </row>
    <row r="921" spans="1:15" ht="17" x14ac:dyDescent="0.2">
      <c r="A921" s="5" t="str">
        <v>ICICI Prudential Mutual Fund</v>
      </c>
      <c r="B921" s="5" t="str">
        <v>AAAA9993</v>
      </c>
      <c r="C921" s="5" t="str">
        <v>AAAAA1111A</v>
      </c>
      <c r="D921" s="6" t="str">
        <v>ICICI Pru Equity &amp; Debt Fund - Direct Growth</v>
      </c>
      <c r="E921" s="6" t="str">
        <v>DIRECT</v>
      </c>
      <c r="F921" s="6" t="str">
        <v>CAMS</v>
      </c>
      <c r="G921" s="6">
        <v>120664</v>
      </c>
      <c r="H921" s="6">
        <v>44826</v>
      </c>
      <c r="I921" s="6" t="str">
        <v>Purchase - SIP</v>
      </c>
      <c r="J921" s="5">
        <v>5000</v>
      </c>
      <c r="K921" s="5">
        <v>144.51900000000001</v>
      </c>
      <c r="L921" s="5">
        <v>34.5976</v>
      </c>
      <c r="M921" s="5">
        <v>16758.678</v>
      </c>
      <c r="N921" s="5" t="str">
        <v>PURCHASE_SIP</v>
      </c>
      <c r="O921" s="5">
        <v>0</v>
      </c>
    </row>
    <row r="922" spans="1:15" ht="17" x14ac:dyDescent="0.2">
      <c r="A922" s="5" t="str">
        <v>ICICI Prudential Mutual Fund</v>
      </c>
      <c r="B922" s="5" t="str">
        <v>AAAA9993</v>
      </c>
      <c r="C922" s="5" t="str">
        <v>AAAAA1111A</v>
      </c>
      <c r="D922" s="6" t="str">
        <v>ICICI Pru Equity &amp; Debt Fund - Direct Growth</v>
      </c>
      <c r="E922" s="6" t="str">
        <v>DIRECT</v>
      </c>
      <c r="F922" s="6" t="str">
        <v>CAMS</v>
      </c>
      <c r="G922" s="6">
        <v>120664</v>
      </c>
      <c r="H922" s="6">
        <v>44856</v>
      </c>
      <c r="I922" s="6" t="str">
        <v>Purchase - SIP</v>
      </c>
      <c r="J922" s="5">
        <v>5000</v>
      </c>
      <c r="K922" s="5">
        <v>141.18100000000001</v>
      </c>
      <c r="L922" s="5">
        <v>35.415500000000002</v>
      </c>
      <c r="M922" s="5">
        <v>16899.86</v>
      </c>
      <c r="N922" s="5" t="str">
        <v>PURCHASE_SIP</v>
      </c>
      <c r="O922" s="5">
        <v>0</v>
      </c>
    </row>
    <row r="923" spans="1:15" ht="17" x14ac:dyDescent="0.2">
      <c r="A923" s="5" t="str">
        <v>ICICI Prudential Mutual Fund</v>
      </c>
      <c r="B923" s="5" t="str">
        <v>AAAA9993</v>
      </c>
      <c r="C923" s="5" t="str">
        <v>AAAAA1111A</v>
      </c>
      <c r="D923" s="6" t="str">
        <v>ICICI Pru Equity &amp; Debt Fund - Direct Growth</v>
      </c>
      <c r="E923" s="6" t="str">
        <v>DIRECT</v>
      </c>
      <c r="F923" s="6" t="str">
        <v>CAMS</v>
      </c>
      <c r="G923" s="6">
        <v>120664</v>
      </c>
      <c r="H923" s="6">
        <v>44886</v>
      </c>
      <c r="I923" s="6" t="str">
        <v>Purchase - SIP</v>
      </c>
      <c r="J923" s="5">
        <v>5000</v>
      </c>
      <c r="K923" s="5">
        <v>137.11099999999999</v>
      </c>
      <c r="L923" s="5">
        <v>36.466900000000003</v>
      </c>
      <c r="M923" s="5">
        <v>17036.97</v>
      </c>
      <c r="N923" s="5" t="str">
        <v>PURCHASE_SIP</v>
      </c>
      <c r="O923" s="5">
        <v>0</v>
      </c>
    </row>
    <row r="924" spans="1:15" ht="17" x14ac:dyDescent="0.2">
      <c r="A924" s="5" t="str">
        <v>ICICI Prudential Mutual Fund</v>
      </c>
      <c r="B924" s="5" t="str">
        <v>AAAA9993</v>
      </c>
      <c r="C924" s="5" t="str">
        <v>AAAAA1111A</v>
      </c>
      <c r="D924" s="6" t="str">
        <v>ICICI Pru Equity &amp; Debt Fund - Direct Growth</v>
      </c>
      <c r="E924" s="6" t="str">
        <v>DIRECT</v>
      </c>
      <c r="F924" s="6" t="str">
        <v>CAMS</v>
      </c>
      <c r="G924" s="6">
        <v>120664</v>
      </c>
      <c r="H924" s="6">
        <v>44916</v>
      </c>
      <c r="I924" s="6" t="str">
        <v>Purchase - SIP</v>
      </c>
      <c r="J924" s="5">
        <v>5000</v>
      </c>
      <c r="K924" s="5">
        <v>134.21</v>
      </c>
      <c r="L924" s="5">
        <v>37.255000000000003</v>
      </c>
      <c r="M924" s="5">
        <v>17171.18</v>
      </c>
      <c r="N924" s="5" t="str">
        <v>PURCHASE_SIP</v>
      </c>
      <c r="O924" s="5">
        <v>0</v>
      </c>
    </row>
    <row r="925" spans="1:15" ht="17" x14ac:dyDescent="0.2">
      <c r="A925" s="5" t="str">
        <v>ICICI Prudential Mutual Fund</v>
      </c>
      <c r="B925" s="5" t="str">
        <v>AAAA9993</v>
      </c>
      <c r="C925" s="5" t="str">
        <v>AAAAA1111A</v>
      </c>
      <c r="D925" s="6" t="str">
        <v>ICICI Pru Equity &amp; Debt Fund - Direct Growth</v>
      </c>
      <c r="E925" s="6" t="str">
        <v>DIRECT</v>
      </c>
      <c r="F925" s="6" t="str">
        <v>CAMS</v>
      </c>
      <c r="G925" s="6">
        <v>120664</v>
      </c>
      <c r="H925" s="6">
        <v>44916</v>
      </c>
      <c r="I925" s="6" t="str">
        <v>Dividend Paid</v>
      </c>
      <c r="J925" s="5">
        <v>8585.59</v>
      </c>
      <c r="K925" s="5">
        <v>0</v>
      </c>
      <c r="L925" s="5">
        <v>0</v>
      </c>
      <c r="M925" s="5">
        <v>17171.18</v>
      </c>
      <c r="N925" s="5" t="str">
        <v>DIVIDEND_PAYOUT</v>
      </c>
      <c r="O925" s="5">
        <v>8585.59</v>
      </c>
    </row>
    <row r="926" spans="1:15" ht="17" x14ac:dyDescent="0.2">
      <c r="A926" s="5" t="str">
        <v>ICICI Prudential Mutual Fund</v>
      </c>
      <c r="B926" s="5" t="str">
        <v>AAAA9993</v>
      </c>
      <c r="C926" s="5" t="str">
        <v>AAAAA1111A</v>
      </c>
      <c r="D926" s="6" t="str">
        <v>ICICI Pru Equity &amp; Debt Fund - Direct Growth</v>
      </c>
      <c r="E926" s="6" t="str">
        <v>DIRECT</v>
      </c>
      <c r="F926" s="6" t="str">
        <v>CAMS</v>
      </c>
      <c r="G926" s="6">
        <v>120664</v>
      </c>
      <c r="H926" s="6">
        <v>44946</v>
      </c>
      <c r="I926" s="6" t="str">
        <v>Purchase - SIP</v>
      </c>
      <c r="J926" s="5">
        <v>5000</v>
      </c>
      <c r="K926" s="5">
        <v>134.41800000000001</v>
      </c>
      <c r="L926" s="5">
        <v>37.197499999999998</v>
      </c>
      <c r="M926" s="5">
        <v>17305.598000000002</v>
      </c>
      <c r="N926" s="5" t="str">
        <v>PURCHASE_SIP</v>
      </c>
      <c r="O926" s="5">
        <v>0</v>
      </c>
    </row>
    <row r="927" spans="1:15" ht="17" x14ac:dyDescent="0.2">
      <c r="A927" s="5" t="str">
        <v>ICICI Prudential Mutual Fund</v>
      </c>
      <c r="B927" s="5" t="str">
        <v>AAAA9993</v>
      </c>
      <c r="C927" s="5" t="str">
        <v>AAAAA1111A</v>
      </c>
      <c r="D927" s="6" t="str">
        <v>ICICI Pru Equity &amp; Debt Fund - Direct Growth</v>
      </c>
      <c r="E927" s="6" t="str">
        <v>DIRECT</v>
      </c>
      <c r="F927" s="6" t="str">
        <v>CAMS</v>
      </c>
      <c r="G927" s="6">
        <v>120664</v>
      </c>
      <c r="H927" s="6">
        <v>44946</v>
      </c>
      <c r="I927" s="6" t="str">
        <v>STAMP DUTY</v>
      </c>
      <c r="J927" s="5">
        <v>2.5</v>
      </c>
      <c r="K927" s="5">
        <v>0</v>
      </c>
      <c r="L927" s="5">
        <v>0</v>
      </c>
      <c r="M927" s="5">
        <v>17305.598000000002</v>
      </c>
      <c r="N927" s="5" t="str">
        <v>STAMP_DUTY</v>
      </c>
      <c r="O927" s="5">
        <v>0</v>
      </c>
    </row>
    <row r="928" spans="1:15" ht="17" x14ac:dyDescent="0.2">
      <c r="A928" s="5" t="str">
        <v>ICICI Prudential Mutual Fund</v>
      </c>
      <c r="B928" s="5" t="str">
        <v>AAAA9993</v>
      </c>
      <c r="C928" s="5" t="str">
        <v>AAAAA1111A</v>
      </c>
      <c r="D928" s="6" t="str">
        <v>ICICI Pru Equity &amp; Debt Fund - Direct Growth</v>
      </c>
      <c r="E928" s="6" t="str">
        <v>DIRECT</v>
      </c>
      <c r="F928" s="6" t="str">
        <v>CAMS</v>
      </c>
      <c r="G928" s="6">
        <v>120664</v>
      </c>
      <c r="H928" s="6">
        <v>44976</v>
      </c>
      <c r="I928" s="6" t="str">
        <v>Purchase - SIP</v>
      </c>
      <c r="J928" s="5">
        <v>5000</v>
      </c>
      <c r="K928" s="5">
        <v>130.93100000000001</v>
      </c>
      <c r="L928" s="5">
        <v>38.188099999999999</v>
      </c>
      <c r="M928" s="5">
        <v>17436.528999999999</v>
      </c>
      <c r="N928" s="5" t="str">
        <v>PURCHASE_SIP</v>
      </c>
      <c r="O928" s="5">
        <v>0</v>
      </c>
    </row>
    <row r="929" spans="1:15" ht="17" x14ac:dyDescent="0.2">
      <c r="A929" s="5" t="str">
        <v>ICICI Prudential Mutual Fund</v>
      </c>
      <c r="B929" s="5" t="str">
        <v>AAAA9993</v>
      </c>
      <c r="C929" s="5" t="str">
        <v>AAAAA1111A</v>
      </c>
      <c r="D929" s="6" t="str">
        <v>ICICI Pru Equity &amp; Debt Fund - Direct Growth</v>
      </c>
      <c r="E929" s="6" t="str">
        <v>DIRECT</v>
      </c>
      <c r="F929" s="6" t="str">
        <v>CAMS</v>
      </c>
      <c r="G929" s="6">
        <v>120664</v>
      </c>
      <c r="H929" s="6">
        <v>44976</v>
      </c>
      <c r="I929" s="6" t="str">
        <v>STAMP DUTY</v>
      </c>
      <c r="J929" s="5">
        <v>2.5</v>
      </c>
      <c r="K929" s="5">
        <v>0</v>
      </c>
      <c r="L929" s="5">
        <v>0</v>
      </c>
      <c r="M929" s="5">
        <v>17436.528999999999</v>
      </c>
      <c r="N929" s="5" t="str">
        <v>STAMP_DUTY</v>
      </c>
      <c r="O929" s="5">
        <v>0</v>
      </c>
    </row>
    <row r="930" spans="1:15" ht="17" x14ac:dyDescent="0.2">
      <c r="A930" s="5" t="str">
        <v>ICICI Prudential Mutual Fund</v>
      </c>
      <c r="B930" s="5" t="str">
        <v>AAAA9993</v>
      </c>
      <c r="C930" s="5" t="str">
        <v>AAAAA1111A</v>
      </c>
      <c r="D930" s="6" t="str">
        <v>ICICI Pru Equity &amp; Debt Fund - Direct Growth</v>
      </c>
      <c r="E930" s="6" t="str">
        <v>DIRECT</v>
      </c>
      <c r="F930" s="6" t="str">
        <v>CAMS</v>
      </c>
      <c r="G930" s="6">
        <v>120664</v>
      </c>
      <c r="H930" s="6">
        <v>45006</v>
      </c>
      <c r="I930" s="6" t="str">
        <v>Purchase - SIP</v>
      </c>
      <c r="J930" s="5">
        <v>5000</v>
      </c>
      <c r="K930" s="5">
        <v>129.84899999999999</v>
      </c>
      <c r="L930" s="5">
        <v>38.506300000000003</v>
      </c>
      <c r="M930" s="5">
        <v>17566.378000000001</v>
      </c>
      <c r="N930" s="5" t="str">
        <v>PURCHASE_SIP</v>
      </c>
      <c r="O930" s="5">
        <v>0</v>
      </c>
    </row>
    <row r="931" spans="1:15" ht="17" x14ac:dyDescent="0.2">
      <c r="A931" s="5" t="str">
        <v>ICICI Prudential Mutual Fund</v>
      </c>
      <c r="B931" s="5" t="str">
        <v>AAAA9993</v>
      </c>
      <c r="C931" s="5" t="str">
        <v>AAAAA1111A</v>
      </c>
      <c r="D931" s="6" t="str">
        <v>ICICI Pru Equity &amp; Debt Fund - Direct Growth</v>
      </c>
      <c r="E931" s="6" t="str">
        <v>DIRECT</v>
      </c>
      <c r="F931" s="6" t="str">
        <v>CAMS</v>
      </c>
      <c r="G931" s="6">
        <v>120664</v>
      </c>
      <c r="H931" s="6">
        <v>45036</v>
      </c>
      <c r="I931" s="6" t="str">
        <v>Purchase - SIP</v>
      </c>
      <c r="J931" s="5">
        <v>5000</v>
      </c>
      <c r="K931" s="5">
        <v>126.41</v>
      </c>
      <c r="L931" s="5">
        <v>39.553699999999999</v>
      </c>
      <c r="M931" s="5">
        <v>17692.788</v>
      </c>
      <c r="N931" s="5" t="str">
        <v>PURCHASE_SIP</v>
      </c>
      <c r="O931" s="5">
        <v>0</v>
      </c>
    </row>
    <row r="932" spans="1:15" ht="17" x14ac:dyDescent="0.2">
      <c r="A932" s="5" t="str">
        <v>ICICI Prudential Mutual Fund</v>
      </c>
      <c r="B932" s="5" t="str">
        <v>AAAA9993</v>
      </c>
      <c r="C932" s="5" t="str">
        <v>AAAAA1111A</v>
      </c>
      <c r="D932" s="6" t="str">
        <v>ICICI Pru Equity &amp; Debt Fund - Direct Growth</v>
      </c>
      <c r="E932" s="6" t="str">
        <v>DIRECT</v>
      </c>
      <c r="F932" s="6" t="str">
        <v>CAMS</v>
      </c>
      <c r="G932" s="6">
        <v>120664</v>
      </c>
      <c r="H932" s="6">
        <v>45066</v>
      </c>
      <c r="I932" s="6" t="str">
        <v>Purchase - SIP</v>
      </c>
      <c r="J932" s="5">
        <v>5000</v>
      </c>
      <c r="K932" s="5">
        <v>125.36</v>
      </c>
      <c r="L932" s="5">
        <v>39.885300000000001</v>
      </c>
      <c r="M932" s="5">
        <v>17818.148000000001</v>
      </c>
      <c r="N932" s="5" t="str">
        <v>PURCHASE_SIP</v>
      </c>
      <c r="O932" s="5">
        <v>0</v>
      </c>
    </row>
    <row r="933" spans="1:15" ht="17" x14ac:dyDescent="0.2">
      <c r="A933" s="5" t="str">
        <v>ICICI Prudential Mutual Fund</v>
      </c>
      <c r="B933" s="5" t="str">
        <v>AAAA9993</v>
      </c>
      <c r="C933" s="5" t="str">
        <v>AAAAA1111A</v>
      </c>
      <c r="D933" s="6" t="str">
        <v>ICICI Pru Equity &amp; Debt Fund - Direct Growth</v>
      </c>
      <c r="E933" s="6" t="str">
        <v>DIRECT</v>
      </c>
      <c r="F933" s="6" t="str">
        <v>CAMS</v>
      </c>
      <c r="G933" s="6">
        <v>120664</v>
      </c>
      <c r="H933" s="6">
        <v>45096</v>
      </c>
      <c r="I933" s="6" t="str">
        <v>Purchase - SIP</v>
      </c>
      <c r="J933" s="5">
        <v>5000</v>
      </c>
      <c r="K933" s="5">
        <v>123.581</v>
      </c>
      <c r="L933" s="5">
        <v>40.459400000000002</v>
      </c>
      <c r="M933" s="5">
        <v>17941.727999999999</v>
      </c>
      <c r="N933" s="5" t="str">
        <v>PURCHASE_SIP</v>
      </c>
      <c r="O933" s="5">
        <v>0</v>
      </c>
    </row>
    <row r="934" spans="1:15" ht="17" x14ac:dyDescent="0.2">
      <c r="A934" s="5" t="str">
        <v>ICICI Prudential Mutual Fund</v>
      </c>
      <c r="B934" s="5" t="str">
        <v>AAAA9993</v>
      </c>
      <c r="C934" s="5" t="str">
        <v>AAAAA1111A</v>
      </c>
      <c r="D934" s="6" t="str">
        <v>ICICI Pru Equity &amp; Debt Fund - Direct Growth</v>
      </c>
      <c r="E934" s="6" t="str">
        <v>DIRECT</v>
      </c>
      <c r="F934" s="6" t="str">
        <v>CAMS</v>
      </c>
      <c r="G934" s="6">
        <v>120664</v>
      </c>
      <c r="H934" s="6">
        <v>45126</v>
      </c>
      <c r="I934" s="6" t="str">
        <v>Purchase - SIP</v>
      </c>
      <c r="J934" s="5">
        <v>5000</v>
      </c>
      <c r="K934" s="5">
        <v>121.181</v>
      </c>
      <c r="L934" s="5">
        <v>41.260599999999997</v>
      </c>
      <c r="M934" s="5">
        <v>18062.909</v>
      </c>
      <c r="N934" s="5" t="str">
        <v>PURCHASE_SIP</v>
      </c>
      <c r="O934" s="5">
        <v>0</v>
      </c>
    </row>
    <row r="935" spans="1:15" ht="17" x14ac:dyDescent="0.2">
      <c r="A935" s="5" t="str">
        <v>ICICI Prudential Mutual Fund</v>
      </c>
      <c r="B935" s="5" t="str">
        <v>AAAA9993</v>
      </c>
      <c r="C935" s="5" t="str">
        <v>AAAAA1111A</v>
      </c>
      <c r="D935" s="6" t="str">
        <v>ICICI Pru Equity &amp; Debt Fund - Direct Growth</v>
      </c>
      <c r="E935" s="6" t="str">
        <v>DIRECT</v>
      </c>
      <c r="F935" s="6" t="str">
        <v>CAMS</v>
      </c>
      <c r="G935" s="6">
        <v>120664</v>
      </c>
      <c r="H935" s="6">
        <v>45126</v>
      </c>
      <c r="I935" s="6" t="str">
        <v>Redemption</v>
      </c>
      <c r="J935" s="5">
        <v>-149057.19</v>
      </c>
      <c r="K935" s="5">
        <v>-3612.5819999999999</v>
      </c>
      <c r="L935" s="5">
        <v>41.260599999999997</v>
      </c>
      <c r="M935" s="5">
        <v>14450.326999999999</v>
      </c>
      <c r="N935" s="5" t="str">
        <v>REDEMPTION</v>
      </c>
      <c r="O935" s="5">
        <v>0</v>
      </c>
    </row>
    <row r="936" spans="1:15" ht="17" x14ac:dyDescent="0.2">
      <c r="A936" s="5" t="str">
        <v>ICICI Prudential Mutual Fund</v>
      </c>
      <c r="B936" s="5" t="str">
        <v>AAAA9993</v>
      </c>
      <c r="C936" s="5" t="str">
        <v>AAAAA1111A</v>
      </c>
      <c r="D936" s="6" t="str">
        <v>ICICI Pru Equity &amp; Debt Fund - Direct Growth</v>
      </c>
      <c r="E936" s="6" t="str">
        <v>DIRECT</v>
      </c>
      <c r="F936" s="6" t="str">
        <v>CAMS</v>
      </c>
      <c r="G936" s="6">
        <v>120664</v>
      </c>
      <c r="H936" s="6">
        <v>45156</v>
      </c>
      <c r="I936" s="6" t="str">
        <v>Purchase - SIP</v>
      </c>
      <c r="J936" s="5">
        <v>5000</v>
      </c>
      <c r="K936" s="5">
        <v>119.904</v>
      </c>
      <c r="L936" s="5">
        <v>41.7</v>
      </c>
      <c r="M936" s="5">
        <v>14570.232</v>
      </c>
      <c r="N936" s="5" t="str">
        <v>PURCHASE_SIP</v>
      </c>
      <c r="O936" s="5">
        <v>0</v>
      </c>
    </row>
    <row r="937" spans="1:15" ht="17" x14ac:dyDescent="0.2">
      <c r="A937" s="5" t="str">
        <v>ICICI Prudential Mutual Fund</v>
      </c>
      <c r="B937" s="5" t="str">
        <v>AAAA9993</v>
      </c>
      <c r="C937" s="5" t="str">
        <v>AAAAA1111A</v>
      </c>
      <c r="D937" s="6" t="str">
        <v>ICICI Pru Equity &amp; Debt Fund - Direct Growth</v>
      </c>
      <c r="E937" s="6" t="str">
        <v>DIRECT</v>
      </c>
      <c r="F937" s="6" t="str">
        <v>CAMS</v>
      </c>
      <c r="G937" s="6">
        <v>120664</v>
      </c>
      <c r="H937" s="6">
        <v>45186</v>
      </c>
      <c r="I937" s="6" t="str">
        <v>Purchase - SIP</v>
      </c>
      <c r="J937" s="5">
        <v>5000</v>
      </c>
      <c r="K937" s="5">
        <v>120.499</v>
      </c>
      <c r="L937" s="5">
        <v>41.494199999999999</v>
      </c>
      <c r="M937" s="5">
        <v>14690.73</v>
      </c>
      <c r="N937" s="5" t="str">
        <v>PURCHASE_SIP</v>
      </c>
      <c r="O937" s="5">
        <v>0</v>
      </c>
    </row>
    <row r="938" spans="1:15" ht="17" x14ac:dyDescent="0.2">
      <c r="A938" s="5" t="str">
        <v>ICICI Prudential Mutual Fund</v>
      </c>
      <c r="B938" s="5" t="str">
        <v>AAAA9993</v>
      </c>
      <c r="C938" s="5" t="str">
        <v>AAAAA1111A</v>
      </c>
      <c r="D938" s="6" t="str">
        <v>ICICI Pru Equity &amp; Debt Fund - Direct Growth</v>
      </c>
      <c r="E938" s="6" t="str">
        <v>DIRECT</v>
      </c>
      <c r="F938" s="6" t="str">
        <v>CAMS</v>
      </c>
      <c r="G938" s="6">
        <v>120664</v>
      </c>
      <c r="H938" s="6">
        <v>45186</v>
      </c>
      <c r="I938" s="6" t="str">
        <v>STT TAX</v>
      </c>
      <c r="J938" s="5">
        <v>2.5</v>
      </c>
      <c r="K938" s="5">
        <v>0</v>
      </c>
      <c r="L938" s="5">
        <v>0</v>
      </c>
      <c r="M938" s="5">
        <v>14690.73</v>
      </c>
      <c r="N938" s="5" t="str">
        <v>STT_TAX</v>
      </c>
      <c r="O938" s="5">
        <v>0</v>
      </c>
    </row>
    <row r="939" spans="1:15" ht="17" x14ac:dyDescent="0.2">
      <c r="A939" s="5" t="str">
        <v>ICICI Prudential Mutual Fund</v>
      </c>
      <c r="B939" s="5" t="str">
        <v>AAAA9993</v>
      </c>
      <c r="C939" s="5" t="str">
        <v>AAAAA1111A</v>
      </c>
      <c r="D939" s="6" t="str">
        <v>ICICI Pru Equity &amp; Debt Fund - Direct Growth</v>
      </c>
      <c r="E939" s="6" t="str">
        <v>DIRECT</v>
      </c>
      <c r="F939" s="6" t="str">
        <v>CAMS</v>
      </c>
      <c r="G939" s="6">
        <v>120664</v>
      </c>
      <c r="H939" s="6">
        <v>45216</v>
      </c>
      <c r="I939" s="6" t="str">
        <v>Purchase - SIP</v>
      </c>
      <c r="J939" s="5">
        <v>5000</v>
      </c>
      <c r="K939" s="5">
        <v>122.351</v>
      </c>
      <c r="L939" s="5">
        <v>40.866</v>
      </c>
      <c r="M939" s="5">
        <v>14813.081</v>
      </c>
      <c r="N939" s="5" t="str">
        <v>PURCHASE_SIP</v>
      </c>
      <c r="O939" s="5">
        <v>0</v>
      </c>
    </row>
    <row r="940" spans="1:15" ht="17" x14ac:dyDescent="0.2">
      <c r="A940" s="5" t="str">
        <v>ICICI Prudential Mutual Fund</v>
      </c>
      <c r="B940" s="5" t="str">
        <v>AAAA9993</v>
      </c>
      <c r="C940" s="5" t="str">
        <v>AAAAA1111A</v>
      </c>
      <c r="D940" s="6" t="str">
        <v>ICICI Pru Equity &amp; Debt Fund - Direct Growth</v>
      </c>
      <c r="E940" s="6" t="str">
        <v>DIRECT</v>
      </c>
      <c r="F940" s="6" t="str">
        <v>CAMS</v>
      </c>
      <c r="G940" s="6">
        <v>120664</v>
      </c>
      <c r="H940" s="6">
        <v>45216</v>
      </c>
      <c r="I940" s="6" t="str">
        <v>Dividend Paid</v>
      </c>
      <c r="J940" s="5">
        <v>7406.54</v>
      </c>
      <c r="K940" s="5">
        <v>0</v>
      </c>
      <c r="L940" s="5">
        <v>0</v>
      </c>
      <c r="M940" s="5">
        <v>14813.081</v>
      </c>
      <c r="N940" s="5" t="str">
        <v>DIVIDEND_PAYOUT</v>
      </c>
      <c r="O940" s="5">
        <v>7406.54</v>
      </c>
    </row>
    <row r="941" spans="1:15" ht="17" x14ac:dyDescent="0.2">
      <c r="A941" s="5" t="str">
        <v>ICICI Prudential Mutual Fund</v>
      </c>
      <c r="B941" s="5" t="str">
        <v>AAAA9993</v>
      </c>
      <c r="C941" s="5" t="str">
        <v>AAAAA1111A</v>
      </c>
      <c r="D941" s="6" t="str">
        <v>ICICI Pru Equity &amp; Debt Fund - Direct Growth</v>
      </c>
      <c r="E941" s="6" t="str">
        <v>DIRECT</v>
      </c>
      <c r="F941" s="6" t="str">
        <v>CAMS</v>
      </c>
      <c r="G941" s="6">
        <v>120664</v>
      </c>
      <c r="H941" s="6">
        <v>45246</v>
      </c>
      <c r="I941" s="6" t="str">
        <v>Purchase - SIP</v>
      </c>
      <c r="J941" s="5">
        <v>5000</v>
      </c>
      <c r="K941" s="5">
        <v>124.191</v>
      </c>
      <c r="L941" s="5">
        <v>40.260599999999997</v>
      </c>
      <c r="M941" s="5">
        <v>14937.272000000001</v>
      </c>
      <c r="N941" s="5" t="str">
        <v>PURCHASE_SIP</v>
      </c>
      <c r="O941" s="5">
        <v>0</v>
      </c>
    </row>
    <row r="942" spans="1:15" ht="17" x14ac:dyDescent="0.2">
      <c r="A942" s="5" t="str">
        <v>ICICI Prudential Mutual Fund</v>
      </c>
      <c r="B942" s="5" t="str">
        <v>AAAA9993</v>
      </c>
      <c r="C942" s="5" t="str">
        <v>AAAAA1111A</v>
      </c>
      <c r="D942" s="6" t="str">
        <v>ICICI Pru Equity &amp; Debt Fund - Direct Growth</v>
      </c>
      <c r="E942" s="6" t="str">
        <v>DIRECT</v>
      </c>
      <c r="F942" s="6" t="str">
        <v>CAMS</v>
      </c>
      <c r="G942" s="6">
        <v>120664</v>
      </c>
      <c r="H942" s="6">
        <v>45246</v>
      </c>
      <c r="I942" s="6" t="str">
        <v>STT TAX</v>
      </c>
      <c r="J942" s="5">
        <v>2.5</v>
      </c>
      <c r="K942" s="5">
        <v>0</v>
      </c>
      <c r="L942" s="5">
        <v>0</v>
      </c>
      <c r="M942" s="5">
        <v>14937.272000000001</v>
      </c>
      <c r="N942" s="5" t="str">
        <v>STT_TAX</v>
      </c>
      <c r="O942" s="5">
        <v>0</v>
      </c>
    </row>
    <row r="943" spans="1:15" ht="17" x14ac:dyDescent="0.2">
      <c r="A943" s="5" t="str">
        <v>ICICI Prudential Mutual Fund</v>
      </c>
      <c r="B943" s="5" t="str">
        <v>AAAA9993</v>
      </c>
      <c r="C943" s="5" t="str">
        <v>AAAAA1111A</v>
      </c>
      <c r="D943" s="6" t="str">
        <v>ICICI Pru Equity &amp; Debt Fund - Direct Growth</v>
      </c>
      <c r="E943" s="6" t="str">
        <v>DIRECT</v>
      </c>
      <c r="F943" s="6" t="str">
        <v>CAMS</v>
      </c>
      <c r="G943" s="6">
        <v>120664</v>
      </c>
      <c r="H943" s="6">
        <v>45276</v>
      </c>
      <c r="I943" s="6" t="str">
        <v>Purchase - SIP</v>
      </c>
      <c r="J943" s="5">
        <v>5000</v>
      </c>
      <c r="K943" s="5">
        <v>123.504</v>
      </c>
      <c r="L943" s="5">
        <v>40.484499999999997</v>
      </c>
      <c r="M943" s="5">
        <v>15060.776</v>
      </c>
      <c r="N943" s="5" t="str">
        <v>PURCHASE_SIP</v>
      </c>
      <c r="O943" s="5">
        <v>0</v>
      </c>
    </row>
    <row r="944" spans="1:15" ht="17" x14ac:dyDescent="0.2">
      <c r="A944" s="5" t="str">
        <v>ICICI Prudential Mutual Fund</v>
      </c>
      <c r="B944" s="5" t="str">
        <v>AAAA9993</v>
      </c>
      <c r="C944" s="5" t="str">
        <v>AAAAA1111A</v>
      </c>
      <c r="D944" s="6" t="str">
        <v>ICICI Pru Equity &amp; Debt Fund - Direct Growth</v>
      </c>
      <c r="E944" s="6" t="str">
        <v>DIRECT</v>
      </c>
      <c r="F944" s="6" t="str">
        <v>CAMS</v>
      </c>
      <c r="G944" s="6">
        <v>120664</v>
      </c>
      <c r="H944" s="6">
        <v>45306</v>
      </c>
      <c r="I944" s="6" t="str">
        <v>Purchase - SIP</v>
      </c>
      <c r="J944" s="5">
        <v>5000</v>
      </c>
      <c r="K944" s="5">
        <v>125.33</v>
      </c>
      <c r="L944" s="5">
        <v>39.8947</v>
      </c>
      <c r="M944" s="5">
        <v>15186.106</v>
      </c>
      <c r="N944" s="5" t="str">
        <v>PURCHASE_SIP</v>
      </c>
      <c r="O944" s="5">
        <v>0</v>
      </c>
    </row>
    <row r="945" spans="1:15" ht="17" x14ac:dyDescent="0.2">
      <c r="A945" s="5" t="str">
        <v>ICICI Prudential Mutual Fund</v>
      </c>
      <c r="B945" s="5" t="str">
        <v>AAAA9993</v>
      </c>
      <c r="C945" s="5" t="str">
        <v>AAAAA1111A</v>
      </c>
      <c r="D945" s="6" t="str">
        <v>ICICI Pru Equity &amp; Debt Fund - Direct Growth</v>
      </c>
      <c r="E945" s="6" t="str">
        <v>DIRECT</v>
      </c>
      <c r="F945" s="6" t="str">
        <v>CAMS</v>
      </c>
      <c r="G945" s="6">
        <v>120664</v>
      </c>
      <c r="H945" s="6">
        <v>45336</v>
      </c>
      <c r="I945" s="6" t="str">
        <v>Purchase - SIP</v>
      </c>
      <c r="J945" s="5">
        <v>5000</v>
      </c>
      <c r="K945" s="5">
        <v>123.79300000000001</v>
      </c>
      <c r="L945" s="5">
        <v>40.390099999999997</v>
      </c>
      <c r="M945" s="5">
        <v>15309.898999999999</v>
      </c>
      <c r="N945" s="5" t="str">
        <v>PURCHASE_SIP</v>
      </c>
      <c r="O945" s="5">
        <v>0</v>
      </c>
    </row>
    <row r="946" spans="1:15" ht="17" x14ac:dyDescent="0.2">
      <c r="A946" s="5" t="str">
        <v>ICICI Prudential Mutual Fund</v>
      </c>
      <c r="B946" s="5" t="str">
        <v>AAAA9993</v>
      </c>
      <c r="C946" s="5" t="str">
        <v>AAAAA1111A</v>
      </c>
      <c r="D946" s="6" t="str">
        <v>ICICI Pru Equity &amp; Debt Fund - Direct Growth</v>
      </c>
      <c r="E946" s="6" t="str">
        <v>DIRECT</v>
      </c>
      <c r="F946" s="6" t="str">
        <v>CAMS</v>
      </c>
      <c r="G946" s="6">
        <v>120664</v>
      </c>
      <c r="H946" s="6">
        <v>45366</v>
      </c>
      <c r="I946" s="6" t="str">
        <v>Purchase - SIP</v>
      </c>
      <c r="J946" s="5">
        <v>5000</v>
      </c>
      <c r="K946" s="5">
        <v>126.06699999999999</v>
      </c>
      <c r="L946" s="5">
        <v>39.6614</v>
      </c>
      <c r="M946" s="5">
        <v>15435.966</v>
      </c>
      <c r="N946" s="5" t="str">
        <v>PURCHASE_SIP</v>
      </c>
      <c r="O946" s="5">
        <v>0</v>
      </c>
    </row>
    <row r="947" spans="1:15" ht="17" x14ac:dyDescent="0.2">
      <c r="A947" s="5" t="str">
        <v>ICICI Prudential Mutual Fund</v>
      </c>
      <c r="B947" s="5" t="str">
        <v>AAAA9993</v>
      </c>
      <c r="C947" s="5" t="str">
        <v>AAAAA1111A</v>
      </c>
      <c r="D947" s="6" t="str">
        <v>ICICI Pru Equity &amp; Debt Fund - Direct Growth</v>
      </c>
      <c r="E947" s="6" t="str">
        <v>DIRECT</v>
      </c>
      <c r="F947" s="6" t="str">
        <v>CAMS</v>
      </c>
      <c r="G947" s="6">
        <v>120664</v>
      </c>
      <c r="H947" s="6">
        <v>45396</v>
      </c>
      <c r="I947" s="6" t="str">
        <v>Purchase - SIP</v>
      </c>
      <c r="J947" s="5">
        <v>5000</v>
      </c>
      <c r="K947" s="5">
        <v>124.35899999999999</v>
      </c>
      <c r="L947" s="5">
        <v>40.206099999999999</v>
      </c>
      <c r="M947" s="5">
        <v>15560.325999999999</v>
      </c>
      <c r="N947" s="5" t="str">
        <v>PURCHASE_SIP</v>
      </c>
      <c r="O947" s="5">
        <v>0</v>
      </c>
    </row>
    <row r="948" spans="1:15" ht="17" x14ac:dyDescent="0.2">
      <c r="A948" s="5" t="str">
        <v>ICICI Prudential Mutual Fund</v>
      </c>
      <c r="B948" s="5" t="str">
        <v>AAAA9993</v>
      </c>
      <c r="C948" s="5" t="str">
        <v>AAAAA1111A</v>
      </c>
      <c r="D948" s="6" t="str">
        <v>ICICI Pru Equity &amp; Debt Fund - Direct Growth</v>
      </c>
      <c r="E948" s="6" t="str">
        <v>DIRECT</v>
      </c>
      <c r="F948" s="6" t="str">
        <v>CAMS</v>
      </c>
      <c r="G948" s="6">
        <v>120664</v>
      </c>
      <c r="H948" s="6">
        <v>45426</v>
      </c>
      <c r="I948" s="6" t="str">
        <v>Purchase - SIP</v>
      </c>
      <c r="J948" s="5">
        <v>5000</v>
      </c>
      <c r="K948" s="5">
        <v>122.908</v>
      </c>
      <c r="L948" s="5">
        <v>40.680999999999997</v>
      </c>
      <c r="M948" s="5">
        <v>15683.233</v>
      </c>
      <c r="N948" s="5" t="str">
        <v>PURCHASE_SIP</v>
      </c>
      <c r="O948" s="5">
        <v>0</v>
      </c>
    </row>
    <row r="949" spans="1:15" ht="17" x14ac:dyDescent="0.2">
      <c r="A949" s="5" t="str">
        <v>ICICI Prudential Mutual Fund</v>
      </c>
      <c r="B949" s="5" t="str">
        <v>AAAA9993</v>
      </c>
      <c r="C949" s="5" t="str">
        <v>AAAAA1111A</v>
      </c>
      <c r="D949" s="6" t="str">
        <v>ICICI Pru Equity &amp; Debt Fund - Direct Growth</v>
      </c>
      <c r="E949" s="6" t="str">
        <v>DIRECT</v>
      </c>
      <c r="F949" s="6" t="str">
        <v>CAMS</v>
      </c>
      <c r="G949" s="6">
        <v>120664</v>
      </c>
      <c r="H949" s="6">
        <v>45456</v>
      </c>
      <c r="I949" s="6" t="str">
        <v>Purchase - SIP</v>
      </c>
      <c r="J949" s="5">
        <v>5000</v>
      </c>
      <c r="K949" s="5">
        <v>123.941</v>
      </c>
      <c r="L949" s="5">
        <v>40.3416</v>
      </c>
      <c r="M949" s="5">
        <v>15807.174999999999</v>
      </c>
      <c r="N949" s="5" t="str">
        <v>PURCHASE_SIP</v>
      </c>
      <c r="O949" s="5">
        <v>0</v>
      </c>
    </row>
    <row r="950" spans="1:15" ht="17" x14ac:dyDescent="0.2">
      <c r="A950" s="5" t="str">
        <v>ICICI Prudential Mutual Fund</v>
      </c>
      <c r="B950" s="5" t="str">
        <v>AAAA9993</v>
      </c>
      <c r="C950" s="5" t="str">
        <v>AAAAA1111A</v>
      </c>
      <c r="D950" s="6" t="str">
        <v>ICICI Pru Equity &amp; Debt Fund - Direct Growth</v>
      </c>
      <c r="E950" s="6" t="str">
        <v>DIRECT</v>
      </c>
      <c r="F950" s="6" t="str">
        <v>CAMS</v>
      </c>
      <c r="G950" s="6">
        <v>120664</v>
      </c>
      <c r="H950" s="6">
        <v>45456</v>
      </c>
      <c r="I950" s="6" t="str">
        <v>STAMP DUTY</v>
      </c>
      <c r="J950" s="5">
        <v>2.5</v>
      </c>
      <c r="K950" s="5">
        <v>0</v>
      </c>
      <c r="L950" s="5">
        <v>0</v>
      </c>
      <c r="M950" s="5">
        <v>15807.174999999999</v>
      </c>
      <c r="N950" s="5" t="str">
        <v>STAMP_DUTY</v>
      </c>
      <c r="O950" s="5">
        <v>0</v>
      </c>
    </row>
    <row r="951" spans="1:15" ht="17" x14ac:dyDescent="0.2">
      <c r="A951" s="5" t="str">
        <v>ICICI Prudential Mutual Fund</v>
      </c>
      <c r="B951" s="5" t="str">
        <v>AAAA9993</v>
      </c>
      <c r="C951" s="5" t="str">
        <v>AAAAA1111A</v>
      </c>
      <c r="D951" s="6" t="str">
        <v>ICICI Pru Equity &amp; Debt Fund - Direct Growth</v>
      </c>
      <c r="E951" s="6" t="str">
        <v>DIRECT</v>
      </c>
      <c r="F951" s="6" t="str">
        <v>CAMS</v>
      </c>
      <c r="G951" s="6">
        <v>120664</v>
      </c>
      <c r="H951" s="6">
        <v>45486</v>
      </c>
      <c r="I951" s="6" t="str">
        <v>Purchase - SIP</v>
      </c>
      <c r="J951" s="5">
        <v>5000</v>
      </c>
      <c r="K951" s="5">
        <v>124.614</v>
      </c>
      <c r="L951" s="5">
        <v>40.124000000000002</v>
      </c>
      <c r="M951" s="5">
        <v>15931.788</v>
      </c>
      <c r="N951" s="5" t="str">
        <v>PURCHASE_SIP</v>
      </c>
      <c r="O951" s="5">
        <v>0</v>
      </c>
    </row>
    <row r="952" spans="1:15" ht="17" x14ac:dyDescent="0.2">
      <c r="A952" s="5" t="str">
        <v>ICICI Prudential Mutual Fund</v>
      </c>
      <c r="B952" s="5" t="str">
        <v>AAAA9993</v>
      </c>
      <c r="C952" s="5" t="str">
        <v>AAAAA1111A</v>
      </c>
      <c r="D952" s="6" t="str">
        <v>ICICI Pru Equity &amp; Debt Fund - Direct Growth</v>
      </c>
      <c r="E952" s="6" t="str">
        <v>DIRECT</v>
      </c>
      <c r="F952" s="6" t="str">
        <v>CAMS</v>
      </c>
      <c r="G952" s="6">
        <v>120664</v>
      </c>
      <c r="H952" s="6">
        <v>45516</v>
      </c>
      <c r="I952" s="6" t="str">
        <v>Purchase - SIP</v>
      </c>
      <c r="J952" s="5">
        <v>5000</v>
      </c>
      <c r="K952" s="5">
        <v>122.32899999999999</v>
      </c>
      <c r="L952" s="5">
        <v>40.8735</v>
      </c>
      <c r="M952" s="5">
        <v>16054.117</v>
      </c>
      <c r="N952" s="5" t="str">
        <v>PURCHASE_SIP</v>
      </c>
      <c r="O952" s="5">
        <v>0</v>
      </c>
    </row>
    <row r="953" spans="1:15" ht="17" x14ac:dyDescent="0.2">
      <c r="A953" s="5" t="str">
        <v>ICICI Prudential Mutual Fund</v>
      </c>
      <c r="B953" s="5" t="str">
        <v>AAAA9993</v>
      </c>
      <c r="C953" s="5" t="str">
        <v>AAAAA1111A</v>
      </c>
      <c r="D953" s="6" t="str">
        <v>ICICI Pru Equity &amp; Debt Fund - Direct Growth</v>
      </c>
      <c r="E953" s="6" t="str">
        <v>DIRECT</v>
      </c>
      <c r="F953" s="6" t="str">
        <v>CAMS</v>
      </c>
      <c r="G953" s="6">
        <v>120664</v>
      </c>
      <c r="H953" s="6">
        <v>45546</v>
      </c>
      <c r="I953" s="6" t="str">
        <v>Purchase - SIP</v>
      </c>
      <c r="J953" s="5">
        <v>5000</v>
      </c>
      <c r="K953" s="5">
        <v>119.422</v>
      </c>
      <c r="L953" s="5">
        <v>41.868299999999998</v>
      </c>
      <c r="M953" s="5">
        <v>16173.539000000001</v>
      </c>
      <c r="N953" s="5" t="str">
        <v>PURCHASE_SIP</v>
      </c>
      <c r="O953" s="5">
        <v>0</v>
      </c>
    </row>
    <row r="954" spans="1:15" ht="17" x14ac:dyDescent="0.2">
      <c r="A954" s="5" t="str">
        <v>ICICI Prudential Mutual Fund</v>
      </c>
      <c r="B954" s="5" t="str">
        <v>AAAA9993</v>
      </c>
      <c r="C954" s="5" t="str">
        <v>AAAAA1111A</v>
      </c>
      <c r="D954" s="6" t="str">
        <v>ICICI Pru Equity &amp; Debt Fund - Direct Growth</v>
      </c>
      <c r="E954" s="6" t="str">
        <v>DIRECT</v>
      </c>
      <c r="F954" s="6" t="str">
        <v>CAMS</v>
      </c>
      <c r="G954" s="6">
        <v>120664</v>
      </c>
      <c r="H954" s="6">
        <v>45546</v>
      </c>
      <c r="I954" s="6" t="str">
        <v>STT TAX</v>
      </c>
      <c r="J954" s="5">
        <v>2.5</v>
      </c>
      <c r="K954" s="5">
        <v>0</v>
      </c>
      <c r="L954" s="5">
        <v>0</v>
      </c>
      <c r="M954" s="5">
        <v>16173.539000000001</v>
      </c>
      <c r="N954" s="5" t="str">
        <v>STT_TAX</v>
      </c>
      <c r="O954" s="5">
        <v>0</v>
      </c>
    </row>
    <row r="955" spans="1:15" ht="17" x14ac:dyDescent="0.2">
      <c r="A955" s="5" t="str">
        <v>ICICI Prudential Mutual Fund</v>
      </c>
      <c r="B955" s="5" t="str">
        <v>AAAA9993</v>
      </c>
      <c r="C955" s="5" t="str">
        <v>AAAAA1111A</v>
      </c>
      <c r="D955" s="6" t="str">
        <v>ICICI Pru Equity &amp; Debt Fund - Direct Growth</v>
      </c>
      <c r="E955" s="6" t="str">
        <v>DIRECT</v>
      </c>
      <c r="F955" s="6" t="str">
        <v>CAMS</v>
      </c>
      <c r="G955" s="6">
        <v>120664</v>
      </c>
      <c r="H955" s="6">
        <v>45576</v>
      </c>
      <c r="I955" s="6" t="str">
        <v>Purchase - SIP</v>
      </c>
      <c r="J955" s="5">
        <v>5000</v>
      </c>
      <c r="K955" s="5">
        <v>118.761</v>
      </c>
      <c r="L955" s="5">
        <v>42.101199999999999</v>
      </c>
      <c r="M955" s="5">
        <v>16292.3</v>
      </c>
      <c r="N955" s="5" t="str">
        <v>PURCHASE_SIP</v>
      </c>
      <c r="O955" s="5">
        <v>0</v>
      </c>
    </row>
    <row r="956" spans="1:15" ht="17" x14ac:dyDescent="0.2">
      <c r="A956" s="5" t="str">
        <v>ICICI Prudential Mutual Fund</v>
      </c>
      <c r="B956" s="5" t="str">
        <v>AAAA9993</v>
      </c>
      <c r="C956" s="5" t="str">
        <v>AAAAA1111A</v>
      </c>
      <c r="D956" s="6" t="str">
        <v>ICICI Pru Equity &amp; Debt Fund - Direct Growth</v>
      </c>
      <c r="E956" s="6" t="str">
        <v>DIRECT</v>
      </c>
      <c r="F956" s="6" t="str">
        <v>CAMS</v>
      </c>
      <c r="G956" s="6">
        <v>120664</v>
      </c>
      <c r="H956" s="6">
        <v>45606</v>
      </c>
      <c r="I956" s="6" t="str">
        <v>Purchase - SIP</v>
      </c>
      <c r="J956" s="5">
        <v>5000</v>
      </c>
      <c r="K956" s="5">
        <v>115.504</v>
      </c>
      <c r="L956" s="5">
        <v>43.288499999999999</v>
      </c>
      <c r="M956" s="5">
        <v>16407.804</v>
      </c>
      <c r="N956" s="5" t="str">
        <v>PURCHASE_SIP</v>
      </c>
      <c r="O956" s="5">
        <v>0</v>
      </c>
    </row>
    <row r="957" spans="1:15" ht="17" x14ac:dyDescent="0.2">
      <c r="A957" s="5" t="str">
        <v>ICICI Prudential Mutual Fund</v>
      </c>
      <c r="B957" s="5" t="str">
        <v>AAAA9993</v>
      </c>
      <c r="C957" s="5" t="str">
        <v>AAAAA1111A</v>
      </c>
      <c r="D957" s="6" t="str">
        <v>ICICI Pru Equity &amp; Debt Fund - Direct Growth</v>
      </c>
      <c r="E957" s="6" t="str">
        <v>DIRECT</v>
      </c>
      <c r="F957" s="6" t="str">
        <v>CAMS</v>
      </c>
      <c r="G957" s="6">
        <v>120664</v>
      </c>
      <c r="H957" s="6">
        <v>45606</v>
      </c>
      <c r="I957" s="6" t="str">
        <v>Dividend Paid</v>
      </c>
      <c r="J957" s="5">
        <v>8203.9</v>
      </c>
      <c r="K957" s="5">
        <v>0</v>
      </c>
      <c r="L957" s="5">
        <v>0</v>
      </c>
      <c r="M957" s="5">
        <v>16407.804</v>
      </c>
      <c r="N957" s="5" t="str">
        <v>DIVIDEND_PAYOUT</v>
      </c>
      <c r="O957" s="5">
        <v>8203.9</v>
      </c>
    </row>
    <row r="958" spans="1:15" ht="17" x14ac:dyDescent="0.2">
      <c r="A958" s="5" t="str">
        <v>ICICI Prudential Mutual Fund</v>
      </c>
      <c r="B958" s="5" t="str">
        <v>AAAA9993</v>
      </c>
      <c r="C958" s="5" t="str">
        <v>AAAAA1111A</v>
      </c>
      <c r="D958" s="6" t="str">
        <v>ICICI Pru Equity &amp; Debt Fund - Direct Growth</v>
      </c>
      <c r="E958" s="6" t="str">
        <v>DIRECT</v>
      </c>
      <c r="F958" s="6" t="str">
        <v>CAMS</v>
      </c>
      <c r="G958" s="6">
        <v>120664</v>
      </c>
      <c r="H958" s="6">
        <v>45636</v>
      </c>
      <c r="I958" s="6" t="str">
        <v>Purchase - SIP</v>
      </c>
      <c r="J958" s="5">
        <v>5000</v>
      </c>
      <c r="K958" s="5">
        <v>114.273</v>
      </c>
      <c r="L958" s="5">
        <v>43.754800000000003</v>
      </c>
      <c r="M958" s="5">
        <v>16522.078000000001</v>
      </c>
      <c r="N958" s="5" t="str">
        <v>PURCHASE_SIP</v>
      </c>
      <c r="O958" s="5">
        <v>0</v>
      </c>
    </row>
    <row r="959" spans="1:15" ht="17" x14ac:dyDescent="0.2">
      <c r="A959" s="5" t="str">
        <v>ICICI Prudential Mutual Fund</v>
      </c>
      <c r="B959" s="5" t="str">
        <v>AAAA9993</v>
      </c>
      <c r="C959" s="5" t="str">
        <v>AAAAA1111A</v>
      </c>
      <c r="D959" s="6" t="str">
        <v>ICICI Pru Equity &amp; Debt Fund - Direct Growth</v>
      </c>
      <c r="E959" s="6" t="str">
        <v>DIRECT</v>
      </c>
      <c r="F959" s="6" t="str">
        <v>CAMS</v>
      </c>
      <c r="G959" s="6">
        <v>120664</v>
      </c>
      <c r="H959" s="6">
        <v>45636</v>
      </c>
      <c r="I959" s="6" t="str">
        <v>STAMP DUTY</v>
      </c>
      <c r="J959" s="5">
        <v>2.5</v>
      </c>
      <c r="K959" s="5">
        <v>0</v>
      </c>
      <c r="L959" s="5">
        <v>0</v>
      </c>
      <c r="M959" s="5">
        <v>16522.078000000001</v>
      </c>
      <c r="N959" s="5" t="str">
        <v>STAMP_DUTY</v>
      </c>
      <c r="O959" s="5">
        <v>0</v>
      </c>
    </row>
    <row r="960" spans="1:15" ht="17" x14ac:dyDescent="0.2">
      <c r="A960" s="5" t="str">
        <v>ICICI Prudential Mutual Fund</v>
      </c>
      <c r="B960" s="5" t="str">
        <v>AAAA9993</v>
      </c>
      <c r="C960" s="5" t="str">
        <v>AAAAA1111A</v>
      </c>
      <c r="D960" s="6" t="str">
        <v>ICICI Pru Equity &amp; Debt Fund - Direct Growth</v>
      </c>
      <c r="E960" s="6" t="str">
        <v>DIRECT</v>
      </c>
      <c r="F960" s="6" t="str">
        <v>CAMS</v>
      </c>
      <c r="G960" s="6">
        <v>120664</v>
      </c>
      <c r="H960" s="6">
        <v>45666</v>
      </c>
      <c r="I960" s="6" t="str">
        <v>Purchase - SIP</v>
      </c>
      <c r="J960" s="5">
        <v>5000</v>
      </c>
      <c r="K960" s="5">
        <v>116.509</v>
      </c>
      <c r="L960" s="5">
        <v>42.915199999999999</v>
      </c>
      <c r="M960" s="5">
        <v>16638.585999999999</v>
      </c>
      <c r="N960" s="5" t="str">
        <v>PURCHASE_SIP</v>
      </c>
      <c r="O960" s="5">
        <v>0</v>
      </c>
    </row>
    <row r="961" spans="1:15" ht="17" x14ac:dyDescent="0.2">
      <c r="A961" s="5" t="str">
        <v>ICICI Prudential Mutual Fund</v>
      </c>
      <c r="B961" s="5" t="str">
        <v>AAAA9993</v>
      </c>
      <c r="C961" s="5" t="str">
        <v>AAAAA1111A</v>
      </c>
      <c r="D961" s="6" t="str">
        <v>ICICI Pru Equity &amp; Debt Fund - Direct Growth</v>
      </c>
      <c r="E961" s="6" t="str">
        <v>DIRECT</v>
      </c>
      <c r="F961" s="6" t="str">
        <v>CAMS</v>
      </c>
      <c r="G961" s="6">
        <v>120664</v>
      </c>
      <c r="H961" s="6">
        <v>45696</v>
      </c>
      <c r="I961" s="6" t="str">
        <v>Purchase - SIP</v>
      </c>
      <c r="J961" s="5">
        <v>5000</v>
      </c>
      <c r="K961" s="5">
        <v>113.46899999999999</v>
      </c>
      <c r="L961" s="5">
        <v>44.064999999999998</v>
      </c>
      <c r="M961" s="5">
        <v>16752.055</v>
      </c>
      <c r="N961" s="5" t="str">
        <v>PURCHASE_SIP</v>
      </c>
      <c r="O961" s="5">
        <v>0</v>
      </c>
    </row>
    <row r="962" spans="1:15" ht="17" x14ac:dyDescent="0.2">
      <c r="A962" s="5" t="str">
        <v>ICICI Prudential Mutual Fund</v>
      </c>
      <c r="B962" s="5" t="str">
        <v>AAAA9993</v>
      </c>
      <c r="C962" s="5" t="str">
        <v>AAAAA1111A</v>
      </c>
      <c r="D962" s="6" t="str">
        <v>ICICI Pru Equity &amp; Debt Fund - Direct Growth</v>
      </c>
      <c r="E962" s="6" t="str">
        <v>DIRECT</v>
      </c>
      <c r="F962" s="6" t="str">
        <v>CAMS</v>
      </c>
      <c r="G962" s="6">
        <v>120664</v>
      </c>
      <c r="H962" s="6">
        <v>45726</v>
      </c>
      <c r="I962" s="6" t="str">
        <v>Purchase - SIP</v>
      </c>
      <c r="J962" s="5">
        <v>5000</v>
      </c>
      <c r="K962" s="5">
        <v>110.371</v>
      </c>
      <c r="L962" s="5">
        <v>45.301900000000003</v>
      </c>
      <c r="M962" s="5">
        <v>16862.425999999999</v>
      </c>
      <c r="N962" s="5" t="str">
        <v>PURCHASE_SIP</v>
      </c>
      <c r="O962" s="5">
        <v>0</v>
      </c>
    </row>
    <row r="963" spans="1:15" ht="17" x14ac:dyDescent="0.2">
      <c r="A963" s="5" t="str">
        <v>ICICI Prudential Mutual Fund</v>
      </c>
      <c r="B963" s="5" t="str">
        <v>AAAA9993</v>
      </c>
      <c r="C963" s="5" t="str">
        <v>AAAAA1111A</v>
      </c>
      <c r="D963" s="6" t="str">
        <v>ICICI Pru Equity &amp; Debt Fund - Direct Growth</v>
      </c>
      <c r="E963" s="6" t="str">
        <v>DIRECT</v>
      </c>
      <c r="F963" s="6" t="str">
        <v>CAMS</v>
      </c>
      <c r="G963" s="6">
        <v>120664</v>
      </c>
      <c r="H963" s="6">
        <v>45756</v>
      </c>
      <c r="I963" s="6" t="str">
        <v>Purchase - SIP</v>
      </c>
      <c r="J963" s="5">
        <v>5000</v>
      </c>
      <c r="K963" s="5">
        <v>109.393</v>
      </c>
      <c r="L963" s="5">
        <v>45.706699999999998</v>
      </c>
      <c r="M963" s="5">
        <v>16971.819</v>
      </c>
      <c r="N963" s="5" t="str">
        <v>PURCHASE_SIP</v>
      </c>
      <c r="O963" s="5">
        <v>0</v>
      </c>
    </row>
    <row r="964" spans="1:15" ht="17" x14ac:dyDescent="0.2">
      <c r="A964" s="5" t="str">
        <v>ICICI Prudential Mutual Fund</v>
      </c>
      <c r="B964" s="5" t="str">
        <v>AAAA9993</v>
      </c>
      <c r="C964" s="5" t="str">
        <v>AAAAA1111A</v>
      </c>
      <c r="D964" s="6" t="str">
        <v>ICICI Pru Equity &amp; Debt Fund - Direct Growth</v>
      </c>
      <c r="E964" s="6" t="str">
        <v>DIRECT</v>
      </c>
      <c r="F964" s="6" t="str">
        <v>CAMS</v>
      </c>
      <c r="G964" s="6">
        <v>120664</v>
      </c>
      <c r="H964" s="6">
        <v>45786</v>
      </c>
      <c r="I964" s="6" t="str">
        <v>Purchase - SIP</v>
      </c>
      <c r="J964" s="5">
        <v>5000</v>
      </c>
      <c r="K964" s="5">
        <v>111.178</v>
      </c>
      <c r="L964" s="5">
        <v>44.972900000000003</v>
      </c>
      <c r="M964" s="5">
        <v>17082.996999999999</v>
      </c>
      <c r="N964" s="5" t="str">
        <v>PURCHASE_SIP</v>
      </c>
      <c r="O964" s="5">
        <v>0</v>
      </c>
    </row>
    <row r="965" spans="1:15" ht="17" x14ac:dyDescent="0.2">
      <c r="A965" s="5" t="str">
        <v>ICICI Prudential Mutual Fund</v>
      </c>
      <c r="B965" s="5" t="str">
        <v>AAAA9993</v>
      </c>
      <c r="C965" s="5" t="str">
        <v>AAAAA1111A</v>
      </c>
      <c r="D965" s="6" t="str">
        <v>ICICI Pru Equity &amp; Debt Fund - Direct Growth</v>
      </c>
      <c r="E965" s="6" t="str">
        <v>DIRECT</v>
      </c>
      <c r="F965" s="6" t="str">
        <v>CAMS</v>
      </c>
      <c r="G965" s="6">
        <v>120664</v>
      </c>
      <c r="H965" s="6">
        <v>45816</v>
      </c>
      <c r="I965" s="6" t="str">
        <v>Purchase - SIP</v>
      </c>
      <c r="J965" s="5">
        <v>5000</v>
      </c>
      <c r="K965" s="5">
        <v>109.745</v>
      </c>
      <c r="L965" s="5">
        <v>45.56</v>
      </c>
      <c r="M965" s="5">
        <v>17192.741999999998</v>
      </c>
      <c r="N965" s="5" t="str">
        <v>PURCHASE_SIP</v>
      </c>
      <c r="O965" s="5">
        <v>0</v>
      </c>
    </row>
    <row r="966" spans="1:15" ht="17" x14ac:dyDescent="0.2">
      <c r="A966" s="5" t="str">
        <v>ICICI Prudential Mutual Fund</v>
      </c>
      <c r="B966" s="5" t="str">
        <v>AAAA9993</v>
      </c>
      <c r="C966" s="5" t="str">
        <v>AAAAA1111A</v>
      </c>
      <c r="D966" s="6" t="str">
        <v>ICICI Pru Equity &amp; Debt Fund - Direct Growth</v>
      </c>
      <c r="E966" s="6" t="str">
        <v>DIRECT</v>
      </c>
      <c r="F966" s="6" t="str">
        <v>CAMS</v>
      </c>
      <c r="G966" s="6">
        <v>120664</v>
      </c>
      <c r="H966" s="6">
        <v>45846</v>
      </c>
      <c r="I966" s="6" t="str">
        <v>Purchase - SIP</v>
      </c>
      <c r="J966" s="5">
        <v>5000</v>
      </c>
      <c r="K966" s="5">
        <v>106.797</v>
      </c>
      <c r="L966" s="5">
        <v>46.817999999999998</v>
      </c>
      <c r="M966" s="5">
        <v>17299.539000000001</v>
      </c>
      <c r="N966" s="5" t="str">
        <v>PURCHASE_SIP</v>
      </c>
      <c r="O966" s="5">
        <v>0</v>
      </c>
    </row>
    <row r="967" spans="1:15" ht="17" x14ac:dyDescent="0.2">
      <c r="A967" s="5" t="str">
        <v>ICICI Prudential Mutual Fund</v>
      </c>
      <c r="B967" s="5" t="str">
        <v>AAAA9993</v>
      </c>
      <c r="C967" s="5" t="str">
        <v>AAAAA1111A</v>
      </c>
      <c r="D967" s="6" t="str">
        <v>ICICI Pru Equity &amp; Debt Fund - Direct Growth</v>
      </c>
      <c r="E967" s="6" t="str">
        <v>DIRECT</v>
      </c>
      <c r="F967" s="6" t="str">
        <v>CAMS</v>
      </c>
      <c r="G967" s="6">
        <v>120664</v>
      </c>
      <c r="H967" s="6">
        <v>45876</v>
      </c>
      <c r="I967" s="6" t="str">
        <v>Purchase - SIP</v>
      </c>
      <c r="J967" s="5">
        <v>5000</v>
      </c>
      <c r="K967" s="5">
        <v>106.7</v>
      </c>
      <c r="L967" s="5">
        <v>46.860399999999998</v>
      </c>
      <c r="M967" s="5">
        <v>17406.239000000001</v>
      </c>
      <c r="N967" s="5" t="str">
        <v>PURCHASE_SIP</v>
      </c>
      <c r="O967" s="5">
        <v>0</v>
      </c>
    </row>
    <row r="968" spans="1:15" ht="17" x14ac:dyDescent="0.2">
      <c r="A968" s="5" t="str">
        <v>ICICI Prudential Mutual Fund</v>
      </c>
      <c r="B968" s="5" t="str">
        <v>AAAA9993</v>
      </c>
      <c r="C968" s="5" t="str">
        <v>AAAAA1111A</v>
      </c>
      <c r="D968" s="6" t="str">
        <v>ICICI Pru Equity &amp; Debt Fund - Direct Growth</v>
      </c>
      <c r="E968" s="6" t="str">
        <v>DIRECT</v>
      </c>
      <c r="F968" s="6" t="str">
        <v>CAMS</v>
      </c>
      <c r="G968" s="6">
        <v>120664</v>
      </c>
      <c r="H968" s="6">
        <v>45906</v>
      </c>
      <c r="I968" s="6" t="str">
        <v>Purchase - SIP</v>
      </c>
      <c r="J968" s="5">
        <v>5000</v>
      </c>
      <c r="K968" s="5">
        <v>105.992</v>
      </c>
      <c r="L968" s="5">
        <v>47.173299999999998</v>
      </c>
      <c r="M968" s="5">
        <v>17512.231</v>
      </c>
      <c r="N968" s="5" t="str">
        <v>PURCHASE_SIP</v>
      </c>
      <c r="O968" s="5">
        <v>0</v>
      </c>
    </row>
    <row r="969" spans="1:15" ht="17" x14ac:dyDescent="0.2">
      <c r="A969" s="5" t="str">
        <v>ICICI Prudential Mutual Fund</v>
      </c>
      <c r="B969" s="5" t="str">
        <v>AAAA9993</v>
      </c>
      <c r="C969" s="5" t="str">
        <v>AAAAA1111A</v>
      </c>
      <c r="D969" s="6" t="str">
        <v>ICICI Pru Equity &amp; Debt Fund - Direct Growth</v>
      </c>
      <c r="E969" s="6" t="str">
        <v>DIRECT</v>
      </c>
      <c r="F969" s="6" t="str">
        <v>CAMS</v>
      </c>
      <c r="G969" s="6">
        <v>120664</v>
      </c>
      <c r="H969" s="6">
        <v>45936</v>
      </c>
      <c r="I969" s="6" t="str">
        <v>Purchase - SIP</v>
      </c>
      <c r="J969" s="5">
        <v>5000</v>
      </c>
      <c r="K969" s="5">
        <v>103.22499999999999</v>
      </c>
      <c r="L969" s="5">
        <v>48.4377</v>
      </c>
      <c r="M969" s="5">
        <v>17615.456999999999</v>
      </c>
      <c r="N969" s="5" t="str">
        <v>PURCHASE_SIP</v>
      </c>
      <c r="O969" s="5">
        <v>0</v>
      </c>
    </row>
    <row r="970" spans="1:15" ht="17" x14ac:dyDescent="0.2">
      <c r="A970" s="5" t="str">
        <v>ICICI Prudential Mutual Fund</v>
      </c>
      <c r="B970" s="5" t="str">
        <v>AAAA9993</v>
      </c>
      <c r="C970" s="5" t="str">
        <v>AAAAA1111A</v>
      </c>
      <c r="D970" s="6" t="str">
        <v>ICICI Pru Equity &amp; Debt Fund - Direct Growth</v>
      </c>
      <c r="E970" s="6" t="str">
        <v>DIRECT</v>
      </c>
      <c r="F970" s="6" t="str">
        <v>CAMS</v>
      </c>
      <c r="G970" s="6">
        <v>120664</v>
      </c>
      <c r="H970" s="6">
        <v>45966</v>
      </c>
      <c r="I970" s="6" t="str">
        <v>Purchase - SIP</v>
      </c>
      <c r="J970" s="5">
        <v>5000</v>
      </c>
      <c r="K970" s="5">
        <v>104.61</v>
      </c>
      <c r="L970" s="5">
        <v>47.796399999999998</v>
      </c>
      <c r="M970" s="5">
        <v>17720.066999999999</v>
      </c>
      <c r="N970" s="5" t="str">
        <v>PURCHASE_SIP</v>
      </c>
      <c r="O970" s="5">
        <v>0</v>
      </c>
    </row>
    <row r="971" spans="1:15" ht="17" x14ac:dyDescent="0.2">
      <c r="A971" s="5" t="str">
        <v>ICICI Prudential Mutual Fund</v>
      </c>
      <c r="B971" s="5" t="str">
        <v>AAAA9993</v>
      </c>
      <c r="C971" s="5" t="str">
        <v>AAAAA1111A</v>
      </c>
      <c r="D971" s="6" t="str">
        <v>ICICI Pru Equity &amp; Debt Fund - Direct Growth</v>
      </c>
      <c r="E971" s="6" t="str">
        <v>DIRECT</v>
      </c>
      <c r="F971" s="6" t="str">
        <v>CAMS</v>
      </c>
      <c r="G971" s="6">
        <v>120664</v>
      </c>
      <c r="H971" s="6">
        <v>45996</v>
      </c>
      <c r="I971" s="6" t="str">
        <v>Purchase - SIP</v>
      </c>
      <c r="J971" s="5">
        <v>5000</v>
      </c>
      <c r="K971" s="5">
        <v>105.056</v>
      </c>
      <c r="L971" s="5">
        <v>47.593800000000002</v>
      </c>
      <c r="M971" s="5">
        <v>17825.123</v>
      </c>
      <c r="N971" s="5" t="str">
        <v>PURCHASE_SIP</v>
      </c>
      <c r="O971" s="5">
        <v>0</v>
      </c>
    </row>
    <row r="972" spans="1:15" ht="17" x14ac:dyDescent="0.2">
      <c r="A972" s="5" t="str">
        <v>ICICI Prudential Mutual Fund</v>
      </c>
      <c r="B972" s="5" t="str">
        <v>AAAA9993</v>
      </c>
      <c r="C972" s="5" t="str">
        <v>AAAAA1111A</v>
      </c>
      <c r="D972" s="6" t="str">
        <v>ICICI Pru Equity &amp; Debt Fund - Direct Growth</v>
      </c>
      <c r="E972" s="6" t="str">
        <v>DIRECT</v>
      </c>
      <c r="F972" s="6" t="str">
        <v>CAMS</v>
      </c>
      <c r="G972" s="6">
        <v>120664</v>
      </c>
      <c r="H972" s="6">
        <v>45996</v>
      </c>
      <c r="I972" s="6" t="str">
        <v>STT TAX</v>
      </c>
      <c r="J972" s="5">
        <v>2.5</v>
      </c>
      <c r="K972" s="5">
        <v>0</v>
      </c>
      <c r="L972" s="5">
        <v>0</v>
      </c>
      <c r="M972" s="5">
        <v>17825.123</v>
      </c>
      <c r="N972" s="5" t="str">
        <v>STT_TAX</v>
      </c>
      <c r="O972" s="5">
        <v>0</v>
      </c>
    </row>
    <row r="973" spans="1:15" ht="17" x14ac:dyDescent="0.2">
      <c r="A973" s="5" t="str">
        <v>ICICI Prudential Mutual Fund</v>
      </c>
      <c r="B973" s="5" t="str">
        <v>AAAA9993</v>
      </c>
      <c r="C973" s="5" t="str">
        <v>AAAAA1111A</v>
      </c>
      <c r="D973" s="6" t="str">
        <v>ICICI Pru Equity &amp; Debt Fund - Direct Growth</v>
      </c>
      <c r="E973" s="6" t="str">
        <v>DIRECT</v>
      </c>
      <c r="F973" s="6" t="str">
        <v>CAMS</v>
      </c>
      <c r="G973" s="6">
        <v>120664</v>
      </c>
      <c r="H973" s="6">
        <v>46026</v>
      </c>
      <c r="I973" s="6" t="str">
        <v>Purchase - SIP</v>
      </c>
      <c r="J973" s="5">
        <v>5000</v>
      </c>
      <c r="K973" s="5">
        <v>103.374</v>
      </c>
      <c r="L973" s="5">
        <v>48.367800000000003</v>
      </c>
      <c r="M973" s="5">
        <v>17928.496999999999</v>
      </c>
      <c r="N973" s="5" t="str">
        <v>PURCHASE_SIP</v>
      </c>
      <c r="O973" s="5">
        <v>0</v>
      </c>
    </row>
    <row r="974" spans="1:15" ht="17" x14ac:dyDescent="0.2">
      <c r="A974" s="5" t="str">
        <v>ICICI Prudential Mutual Fund</v>
      </c>
      <c r="B974" s="5" t="str">
        <v>AAAA9993</v>
      </c>
      <c r="C974" s="5" t="str">
        <v>AAAAA1111A</v>
      </c>
      <c r="D974" s="6" t="str">
        <v>ICICI Pru Equity &amp; Debt Fund - Direct Growth</v>
      </c>
      <c r="E974" s="6" t="str">
        <v>DIRECT</v>
      </c>
      <c r="F974" s="6" t="str">
        <v>CAMS</v>
      </c>
      <c r="G974" s="6">
        <v>120664</v>
      </c>
      <c r="H974" s="6">
        <v>46026</v>
      </c>
      <c r="I974" s="6" t="str">
        <v>Redemption</v>
      </c>
      <c r="J974" s="5">
        <v>-173432.52</v>
      </c>
      <c r="K974" s="5">
        <v>-3585.6990000000001</v>
      </c>
      <c r="L974" s="5">
        <v>48.367800000000003</v>
      </c>
      <c r="M974" s="5">
        <v>14342.798000000001</v>
      </c>
      <c r="N974" s="5" t="str">
        <v>REDEMPTION</v>
      </c>
      <c r="O974" s="5">
        <v>0</v>
      </c>
    </row>
    <row r="975" spans="1:15" ht="17" x14ac:dyDescent="0.2">
      <c r="A975" s="5" t="str">
        <v>ICICI Prudential Mutual Fund</v>
      </c>
      <c r="B975" s="5" t="str">
        <v>AAAA9993</v>
      </c>
      <c r="C975" s="5" t="str">
        <v>AAAAA1111A</v>
      </c>
      <c r="D975" s="6" t="str">
        <v>ICICI Pru Equity &amp; Debt Fund - Direct Growth</v>
      </c>
      <c r="E975" s="6" t="str">
        <v>DIRECT</v>
      </c>
      <c r="F975" s="6" t="str">
        <v>CAMS</v>
      </c>
      <c r="G975" s="6">
        <v>120664</v>
      </c>
      <c r="H975" s="6">
        <v>46056</v>
      </c>
      <c r="I975" s="6" t="str">
        <v>Purchase - SIP</v>
      </c>
      <c r="J975" s="5">
        <v>5000</v>
      </c>
      <c r="K975" s="5">
        <v>104.39400000000001</v>
      </c>
      <c r="L975" s="5">
        <v>47.895499999999998</v>
      </c>
      <c r="M975" s="5">
        <v>14447.191999999999</v>
      </c>
      <c r="N975" s="5" t="str">
        <v>PURCHASE_SIP</v>
      </c>
      <c r="O975" s="5">
        <v>0</v>
      </c>
    </row>
    <row r="976" spans="1:15" ht="17" x14ac:dyDescent="0.2">
      <c r="A976" s="5" t="str">
        <v>ICICI Prudential Mutual Fund</v>
      </c>
      <c r="B976" s="5" t="str">
        <v>AAAA9993</v>
      </c>
      <c r="C976" s="5" t="str">
        <v>AAAAA1111A</v>
      </c>
      <c r="D976" s="6" t="str">
        <v>ICICI Pru Equity &amp; Debt Fund - Direct Growth</v>
      </c>
      <c r="E976" s="6" t="str">
        <v>DIRECT</v>
      </c>
      <c r="F976" s="6" t="str">
        <v>CAMS</v>
      </c>
      <c r="G976" s="6">
        <v>120664</v>
      </c>
      <c r="H976" s="6">
        <v>46056</v>
      </c>
      <c r="I976" s="6" t="str">
        <v>STAMP DUTY</v>
      </c>
      <c r="J976" s="5">
        <v>2.5</v>
      </c>
      <c r="K976" s="5">
        <v>0</v>
      </c>
      <c r="L976" s="5">
        <v>0</v>
      </c>
      <c r="M976" s="5">
        <v>14447.191999999999</v>
      </c>
      <c r="N976" s="5" t="str">
        <v>STAMP_DUTY</v>
      </c>
      <c r="O976" s="5">
        <v>0</v>
      </c>
    </row>
    <row r="977" spans="1:15" ht="17" x14ac:dyDescent="0.2">
      <c r="A977" s="5" t="str">
        <v>ICICI Prudential Mutual Fund</v>
      </c>
      <c r="B977" s="5" t="str">
        <v>AAAA9993</v>
      </c>
      <c r="C977" s="5" t="str">
        <v>AAAAA1111A</v>
      </c>
      <c r="D977" s="6" t="str">
        <v>ICICI Pru Equity &amp; Debt Fund - Direct Growth</v>
      </c>
      <c r="E977" s="6" t="str">
        <v>DIRECT</v>
      </c>
      <c r="F977" s="6" t="str">
        <v>CAMS</v>
      </c>
      <c r="G977" s="6">
        <v>120664</v>
      </c>
      <c r="H977" s="6">
        <v>46086</v>
      </c>
      <c r="I977" s="6" t="str">
        <v>Purchase - SIP</v>
      </c>
      <c r="J977" s="5">
        <v>5000</v>
      </c>
      <c r="K977" s="5">
        <v>104.821</v>
      </c>
      <c r="L977" s="5">
        <v>47.700400000000002</v>
      </c>
      <c r="M977" s="5">
        <v>14552.012000000001</v>
      </c>
      <c r="N977" s="5" t="str">
        <v>PURCHASE_SIP</v>
      </c>
      <c r="O977" s="5">
        <v>0</v>
      </c>
    </row>
    <row r="978" spans="1:15" ht="17" x14ac:dyDescent="0.2">
      <c r="A978" s="5" t="str">
        <v>ICICI Prudential Mutual Fund</v>
      </c>
      <c r="B978" s="5" t="str">
        <v>AAAA9993</v>
      </c>
      <c r="C978" s="5" t="str">
        <v>AAAAA1111A</v>
      </c>
      <c r="D978" s="6" t="str">
        <v>ICICI Pru Equity &amp; Debt Fund - Direct Growth</v>
      </c>
      <c r="E978" s="6" t="str">
        <v>DIRECT</v>
      </c>
      <c r="F978" s="6" t="str">
        <v>CAMS</v>
      </c>
      <c r="G978" s="6">
        <v>120664</v>
      </c>
      <c r="H978" s="6">
        <v>46086</v>
      </c>
      <c r="I978" s="6" t="str">
        <v>STAMP DUTY</v>
      </c>
      <c r="J978" s="5">
        <v>2.5</v>
      </c>
      <c r="K978" s="5">
        <v>0</v>
      </c>
      <c r="L978" s="5">
        <v>0</v>
      </c>
      <c r="M978" s="5">
        <v>14552.012000000001</v>
      </c>
      <c r="N978" s="5" t="str">
        <v>STAMP_DUTY</v>
      </c>
      <c r="O978" s="5">
        <v>0</v>
      </c>
    </row>
    <row r="979" spans="1:15" ht="17" x14ac:dyDescent="0.2">
      <c r="A979" s="5" t="str">
        <v>ICICI Prudential Mutual Fund</v>
      </c>
      <c r="B979" s="5" t="str">
        <v>AAAA9993</v>
      </c>
      <c r="C979" s="5" t="str">
        <v>AAAAA1111A</v>
      </c>
      <c r="D979" s="6" t="str">
        <v>ICICI Pru Equity &amp; Debt Fund - Direct Growth</v>
      </c>
      <c r="E979" s="6" t="str">
        <v>DIRECT</v>
      </c>
      <c r="F979" s="6" t="str">
        <v>CAMS</v>
      </c>
      <c r="G979" s="6">
        <v>120664</v>
      </c>
      <c r="H979" s="6">
        <v>46116</v>
      </c>
      <c r="I979" s="6" t="str">
        <v>Purchase - SIP</v>
      </c>
      <c r="J979" s="5">
        <v>5000</v>
      </c>
      <c r="K979" s="5">
        <v>105.473</v>
      </c>
      <c r="L979" s="5">
        <v>47.4056</v>
      </c>
      <c r="M979" s="5">
        <v>14657.485000000001</v>
      </c>
      <c r="N979" s="5" t="str">
        <v>PURCHASE_SIP</v>
      </c>
      <c r="O979" s="5">
        <v>0</v>
      </c>
    </row>
    <row r="980" spans="1:15" ht="17" x14ac:dyDescent="0.2">
      <c r="A980" s="5" t="str">
        <v>ICICI Prudential Mutual Fund</v>
      </c>
      <c r="B980" s="5" t="str">
        <v>AAAA9993</v>
      </c>
      <c r="C980" s="5" t="str">
        <v>AAAAA1111A</v>
      </c>
      <c r="D980" s="6" t="str">
        <v>ICICI Pru Equity &amp; Debt Fund - Direct Growth</v>
      </c>
      <c r="E980" s="6" t="str">
        <v>DIRECT</v>
      </c>
      <c r="F980" s="6" t="str">
        <v>CAMS</v>
      </c>
      <c r="G980" s="6">
        <v>120664</v>
      </c>
      <c r="H980" s="6">
        <v>46146</v>
      </c>
      <c r="I980" s="6" t="str">
        <v>Purchase - SIP</v>
      </c>
      <c r="J980" s="5">
        <v>5000</v>
      </c>
      <c r="K980" s="5">
        <v>103.372</v>
      </c>
      <c r="L980" s="5">
        <v>48.3688</v>
      </c>
      <c r="M980" s="5">
        <v>14760.858</v>
      </c>
      <c r="N980" s="5" t="str">
        <v>PURCHASE_SIP</v>
      </c>
      <c r="O980" s="5">
        <v>0</v>
      </c>
    </row>
    <row r="981" spans="1:15" ht="17" x14ac:dyDescent="0.2">
      <c r="A981" s="5" t="str">
        <v>ICICI Prudential Mutual Fund</v>
      </c>
      <c r="B981" s="5" t="str">
        <v>AAAA9993</v>
      </c>
      <c r="C981" s="5" t="str">
        <v>AAAAA1111A</v>
      </c>
      <c r="D981" s="6" t="str">
        <v>ICICI Pru Equity &amp; Debt Fund - Direct Growth</v>
      </c>
      <c r="E981" s="6" t="str">
        <v>DIRECT</v>
      </c>
      <c r="F981" s="6" t="str">
        <v>CAMS</v>
      </c>
      <c r="G981" s="6">
        <v>120664</v>
      </c>
      <c r="H981" s="6">
        <v>46176</v>
      </c>
      <c r="I981" s="6" t="str">
        <v>Purchase - SIP</v>
      </c>
      <c r="J981" s="5">
        <v>5000</v>
      </c>
      <c r="K981" s="5">
        <v>105.41500000000001</v>
      </c>
      <c r="L981" s="5">
        <v>47.4315</v>
      </c>
      <c r="M981" s="5">
        <v>14866.272999999999</v>
      </c>
      <c r="N981" s="5" t="str">
        <v>PURCHASE_SIP</v>
      </c>
      <c r="O981" s="5">
        <v>0</v>
      </c>
    </row>
    <row r="982" spans="1:15" ht="17" x14ac:dyDescent="0.2">
      <c r="A982" s="5" t="str">
        <v>Axis Mutual Fund</v>
      </c>
      <c r="B982" s="5" t="str">
        <v>AAAA9994</v>
      </c>
      <c r="C982" s="5" t="str">
        <v>AAAAA1111A</v>
      </c>
      <c r="D982" s="6" t="str">
        <v>Axis ELSS Tax Saver Fund - Direct Growth</v>
      </c>
      <c r="E982" s="6" t="str">
        <v>DIRECT</v>
      </c>
      <c r="F982" s="6" t="str">
        <v>CAMS</v>
      </c>
      <c r="G982" s="6">
        <v>112323</v>
      </c>
      <c r="H982" s="6">
        <v>40326</v>
      </c>
      <c r="I982" s="6" t="str">
        <v>Purchase - SIP</v>
      </c>
      <c r="J982" s="5">
        <v>5000</v>
      </c>
      <c r="K982" s="5">
        <v>244.798</v>
      </c>
      <c r="L982" s="5">
        <v>20.425000000000001</v>
      </c>
      <c r="M982" s="5">
        <v>244.798</v>
      </c>
      <c r="N982" s="5" t="str">
        <v>PURCHASE_SIP</v>
      </c>
      <c r="O982" s="5">
        <v>0</v>
      </c>
    </row>
    <row r="983" spans="1:15" ht="17" x14ac:dyDescent="0.2">
      <c r="A983" s="5" t="str">
        <v>Axis Mutual Fund</v>
      </c>
      <c r="B983" s="5" t="str">
        <v>AAAA9994</v>
      </c>
      <c r="C983" s="5" t="str">
        <v>AAAAA1111A</v>
      </c>
      <c r="D983" s="6" t="str">
        <v>Axis ELSS Tax Saver Fund - Direct Growth</v>
      </c>
      <c r="E983" s="6" t="str">
        <v>DIRECT</v>
      </c>
      <c r="F983" s="6" t="str">
        <v>CAMS</v>
      </c>
      <c r="G983" s="6">
        <v>112323</v>
      </c>
      <c r="H983" s="6">
        <v>40356</v>
      </c>
      <c r="I983" s="6" t="str">
        <v>Purchase - SIP</v>
      </c>
      <c r="J983" s="5">
        <v>5000</v>
      </c>
      <c r="K983" s="5">
        <v>244.249</v>
      </c>
      <c r="L983" s="5">
        <v>20.4709</v>
      </c>
      <c r="M983" s="5">
        <v>489.04700000000003</v>
      </c>
      <c r="N983" s="5" t="str">
        <v>PURCHASE_SIP</v>
      </c>
      <c r="O983" s="5">
        <v>0</v>
      </c>
    </row>
    <row r="984" spans="1:15" ht="17" x14ac:dyDescent="0.2">
      <c r="A984" s="5" t="str">
        <v>Axis Mutual Fund</v>
      </c>
      <c r="B984" s="5" t="str">
        <v>AAAA9994</v>
      </c>
      <c r="C984" s="5" t="str">
        <v>AAAAA1111A</v>
      </c>
      <c r="D984" s="6" t="str">
        <v>Axis ELSS Tax Saver Fund - Direct Growth</v>
      </c>
      <c r="E984" s="6" t="str">
        <v>DIRECT</v>
      </c>
      <c r="F984" s="6" t="str">
        <v>CAMS</v>
      </c>
      <c r="G984" s="6">
        <v>112323</v>
      </c>
      <c r="H984" s="6">
        <v>40356</v>
      </c>
      <c r="I984" s="6" t="str">
        <v>STAMP DUTY</v>
      </c>
      <c r="J984" s="5">
        <v>2.5</v>
      </c>
      <c r="K984" s="5">
        <v>0</v>
      </c>
      <c r="L984" s="5">
        <v>0</v>
      </c>
      <c r="M984" s="5">
        <v>489.04700000000003</v>
      </c>
      <c r="N984" s="5" t="str">
        <v>STAMP_DUTY</v>
      </c>
      <c r="O984" s="5">
        <v>0</v>
      </c>
    </row>
    <row r="985" spans="1:15" ht="17" x14ac:dyDescent="0.2">
      <c r="A985" s="5" t="str">
        <v>Axis Mutual Fund</v>
      </c>
      <c r="B985" s="5" t="str">
        <v>AAAA9994</v>
      </c>
      <c r="C985" s="5" t="str">
        <v>AAAAA1111A</v>
      </c>
      <c r="D985" s="6" t="str">
        <v>Axis ELSS Tax Saver Fund - Direct Growth</v>
      </c>
      <c r="E985" s="6" t="str">
        <v>DIRECT</v>
      </c>
      <c r="F985" s="6" t="str">
        <v>CAMS</v>
      </c>
      <c r="G985" s="6">
        <v>112323</v>
      </c>
      <c r="H985" s="6">
        <v>40386</v>
      </c>
      <c r="I985" s="6" t="str">
        <v>Purchase - SIP</v>
      </c>
      <c r="J985" s="5">
        <v>5000</v>
      </c>
      <c r="K985" s="5">
        <v>238.45699999999999</v>
      </c>
      <c r="L985" s="5">
        <v>20.9681</v>
      </c>
      <c r="M985" s="5">
        <v>727.50400000000002</v>
      </c>
      <c r="N985" s="5" t="str">
        <v>PURCHASE_SIP</v>
      </c>
      <c r="O985" s="5">
        <v>0</v>
      </c>
    </row>
    <row r="986" spans="1:15" ht="17" x14ac:dyDescent="0.2">
      <c r="A986" s="5" t="str">
        <v>Axis Mutual Fund</v>
      </c>
      <c r="B986" s="5" t="str">
        <v>AAAA9994</v>
      </c>
      <c r="C986" s="5" t="str">
        <v>AAAAA1111A</v>
      </c>
      <c r="D986" s="6" t="str">
        <v>Axis ELSS Tax Saver Fund - Direct Growth</v>
      </c>
      <c r="E986" s="6" t="str">
        <v>DIRECT</v>
      </c>
      <c r="F986" s="6" t="str">
        <v>CAMS</v>
      </c>
      <c r="G986" s="6">
        <v>112323</v>
      </c>
      <c r="H986" s="6">
        <v>40386</v>
      </c>
      <c r="I986" s="6" t="str">
        <v>STT TAX</v>
      </c>
      <c r="J986" s="5">
        <v>2.5</v>
      </c>
      <c r="K986" s="5">
        <v>0</v>
      </c>
      <c r="L986" s="5">
        <v>0</v>
      </c>
      <c r="M986" s="5">
        <v>727.50400000000002</v>
      </c>
      <c r="N986" s="5" t="str">
        <v>STT_TAX</v>
      </c>
      <c r="O986" s="5">
        <v>0</v>
      </c>
    </row>
    <row r="987" spans="1:15" ht="17" x14ac:dyDescent="0.2">
      <c r="A987" s="5" t="str">
        <v>Axis Mutual Fund</v>
      </c>
      <c r="B987" s="5" t="str">
        <v>AAAA9994</v>
      </c>
      <c r="C987" s="5" t="str">
        <v>AAAAA1111A</v>
      </c>
      <c r="D987" s="6" t="str">
        <v>Axis ELSS Tax Saver Fund - Direct Growth</v>
      </c>
      <c r="E987" s="6" t="str">
        <v>DIRECT</v>
      </c>
      <c r="F987" s="6" t="str">
        <v>CAMS</v>
      </c>
      <c r="G987" s="6">
        <v>112323</v>
      </c>
      <c r="H987" s="6">
        <v>40416</v>
      </c>
      <c r="I987" s="6" t="str">
        <v>Purchase - SIP</v>
      </c>
      <c r="J987" s="5">
        <v>5000</v>
      </c>
      <c r="K987" s="5">
        <v>232.035</v>
      </c>
      <c r="L987" s="5">
        <v>21.548500000000001</v>
      </c>
      <c r="M987" s="5">
        <v>959.53899999999999</v>
      </c>
      <c r="N987" s="5" t="str">
        <v>PURCHASE_SIP</v>
      </c>
      <c r="O987" s="5">
        <v>0</v>
      </c>
    </row>
    <row r="988" spans="1:15" ht="17" x14ac:dyDescent="0.2">
      <c r="A988" s="5" t="str">
        <v>Axis Mutual Fund</v>
      </c>
      <c r="B988" s="5" t="str">
        <v>AAAA9994</v>
      </c>
      <c r="C988" s="5" t="str">
        <v>AAAAA1111A</v>
      </c>
      <c r="D988" s="6" t="str">
        <v>Axis ELSS Tax Saver Fund - Direct Growth</v>
      </c>
      <c r="E988" s="6" t="str">
        <v>DIRECT</v>
      </c>
      <c r="F988" s="6" t="str">
        <v>CAMS</v>
      </c>
      <c r="G988" s="6">
        <v>112323</v>
      </c>
      <c r="H988" s="6">
        <v>40446</v>
      </c>
      <c r="I988" s="6" t="str">
        <v>Purchase - SIP</v>
      </c>
      <c r="J988" s="5">
        <v>5000</v>
      </c>
      <c r="K988" s="5">
        <v>236.69900000000001</v>
      </c>
      <c r="L988" s="5">
        <v>21.123899999999999</v>
      </c>
      <c r="M988" s="5">
        <v>1196.2380000000001</v>
      </c>
      <c r="N988" s="5" t="str">
        <v>PURCHASE_SIP</v>
      </c>
      <c r="O988" s="5">
        <v>0</v>
      </c>
    </row>
    <row r="989" spans="1:15" ht="17" x14ac:dyDescent="0.2">
      <c r="A989" s="5" t="str">
        <v>Axis Mutual Fund</v>
      </c>
      <c r="B989" s="5" t="str">
        <v>AAAA9994</v>
      </c>
      <c r="C989" s="5" t="str">
        <v>AAAAA1111A</v>
      </c>
      <c r="D989" s="6" t="str">
        <v>Axis ELSS Tax Saver Fund - Direct Growth</v>
      </c>
      <c r="E989" s="6" t="str">
        <v>DIRECT</v>
      </c>
      <c r="F989" s="6" t="str">
        <v>CAMS</v>
      </c>
      <c r="G989" s="6">
        <v>112323</v>
      </c>
      <c r="H989" s="6">
        <v>40446</v>
      </c>
      <c r="I989" s="6" t="str">
        <v>Redemption</v>
      </c>
      <c r="J989" s="5">
        <v>-5053.84</v>
      </c>
      <c r="K989" s="5">
        <v>-239.24799999999999</v>
      </c>
      <c r="L989" s="5">
        <v>21.123899999999999</v>
      </c>
      <c r="M989" s="5">
        <v>956.99</v>
      </c>
      <c r="N989" s="5" t="str">
        <v>REDEMPTION</v>
      </c>
      <c r="O989" s="5">
        <v>0</v>
      </c>
    </row>
    <row r="990" spans="1:15" ht="17" x14ac:dyDescent="0.2">
      <c r="A990" s="5" t="str">
        <v>Axis Mutual Fund</v>
      </c>
      <c r="B990" s="5" t="str">
        <v>AAAA9994</v>
      </c>
      <c r="C990" s="5" t="str">
        <v>AAAAA1111A</v>
      </c>
      <c r="D990" s="6" t="str">
        <v>Axis ELSS Tax Saver Fund - Direct Growth</v>
      </c>
      <c r="E990" s="6" t="str">
        <v>DIRECT</v>
      </c>
      <c r="F990" s="6" t="str">
        <v>CAMS</v>
      </c>
      <c r="G990" s="6">
        <v>112323</v>
      </c>
      <c r="H990" s="6">
        <v>40476</v>
      </c>
      <c r="I990" s="6" t="str">
        <v>Purchase - SIP</v>
      </c>
      <c r="J990" s="5">
        <v>5000</v>
      </c>
      <c r="K990" s="5">
        <v>232.619</v>
      </c>
      <c r="L990" s="5">
        <v>21.494399999999999</v>
      </c>
      <c r="M990" s="5">
        <v>1189.6089999999999</v>
      </c>
      <c r="N990" s="5" t="str">
        <v>PURCHASE_SIP</v>
      </c>
      <c r="O990" s="5">
        <v>0</v>
      </c>
    </row>
    <row r="991" spans="1:15" ht="17" x14ac:dyDescent="0.2">
      <c r="A991" s="5" t="str">
        <v>Axis Mutual Fund</v>
      </c>
      <c r="B991" s="5" t="str">
        <v>AAAA9994</v>
      </c>
      <c r="C991" s="5" t="str">
        <v>AAAAA1111A</v>
      </c>
      <c r="D991" s="6" t="str">
        <v>Axis ELSS Tax Saver Fund - Direct Growth</v>
      </c>
      <c r="E991" s="6" t="str">
        <v>DIRECT</v>
      </c>
      <c r="F991" s="6" t="str">
        <v>CAMS</v>
      </c>
      <c r="G991" s="6">
        <v>112323</v>
      </c>
      <c r="H991" s="6">
        <v>40476</v>
      </c>
      <c r="I991" s="6" t="str">
        <v>STT TAX</v>
      </c>
      <c r="J991" s="5">
        <v>2.5</v>
      </c>
      <c r="K991" s="5">
        <v>0</v>
      </c>
      <c r="L991" s="5">
        <v>0</v>
      </c>
      <c r="M991" s="5">
        <v>1189.6089999999999</v>
      </c>
      <c r="N991" s="5" t="str">
        <v>STT_TAX</v>
      </c>
      <c r="O991" s="5">
        <v>0</v>
      </c>
    </row>
    <row r="992" spans="1:15" ht="17" x14ac:dyDescent="0.2">
      <c r="A992" s="5" t="str">
        <v>Axis Mutual Fund</v>
      </c>
      <c r="B992" s="5" t="str">
        <v>AAAA9994</v>
      </c>
      <c r="C992" s="5" t="str">
        <v>AAAAA1111A</v>
      </c>
      <c r="D992" s="6" t="str">
        <v>Axis ELSS Tax Saver Fund - Direct Growth</v>
      </c>
      <c r="E992" s="6" t="str">
        <v>DIRECT</v>
      </c>
      <c r="F992" s="6" t="str">
        <v>CAMS</v>
      </c>
      <c r="G992" s="6">
        <v>112323</v>
      </c>
      <c r="H992" s="6">
        <v>40506</v>
      </c>
      <c r="I992" s="6" t="str">
        <v>Purchase - SIP</v>
      </c>
      <c r="J992" s="5">
        <v>5000</v>
      </c>
      <c r="K992" s="5">
        <v>228.05199999999999</v>
      </c>
      <c r="L992" s="5">
        <v>21.924800000000001</v>
      </c>
      <c r="M992" s="5">
        <v>1417.6610000000001</v>
      </c>
      <c r="N992" s="5" t="str">
        <v>PURCHASE_SIP</v>
      </c>
      <c r="O992" s="5">
        <v>0</v>
      </c>
    </row>
    <row r="993" spans="1:15" ht="17" x14ac:dyDescent="0.2">
      <c r="A993" s="5" t="str">
        <v>Axis Mutual Fund</v>
      </c>
      <c r="B993" s="5" t="str">
        <v>AAAA9994</v>
      </c>
      <c r="C993" s="5" t="str">
        <v>AAAAA1111A</v>
      </c>
      <c r="D993" s="6" t="str">
        <v>Axis ELSS Tax Saver Fund - Direct Growth</v>
      </c>
      <c r="E993" s="6" t="str">
        <v>DIRECT</v>
      </c>
      <c r="F993" s="6" t="str">
        <v>CAMS</v>
      </c>
      <c r="G993" s="6">
        <v>112323</v>
      </c>
      <c r="H993" s="6">
        <v>40536</v>
      </c>
      <c r="I993" s="6" t="str">
        <v>Purchase - SIP</v>
      </c>
      <c r="J993" s="5">
        <v>5000</v>
      </c>
      <c r="K993" s="5">
        <v>230.464</v>
      </c>
      <c r="L993" s="5">
        <v>21.6953</v>
      </c>
      <c r="M993" s="5">
        <v>1648.125</v>
      </c>
      <c r="N993" s="5" t="str">
        <v>PURCHASE_SIP</v>
      </c>
      <c r="O993" s="5">
        <v>0</v>
      </c>
    </row>
    <row r="994" spans="1:15" ht="17" x14ac:dyDescent="0.2">
      <c r="A994" s="5" t="str">
        <v>Axis Mutual Fund</v>
      </c>
      <c r="B994" s="5" t="str">
        <v>AAAA9994</v>
      </c>
      <c r="C994" s="5" t="str">
        <v>AAAAA1111A</v>
      </c>
      <c r="D994" s="6" t="str">
        <v>Axis ELSS Tax Saver Fund - Direct Growth</v>
      </c>
      <c r="E994" s="6" t="str">
        <v>DIRECT</v>
      </c>
      <c r="F994" s="6" t="str">
        <v>CAMS</v>
      </c>
      <c r="G994" s="6">
        <v>112323</v>
      </c>
      <c r="H994" s="6">
        <v>40566</v>
      </c>
      <c r="I994" s="6" t="str">
        <v>Purchase - SIP</v>
      </c>
      <c r="J994" s="5">
        <v>5000</v>
      </c>
      <c r="K994" s="5">
        <v>230.536</v>
      </c>
      <c r="L994" s="5">
        <v>21.688600000000001</v>
      </c>
      <c r="M994" s="5">
        <v>1878.6610000000001</v>
      </c>
      <c r="N994" s="5" t="str">
        <v>PURCHASE_SIP</v>
      </c>
      <c r="O994" s="5">
        <v>0</v>
      </c>
    </row>
    <row r="995" spans="1:15" ht="17" x14ac:dyDescent="0.2">
      <c r="A995" s="5" t="str">
        <v>Axis Mutual Fund</v>
      </c>
      <c r="B995" s="5" t="str">
        <v>AAAA9994</v>
      </c>
      <c r="C995" s="5" t="str">
        <v>AAAAA1111A</v>
      </c>
      <c r="D995" s="6" t="str">
        <v>Axis ELSS Tax Saver Fund - Direct Growth</v>
      </c>
      <c r="E995" s="6" t="str">
        <v>DIRECT</v>
      </c>
      <c r="F995" s="6" t="str">
        <v>CAMS</v>
      </c>
      <c r="G995" s="6">
        <v>112323</v>
      </c>
      <c r="H995" s="6">
        <v>40596</v>
      </c>
      <c r="I995" s="6" t="str">
        <v>Purchase - SIP</v>
      </c>
      <c r="J995" s="5">
        <v>5000</v>
      </c>
      <c r="K995" s="5">
        <v>234.31399999999999</v>
      </c>
      <c r="L995" s="5">
        <v>21.338799999999999</v>
      </c>
      <c r="M995" s="5">
        <v>2112.9749999999999</v>
      </c>
      <c r="N995" s="5" t="str">
        <v>PURCHASE_SIP</v>
      </c>
      <c r="O995" s="5">
        <v>0</v>
      </c>
    </row>
    <row r="996" spans="1:15" ht="17" x14ac:dyDescent="0.2">
      <c r="A996" s="5" t="str">
        <v>Axis Mutual Fund</v>
      </c>
      <c r="B996" s="5" t="str">
        <v>AAAA9994</v>
      </c>
      <c r="C996" s="5" t="str">
        <v>AAAAA1111A</v>
      </c>
      <c r="D996" s="6" t="str">
        <v>Axis ELSS Tax Saver Fund - Direct Growth</v>
      </c>
      <c r="E996" s="6" t="str">
        <v>DIRECT</v>
      </c>
      <c r="F996" s="6" t="str">
        <v>CAMS</v>
      </c>
      <c r="G996" s="6">
        <v>112323</v>
      </c>
      <c r="H996" s="6">
        <v>40626</v>
      </c>
      <c r="I996" s="6" t="str">
        <v>Purchase - SIP</v>
      </c>
      <c r="J996" s="5">
        <v>5000</v>
      </c>
      <c r="K996" s="5">
        <v>237.703</v>
      </c>
      <c r="L996" s="5">
        <v>21.034600000000001</v>
      </c>
      <c r="M996" s="5">
        <v>2350.6790000000001</v>
      </c>
      <c r="N996" s="5" t="str">
        <v>PURCHASE_SIP</v>
      </c>
      <c r="O996" s="5">
        <v>0</v>
      </c>
    </row>
    <row r="997" spans="1:15" ht="17" x14ac:dyDescent="0.2">
      <c r="A997" s="5" t="str">
        <v>Axis Mutual Fund</v>
      </c>
      <c r="B997" s="5" t="str">
        <v>AAAA9994</v>
      </c>
      <c r="C997" s="5" t="str">
        <v>AAAAA1111A</v>
      </c>
      <c r="D997" s="6" t="str">
        <v>Axis ELSS Tax Saver Fund - Direct Growth</v>
      </c>
      <c r="E997" s="6" t="str">
        <v>DIRECT</v>
      </c>
      <c r="F997" s="6" t="str">
        <v>CAMS</v>
      </c>
      <c r="G997" s="6">
        <v>112323</v>
      </c>
      <c r="H997" s="6">
        <v>40656</v>
      </c>
      <c r="I997" s="6" t="str">
        <v>Purchase - SIP</v>
      </c>
      <c r="J997" s="5">
        <v>5000</v>
      </c>
      <c r="K997" s="5">
        <v>241.03700000000001</v>
      </c>
      <c r="L997" s="5">
        <v>20.7437</v>
      </c>
      <c r="M997" s="5">
        <v>2591.7159999999999</v>
      </c>
      <c r="N997" s="5" t="str">
        <v>PURCHASE_SIP</v>
      </c>
      <c r="O997" s="5">
        <v>0</v>
      </c>
    </row>
    <row r="998" spans="1:15" ht="17" x14ac:dyDescent="0.2">
      <c r="A998" s="5" t="str">
        <v>Axis Mutual Fund</v>
      </c>
      <c r="B998" s="5" t="str">
        <v>AAAA9994</v>
      </c>
      <c r="C998" s="5" t="str">
        <v>AAAAA1111A</v>
      </c>
      <c r="D998" s="6" t="str">
        <v>Axis ELSS Tax Saver Fund - Direct Growth</v>
      </c>
      <c r="E998" s="6" t="str">
        <v>DIRECT</v>
      </c>
      <c r="F998" s="6" t="str">
        <v>CAMS</v>
      </c>
      <c r="G998" s="6">
        <v>112323</v>
      </c>
      <c r="H998" s="6">
        <v>40686</v>
      </c>
      <c r="I998" s="6" t="str">
        <v>Purchase - SIP</v>
      </c>
      <c r="J998" s="5">
        <v>5000</v>
      </c>
      <c r="K998" s="5">
        <v>239.41399999999999</v>
      </c>
      <c r="L998" s="5">
        <v>20.8843</v>
      </c>
      <c r="M998" s="5">
        <v>2831.13</v>
      </c>
      <c r="N998" s="5" t="str">
        <v>PURCHASE_SIP</v>
      </c>
      <c r="O998" s="5">
        <v>0</v>
      </c>
    </row>
    <row r="999" spans="1:15" ht="17" x14ac:dyDescent="0.2">
      <c r="A999" s="5" t="str">
        <v>Axis Mutual Fund</v>
      </c>
      <c r="B999" s="5" t="str">
        <v>AAAA9994</v>
      </c>
      <c r="C999" s="5" t="str">
        <v>AAAAA1111A</v>
      </c>
      <c r="D999" s="6" t="str">
        <v>Axis ELSS Tax Saver Fund - Direct Growth</v>
      </c>
      <c r="E999" s="6" t="str">
        <v>DIRECT</v>
      </c>
      <c r="F999" s="6" t="str">
        <v>CAMS</v>
      </c>
      <c r="G999" s="6">
        <v>112323</v>
      </c>
      <c r="H999" s="6">
        <v>40716</v>
      </c>
      <c r="I999" s="6" t="str">
        <v>Purchase - SIP</v>
      </c>
      <c r="J999" s="5">
        <v>5000</v>
      </c>
      <c r="K999" s="5">
        <v>232.732</v>
      </c>
      <c r="L999" s="5">
        <v>21.484000000000002</v>
      </c>
      <c r="M999" s="5">
        <v>3063.8620000000001</v>
      </c>
      <c r="N999" s="5" t="str">
        <v>PURCHASE_SIP</v>
      </c>
      <c r="O999" s="5">
        <v>0</v>
      </c>
    </row>
    <row r="1000" spans="1:15" ht="17" x14ac:dyDescent="0.2">
      <c r="A1000" s="5" t="str">
        <v>Axis Mutual Fund</v>
      </c>
      <c r="B1000" s="5" t="str">
        <v>AAAA9994</v>
      </c>
      <c r="C1000" s="5" t="str">
        <v>AAAAA1111A</v>
      </c>
      <c r="D1000" s="6" t="str">
        <v>Axis ELSS Tax Saver Fund - Direct Growth</v>
      </c>
      <c r="E1000" s="6" t="str">
        <v>DIRECT</v>
      </c>
      <c r="F1000" s="6" t="str">
        <v>CAMS</v>
      </c>
      <c r="G1000" s="6">
        <v>112323</v>
      </c>
      <c r="H1000" s="6">
        <v>40716</v>
      </c>
      <c r="I1000" s="6" t="str">
        <v>STT TAX</v>
      </c>
      <c r="J1000" s="5">
        <v>2.5</v>
      </c>
      <c r="K1000" s="5">
        <v>0</v>
      </c>
      <c r="L1000" s="5">
        <v>0</v>
      </c>
      <c r="M1000" s="5">
        <v>3063.8620000000001</v>
      </c>
      <c r="N1000" s="5" t="str">
        <v>STT_TAX</v>
      </c>
      <c r="O1000" s="5">
        <v>0</v>
      </c>
    </row>
    <row r="1001" spans="1:15" ht="17" x14ac:dyDescent="0.2">
      <c r="A1001" s="5" t="str">
        <v>Axis Mutual Fund</v>
      </c>
      <c r="B1001" s="5" t="str">
        <v>AAAA9994</v>
      </c>
      <c r="C1001" s="5" t="str">
        <v>AAAAA1111A</v>
      </c>
      <c r="D1001" s="6" t="str">
        <v>Axis ELSS Tax Saver Fund - Direct Growth</v>
      </c>
      <c r="E1001" s="6" t="str">
        <v>DIRECT</v>
      </c>
      <c r="F1001" s="6" t="str">
        <v>CAMS</v>
      </c>
      <c r="G1001" s="6">
        <v>112323</v>
      </c>
      <c r="H1001" s="6">
        <v>40746</v>
      </c>
      <c r="I1001" s="6" t="str">
        <v>Purchase - SIP</v>
      </c>
      <c r="J1001" s="5">
        <v>5000</v>
      </c>
      <c r="K1001" s="5">
        <v>236.828</v>
      </c>
      <c r="L1001" s="5">
        <v>21.112400000000001</v>
      </c>
      <c r="M1001" s="5">
        <v>3300.69</v>
      </c>
      <c r="N1001" s="5" t="str">
        <v>PURCHASE_SIP</v>
      </c>
      <c r="O1001" s="5">
        <v>0</v>
      </c>
    </row>
    <row r="1002" spans="1:15" ht="17" x14ac:dyDescent="0.2">
      <c r="A1002" s="5" t="str">
        <v>Axis Mutual Fund</v>
      </c>
      <c r="B1002" s="5" t="str">
        <v>AAAA9994</v>
      </c>
      <c r="C1002" s="5" t="str">
        <v>AAAAA1111A</v>
      </c>
      <c r="D1002" s="6" t="str">
        <v>Axis ELSS Tax Saver Fund - Direct Growth</v>
      </c>
      <c r="E1002" s="6" t="str">
        <v>DIRECT</v>
      </c>
      <c r="F1002" s="6" t="str">
        <v>CAMS</v>
      </c>
      <c r="G1002" s="6">
        <v>112323</v>
      </c>
      <c r="H1002" s="6">
        <v>40776</v>
      </c>
      <c r="I1002" s="6" t="str">
        <v>Purchase - SIP</v>
      </c>
      <c r="J1002" s="5">
        <v>5000</v>
      </c>
      <c r="K1002" s="5">
        <v>233.285</v>
      </c>
      <c r="L1002" s="5">
        <v>21.4331</v>
      </c>
      <c r="M1002" s="5">
        <v>3533.9749999999999</v>
      </c>
      <c r="N1002" s="5" t="str">
        <v>PURCHASE_SIP</v>
      </c>
      <c r="O1002" s="5">
        <v>0</v>
      </c>
    </row>
    <row r="1003" spans="1:15" ht="17" x14ac:dyDescent="0.2">
      <c r="A1003" s="5" t="str">
        <v>Axis Mutual Fund</v>
      </c>
      <c r="B1003" s="5" t="str">
        <v>AAAA9994</v>
      </c>
      <c r="C1003" s="5" t="str">
        <v>AAAAA1111A</v>
      </c>
      <c r="D1003" s="6" t="str">
        <v>Axis ELSS Tax Saver Fund - Direct Growth</v>
      </c>
      <c r="E1003" s="6" t="str">
        <v>DIRECT</v>
      </c>
      <c r="F1003" s="6" t="str">
        <v>CAMS</v>
      </c>
      <c r="G1003" s="6">
        <v>112323</v>
      </c>
      <c r="H1003" s="6">
        <v>40806</v>
      </c>
      <c r="I1003" s="6" t="str">
        <v>Purchase - SIP</v>
      </c>
      <c r="J1003" s="5">
        <v>5000</v>
      </c>
      <c r="K1003" s="5">
        <v>230.65</v>
      </c>
      <c r="L1003" s="5">
        <v>21.677900000000001</v>
      </c>
      <c r="M1003" s="5">
        <v>3764.625</v>
      </c>
      <c r="N1003" s="5" t="str">
        <v>PURCHASE_SIP</v>
      </c>
      <c r="O1003" s="5">
        <v>0</v>
      </c>
    </row>
    <row r="1004" spans="1:15" ht="17" x14ac:dyDescent="0.2">
      <c r="A1004" s="5" t="str">
        <v>Axis Mutual Fund</v>
      </c>
      <c r="B1004" s="5" t="str">
        <v>AAAA9994</v>
      </c>
      <c r="C1004" s="5" t="str">
        <v>AAAAA1111A</v>
      </c>
      <c r="D1004" s="6" t="str">
        <v>Axis ELSS Tax Saver Fund - Direct Growth</v>
      </c>
      <c r="E1004" s="6" t="str">
        <v>DIRECT</v>
      </c>
      <c r="F1004" s="6" t="str">
        <v>CAMS</v>
      </c>
      <c r="G1004" s="6">
        <v>112323</v>
      </c>
      <c r="H1004" s="6">
        <v>40806</v>
      </c>
      <c r="I1004" s="6" t="str">
        <v>STAMP DUTY</v>
      </c>
      <c r="J1004" s="5">
        <v>2.5</v>
      </c>
      <c r="K1004" s="5">
        <v>0</v>
      </c>
      <c r="L1004" s="5">
        <v>0</v>
      </c>
      <c r="M1004" s="5">
        <v>3764.625</v>
      </c>
      <c r="N1004" s="5" t="str">
        <v>STAMP_DUTY</v>
      </c>
      <c r="O1004" s="5">
        <v>0</v>
      </c>
    </row>
    <row r="1005" spans="1:15" ht="17" x14ac:dyDescent="0.2">
      <c r="A1005" s="5" t="str">
        <v>Axis Mutual Fund</v>
      </c>
      <c r="B1005" s="5" t="str">
        <v>AAAA9994</v>
      </c>
      <c r="C1005" s="5" t="str">
        <v>AAAAA1111A</v>
      </c>
      <c r="D1005" s="6" t="str">
        <v>Axis ELSS Tax Saver Fund - Direct Growth</v>
      </c>
      <c r="E1005" s="6" t="str">
        <v>DIRECT</v>
      </c>
      <c r="F1005" s="6" t="str">
        <v>CAMS</v>
      </c>
      <c r="G1005" s="6">
        <v>112323</v>
      </c>
      <c r="H1005" s="6">
        <v>40836</v>
      </c>
      <c r="I1005" s="6" t="str">
        <v>Purchase - SIP</v>
      </c>
      <c r="J1005" s="5">
        <v>5000</v>
      </c>
      <c r="K1005" s="5">
        <v>232.328</v>
      </c>
      <c r="L1005" s="5">
        <v>21.5213</v>
      </c>
      <c r="M1005" s="5">
        <v>3996.9520000000002</v>
      </c>
      <c r="N1005" s="5" t="str">
        <v>PURCHASE_SIP</v>
      </c>
      <c r="O1005" s="5">
        <v>0</v>
      </c>
    </row>
    <row r="1006" spans="1:15" ht="17" x14ac:dyDescent="0.2">
      <c r="A1006" s="5" t="str">
        <v>Axis Mutual Fund</v>
      </c>
      <c r="B1006" s="5" t="str">
        <v>AAAA9994</v>
      </c>
      <c r="C1006" s="5" t="str">
        <v>AAAAA1111A</v>
      </c>
      <c r="D1006" s="6" t="str">
        <v>Axis ELSS Tax Saver Fund - Direct Growth</v>
      </c>
      <c r="E1006" s="6" t="str">
        <v>DIRECT</v>
      </c>
      <c r="F1006" s="6" t="str">
        <v>CAMS</v>
      </c>
      <c r="G1006" s="6">
        <v>112323</v>
      </c>
      <c r="H1006" s="6">
        <v>40866</v>
      </c>
      <c r="I1006" s="6" t="str">
        <v>Purchase - SIP</v>
      </c>
      <c r="J1006" s="5">
        <v>5000</v>
      </c>
      <c r="K1006" s="5">
        <v>226.92699999999999</v>
      </c>
      <c r="L1006" s="5">
        <v>22.0335</v>
      </c>
      <c r="M1006" s="5">
        <v>4223.8789999999999</v>
      </c>
      <c r="N1006" s="5" t="str">
        <v>PURCHASE_SIP</v>
      </c>
      <c r="O1006" s="5">
        <v>0</v>
      </c>
    </row>
    <row r="1007" spans="1:15" ht="17" x14ac:dyDescent="0.2">
      <c r="A1007" s="5" t="str">
        <v>Axis Mutual Fund</v>
      </c>
      <c r="B1007" s="5" t="str">
        <v>AAAA9994</v>
      </c>
      <c r="C1007" s="5" t="str">
        <v>AAAAA1111A</v>
      </c>
      <c r="D1007" s="6" t="str">
        <v>Axis ELSS Tax Saver Fund - Direct Growth</v>
      </c>
      <c r="E1007" s="6" t="str">
        <v>DIRECT</v>
      </c>
      <c r="F1007" s="6" t="str">
        <v>CAMS</v>
      </c>
      <c r="G1007" s="6">
        <v>112323</v>
      </c>
      <c r="H1007" s="6">
        <v>40866</v>
      </c>
      <c r="I1007" s="6" t="str">
        <v>Dividend Paid</v>
      </c>
      <c r="J1007" s="5">
        <v>2111.94</v>
      </c>
      <c r="K1007" s="5">
        <v>0</v>
      </c>
      <c r="L1007" s="5">
        <v>0</v>
      </c>
      <c r="M1007" s="5">
        <v>4223.8789999999999</v>
      </c>
      <c r="N1007" s="5" t="str">
        <v>DIVIDEND_PAYOUT</v>
      </c>
      <c r="O1007" s="5">
        <v>2111.94</v>
      </c>
    </row>
    <row r="1008" spans="1:15" ht="17" x14ac:dyDescent="0.2">
      <c r="A1008" s="5" t="str">
        <v>Axis Mutual Fund</v>
      </c>
      <c r="B1008" s="5" t="str">
        <v>AAAA9994</v>
      </c>
      <c r="C1008" s="5" t="str">
        <v>AAAAA1111A</v>
      </c>
      <c r="D1008" s="6" t="str">
        <v>Axis ELSS Tax Saver Fund - Direct Growth</v>
      </c>
      <c r="E1008" s="6" t="str">
        <v>DIRECT</v>
      </c>
      <c r="F1008" s="6" t="str">
        <v>CAMS</v>
      </c>
      <c r="G1008" s="6">
        <v>112323</v>
      </c>
      <c r="H1008" s="6">
        <v>40896</v>
      </c>
      <c r="I1008" s="6" t="str">
        <v>Purchase - SIP</v>
      </c>
      <c r="J1008" s="5">
        <v>5000</v>
      </c>
      <c r="K1008" s="5">
        <v>226.25299999999999</v>
      </c>
      <c r="L1008" s="5">
        <v>22.0991</v>
      </c>
      <c r="M1008" s="5">
        <v>4450.1329999999998</v>
      </c>
      <c r="N1008" s="5" t="str">
        <v>PURCHASE_SIP</v>
      </c>
      <c r="O1008" s="5">
        <v>0</v>
      </c>
    </row>
    <row r="1009" spans="1:15" ht="17" x14ac:dyDescent="0.2">
      <c r="A1009" s="5" t="str">
        <v>Axis Mutual Fund</v>
      </c>
      <c r="B1009" s="5" t="str">
        <v>AAAA9994</v>
      </c>
      <c r="C1009" s="5" t="str">
        <v>AAAAA1111A</v>
      </c>
      <c r="D1009" s="6" t="str">
        <v>Axis ELSS Tax Saver Fund - Direct Growth</v>
      </c>
      <c r="E1009" s="6" t="str">
        <v>DIRECT</v>
      </c>
      <c r="F1009" s="6" t="str">
        <v>CAMS</v>
      </c>
      <c r="G1009" s="6">
        <v>112323</v>
      </c>
      <c r="H1009" s="6">
        <v>40896</v>
      </c>
      <c r="I1009" s="6" t="str">
        <v>STT TAX</v>
      </c>
      <c r="J1009" s="5">
        <v>2.5</v>
      </c>
      <c r="K1009" s="5">
        <v>0</v>
      </c>
      <c r="L1009" s="5">
        <v>0</v>
      </c>
      <c r="M1009" s="5">
        <v>4450.1329999999998</v>
      </c>
      <c r="N1009" s="5" t="str">
        <v>STT_TAX</v>
      </c>
      <c r="O1009" s="5">
        <v>0</v>
      </c>
    </row>
    <row r="1010" spans="1:15" ht="17" x14ac:dyDescent="0.2">
      <c r="A1010" s="5" t="str">
        <v>Axis Mutual Fund</v>
      </c>
      <c r="B1010" s="5" t="str">
        <v>AAAA9994</v>
      </c>
      <c r="C1010" s="5" t="str">
        <v>AAAAA1111A</v>
      </c>
      <c r="D1010" s="6" t="str">
        <v>Axis ELSS Tax Saver Fund - Direct Growth</v>
      </c>
      <c r="E1010" s="6" t="str">
        <v>DIRECT</v>
      </c>
      <c r="F1010" s="6" t="str">
        <v>CAMS</v>
      </c>
      <c r="G1010" s="6">
        <v>112323</v>
      </c>
      <c r="H1010" s="6">
        <v>40926</v>
      </c>
      <c r="I1010" s="6" t="str">
        <v>Purchase - SIP</v>
      </c>
      <c r="J1010" s="5">
        <v>5000</v>
      </c>
      <c r="K1010" s="5">
        <v>221.066</v>
      </c>
      <c r="L1010" s="5">
        <v>22.617699999999999</v>
      </c>
      <c r="M1010" s="5">
        <v>4671.1989999999996</v>
      </c>
      <c r="N1010" s="5" t="str">
        <v>PURCHASE_SIP</v>
      </c>
      <c r="O1010" s="5">
        <v>0</v>
      </c>
    </row>
    <row r="1011" spans="1:15" ht="17" x14ac:dyDescent="0.2">
      <c r="A1011" s="5" t="str">
        <v>Axis Mutual Fund</v>
      </c>
      <c r="B1011" s="5" t="str">
        <v>AAAA9994</v>
      </c>
      <c r="C1011" s="5" t="str">
        <v>AAAAA1111A</v>
      </c>
      <c r="D1011" s="6" t="str">
        <v>Axis ELSS Tax Saver Fund - Direct Growth</v>
      </c>
      <c r="E1011" s="6" t="str">
        <v>DIRECT</v>
      </c>
      <c r="F1011" s="6" t="str">
        <v>CAMS</v>
      </c>
      <c r="G1011" s="6">
        <v>112323</v>
      </c>
      <c r="H1011" s="6">
        <v>40956</v>
      </c>
      <c r="I1011" s="6" t="str">
        <v>Purchase - SIP</v>
      </c>
      <c r="J1011" s="5">
        <v>5000</v>
      </c>
      <c r="K1011" s="5">
        <v>218.15199999999999</v>
      </c>
      <c r="L1011" s="5">
        <v>22.919799999999999</v>
      </c>
      <c r="M1011" s="5">
        <v>4889.3509999999997</v>
      </c>
      <c r="N1011" s="5" t="str">
        <v>PURCHASE_SIP</v>
      </c>
      <c r="O1011" s="5">
        <v>0</v>
      </c>
    </row>
    <row r="1012" spans="1:15" ht="17" x14ac:dyDescent="0.2">
      <c r="A1012" s="5" t="str">
        <v>Axis Mutual Fund</v>
      </c>
      <c r="B1012" s="5" t="str">
        <v>AAAA9994</v>
      </c>
      <c r="C1012" s="5" t="str">
        <v>AAAAA1111A</v>
      </c>
      <c r="D1012" s="6" t="str">
        <v>Axis ELSS Tax Saver Fund - Direct Growth</v>
      </c>
      <c r="E1012" s="6" t="str">
        <v>DIRECT</v>
      </c>
      <c r="F1012" s="6" t="str">
        <v>CAMS</v>
      </c>
      <c r="G1012" s="6">
        <v>112323</v>
      </c>
      <c r="H1012" s="6">
        <v>40956</v>
      </c>
      <c r="I1012" s="6" t="str">
        <v>STT TAX</v>
      </c>
      <c r="J1012" s="5">
        <v>2.5</v>
      </c>
      <c r="K1012" s="5">
        <v>0</v>
      </c>
      <c r="L1012" s="5">
        <v>0</v>
      </c>
      <c r="M1012" s="5">
        <v>4889.3509999999997</v>
      </c>
      <c r="N1012" s="5" t="str">
        <v>STT_TAX</v>
      </c>
      <c r="O1012" s="5">
        <v>0</v>
      </c>
    </row>
    <row r="1013" spans="1:15" ht="17" x14ac:dyDescent="0.2">
      <c r="A1013" s="5" t="str">
        <v>Axis Mutual Fund</v>
      </c>
      <c r="B1013" s="5" t="str">
        <v>AAAA9994</v>
      </c>
      <c r="C1013" s="5" t="str">
        <v>AAAAA1111A</v>
      </c>
      <c r="D1013" s="6" t="str">
        <v>Axis ELSS Tax Saver Fund - Direct Growth</v>
      </c>
      <c r="E1013" s="6" t="str">
        <v>DIRECT</v>
      </c>
      <c r="F1013" s="6" t="str">
        <v>CAMS</v>
      </c>
      <c r="G1013" s="6">
        <v>112323</v>
      </c>
      <c r="H1013" s="6">
        <v>40986</v>
      </c>
      <c r="I1013" s="6" t="str">
        <v>Purchase - SIP</v>
      </c>
      <c r="J1013" s="5">
        <v>5000</v>
      </c>
      <c r="K1013" s="5">
        <v>213.73599999999999</v>
      </c>
      <c r="L1013" s="5">
        <v>23.3934</v>
      </c>
      <c r="M1013" s="5">
        <v>5103.0870000000004</v>
      </c>
      <c r="N1013" s="5" t="str">
        <v>PURCHASE_SIP</v>
      </c>
      <c r="O1013" s="5">
        <v>0</v>
      </c>
    </row>
    <row r="1014" spans="1:15" ht="17" x14ac:dyDescent="0.2">
      <c r="A1014" s="5" t="str">
        <v>Axis Mutual Fund</v>
      </c>
      <c r="B1014" s="5" t="str">
        <v>AAAA9994</v>
      </c>
      <c r="C1014" s="5" t="str">
        <v>AAAAA1111A</v>
      </c>
      <c r="D1014" s="6" t="str">
        <v>Axis ELSS Tax Saver Fund - Direct Growth</v>
      </c>
      <c r="E1014" s="6" t="str">
        <v>DIRECT</v>
      </c>
      <c r="F1014" s="6" t="str">
        <v>CAMS</v>
      </c>
      <c r="G1014" s="6">
        <v>112323</v>
      </c>
      <c r="H1014" s="6">
        <v>41016</v>
      </c>
      <c r="I1014" s="6" t="str">
        <v>Purchase - SIP</v>
      </c>
      <c r="J1014" s="5">
        <v>5000</v>
      </c>
      <c r="K1014" s="5">
        <v>217.70400000000001</v>
      </c>
      <c r="L1014" s="5">
        <v>22.966999999999999</v>
      </c>
      <c r="M1014" s="5">
        <v>5320.7910000000002</v>
      </c>
      <c r="N1014" s="5" t="str">
        <v>PURCHASE_SIP</v>
      </c>
      <c r="O1014" s="5">
        <v>0</v>
      </c>
    </row>
    <row r="1015" spans="1:15" ht="17" x14ac:dyDescent="0.2">
      <c r="A1015" s="5" t="str">
        <v>Axis Mutual Fund</v>
      </c>
      <c r="B1015" s="5" t="str">
        <v>AAAA9994</v>
      </c>
      <c r="C1015" s="5" t="str">
        <v>AAAAA1111A</v>
      </c>
      <c r="D1015" s="6" t="str">
        <v>Axis ELSS Tax Saver Fund - Direct Growth</v>
      </c>
      <c r="E1015" s="6" t="str">
        <v>DIRECT</v>
      </c>
      <c r="F1015" s="6" t="str">
        <v>CAMS</v>
      </c>
      <c r="G1015" s="6">
        <v>112323</v>
      </c>
      <c r="H1015" s="6">
        <v>41046</v>
      </c>
      <c r="I1015" s="6" t="str">
        <v>Purchase - SIP</v>
      </c>
      <c r="J1015" s="5">
        <v>5000</v>
      </c>
      <c r="K1015" s="5">
        <v>221.12200000000001</v>
      </c>
      <c r="L1015" s="5">
        <v>22.611999999999998</v>
      </c>
      <c r="M1015" s="5">
        <v>5541.9120000000003</v>
      </c>
      <c r="N1015" s="5" t="str">
        <v>PURCHASE_SIP</v>
      </c>
      <c r="O1015" s="5">
        <v>0</v>
      </c>
    </row>
    <row r="1016" spans="1:15" ht="17" x14ac:dyDescent="0.2">
      <c r="A1016" s="5" t="str">
        <v>Axis Mutual Fund</v>
      </c>
      <c r="B1016" s="5" t="str">
        <v>AAAA9994</v>
      </c>
      <c r="C1016" s="5" t="str">
        <v>AAAAA1111A</v>
      </c>
      <c r="D1016" s="6" t="str">
        <v>Axis ELSS Tax Saver Fund - Direct Growth</v>
      </c>
      <c r="E1016" s="6" t="str">
        <v>DIRECT</v>
      </c>
      <c r="F1016" s="6" t="str">
        <v>CAMS</v>
      </c>
      <c r="G1016" s="6">
        <v>112323</v>
      </c>
      <c r="H1016" s="6">
        <v>41046</v>
      </c>
      <c r="I1016" s="6" t="str">
        <v>STT TAX</v>
      </c>
      <c r="J1016" s="5">
        <v>2.5</v>
      </c>
      <c r="K1016" s="5">
        <v>0</v>
      </c>
      <c r="L1016" s="5">
        <v>0</v>
      </c>
      <c r="M1016" s="5">
        <v>5541.9120000000003</v>
      </c>
      <c r="N1016" s="5" t="str">
        <v>STT_TAX</v>
      </c>
      <c r="O1016" s="5">
        <v>0</v>
      </c>
    </row>
    <row r="1017" spans="1:15" ht="17" x14ac:dyDescent="0.2">
      <c r="A1017" s="5" t="str">
        <v>Axis Mutual Fund</v>
      </c>
      <c r="B1017" s="5" t="str">
        <v>AAAA9994</v>
      </c>
      <c r="C1017" s="5" t="str">
        <v>AAAAA1111A</v>
      </c>
      <c r="D1017" s="6" t="str">
        <v>Axis ELSS Tax Saver Fund - Direct Growth</v>
      </c>
      <c r="E1017" s="6" t="str">
        <v>DIRECT</v>
      </c>
      <c r="F1017" s="6" t="str">
        <v>CAMS</v>
      </c>
      <c r="G1017" s="6">
        <v>112323</v>
      </c>
      <c r="H1017" s="6">
        <v>41076</v>
      </c>
      <c r="I1017" s="6" t="str">
        <v>Purchase - SIP</v>
      </c>
      <c r="J1017" s="5">
        <v>5000</v>
      </c>
      <c r="K1017" s="5">
        <v>225.33199999999999</v>
      </c>
      <c r="L1017" s="5">
        <v>22.189499999999999</v>
      </c>
      <c r="M1017" s="5">
        <v>5767.2439999999997</v>
      </c>
      <c r="N1017" s="5" t="str">
        <v>PURCHASE_SIP</v>
      </c>
      <c r="O1017" s="5">
        <v>0</v>
      </c>
    </row>
    <row r="1018" spans="1:15" ht="17" x14ac:dyDescent="0.2">
      <c r="A1018" s="5" t="str">
        <v>Axis Mutual Fund</v>
      </c>
      <c r="B1018" s="5" t="str">
        <v>AAAA9994</v>
      </c>
      <c r="C1018" s="5" t="str">
        <v>AAAAA1111A</v>
      </c>
      <c r="D1018" s="6" t="str">
        <v>Axis ELSS Tax Saver Fund - Direct Growth</v>
      </c>
      <c r="E1018" s="6" t="str">
        <v>DIRECT</v>
      </c>
      <c r="F1018" s="6" t="str">
        <v>CAMS</v>
      </c>
      <c r="G1018" s="6">
        <v>112323</v>
      </c>
      <c r="H1018" s="6">
        <v>41076</v>
      </c>
      <c r="I1018" s="6" t="str">
        <v>Redemption</v>
      </c>
      <c r="J1018" s="5">
        <v>-25594.45</v>
      </c>
      <c r="K1018" s="5">
        <v>-1153.4490000000001</v>
      </c>
      <c r="L1018" s="5">
        <v>22.189499999999999</v>
      </c>
      <c r="M1018" s="5">
        <v>4613.7950000000001</v>
      </c>
      <c r="N1018" s="5" t="str">
        <v>REDEMPTION</v>
      </c>
      <c r="O1018" s="5">
        <v>0</v>
      </c>
    </row>
    <row r="1019" spans="1:15" ht="17" x14ac:dyDescent="0.2">
      <c r="A1019" s="5" t="str">
        <v>Axis Mutual Fund</v>
      </c>
      <c r="B1019" s="5" t="str">
        <v>AAAA9994</v>
      </c>
      <c r="C1019" s="5" t="str">
        <v>AAAAA1111A</v>
      </c>
      <c r="D1019" s="6" t="str">
        <v>Axis ELSS Tax Saver Fund - Direct Growth</v>
      </c>
      <c r="E1019" s="6" t="str">
        <v>DIRECT</v>
      </c>
      <c r="F1019" s="6" t="str">
        <v>CAMS</v>
      </c>
      <c r="G1019" s="6">
        <v>112323</v>
      </c>
      <c r="H1019" s="6">
        <v>41106</v>
      </c>
      <c r="I1019" s="6" t="str">
        <v>Purchase - SIP</v>
      </c>
      <c r="J1019" s="5">
        <v>5000</v>
      </c>
      <c r="K1019" s="5">
        <v>223.768</v>
      </c>
      <c r="L1019" s="5">
        <v>22.3446</v>
      </c>
      <c r="M1019" s="5">
        <v>4837.5630000000001</v>
      </c>
      <c r="N1019" s="5" t="str">
        <v>PURCHASE_SIP</v>
      </c>
      <c r="O1019" s="5">
        <v>0</v>
      </c>
    </row>
    <row r="1020" spans="1:15" ht="17" x14ac:dyDescent="0.2">
      <c r="A1020" s="5" t="str">
        <v>Axis Mutual Fund</v>
      </c>
      <c r="B1020" s="5" t="str">
        <v>AAAA9994</v>
      </c>
      <c r="C1020" s="5" t="str">
        <v>AAAAA1111A</v>
      </c>
      <c r="D1020" s="6" t="str">
        <v>Axis ELSS Tax Saver Fund - Direct Growth</v>
      </c>
      <c r="E1020" s="6" t="str">
        <v>DIRECT</v>
      </c>
      <c r="F1020" s="6" t="str">
        <v>CAMS</v>
      </c>
      <c r="G1020" s="6">
        <v>112323</v>
      </c>
      <c r="H1020" s="6">
        <v>41136</v>
      </c>
      <c r="I1020" s="6" t="str">
        <v>Purchase - SIP</v>
      </c>
      <c r="J1020" s="5">
        <v>5000</v>
      </c>
      <c r="K1020" s="5">
        <v>218.09100000000001</v>
      </c>
      <c r="L1020" s="5">
        <v>22.926200000000001</v>
      </c>
      <c r="M1020" s="5">
        <v>5055.6540000000005</v>
      </c>
      <c r="N1020" s="5" t="str">
        <v>PURCHASE_SIP</v>
      </c>
      <c r="O1020" s="5">
        <v>0</v>
      </c>
    </row>
    <row r="1021" spans="1:15" ht="17" x14ac:dyDescent="0.2">
      <c r="A1021" s="5" t="str">
        <v>Axis Mutual Fund</v>
      </c>
      <c r="B1021" s="5" t="str">
        <v>AAAA9994</v>
      </c>
      <c r="C1021" s="5" t="str">
        <v>AAAAA1111A</v>
      </c>
      <c r="D1021" s="6" t="str">
        <v>Axis ELSS Tax Saver Fund - Direct Growth</v>
      </c>
      <c r="E1021" s="6" t="str">
        <v>DIRECT</v>
      </c>
      <c r="F1021" s="6" t="str">
        <v>CAMS</v>
      </c>
      <c r="G1021" s="6">
        <v>112323</v>
      </c>
      <c r="H1021" s="6">
        <v>41136</v>
      </c>
      <c r="I1021" s="6" t="str">
        <v>STAMP DUTY</v>
      </c>
      <c r="J1021" s="5">
        <v>2.5</v>
      </c>
      <c r="K1021" s="5">
        <v>0</v>
      </c>
      <c r="L1021" s="5">
        <v>0</v>
      </c>
      <c r="M1021" s="5">
        <v>5055.6540000000005</v>
      </c>
      <c r="N1021" s="5" t="str">
        <v>STAMP_DUTY</v>
      </c>
      <c r="O1021" s="5">
        <v>0</v>
      </c>
    </row>
    <row r="1022" spans="1:15" ht="17" x14ac:dyDescent="0.2">
      <c r="A1022" s="5" t="str">
        <v>Axis Mutual Fund</v>
      </c>
      <c r="B1022" s="5" t="str">
        <v>AAAA9994</v>
      </c>
      <c r="C1022" s="5" t="str">
        <v>AAAAA1111A</v>
      </c>
      <c r="D1022" s="6" t="str">
        <v>Axis ELSS Tax Saver Fund - Direct Growth</v>
      </c>
      <c r="E1022" s="6" t="str">
        <v>DIRECT</v>
      </c>
      <c r="F1022" s="6" t="str">
        <v>CAMS</v>
      </c>
      <c r="G1022" s="6">
        <v>112323</v>
      </c>
      <c r="H1022" s="6">
        <v>41166</v>
      </c>
      <c r="I1022" s="6" t="str">
        <v>Purchase - SIP</v>
      </c>
      <c r="J1022" s="5">
        <v>5000</v>
      </c>
      <c r="K1022" s="5">
        <v>217.57599999999999</v>
      </c>
      <c r="L1022" s="5">
        <v>22.980399999999999</v>
      </c>
      <c r="M1022" s="5">
        <v>5273.23</v>
      </c>
      <c r="N1022" s="5" t="str">
        <v>PURCHASE_SIP</v>
      </c>
      <c r="O1022" s="5">
        <v>0</v>
      </c>
    </row>
    <row r="1023" spans="1:15" ht="17" x14ac:dyDescent="0.2">
      <c r="A1023" s="5" t="str">
        <v>Axis Mutual Fund</v>
      </c>
      <c r="B1023" s="5" t="str">
        <v>AAAA9994</v>
      </c>
      <c r="C1023" s="5" t="str">
        <v>AAAAA1111A</v>
      </c>
      <c r="D1023" s="6" t="str">
        <v>Axis ELSS Tax Saver Fund - Direct Growth</v>
      </c>
      <c r="E1023" s="6" t="str">
        <v>DIRECT</v>
      </c>
      <c r="F1023" s="6" t="str">
        <v>CAMS</v>
      </c>
      <c r="G1023" s="6">
        <v>112323</v>
      </c>
      <c r="H1023" s="6">
        <v>41196</v>
      </c>
      <c r="I1023" s="6" t="str">
        <v>Purchase - SIP</v>
      </c>
      <c r="J1023" s="5">
        <v>5000</v>
      </c>
      <c r="K1023" s="5">
        <v>221.44300000000001</v>
      </c>
      <c r="L1023" s="5">
        <v>22.5791</v>
      </c>
      <c r="M1023" s="5">
        <v>5494.674</v>
      </c>
      <c r="N1023" s="5" t="str">
        <v>PURCHASE_SIP</v>
      </c>
      <c r="O1023" s="5">
        <v>0</v>
      </c>
    </row>
    <row r="1024" spans="1:15" ht="17" x14ac:dyDescent="0.2">
      <c r="A1024" s="5" t="str">
        <v>Axis Mutual Fund</v>
      </c>
      <c r="B1024" s="5" t="str">
        <v>AAAA9994</v>
      </c>
      <c r="C1024" s="5" t="str">
        <v>AAAAA1111A</v>
      </c>
      <c r="D1024" s="6" t="str">
        <v>Axis ELSS Tax Saver Fund - Direct Growth</v>
      </c>
      <c r="E1024" s="6" t="str">
        <v>DIRECT</v>
      </c>
      <c r="F1024" s="6" t="str">
        <v>CAMS</v>
      </c>
      <c r="G1024" s="6">
        <v>112323</v>
      </c>
      <c r="H1024" s="6">
        <v>41196</v>
      </c>
      <c r="I1024" s="6" t="str">
        <v>STAMP DUTY</v>
      </c>
      <c r="J1024" s="5">
        <v>2.5</v>
      </c>
      <c r="K1024" s="5">
        <v>0</v>
      </c>
      <c r="L1024" s="5">
        <v>0</v>
      </c>
      <c r="M1024" s="5">
        <v>5494.674</v>
      </c>
      <c r="N1024" s="5" t="str">
        <v>STAMP_DUTY</v>
      </c>
      <c r="O1024" s="5">
        <v>0</v>
      </c>
    </row>
    <row r="1025" spans="1:15" ht="17" x14ac:dyDescent="0.2">
      <c r="A1025" s="5" t="str">
        <v>Axis Mutual Fund</v>
      </c>
      <c r="B1025" s="5" t="str">
        <v>AAAA9994</v>
      </c>
      <c r="C1025" s="5" t="str">
        <v>AAAAA1111A</v>
      </c>
      <c r="D1025" s="6" t="str">
        <v>Axis ELSS Tax Saver Fund - Direct Growth</v>
      </c>
      <c r="E1025" s="6" t="str">
        <v>DIRECT</v>
      </c>
      <c r="F1025" s="6" t="str">
        <v>CAMS</v>
      </c>
      <c r="G1025" s="6">
        <v>112323</v>
      </c>
      <c r="H1025" s="6">
        <v>41226</v>
      </c>
      <c r="I1025" s="6" t="str">
        <v>Purchase - SIP</v>
      </c>
      <c r="J1025" s="5">
        <v>5000</v>
      </c>
      <c r="K1025" s="5">
        <v>225.37299999999999</v>
      </c>
      <c r="L1025" s="5">
        <v>22.185500000000001</v>
      </c>
      <c r="M1025" s="5">
        <v>5720.0460000000003</v>
      </c>
      <c r="N1025" s="5" t="str">
        <v>PURCHASE_SIP</v>
      </c>
      <c r="O1025" s="5">
        <v>0</v>
      </c>
    </row>
    <row r="1026" spans="1:15" ht="17" x14ac:dyDescent="0.2">
      <c r="A1026" s="5" t="str">
        <v>Axis Mutual Fund</v>
      </c>
      <c r="B1026" s="5" t="str">
        <v>AAAA9994</v>
      </c>
      <c r="C1026" s="5" t="str">
        <v>AAAAA1111A</v>
      </c>
      <c r="D1026" s="6" t="str">
        <v>Axis ELSS Tax Saver Fund - Direct Growth</v>
      </c>
      <c r="E1026" s="6" t="str">
        <v>DIRECT</v>
      </c>
      <c r="F1026" s="6" t="str">
        <v>CAMS</v>
      </c>
      <c r="G1026" s="6">
        <v>112323</v>
      </c>
      <c r="H1026" s="6">
        <v>41256</v>
      </c>
      <c r="I1026" s="6" t="str">
        <v>Purchase - SIP</v>
      </c>
      <c r="J1026" s="5">
        <v>5000</v>
      </c>
      <c r="K1026" s="5">
        <v>227.011</v>
      </c>
      <c r="L1026" s="5">
        <v>22.025300000000001</v>
      </c>
      <c r="M1026" s="5">
        <v>5947.058</v>
      </c>
      <c r="N1026" s="5" t="str">
        <v>PURCHASE_SIP</v>
      </c>
      <c r="O1026" s="5">
        <v>0</v>
      </c>
    </row>
    <row r="1027" spans="1:15" ht="17" x14ac:dyDescent="0.2">
      <c r="A1027" s="5" t="str">
        <v>Axis Mutual Fund</v>
      </c>
      <c r="B1027" s="5" t="str">
        <v>AAAA9994</v>
      </c>
      <c r="C1027" s="5" t="str">
        <v>AAAAA1111A</v>
      </c>
      <c r="D1027" s="6" t="str">
        <v>Axis ELSS Tax Saver Fund - Direct Growth</v>
      </c>
      <c r="E1027" s="6" t="str">
        <v>DIRECT</v>
      </c>
      <c r="F1027" s="6" t="str">
        <v>CAMS</v>
      </c>
      <c r="G1027" s="6">
        <v>112323</v>
      </c>
      <c r="H1027" s="6">
        <v>41256</v>
      </c>
      <c r="I1027" s="6" t="str">
        <v>STAMP DUTY</v>
      </c>
      <c r="J1027" s="5">
        <v>2.5</v>
      </c>
      <c r="K1027" s="5">
        <v>0</v>
      </c>
      <c r="L1027" s="5">
        <v>0</v>
      </c>
      <c r="M1027" s="5">
        <v>5947.058</v>
      </c>
      <c r="N1027" s="5" t="str">
        <v>STAMP_DUTY</v>
      </c>
      <c r="O1027" s="5">
        <v>0</v>
      </c>
    </row>
    <row r="1028" spans="1:15" ht="17" x14ac:dyDescent="0.2">
      <c r="A1028" s="5" t="str">
        <v>Axis Mutual Fund</v>
      </c>
      <c r="B1028" s="5" t="str">
        <v>AAAA9994</v>
      </c>
      <c r="C1028" s="5" t="str">
        <v>AAAAA1111A</v>
      </c>
      <c r="D1028" s="6" t="str">
        <v>Axis ELSS Tax Saver Fund - Direct Growth</v>
      </c>
      <c r="E1028" s="6" t="str">
        <v>DIRECT</v>
      </c>
      <c r="F1028" s="6" t="str">
        <v>CAMS</v>
      </c>
      <c r="G1028" s="6">
        <v>112323</v>
      </c>
      <c r="H1028" s="6">
        <v>41286</v>
      </c>
      <c r="I1028" s="6" t="str">
        <v>Purchase - SIP</v>
      </c>
      <c r="J1028" s="5">
        <v>5000</v>
      </c>
      <c r="K1028" s="5">
        <v>220.66300000000001</v>
      </c>
      <c r="L1028" s="5">
        <v>22.658999999999999</v>
      </c>
      <c r="M1028" s="5">
        <v>6167.7209999999995</v>
      </c>
      <c r="N1028" s="5" t="str">
        <v>PURCHASE_SIP</v>
      </c>
      <c r="O1028" s="5">
        <v>0</v>
      </c>
    </row>
    <row r="1029" spans="1:15" ht="17" x14ac:dyDescent="0.2">
      <c r="A1029" s="5" t="str">
        <v>Axis Mutual Fund</v>
      </c>
      <c r="B1029" s="5" t="str">
        <v>AAAA9994</v>
      </c>
      <c r="C1029" s="5" t="str">
        <v>AAAAA1111A</v>
      </c>
      <c r="D1029" s="6" t="str">
        <v>Axis ELSS Tax Saver Fund - Direct Growth</v>
      </c>
      <c r="E1029" s="6" t="str">
        <v>DIRECT</v>
      </c>
      <c r="F1029" s="6" t="str">
        <v>CAMS</v>
      </c>
      <c r="G1029" s="6">
        <v>112323</v>
      </c>
      <c r="H1029" s="6">
        <v>41286</v>
      </c>
      <c r="I1029" s="6" t="str">
        <v>STAMP DUTY</v>
      </c>
      <c r="J1029" s="5">
        <v>2.5</v>
      </c>
      <c r="K1029" s="5">
        <v>0</v>
      </c>
      <c r="L1029" s="5">
        <v>0</v>
      </c>
      <c r="M1029" s="5">
        <v>6167.7209999999995</v>
      </c>
      <c r="N1029" s="5" t="str">
        <v>STAMP_DUTY</v>
      </c>
      <c r="O1029" s="5">
        <v>0</v>
      </c>
    </row>
    <row r="1030" spans="1:15" ht="17" x14ac:dyDescent="0.2">
      <c r="A1030" s="5" t="str">
        <v>Axis Mutual Fund</v>
      </c>
      <c r="B1030" s="5" t="str">
        <v>AAAA9994</v>
      </c>
      <c r="C1030" s="5" t="str">
        <v>AAAAA1111A</v>
      </c>
      <c r="D1030" s="6" t="str">
        <v>Axis ELSS Tax Saver Fund - Direct Growth</v>
      </c>
      <c r="E1030" s="6" t="str">
        <v>DIRECT</v>
      </c>
      <c r="F1030" s="6" t="str">
        <v>CAMS</v>
      </c>
      <c r="G1030" s="6">
        <v>112323</v>
      </c>
      <c r="H1030" s="6">
        <v>41316</v>
      </c>
      <c r="I1030" s="6" t="str">
        <v>Purchase - SIP</v>
      </c>
      <c r="J1030" s="5">
        <v>5000</v>
      </c>
      <c r="K1030" s="5">
        <v>225.10300000000001</v>
      </c>
      <c r="L1030" s="5">
        <v>22.2121</v>
      </c>
      <c r="M1030" s="5">
        <v>6392.8239999999996</v>
      </c>
      <c r="N1030" s="5" t="str">
        <v>PURCHASE_SIP</v>
      </c>
      <c r="O1030" s="5">
        <v>0</v>
      </c>
    </row>
    <row r="1031" spans="1:15" ht="17" x14ac:dyDescent="0.2">
      <c r="A1031" s="5" t="str">
        <v>Axis Mutual Fund</v>
      </c>
      <c r="B1031" s="5" t="str">
        <v>AAAA9994</v>
      </c>
      <c r="C1031" s="5" t="str">
        <v>AAAAA1111A</v>
      </c>
      <c r="D1031" s="6" t="str">
        <v>Axis ELSS Tax Saver Fund - Direct Growth</v>
      </c>
      <c r="E1031" s="6" t="str">
        <v>DIRECT</v>
      </c>
      <c r="F1031" s="6" t="str">
        <v>CAMS</v>
      </c>
      <c r="G1031" s="6">
        <v>112323</v>
      </c>
      <c r="H1031" s="6">
        <v>41346</v>
      </c>
      <c r="I1031" s="6" t="str">
        <v>Purchase - SIP</v>
      </c>
      <c r="J1031" s="5">
        <v>5000</v>
      </c>
      <c r="K1031" s="5">
        <v>219.69399999999999</v>
      </c>
      <c r="L1031" s="5">
        <v>22.758900000000001</v>
      </c>
      <c r="M1031" s="5">
        <v>6612.518</v>
      </c>
      <c r="N1031" s="5" t="str">
        <v>PURCHASE_SIP</v>
      </c>
      <c r="O1031" s="5">
        <v>0</v>
      </c>
    </row>
    <row r="1032" spans="1:15" ht="17" x14ac:dyDescent="0.2">
      <c r="A1032" s="5" t="str">
        <v>Axis Mutual Fund</v>
      </c>
      <c r="B1032" s="5" t="str">
        <v>AAAA9994</v>
      </c>
      <c r="C1032" s="5" t="str">
        <v>AAAAA1111A</v>
      </c>
      <c r="D1032" s="6" t="str">
        <v>Axis ELSS Tax Saver Fund - Direct Growth</v>
      </c>
      <c r="E1032" s="6" t="str">
        <v>DIRECT</v>
      </c>
      <c r="F1032" s="6" t="str">
        <v>CAMS</v>
      </c>
      <c r="G1032" s="6">
        <v>112323</v>
      </c>
      <c r="H1032" s="6">
        <v>41376</v>
      </c>
      <c r="I1032" s="6" t="str">
        <v>Purchase - SIP</v>
      </c>
      <c r="J1032" s="5">
        <v>5000</v>
      </c>
      <c r="K1032" s="5">
        <v>217.46100000000001</v>
      </c>
      <c r="L1032" s="5">
        <v>22.992699999999999</v>
      </c>
      <c r="M1032" s="5">
        <v>6829.9790000000003</v>
      </c>
      <c r="N1032" s="5" t="str">
        <v>PURCHASE_SIP</v>
      </c>
      <c r="O1032" s="5">
        <v>0</v>
      </c>
    </row>
    <row r="1033" spans="1:15" ht="17" x14ac:dyDescent="0.2">
      <c r="A1033" s="5" t="str">
        <v>Axis Mutual Fund</v>
      </c>
      <c r="B1033" s="5" t="str">
        <v>AAAA9994</v>
      </c>
      <c r="C1033" s="5" t="str">
        <v>AAAAA1111A</v>
      </c>
      <c r="D1033" s="6" t="str">
        <v>Axis ELSS Tax Saver Fund - Direct Growth</v>
      </c>
      <c r="E1033" s="6" t="str">
        <v>DIRECT</v>
      </c>
      <c r="F1033" s="6" t="str">
        <v>CAMS</v>
      </c>
      <c r="G1033" s="6">
        <v>112323</v>
      </c>
      <c r="H1033" s="6">
        <v>41376</v>
      </c>
      <c r="I1033" s="6" t="str">
        <v>STAMP DUTY</v>
      </c>
      <c r="J1033" s="5">
        <v>2.5</v>
      </c>
      <c r="K1033" s="5">
        <v>0</v>
      </c>
      <c r="L1033" s="5">
        <v>0</v>
      </c>
      <c r="M1033" s="5">
        <v>6829.9790000000003</v>
      </c>
      <c r="N1033" s="5" t="str">
        <v>STAMP_DUTY</v>
      </c>
      <c r="O1033" s="5">
        <v>0</v>
      </c>
    </row>
    <row r="1034" spans="1:15" ht="17" x14ac:dyDescent="0.2">
      <c r="A1034" s="5" t="str">
        <v>Axis Mutual Fund</v>
      </c>
      <c r="B1034" s="5" t="str">
        <v>AAAA9994</v>
      </c>
      <c r="C1034" s="5" t="str">
        <v>AAAAA1111A</v>
      </c>
      <c r="D1034" s="6" t="str">
        <v>Axis ELSS Tax Saver Fund - Direct Growth</v>
      </c>
      <c r="E1034" s="6" t="str">
        <v>DIRECT</v>
      </c>
      <c r="F1034" s="6" t="str">
        <v>CAMS</v>
      </c>
      <c r="G1034" s="6">
        <v>112323</v>
      </c>
      <c r="H1034" s="6">
        <v>41376</v>
      </c>
      <c r="I1034" s="6" t="str">
        <v>Dividend Paid</v>
      </c>
      <c r="J1034" s="5">
        <v>3414.99</v>
      </c>
      <c r="K1034" s="5">
        <v>0</v>
      </c>
      <c r="L1034" s="5">
        <v>0</v>
      </c>
      <c r="M1034" s="5">
        <v>6829.9790000000003</v>
      </c>
      <c r="N1034" s="5" t="str">
        <v>DIVIDEND_PAYOUT</v>
      </c>
      <c r="O1034" s="5">
        <v>3414.99</v>
      </c>
    </row>
    <row r="1035" spans="1:15" ht="17" x14ac:dyDescent="0.2">
      <c r="A1035" s="5" t="str">
        <v>Axis Mutual Fund</v>
      </c>
      <c r="B1035" s="5" t="str">
        <v>AAAA9994</v>
      </c>
      <c r="C1035" s="5" t="str">
        <v>AAAAA1111A</v>
      </c>
      <c r="D1035" s="6" t="str">
        <v>Axis ELSS Tax Saver Fund - Direct Growth</v>
      </c>
      <c r="E1035" s="6" t="str">
        <v>DIRECT</v>
      </c>
      <c r="F1035" s="6" t="str">
        <v>CAMS</v>
      </c>
      <c r="G1035" s="6">
        <v>112323</v>
      </c>
      <c r="H1035" s="6">
        <v>41406</v>
      </c>
      <c r="I1035" s="6" t="str">
        <v>Purchase - SIP</v>
      </c>
      <c r="J1035" s="5">
        <v>5000</v>
      </c>
      <c r="K1035" s="5">
        <v>211.78899999999999</v>
      </c>
      <c r="L1035" s="5">
        <v>23.6084</v>
      </c>
      <c r="M1035" s="5">
        <v>7041.768</v>
      </c>
      <c r="N1035" s="5" t="str">
        <v>PURCHASE_SIP</v>
      </c>
      <c r="O1035" s="5">
        <v>0</v>
      </c>
    </row>
    <row r="1036" spans="1:15" ht="17" x14ac:dyDescent="0.2">
      <c r="A1036" s="5" t="str">
        <v>Axis Mutual Fund</v>
      </c>
      <c r="B1036" s="5" t="str">
        <v>AAAA9994</v>
      </c>
      <c r="C1036" s="5" t="str">
        <v>AAAAA1111A</v>
      </c>
      <c r="D1036" s="6" t="str">
        <v>Axis ELSS Tax Saver Fund - Direct Growth</v>
      </c>
      <c r="E1036" s="6" t="str">
        <v>DIRECT</v>
      </c>
      <c r="F1036" s="6" t="str">
        <v>CAMS</v>
      </c>
      <c r="G1036" s="6">
        <v>112323</v>
      </c>
      <c r="H1036" s="6">
        <v>41436</v>
      </c>
      <c r="I1036" s="6" t="str">
        <v>Purchase - SIP</v>
      </c>
      <c r="J1036" s="5">
        <v>5000</v>
      </c>
      <c r="K1036" s="5">
        <v>210.82499999999999</v>
      </c>
      <c r="L1036" s="5">
        <v>23.7164</v>
      </c>
      <c r="M1036" s="5">
        <v>7252.5919999999996</v>
      </c>
      <c r="N1036" s="5" t="str">
        <v>PURCHASE_SIP</v>
      </c>
      <c r="O1036" s="5">
        <v>0</v>
      </c>
    </row>
    <row r="1037" spans="1:15" ht="17" x14ac:dyDescent="0.2">
      <c r="A1037" s="5" t="str">
        <v>Axis Mutual Fund</v>
      </c>
      <c r="B1037" s="5" t="str">
        <v>AAAA9994</v>
      </c>
      <c r="C1037" s="5" t="str">
        <v>AAAAA1111A</v>
      </c>
      <c r="D1037" s="6" t="str">
        <v>Axis ELSS Tax Saver Fund - Direct Growth</v>
      </c>
      <c r="E1037" s="6" t="str">
        <v>DIRECT</v>
      </c>
      <c r="F1037" s="6" t="str">
        <v>CAMS</v>
      </c>
      <c r="G1037" s="6">
        <v>112323</v>
      </c>
      <c r="H1037" s="6">
        <v>41466</v>
      </c>
      <c r="I1037" s="6" t="str">
        <v>Purchase - SIP</v>
      </c>
      <c r="J1037" s="5">
        <v>5000</v>
      </c>
      <c r="K1037" s="5">
        <v>214.15199999999999</v>
      </c>
      <c r="L1037" s="5">
        <v>23.347899999999999</v>
      </c>
      <c r="M1037" s="5">
        <v>7466.7439999999997</v>
      </c>
      <c r="N1037" s="5" t="str">
        <v>PURCHASE_SIP</v>
      </c>
      <c r="O1037" s="5">
        <v>0</v>
      </c>
    </row>
    <row r="1038" spans="1:15" ht="17" x14ac:dyDescent="0.2">
      <c r="A1038" s="5" t="str">
        <v>Axis Mutual Fund</v>
      </c>
      <c r="B1038" s="5" t="str">
        <v>AAAA9994</v>
      </c>
      <c r="C1038" s="5" t="str">
        <v>AAAAA1111A</v>
      </c>
      <c r="D1038" s="6" t="str">
        <v>Axis ELSS Tax Saver Fund - Direct Growth</v>
      </c>
      <c r="E1038" s="6" t="str">
        <v>DIRECT</v>
      </c>
      <c r="F1038" s="6" t="str">
        <v>CAMS</v>
      </c>
      <c r="G1038" s="6">
        <v>112323</v>
      </c>
      <c r="H1038" s="6">
        <v>41496</v>
      </c>
      <c r="I1038" s="6" t="str">
        <v>Purchase - SIP</v>
      </c>
      <c r="J1038" s="5">
        <v>5000</v>
      </c>
      <c r="K1038" s="5">
        <v>218.333</v>
      </c>
      <c r="L1038" s="5">
        <v>22.9008</v>
      </c>
      <c r="M1038" s="5">
        <v>7685.0770000000002</v>
      </c>
      <c r="N1038" s="5" t="str">
        <v>PURCHASE_SIP</v>
      </c>
      <c r="O1038" s="5">
        <v>0</v>
      </c>
    </row>
    <row r="1039" spans="1:15" ht="17" x14ac:dyDescent="0.2">
      <c r="A1039" s="5" t="str">
        <v>Axis Mutual Fund</v>
      </c>
      <c r="B1039" s="5" t="str">
        <v>AAAA9994</v>
      </c>
      <c r="C1039" s="5" t="str">
        <v>AAAAA1111A</v>
      </c>
      <c r="D1039" s="6" t="str">
        <v>Axis ELSS Tax Saver Fund - Direct Growth</v>
      </c>
      <c r="E1039" s="6" t="str">
        <v>DIRECT</v>
      </c>
      <c r="F1039" s="6" t="str">
        <v>CAMS</v>
      </c>
      <c r="G1039" s="6">
        <v>112323</v>
      </c>
      <c r="H1039" s="6">
        <v>41496</v>
      </c>
      <c r="I1039" s="6" t="str">
        <v>STT TAX</v>
      </c>
      <c r="J1039" s="5">
        <v>2.5</v>
      </c>
      <c r="K1039" s="5">
        <v>0</v>
      </c>
      <c r="L1039" s="5">
        <v>0</v>
      </c>
      <c r="M1039" s="5">
        <v>7685.0770000000002</v>
      </c>
      <c r="N1039" s="5" t="str">
        <v>STT_TAX</v>
      </c>
      <c r="O1039" s="5">
        <v>0</v>
      </c>
    </row>
    <row r="1040" spans="1:15" ht="17" x14ac:dyDescent="0.2">
      <c r="A1040" s="5" t="str">
        <v>Axis Mutual Fund</v>
      </c>
      <c r="B1040" s="5" t="str">
        <v>AAAA9994</v>
      </c>
      <c r="C1040" s="5" t="str">
        <v>AAAAA1111A</v>
      </c>
      <c r="D1040" s="6" t="str">
        <v>Axis ELSS Tax Saver Fund - Direct Growth</v>
      </c>
      <c r="E1040" s="6" t="str">
        <v>DIRECT</v>
      </c>
      <c r="F1040" s="6" t="str">
        <v>CAMS</v>
      </c>
      <c r="G1040" s="6">
        <v>112323</v>
      </c>
      <c r="H1040" s="6">
        <v>41526</v>
      </c>
      <c r="I1040" s="6" t="str">
        <v>Purchase - SIP</v>
      </c>
      <c r="J1040" s="5">
        <v>5000</v>
      </c>
      <c r="K1040" s="5">
        <v>219.72900000000001</v>
      </c>
      <c r="L1040" s="5">
        <v>22.755299999999998</v>
      </c>
      <c r="M1040" s="5">
        <v>7904.8069999999998</v>
      </c>
      <c r="N1040" s="5" t="str">
        <v>PURCHASE_SIP</v>
      </c>
      <c r="O1040" s="5">
        <v>0</v>
      </c>
    </row>
    <row r="1041" spans="1:15" ht="17" x14ac:dyDescent="0.2">
      <c r="A1041" s="5" t="str">
        <v>Axis Mutual Fund</v>
      </c>
      <c r="B1041" s="5" t="str">
        <v>AAAA9994</v>
      </c>
      <c r="C1041" s="5" t="str">
        <v>AAAAA1111A</v>
      </c>
      <c r="D1041" s="6" t="str">
        <v>Axis ELSS Tax Saver Fund - Direct Growth</v>
      </c>
      <c r="E1041" s="6" t="str">
        <v>DIRECT</v>
      </c>
      <c r="F1041" s="6" t="str">
        <v>CAMS</v>
      </c>
      <c r="G1041" s="6">
        <v>112323</v>
      </c>
      <c r="H1041" s="6">
        <v>41526</v>
      </c>
      <c r="I1041" s="6" t="str">
        <v>Dividend Paid</v>
      </c>
      <c r="J1041" s="5">
        <v>3952.4</v>
      </c>
      <c r="K1041" s="5">
        <v>0</v>
      </c>
      <c r="L1041" s="5">
        <v>0</v>
      </c>
      <c r="M1041" s="5">
        <v>7904.8069999999998</v>
      </c>
      <c r="N1041" s="5" t="str">
        <v>DIVIDEND_PAYOUT</v>
      </c>
      <c r="O1041" s="5">
        <v>3952.4</v>
      </c>
    </row>
    <row r="1042" spans="1:15" ht="17" x14ac:dyDescent="0.2">
      <c r="A1042" s="5" t="str">
        <v>Axis Mutual Fund</v>
      </c>
      <c r="B1042" s="5" t="str">
        <v>AAAA9994</v>
      </c>
      <c r="C1042" s="5" t="str">
        <v>AAAAA1111A</v>
      </c>
      <c r="D1042" s="6" t="str">
        <v>Axis ELSS Tax Saver Fund - Direct Growth</v>
      </c>
      <c r="E1042" s="6" t="str">
        <v>DIRECT</v>
      </c>
      <c r="F1042" s="6" t="str">
        <v>CAMS</v>
      </c>
      <c r="G1042" s="6">
        <v>112323</v>
      </c>
      <c r="H1042" s="6">
        <v>41556</v>
      </c>
      <c r="I1042" s="6" t="str">
        <v>Purchase - SIP</v>
      </c>
      <c r="J1042" s="5">
        <v>5000</v>
      </c>
      <c r="K1042" s="5">
        <v>219.17699999999999</v>
      </c>
      <c r="L1042" s="5">
        <v>22.8126</v>
      </c>
      <c r="M1042" s="5">
        <v>8123.9840000000004</v>
      </c>
      <c r="N1042" s="5" t="str">
        <v>PURCHASE_SIP</v>
      </c>
      <c r="O1042" s="5">
        <v>0</v>
      </c>
    </row>
    <row r="1043" spans="1:15" ht="17" x14ac:dyDescent="0.2">
      <c r="A1043" s="5" t="str">
        <v>Axis Mutual Fund</v>
      </c>
      <c r="B1043" s="5" t="str">
        <v>AAAA9994</v>
      </c>
      <c r="C1043" s="5" t="str">
        <v>AAAAA1111A</v>
      </c>
      <c r="D1043" s="6" t="str">
        <v>Axis ELSS Tax Saver Fund - Direct Growth</v>
      </c>
      <c r="E1043" s="6" t="str">
        <v>DIRECT</v>
      </c>
      <c r="F1043" s="6" t="str">
        <v>CAMS</v>
      </c>
      <c r="G1043" s="6">
        <v>112323</v>
      </c>
      <c r="H1043" s="6">
        <v>41586</v>
      </c>
      <c r="I1043" s="6" t="str">
        <v>Purchase - SIP</v>
      </c>
      <c r="J1043" s="5">
        <v>5000</v>
      </c>
      <c r="K1043" s="5">
        <v>213.697</v>
      </c>
      <c r="L1043" s="5">
        <v>23.397600000000001</v>
      </c>
      <c r="M1043" s="5">
        <v>8337.68</v>
      </c>
      <c r="N1043" s="5" t="str">
        <v>PURCHASE_SIP</v>
      </c>
      <c r="O1043" s="5">
        <v>0</v>
      </c>
    </row>
    <row r="1044" spans="1:15" ht="17" x14ac:dyDescent="0.2">
      <c r="A1044" s="5" t="str">
        <v>Axis Mutual Fund</v>
      </c>
      <c r="B1044" s="5" t="str">
        <v>AAAA9994</v>
      </c>
      <c r="C1044" s="5" t="str">
        <v>AAAAA1111A</v>
      </c>
      <c r="D1044" s="6" t="str">
        <v>Axis ELSS Tax Saver Fund - Direct Growth</v>
      </c>
      <c r="E1044" s="6" t="str">
        <v>DIRECT</v>
      </c>
      <c r="F1044" s="6" t="str">
        <v>CAMS</v>
      </c>
      <c r="G1044" s="6">
        <v>112323</v>
      </c>
      <c r="H1044" s="6">
        <v>41616</v>
      </c>
      <c r="I1044" s="6" t="str">
        <v>Purchase - SIP</v>
      </c>
      <c r="J1044" s="5">
        <v>5000</v>
      </c>
      <c r="K1044" s="5">
        <v>212.09299999999999</v>
      </c>
      <c r="L1044" s="5">
        <v>23.5746</v>
      </c>
      <c r="M1044" s="5">
        <v>8549.7729999999992</v>
      </c>
      <c r="N1044" s="5" t="str">
        <v>PURCHASE_SIP</v>
      </c>
      <c r="O1044" s="5">
        <v>0</v>
      </c>
    </row>
    <row r="1045" spans="1:15" ht="17" x14ac:dyDescent="0.2">
      <c r="A1045" s="5" t="str">
        <v>Axis Mutual Fund</v>
      </c>
      <c r="B1045" s="5" t="str">
        <v>AAAA9994</v>
      </c>
      <c r="C1045" s="5" t="str">
        <v>AAAAA1111A</v>
      </c>
      <c r="D1045" s="6" t="str">
        <v>Axis ELSS Tax Saver Fund - Direct Growth</v>
      </c>
      <c r="E1045" s="6" t="str">
        <v>DIRECT</v>
      </c>
      <c r="F1045" s="6" t="str">
        <v>CAMS</v>
      </c>
      <c r="G1045" s="6">
        <v>112323</v>
      </c>
      <c r="H1045" s="6">
        <v>41646</v>
      </c>
      <c r="I1045" s="6" t="str">
        <v>Purchase - SIP</v>
      </c>
      <c r="J1045" s="5">
        <v>5000</v>
      </c>
      <c r="K1045" s="5">
        <v>212.26499999999999</v>
      </c>
      <c r="L1045" s="5">
        <v>23.555499999999999</v>
      </c>
      <c r="M1045" s="5">
        <v>8762.0380000000005</v>
      </c>
      <c r="N1045" s="5" t="str">
        <v>PURCHASE_SIP</v>
      </c>
      <c r="O1045" s="5">
        <v>0</v>
      </c>
    </row>
    <row r="1046" spans="1:15" ht="17" x14ac:dyDescent="0.2">
      <c r="A1046" s="5" t="str">
        <v>Axis Mutual Fund</v>
      </c>
      <c r="B1046" s="5" t="str">
        <v>AAAA9994</v>
      </c>
      <c r="C1046" s="5" t="str">
        <v>AAAAA1111A</v>
      </c>
      <c r="D1046" s="6" t="str">
        <v>Axis ELSS Tax Saver Fund - Direct Growth</v>
      </c>
      <c r="E1046" s="6" t="str">
        <v>DIRECT</v>
      </c>
      <c r="F1046" s="6" t="str">
        <v>CAMS</v>
      </c>
      <c r="G1046" s="6">
        <v>112323</v>
      </c>
      <c r="H1046" s="6">
        <v>41646</v>
      </c>
      <c r="I1046" s="6" t="str">
        <v>STAMP DUTY</v>
      </c>
      <c r="J1046" s="5">
        <v>2.5</v>
      </c>
      <c r="K1046" s="5">
        <v>0</v>
      </c>
      <c r="L1046" s="5">
        <v>0</v>
      </c>
      <c r="M1046" s="5">
        <v>8762.0380000000005</v>
      </c>
      <c r="N1046" s="5" t="str">
        <v>STAMP_DUTY</v>
      </c>
      <c r="O1046" s="5">
        <v>0</v>
      </c>
    </row>
    <row r="1047" spans="1:15" ht="17" x14ac:dyDescent="0.2">
      <c r="A1047" s="5" t="str">
        <v>Axis Mutual Fund</v>
      </c>
      <c r="B1047" s="5" t="str">
        <v>AAAA9994</v>
      </c>
      <c r="C1047" s="5" t="str">
        <v>AAAAA1111A</v>
      </c>
      <c r="D1047" s="6" t="str">
        <v>Axis ELSS Tax Saver Fund - Direct Growth</v>
      </c>
      <c r="E1047" s="6" t="str">
        <v>DIRECT</v>
      </c>
      <c r="F1047" s="6" t="str">
        <v>CAMS</v>
      </c>
      <c r="G1047" s="6">
        <v>112323</v>
      </c>
      <c r="H1047" s="6">
        <v>41646</v>
      </c>
      <c r="I1047" s="6" t="str">
        <v>Dividend Paid</v>
      </c>
      <c r="J1047" s="5">
        <v>4381.0200000000004</v>
      </c>
      <c r="K1047" s="5">
        <v>0</v>
      </c>
      <c r="L1047" s="5">
        <v>0</v>
      </c>
      <c r="M1047" s="5">
        <v>8762.0380000000005</v>
      </c>
      <c r="N1047" s="5" t="str">
        <v>DIVIDEND_PAYOUT</v>
      </c>
      <c r="O1047" s="5">
        <v>4381.0200000000004</v>
      </c>
    </row>
    <row r="1048" spans="1:15" ht="17" x14ac:dyDescent="0.2">
      <c r="A1048" s="5" t="str">
        <v>Axis Mutual Fund</v>
      </c>
      <c r="B1048" s="5" t="str">
        <v>AAAA9994</v>
      </c>
      <c r="C1048" s="5" t="str">
        <v>AAAAA1111A</v>
      </c>
      <c r="D1048" s="6" t="str">
        <v>Axis ELSS Tax Saver Fund - Direct Growth</v>
      </c>
      <c r="E1048" s="6" t="str">
        <v>DIRECT</v>
      </c>
      <c r="F1048" s="6" t="str">
        <v>CAMS</v>
      </c>
      <c r="G1048" s="6">
        <v>112323</v>
      </c>
      <c r="H1048" s="6">
        <v>41676</v>
      </c>
      <c r="I1048" s="6" t="str">
        <v>Purchase - SIP</v>
      </c>
      <c r="J1048" s="5">
        <v>5000</v>
      </c>
      <c r="K1048" s="5">
        <v>213.46799999999999</v>
      </c>
      <c r="L1048" s="5">
        <v>23.422699999999999</v>
      </c>
      <c r="M1048" s="5">
        <v>8975.5059999999994</v>
      </c>
      <c r="N1048" s="5" t="str">
        <v>PURCHASE_SIP</v>
      </c>
      <c r="O1048" s="5">
        <v>0</v>
      </c>
    </row>
    <row r="1049" spans="1:15" ht="17" x14ac:dyDescent="0.2">
      <c r="A1049" s="5" t="str">
        <v>Axis Mutual Fund</v>
      </c>
      <c r="B1049" s="5" t="str">
        <v>AAAA9994</v>
      </c>
      <c r="C1049" s="5" t="str">
        <v>AAAAA1111A</v>
      </c>
      <c r="D1049" s="6" t="str">
        <v>Axis ELSS Tax Saver Fund - Direct Growth</v>
      </c>
      <c r="E1049" s="6" t="str">
        <v>DIRECT</v>
      </c>
      <c r="F1049" s="6" t="str">
        <v>CAMS</v>
      </c>
      <c r="G1049" s="6">
        <v>112323</v>
      </c>
      <c r="H1049" s="6">
        <v>41706</v>
      </c>
      <c r="I1049" s="6" t="str">
        <v>Purchase - SIP</v>
      </c>
      <c r="J1049" s="5">
        <v>5000</v>
      </c>
      <c r="K1049" s="5">
        <v>208.42</v>
      </c>
      <c r="L1049" s="5">
        <v>23.99</v>
      </c>
      <c r="M1049" s="5">
        <v>9183.9259999999995</v>
      </c>
      <c r="N1049" s="5" t="str">
        <v>PURCHASE_SIP</v>
      </c>
      <c r="O1049" s="5">
        <v>0</v>
      </c>
    </row>
    <row r="1050" spans="1:15" ht="17" x14ac:dyDescent="0.2">
      <c r="A1050" s="5" t="str">
        <v>Axis Mutual Fund</v>
      </c>
      <c r="B1050" s="5" t="str">
        <v>AAAA9994</v>
      </c>
      <c r="C1050" s="5" t="str">
        <v>AAAAA1111A</v>
      </c>
      <c r="D1050" s="6" t="str">
        <v>Axis ELSS Tax Saver Fund - Direct Growth</v>
      </c>
      <c r="E1050" s="6" t="str">
        <v>DIRECT</v>
      </c>
      <c r="F1050" s="6" t="str">
        <v>CAMS</v>
      </c>
      <c r="G1050" s="6">
        <v>112323</v>
      </c>
      <c r="H1050" s="6">
        <v>41736</v>
      </c>
      <c r="I1050" s="6" t="str">
        <v>Purchase - SIP</v>
      </c>
      <c r="J1050" s="5">
        <v>5000</v>
      </c>
      <c r="K1050" s="5">
        <v>202.98599999999999</v>
      </c>
      <c r="L1050" s="5">
        <v>24.632300000000001</v>
      </c>
      <c r="M1050" s="5">
        <v>9386.9120000000003</v>
      </c>
      <c r="N1050" s="5" t="str">
        <v>PURCHASE_SIP</v>
      </c>
      <c r="O1050" s="5">
        <v>0</v>
      </c>
    </row>
    <row r="1051" spans="1:15" ht="17" x14ac:dyDescent="0.2">
      <c r="A1051" s="5" t="str">
        <v>Axis Mutual Fund</v>
      </c>
      <c r="B1051" s="5" t="str">
        <v>AAAA9994</v>
      </c>
      <c r="C1051" s="5" t="str">
        <v>AAAAA1111A</v>
      </c>
      <c r="D1051" s="6" t="str">
        <v>Axis ELSS Tax Saver Fund - Direct Growth</v>
      </c>
      <c r="E1051" s="6" t="str">
        <v>DIRECT</v>
      </c>
      <c r="F1051" s="6" t="str">
        <v>CAMS</v>
      </c>
      <c r="G1051" s="6">
        <v>112323</v>
      </c>
      <c r="H1051" s="6">
        <v>41766</v>
      </c>
      <c r="I1051" s="6" t="str">
        <v>Purchase - SIP</v>
      </c>
      <c r="J1051" s="5">
        <v>5000</v>
      </c>
      <c r="K1051" s="5">
        <v>203.06899999999999</v>
      </c>
      <c r="L1051" s="5">
        <v>24.622199999999999</v>
      </c>
      <c r="M1051" s="5">
        <v>9589.9809999999998</v>
      </c>
      <c r="N1051" s="5" t="str">
        <v>PURCHASE_SIP</v>
      </c>
      <c r="O1051" s="5">
        <v>0</v>
      </c>
    </row>
    <row r="1052" spans="1:15" ht="17" x14ac:dyDescent="0.2">
      <c r="A1052" s="5" t="str">
        <v>Axis Mutual Fund</v>
      </c>
      <c r="B1052" s="5" t="str">
        <v>AAAA9994</v>
      </c>
      <c r="C1052" s="5" t="str">
        <v>AAAAA1111A</v>
      </c>
      <c r="D1052" s="6" t="str">
        <v>Axis ELSS Tax Saver Fund - Direct Growth</v>
      </c>
      <c r="E1052" s="6" t="str">
        <v>DIRECT</v>
      </c>
      <c r="F1052" s="6" t="str">
        <v>CAMS</v>
      </c>
      <c r="G1052" s="6">
        <v>112323</v>
      </c>
      <c r="H1052" s="6">
        <v>41796</v>
      </c>
      <c r="I1052" s="6" t="str">
        <v>Purchase - SIP</v>
      </c>
      <c r="J1052" s="5">
        <v>5000</v>
      </c>
      <c r="K1052" s="5">
        <v>199.70500000000001</v>
      </c>
      <c r="L1052" s="5">
        <v>25.036999999999999</v>
      </c>
      <c r="M1052" s="5">
        <v>9789.6849999999995</v>
      </c>
      <c r="N1052" s="5" t="str">
        <v>PURCHASE_SIP</v>
      </c>
      <c r="O1052" s="5">
        <v>0</v>
      </c>
    </row>
    <row r="1053" spans="1:15" ht="17" x14ac:dyDescent="0.2">
      <c r="A1053" s="5" t="str">
        <v>Axis Mutual Fund</v>
      </c>
      <c r="B1053" s="5" t="str">
        <v>AAAA9994</v>
      </c>
      <c r="C1053" s="5" t="str">
        <v>AAAAA1111A</v>
      </c>
      <c r="D1053" s="6" t="str">
        <v>Axis ELSS Tax Saver Fund - Direct Growth</v>
      </c>
      <c r="E1053" s="6" t="str">
        <v>DIRECT</v>
      </c>
      <c r="F1053" s="6" t="str">
        <v>CAMS</v>
      </c>
      <c r="G1053" s="6">
        <v>112323</v>
      </c>
      <c r="H1053" s="6">
        <v>41826</v>
      </c>
      <c r="I1053" s="6" t="str">
        <v>Purchase - SIP</v>
      </c>
      <c r="J1053" s="5">
        <v>5000</v>
      </c>
      <c r="K1053" s="5">
        <v>197.57</v>
      </c>
      <c r="L1053" s="5">
        <v>25.307500000000001</v>
      </c>
      <c r="M1053" s="5">
        <v>9987.2549999999992</v>
      </c>
      <c r="N1053" s="5" t="str">
        <v>PURCHASE_SIP</v>
      </c>
      <c r="O1053" s="5">
        <v>0</v>
      </c>
    </row>
    <row r="1054" spans="1:15" ht="17" x14ac:dyDescent="0.2">
      <c r="A1054" s="5" t="str">
        <v>Axis Mutual Fund</v>
      </c>
      <c r="B1054" s="5" t="str">
        <v>AAAA9994</v>
      </c>
      <c r="C1054" s="5" t="str">
        <v>AAAAA1111A</v>
      </c>
      <c r="D1054" s="6" t="str">
        <v>Axis ELSS Tax Saver Fund - Direct Growth</v>
      </c>
      <c r="E1054" s="6" t="str">
        <v>DIRECT</v>
      </c>
      <c r="F1054" s="6" t="str">
        <v>CAMS</v>
      </c>
      <c r="G1054" s="6">
        <v>112323</v>
      </c>
      <c r="H1054" s="6">
        <v>41856</v>
      </c>
      <c r="I1054" s="6" t="str">
        <v>Purchase - SIP</v>
      </c>
      <c r="J1054" s="5">
        <v>5000</v>
      </c>
      <c r="K1054" s="5">
        <v>198.339</v>
      </c>
      <c r="L1054" s="5">
        <v>25.209299999999999</v>
      </c>
      <c r="M1054" s="5">
        <v>10185.593999999999</v>
      </c>
      <c r="N1054" s="5" t="str">
        <v>PURCHASE_SIP</v>
      </c>
      <c r="O1054" s="5">
        <v>0</v>
      </c>
    </row>
    <row r="1055" spans="1:15" ht="17" x14ac:dyDescent="0.2">
      <c r="A1055" s="5" t="str">
        <v>Axis Mutual Fund</v>
      </c>
      <c r="B1055" s="5" t="str">
        <v>AAAA9994</v>
      </c>
      <c r="C1055" s="5" t="str">
        <v>AAAAA1111A</v>
      </c>
      <c r="D1055" s="6" t="str">
        <v>Axis ELSS Tax Saver Fund - Direct Growth</v>
      </c>
      <c r="E1055" s="6" t="str">
        <v>DIRECT</v>
      </c>
      <c r="F1055" s="6" t="str">
        <v>CAMS</v>
      </c>
      <c r="G1055" s="6">
        <v>112323</v>
      </c>
      <c r="H1055" s="6">
        <v>41856</v>
      </c>
      <c r="I1055" s="6" t="str">
        <v>Redemption</v>
      </c>
      <c r="J1055" s="5">
        <v>-51354.42</v>
      </c>
      <c r="K1055" s="5">
        <v>-2037.1189999999999</v>
      </c>
      <c r="L1055" s="5">
        <v>25.209299999999999</v>
      </c>
      <c r="M1055" s="5">
        <v>8148.4750000000004</v>
      </c>
      <c r="N1055" s="5" t="str">
        <v>REDEMPTION</v>
      </c>
      <c r="O1055" s="5">
        <v>0</v>
      </c>
    </row>
    <row r="1056" spans="1:15" ht="17" x14ac:dyDescent="0.2">
      <c r="A1056" s="5" t="str">
        <v>Axis Mutual Fund</v>
      </c>
      <c r="B1056" s="5" t="str">
        <v>AAAA9994</v>
      </c>
      <c r="C1056" s="5" t="str">
        <v>AAAAA1111A</v>
      </c>
      <c r="D1056" s="6" t="str">
        <v>Axis ELSS Tax Saver Fund - Direct Growth</v>
      </c>
      <c r="E1056" s="6" t="str">
        <v>DIRECT</v>
      </c>
      <c r="F1056" s="6" t="str">
        <v>CAMS</v>
      </c>
      <c r="G1056" s="6">
        <v>112323</v>
      </c>
      <c r="H1056" s="6">
        <v>41886</v>
      </c>
      <c r="I1056" s="6" t="str">
        <v>Purchase - SIP</v>
      </c>
      <c r="J1056" s="5">
        <v>5000</v>
      </c>
      <c r="K1056" s="5">
        <v>198.97900000000001</v>
      </c>
      <c r="L1056" s="5">
        <v>25.128299999999999</v>
      </c>
      <c r="M1056" s="5">
        <v>8347.4539999999997</v>
      </c>
      <c r="N1056" s="5" t="str">
        <v>PURCHASE_SIP</v>
      </c>
      <c r="O1056" s="5">
        <v>0</v>
      </c>
    </row>
    <row r="1057" spans="1:15" ht="17" x14ac:dyDescent="0.2">
      <c r="A1057" s="5" t="str">
        <v>Axis Mutual Fund</v>
      </c>
      <c r="B1057" s="5" t="str">
        <v>AAAA9994</v>
      </c>
      <c r="C1057" s="5" t="str">
        <v>AAAAA1111A</v>
      </c>
      <c r="D1057" s="6" t="str">
        <v>Axis ELSS Tax Saver Fund - Direct Growth</v>
      </c>
      <c r="E1057" s="6" t="str">
        <v>DIRECT</v>
      </c>
      <c r="F1057" s="6" t="str">
        <v>CAMS</v>
      </c>
      <c r="G1057" s="6">
        <v>112323</v>
      </c>
      <c r="H1057" s="6">
        <v>41886</v>
      </c>
      <c r="I1057" s="6" t="str">
        <v>STT TAX</v>
      </c>
      <c r="J1057" s="5">
        <v>2.5</v>
      </c>
      <c r="K1057" s="5">
        <v>0</v>
      </c>
      <c r="L1057" s="5">
        <v>0</v>
      </c>
      <c r="M1057" s="5">
        <v>8347.4539999999997</v>
      </c>
      <c r="N1057" s="5" t="str">
        <v>STT_TAX</v>
      </c>
      <c r="O1057" s="5">
        <v>0</v>
      </c>
    </row>
    <row r="1058" spans="1:15" ht="17" x14ac:dyDescent="0.2">
      <c r="A1058" s="5" t="str">
        <v>Axis Mutual Fund</v>
      </c>
      <c r="B1058" s="5" t="str">
        <v>AAAA9994</v>
      </c>
      <c r="C1058" s="5" t="str">
        <v>AAAAA1111A</v>
      </c>
      <c r="D1058" s="6" t="str">
        <v>Axis ELSS Tax Saver Fund - Direct Growth</v>
      </c>
      <c r="E1058" s="6" t="str">
        <v>DIRECT</v>
      </c>
      <c r="F1058" s="6" t="str">
        <v>CAMS</v>
      </c>
      <c r="G1058" s="6">
        <v>112323</v>
      </c>
      <c r="H1058" s="6">
        <v>41916</v>
      </c>
      <c r="I1058" s="6" t="str">
        <v>Purchase - SIP</v>
      </c>
      <c r="J1058" s="5">
        <v>5000</v>
      </c>
      <c r="K1058" s="5">
        <v>195.24199999999999</v>
      </c>
      <c r="L1058" s="5">
        <v>25.609300000000001</v>
      </c>
      <c r="M1058" s="5">
        <v>8542.6959999999999</v>
      </c>
      <c r="N1058" s="5" t="str">
        <v>PURCHASE_SIP</v>
      </c>
      <c r="O1058" s="5">
        <v>0</v>
      </c>
    </row>
    <row r="1059" spans="1:15" ht="17" x14ac:dyDescent="0.2">
      <c r="A1059" s="5" t="str">
        <v>Axis Mutual Fund</v>
      </c>
      <c r="B1059" s="5" t="str">
        <v>AAAA9994</v>
      </c>
      <c r="C1059" s="5" t="str">
        <v>AAAAA1111A</v>
      </c>
      <c r="D1059" s="6" t="str">
        <v>Axis ELSS Tax Saver Fund - Direct Growth</v>
      </c>
      <c r="E1059" s="6" t="str">
        <v>DIRECT</v>
      </c>
      <c r="F1059" s="6" t="str">
        <v>CAMS</v>
      </c>
      <c r="G1059" s="6">
        <v>112323</v>
      </c>
      <c r="H1059" s="6">
        <v>41946</v>
      </c>
      <c r="I1059" s="6" t="str">
        <v>Purchase - SIP</v>
      </c>
      <c r="J1059" s="5">
        <v>5000</v>
      </c>
      <c r="K1059" s="5">
        <v>196.39400000000001</v>
      </c>
      <c r="L1059" s="5">
        <v>25.459099999999999</v>
      </c>
      <c r="M1059" s="5">
        <v>8739.0889999999999</v>
      </c>
      <c r="N1059" s="5" t="str">
        <v>PURCHASE_SIP</v>
      </c>
      <c r="O1059" s="5">
        <v>0</v>
      </c>
    </row>
    <row r="1060" spans="1:15" ht="17" x14ac:dyDescent="0.2">
      <c r="A1060" s="5" t="str">
        <v>Axis Mutual Fund</v>
      </c>
      <c r="B1060" s="5" t="str">
        <v>AAAA9994</v>
      </c>
      <c r="C1060" s="5" t="str">
        <v>AAAAA1111A</v>
      </c>
      <c r="D1060" s="6" t="str">
        <v>Axis ELSS Tax Saver Fund - Direct Growth</v>
      </c>
      <c r="E1060" s="6" t="str">
        <v>DIRECT</v>
      </c>
      <c r="F1060" s="6" t="str">
        <v>CAMS</v>
      </c>
      <c r="G1060" s="6">
        <v>112323</v>
      </c>
      <c r="H1060" s="6">
        <v>41946</v>
      </c>
      <c r="I1060" s="6" t="str">
        <v>Dividend Paid</v>
      </c>
      <c r="J1060" s="5">
        <v>4369.54</v>
      </c>
      <c r="K1060" s="5">
        <v>0</v>
      </c>
      <c r="L1060" s="5">
        <v>0</v>
      </c>
      <c r="M1060" s="5">
        <v>8739.0889999999999</v>
      </c>
      <c r="N1060" s="5" t="str">
        <v>DIVIDEND_PAYOUT</v>
      </c>
      <c r="O1060" s="5">
        <v>4369.54</v>
      </c>
    </row>
    <row r="1061" spans="1:15" ht="17" x14ac:dyDescent="0.2">
      <c r="A1061" s="5" t="str">
        <v>Axis Mutual Fund</v>
      </c>
      <c r="B1061" s="5" t="str">
        <v>AAAA9994</v>
      </c>
      <c r="C1061" s="5" t="str">
        <v>AAAAA1111A</v>
      </c>
      <c r="D1061" s="6" t="str">
        <v>Axis ELSS Tax Saver Fund - Direct Growth</v>
      </c>
      <c r="E1061" s="6" t="str">
        <v>DIRECT</v>
      </c>
      <c r="F1061" s="6" t="str">
        <v>CAMS</v>
      </c>
      <c r="G1061" s="6">
        <v>112323</v>
      </c>
      <c r="H1061" s="6">
        <v>41976</v>
      </c>
      <c r="I1061" s="6" t="str">
        <v>Purchase - SIP</v>
      </c>
      <c r="J1061" s="5">
        <v>5000</v>
      </c>
      <c r="K1061" s="5">
        <v>197.83699999999999</v>
      </c>
      <c r="L1061" s="5">
        <v>25.273299999999999</v>
      </c>
      <c r="M1061" s="5">
        <v>8936.9259999999995</v>
      </c>
      <c r="N1061" s="5" t="str">
        <v>PURCHASE_SIP</v>
      </c>
      <c r="O1061" s="5">
        <v>0</v>
      </c>
    </row>
    <row r="1062" spans="1:15" ht="17" x14ac:dyDescent="0.2">
      <c r="A1062" s="5" t="str">
        <v>Axis Mutual Fund</v>
      </c>
      <c r="B1062" s="5" t="str">
        <v>AAAA9994</v>
      </c>
      <c r="C1062" s="5" t="str">
        <v>AAAAA1111A</v>
      </c>
      <c r="D1062" s="6" t="str">
        <v>Axis ELSS Tax Saver Fund - Direct Growth</v>
      </c>
      <c r="E1062" s="6" t="str">
        <v>DIRECT</v>
      </c>
      <c r="F1062" s="6" t="str">
        <v>CAMS</v>
      </c>
      <c r="G1062" s="6">
        <v>112323</v>
      </c>
      <c r="H1062" s="6">
        <v>42006</v>
      </c>
      <c r="I1062" s="6" t="str">
        <v>Purchase - SIP</v>
      </c>
      <c r="J1062" s="5">
        <v>5000</v>
      </c>
      <c r="K1062" s="5">
        <v>194.328</v>
      </c>
      <c r="L1062" s="5">
        <v>25.729700000000001</v>
      </c>
      <c r="M1062" s="5">
        <v>9131.2540000000008</v>
      </c>
      <c r="N1062" s="5" t="str">
        <v>PURCHASE_SIP</v>
      </c>
      <c r="O1062" s="5">
        <v>0</v>
      </c>
    </row>
    <row r="1063" spans="1:15" ht="17" x14ac:dyDescent="0.2">
      <c r="A1063" s="5" t="str">
        <v>Axis Mutual Fund</v>
      </c>
      <c r="B1063" s="5" t="str">
        <v>AAAA9994</v>
      </c>
      <c r="C1063" s="5" t="str">
        <v>AAAAA1111A</v>
      </c>
      <c r="D1063" s="6" t="str">
        <v>Axis ELSS Tax Saver Fund - Direct Growth</v>
      </c>
      <c r="E1063" s="6" t="str">
        <v>DIRECT</v>
      </c>
      <c r="F1063" s="6" t="str">
        <v>CAMS</v>
      </c>
      <c r="G1063" s="6">
        <v>112323</v>
      </c>
      <c r="H1063" s="6">
        <v>42006</v>
      </c>
      <c r="I1063" s="6" t="str">
        <v>STAMP DUTY</v>
      </c>
      <c r="J1063" s="5">
        <v>2.5</v>
      </c>
      <c r="K1063" s="5">
        <v>0</v>
      </c>
      <c r="L1063" s="5">
        <v>0</v>
      </c>
      <c r="M1063" s="5">
        <v>9131.2540000000008</v>
      </c>
      <c r="N1063" s="5" t="str">
        <v>STAMP_DUTY</v>
      </c>
      <c r="O1063" s="5">
        <v>0</v>
      </c>
    </row>
    <row r="1064" spans="1:15" ht="17" x14ac:dyDescent="0.2">
      <c r="A1064" s="5" t="str">
        <v>Axis Mutual Fund</v>
      </c>
      <c r="B1064" s="5" t="str">
        <v>AAAA9994</v>
      </c>
      <c r="C1064" s="5" t="str">
        <v>AAAAA1111A</v>
      </c>
      <c r="D1064" s="6" t="str">
        <v>Axis ELSS Tax Saver Fund - Direct Growth</v>
      </c>
      <c r="E1064" s="6" t="str">
        <v>DIRECT</v>
      </c>
      <c r="F1064" s="6" t="str">
        <v>CAMS</v>
      </c>
      <c r="G1064" s="6">
        <v>112323</v>
      </c>
      <c r="H1064" s="6">
        <v>42036</v>
      </c>
      <c r="I1064" s="6" t="str">
        <v>Purchase - SIP</v>
      </c>
      <c r="J1064" s="5">
        <v>5000</v>
      </c>
      <c r="K1064" s="5">
        <v>190.98</v>
      </c>
      <c r="L1064" s="5">
        <v>26.180700000000002</v>
      </c>
      <c r="M1064" s="5">
        <v>9322.2350000000006</v>
      </c>
      <c r="N1064" s="5" t="str">
        <v>PURCHASE_SIP</v>
      </c>
      <c r="O1064" s="5">
        <v>0</v>
      </c>
    </row>
    <row r="1065" spans="1:15" ht="17" x14ac:dyDescent="0.2">
      <c r="A1065" s="5" t="str">
        <v>Axis Mutual Fund</v>
      </c>
      <c r="B1065" s="5" t="str">
        <v>AAAA9994</v>
      </c>
      <c r="C1065" s="5" t="str">
        <v>AAAAA1111A</v>
      </c>
      <c r="D1065" s="6" t="str">
        <v>Axis ELSS Tax Saver Fund - Direct Growth</v>
      </c>
      <c r="E1065" s="6" t="str">
        <v>DIRECT</v>
      </c>
      <c r="F1065" s="6" t="str">
        <v>CAMS</v>
      </c>
      <c r="G1065" s="6">
        <v>112323</v>
      </c>
      <c r="H1065" s="6">
        <v>42066</v>
      </c>
      <c r="I1065" s="6" t="str">
        <v>Purchase - SIP</v>
      </c>
      <c r="J1065" s="5">
        <v>5000</v>
      </c>
      <c r="K1065" s="5">
        <v>185.92400000000001</v>
      </c>
      <c r="L1065" s="5">
        <v>26.892700000000001</v>
      </c>
      <c r="M1065" s="5">
        <v>9508.1579999999994</v>
      </c>
      <c r="N1065" s="5" t="str">
        <v>PURCHASE_SIP</v>
      </c>
      <c r="O1065" s="5">
        <v>0</v>
      </c>
    </row>
    <row r="1066" spans="1:15" ht="17" x14ac:dyDescent="0.2">
      <c r="A1066" s="5" t="str">
        <v>Axis Mutual Fund</v>
      </c>
      <c r="B1066" s="5" t="str">
        <v>AAAA9994</v>
      </c>
      <c r="C1066" s="5" t="str">
        <v>AAAAA1111A</v>
      </c>
      <c r="D1066" s="6" t="str">
        <v>Axis ELSS Tax Saver Fund - Direct Growth</v>
      </c>
      <c r="E1066" s="6" t="str">
        <v>DIRECT</v>
      </c>
      <c r="F1066" s="6" t="str">
        <v>CAMS</v>
      </c>
      <c r="G1066" s="6">
        <v>112323</v>
      </c>
      <c r="H1066" s="6">
        <v>42096</v>
      </c>
      <c r="I1066" s="6" t="str">
        <v>Purchase - SIP</v>
      </c>
      <c r="J1066" s="5">
        <v>5000</v>
      </c>
      <c r="K1066" s="5">
        <v>182.61600000000001</v>
      </c>
      <c r="L1066" s="5">
        <v>27.379899999999999</v>
      </c>
      <c r="M1066" s="5">
        <v>9690.7739999999994</v>
      </c>
      <c r="N1066" s="5" t="str">
        <v>PURCHASE_SIP</v>
      </c>
      <c r="O1066" s="5">
        <v>0</v>
      </c>
    </row>
    <row r="1067" spans="1:15" ht="17" x14ac:dyDescent="0.2">
      <c r="A1067" s="5" t="str">
        <v>Axis Mutual Fund</v>
      </c>
      <c r="B1067" s="5" t="str">
        <v>AAAA9994</v>
      </c>
      <c r="C1067" s="5" t="str">
        <v>AAAAA1111A</v>
      </c>
      <c r="D1067" s="6" t="str">
        <v>Axis ELSS Tax Saver Fund - Direct Growth</v>
      </c>
      <c r="E1067" s="6" t="str">
        <v>DIRECT</v>
      </c>
      <c r="F1067" s="6" t="str">
        <v>CAMS</v>
      </c>
      <c r="G1067" s="6">
        <v>112323</v>
      </c>
      <c r="H1067" s="6">
        <v>42126</v>
      </c>
      <c r="I1067" s="6" t="str">
        <v>Purchase - SIP</v>
      </c>
      <c r="J1067" s="5">
        <v>5000</v>
      </c>
      <c r="K1067" s="5">
        <v>183.108</v>
      </c>
      <c r="L1067" s="5">
        <v>27.3062</v>
      </c>
      <c r="M1067" s="5">
        <v>9873.8829999999998</v>
      </c>
      <c r="N1067" s="5" t="str">
        <v>PURCHASE_SIP</v>
      </c>
      <c r="O1067" s="5">
        <v>0</v>
      </c>
    </row>
    <row r="1068" spans="1:15" ht="17" x14ac:dyDescent="0.2">
      <c r="A1068" s="5" t="str">
        <v>Axis Mutual Fund</v>
      </c>
      <c r="B1068" s="5" t="str">
        <v>AAAA9994</v>
      </c>
      <c r="C1068" s="5" t="str">
        <v>AAAAA1111A</v>
      </c>
      <c r="D1068" s="6" t="str">
        <v>Axis ELSS Tax Saver Fund - Direct Growth</v>
      </c>
      <c r="E1068" s="6" t="str">
        <v>DIRECT</v>
      </c>
      <c r="F1068" s="6" t="str">
        <v>CAMS</v>
      </c>
      <c r="G1068" s="6">
        <v>112323</v>
      </c>
      <c r="H1068" s="6">
        <v>42126</v>
      </c>
      <c r="I1068" s="6" t="str">
        <v>STAMP DUTY</v>
      </c>
      <c r="J1068" s="5">
        <v>2.5</v>
      </c>
      <c r="K1068" s="5">
        <v>0</v>
      </c>
      <c r="L1068" s="5">
        <v>0</v>
      </c>
      <c r="M1068" s="5">
        <v>9873.8829999999998</v>
      </c>
      <c r="N1068" s="5" t="str">
        <v>STAMP_DUTY</v>
      </c>
      <c r="O1068" s="5">
        <v>0</v>
      </c>
    </row>
    <row r="1069" spans="1:15" ht="17" x14ac:dyDescent="0.2">
      <c r="A1069" s="5" t="str">
        <v>Axis Mutual Fund</v>
      </c>
      <c r="B1069" s="5" t="str">
        <v>AAAA9994</v>
      </c>
      <c r="C1069" s="5" t="str">
        <v>AAAAA1111A</v>
      </c>
      <c r="D1069" s="6" t="str">
        <v>Axis ELSS Tax Saver Fund - Direct Growth</v>
      </c>
      <c r="E1069" s="6" t="str">
        <v>DIRECT</v>
      </c>
      <c r="F1069" s="6" t="str">
        <v>CAMS</v>
      </c>
      <c r="G1069" s="6">
        <v>112323</v>
      </c>
      <c r="H1069" s="6">
        <v>42126</v>
      </c>
      <c r="I1069" s="6" t="str">
        <v>Dividend Paid</v>
      </c>
      <c r="J1069" s="5">
        <v>4936.9399999999996</v>
      </c>
      <c r="K1069" s="5">
        <v>0</v>
      </c>
      <c r="L1069" s="5">
        <v>0</v>
      </c>
      <c r="M1069" s="5">
        <v>9873.8829999999998</v>
      </c>
      <c r="N1069" s="5" t="str">
        <v>DIVIDEND_PAYOUT</v>
      </c>
      <c r="O1069" s="5">
        <v>4936.9399999999996</v>
      </c>
    </row>
    <row r="1070" spans="1:15" ht="17" x14ac:dyDescent="0.2">
      <c r="A1070" s="5" t="str">
        <v>Axis Mutual Fund</v>
      </c>
      <c r="B1070" s="5" t="str">
        <v>AAAA9994</v>
      </c>
      <c r="C1070" s="5" t="str">
        <v>AAAAA1111A</v>
      </c>
      <c r="D1070" s="6" t="str">
        <v>Axis ELSS Tax Saver Fund - Direct Growth</v>
      </c>
      <c r="E1070" s="6" t="str">
        <v>DIRECT</v>
      </c>
      <c r="F1070" s="6" t="str">
        <v>CAMS</v>
      </c>
      <c r="G1070" s="6">
        <v>112323</v>
      </c>
      <c r="H1070" s="6">
        <v>42156</v>
      </c>
      <c r="I1070" s="6" t="str">
        <v>Purchase - SIP</v>
      </c>
      <c r="J1070" s="5">
        <v>5000</v>
      </c>
      <c r="K1070" s="5">
        <v>179.79900000000001</v>
      </c>
      <c r="L1070" s="5">
        <v>27.808900000000001</v>
      </c>
      <c r="M1070" s="5">
        <v>10053.681</v>
      </c>
      <c r="N1070" s="5" t="str">
        <v>PURCHASE_SIP</v>
      </c>
      <c r="O1070" s="5">
        <v>0</v>
      </c>
    </row>
    <row r="1071" spans="1:15" ht="17" x14ac:dyDescent="0.2">
      <c r="A1071" s="5" t="str">
        <v>Axis Mutual Fund</v>
      </c>
      <c r="B1071" s="5" t="str">
        <v>AAAA9994</v>
      </c>
      <c r="C1071" s="5" t="str">
        <v>AAAAA1111A</v>
      </c>
      <c r="D1071" s="6" t="str">
        <v>Axis ELSS Tax Saver Fund - Direct Growth</v>
      </c>
      <c r="E1071" s="6" t="str">
        <v>DIRECT</v>
      </c>
      <c r="F1071" s="6" t="str">
        <v>CAMS</v>
      </c>
      <c r="G1071" s="6">
        <v>112323</v>
      </c>
      <c r="H1071" s="6">
        <v>42156</v>
      </c>
      <c r="I1071" s="6" t="str">
        <v>STAMP DUTY</v>
      </c>
      <c r="J1071" s="5">
        <v>2.5</v>
      </c>
      <c r="K1071" s="5">
        <v>0</v>
      </c>
      <c r="L1071" s="5">
        <v>0</v>
      </c>
      <c r="M1071" s="5">
        <v>10053.681</v>
      </c>
      <c r="N1071" s="5" t="str">
        <v>STAMP_DUTY</v>
      </c>
      <c r="O1071" s="5">
        <v>0</v>
      </c>
    </row>
    <row r="1072" spans="1:15" ht="17" x14ac:dyDescent="0.2">
      <c r="A1072" s="5" t="str">
        <v>Axis Mutual Fund</v>
      </c>
      <c r="B1072" s="5" t="str">
        <v>AAAA9994</v>
      </c>
      <c r="C1072" s="5" t="str">
        <v>AAAAA1111A</v>
      </c>
      <c r="D1072" s="6" t="str">
        <v>Axis ELSS Tax Saver Fund - Direct Growth</v>
      </c>
      <c r="E1072" s="6" t="str">
        <v>DIRECT</v>
      </c>
      <c r="F1072" s="6" t="str">
        <v>CAMS</v>
      </c>
      <c r="G1072" s="6">
        <v>112323</v>
      </c>
      <c r="H1072" s="6">
        <v>42186</v>
      </c>
      <c r="I1072" s="6" t="str">
        <v>Purchase - SIP</v>
      </c>
      <c r="J1072" s="5">
        <v>5000</v>
      </c>
      <c r="K1072" s="5">
        <v>174.96299999999999</v>
      </c>
      <c r="L1072" s="5">
        <v>28.577500000000001</v>
      </c>
      <c r="M1072" s="5">
        <v>10228.644</v>
      </c>
      <c r="N1072" s="5" t="str">
        <v>PURCHASE_SIP</v>
      </c>
      <c r="O1072" s="5">
        <v>0</v>
      </c>
    </row>
    <row r="1073" spans="1:15" ht="17" x14ac:dyDescent="0.2">
      <c r="A1073" s="5" t="str">
        <v>Axis Mutual Fund</v>
      </c>
      <c r="B1073" s="5" t="str">
        <v>AAAA9994</v>
      </c>
      <c r="C1073" s="5" t="str">
        <v>AAAAA1111A</v>
      </c>
      <c r="D1073" s="6" t="str">
        <v>Axis ELSS Tax Saver Fund - Direct Growth</v>
      </c>
      <c r="E1073" s="6" t="str">
        <v>DIRECT</v>
      </c>
      <c r="F1073" s="6" t="str">
        <v>CAMS</v>
      </c>
      <c r="G1073" s="6">
        <v>112323</v>
      </c>
      <c r="H1073" s="6">
        <v>42216</v>
      </c>
      <c r="I1073" s="6" t="str">
        <v>Purchase - SIP</v>
      </c>
      <c r="J1073" s="5">
        <v>5000</v>
      </c>
      <c r="K1073" s="5">
        <v>176.01300000000001</v>
      </c>
      <c r="L1073" s="5">
        <v>28.407</v>
      </c>
      <c r="M1073" s="5">
        <v>10404.656999999999</v>
      </c>
      <c r="N1073" s="5" t="str">
        <v>PURCHASE_SIP</v>
      </c>
      <c r="O1073" s="5">
        <v>0</v>
      </c>
    </row>
    <row r="1074" spans="1:15" ht="17" x14ac:dyDescent="0.2">
      <c r="A1074" s="5" t="str">
        <v>Axis Mutual Fund</v>
      </c>
      <c r="B1074" s="5" t="str">
        <v>AAAA9994</v>
      </c>
      <c r="C1074" s="5" t="str">
        <v>AAAAA1111A</v>
      </c>
      <c r="D1074" s="6" t="str">
        <v>Axis ELSS Tax Saver Fund - Direct Growth</v>
      </c>
      <c r="E1074" s="6" t="str">
        <v>DIRECT</v>
      </c>
      <c r="F1074" s="6" t="str">
        <v>CAMS</v>
      </c>
      <c r="G1074" s="6">
        <v>112323</v>
      </c>
      <c r="H1074" s="6">
        <v>42216</v>
      </c>
      <c r="I1074" s="6" t="str">
        <v>STAMP DUTY</v>
      </c>
      <c r="J1074" s="5">
        <v>2.5</v>
      </c>
      <c r="K1074" s="5">
        <v>0</v>
      </c>
      <c r="L1074" s="5">
        <v>0</v>
      </c>
      <c r="M1074" s="5">
        <v>10404.656999999999</v>
      </c>
      <c r="N1074" s="5" t="str">
        <v>STAMP_DUTY</v>
      </c>
      <c r="O1074" s="5">
        <v>0</v>
      </c>
    </row>
    <row r="1075" spans="1:15" ht="17" x14ac:dyDescent="0.2">
      <c r="A1075" s="5" t="str">
        <v>Axis Mutual Fund</v>
      </c>
      <c r="B1075" s="5" t="str">
        <v>AAAA9994</v>
      </c>
      <c r="C1075" s="5" t="str">
        <v>AAAAA1111A</v>
      </c>
      <c r="D1075" s="6" t="str">
        <v>Axis ELSS Tax Saver Fund - Direct Growth</v>
      </c>
      <c r="E1075" s="6" t="str">
        <v>DIRECT</v>
      </c>
      <c r="F1075" s="6" t="str">
        <v>CAMS</v>
      </c>
      <c r="G1075" s="6">
        <v>112323</v>
      </c>
      <c r="H1075" s="6">
        <v>42246</v>
      </c>
      <c r="I1075" s="6" t="str">
        <v>Purchase - SIP</v>
      </c>
      <c r="J1075" s="5">
        <v>5000</v>
      </c>
      <c r="K1075" s="5">
        <v>179.54400000000001</v>
      </c>
      <c r="L1075" s="5">
        <v>27.848299999999998</v>
      </c>
      <c r="M1075" s="5">
        <v>10584.200999999999</v>
      </c>
      <c r="N1075" s="5" t="str">
        <v>PURCHASE_SIP</v>
      </c>
      <c r="O1075" s="5">
        <v>0</v>
      </c>
    </row>
    <row r="1076" spans="1:15" ht="17" x14ac:dyDescent="0.2">
      <c r="A1076" s="5" t="str">
        <v>Axis Mutual Fund</v>
      </c>
      <c r="B1076" s="5" t="str">
        <v>AAAA9994</v>
      </c>
      <c r="C1076" s="5" t="str">
        <v>AAAAA1111A</v>
      </c>
      <c r="D1076" s="6" t="str">
        <v>Axis ELSS Tax Saver Fund - Direct Growth</v>
      </c>
      <c r="E1076" s="6" t="str">
        <v>DIRECT</v>
      </c>
      <c r="F1076" s="6" t="str">
        <v>CAMS</v>
      </c>
      <c r="G1076" s="6">
        <v>112323</v>
      </c>
      <c r="H1076" s="6">
        <v>42276</v>
      </c>
      <c r="I1076" s="6" t="str">
        <v>Purchase - SIP</v>
      </c>
      <c r="J1076" s="5">
        <v>5000</v>
      </c>
      <c r="K1076" s="5">
        <v>182.34100000000001</v>
      </c>
      <c r="L1076" s="5">
        <v>27.421199999999999</v>
      </c>
      <c r="M1076" s="5">
        <v>10766.541999999999</v>
      </c>
      <c r="N1076" s="5" t="str">
        <v>PURCHASE_SIP</v>
      </c>
      <c r="O1076" s="5">
        <v>0</v>
      </c>
    </row>
    <row r="1077" spans="1:15" ht="17" x14ac:dyDescent="0.2">
      <c r="A1077" s="5" t="str">
        <v>Axis Mutual Fund</v>
      </c>
      <c r="B1077" s="5" t="str">
        <v>AAAA9994</v>
      </c>
      <c r="C1077" s="5" t="str">
        <v>AAAAA1111A</v>
      </c>
      <c r="D1077" s="6" t="str">
        <v>Axis ELSS Tax Saver Fund - Direct Growth</v>
      </c>
      <c r="E1077" s="6" t="str">
        <v>DIRECT</v>
      </c>
      <c r="F1077" s="6" t="str">
        <v>CAMS</v>
      </c>
      <c r="G1077" s="6">
        <v>112323</v>
      </c>
      <c r="H1077" s="6">
        <v>42276</v>
      </c>
      <c r="I1077" s="6" t="str">
        <v>Dividend Paid</v>
      </c>
      <c r="J1077" s="5">
        <v>5383.27</v>
      </c>
      <c r="K1077" s="5">
        <v>0</v>
      </c>
      <c r="L1077" s="5">
        <v>0</v>
      </c>
      <c r="M1077" s="5">
        <v>10766.541999999999</v>
      </c>
      <c r="N1077" s="5" t="str">
        <v>DIVIDEND_PAYOUT</v>
      </c>
      <c r="O1077" s="5">
        <v>5383.27</v>
      </c>
    </row>
    <row r="1078" spans="1:15" ht="17" x14ac:dyDescent="0.2">
      <c r="A1078" s="5" t="str">
        <v>Axis Mutual Fund</v>
      </c>
      <c r="B1078" s="5" t="str">
        <v>AAAA9994</v>
      </c>
      <c r="C1078" s="5" t="str">
        <v>AAAAA1111A</v>
      </c>
      <c r="D1078" s="6" t="str">
        <v>Axis ELSS Tax Saver Fund - Direct Growth</v>
      </c>
      <c r="E1078" s="6" t="str">
        <v>DIRECT</v>
      </c>
      <c r="F1078" s="6" t="str">
        <v>CAMS</v>
      </c>
      <c r="G1078" s="6">
        <v>112323</v>
      </c>
      <c r="H1078" s="6">
        <v>42306</v>
      </c>
      <c r="I1078" s="6" t="str">
        <v>Purchase - SIP</v>
      </c>
      <c r="J1078" s="5">
        <v>5000</v>
      </c>
      <c r="K1078" s="5">
        <v>182.64099999999999</v>
      </c>
      <c r="L1078" s="5">
        <v>27.376200000000001</v>
      </c>
      <c r="M1078" s="5">
        <v>10949.183000000001</v>
      </c>
      <c r="N1078" s="5" t="str">
        <v>PURCHASE_SIP</v>
      </c>
      <c r="O1078" s="5">
        <v>0</v>
      </c>
    </row>
    <row r="1079" spans="1:15" ht="17" x14ac:dyDescent="0.2">
      <c r="A1079" s="5" t="str">
        <v>Axis Mutual Fund</v>
      </c>
      <c r="B1079" s="5" t="str">
        <v>AAAA9994</v>
      </c>
      <c r="C1079" s="5" t="str">
        <v>AAAAA1111A</v>
      </c>
      <c r="D1079" s="6" t="str">
        <v>Axis ELSS Tax Saver Fund - Direct Growth</v>
      </c>
      <c r="E1079" s="6" t="str">
        <v>DIRECT</v>
      </c>
      <c r="F1079" s="6" t="str">
        <v>CAMS</v>
      </c>
      <c r="G1079" s="6">
        <v>112323</v>
      </c>
      <c r="H1079" s="6">
        <v>42336</v>
      </c>
      <c r="I1079" s="6" t="str">
        <v>Purchase - SIP</v>
      </c>
      <c r="J1079" s="5">
        <v>5000</v>
      </c>
      <c r="K1079" s="5">
        <v>180.518</v>
      </c>
      <c r="L1079" s="5">
        <v>27.6981</v>
      </c>
      <c r="M1079" s="5">
        <v>11129.7</v>
      </c>
      <c r="N1079" s="5" t="str">
        <v>PURCHASE_SIP</v>
      </c>
      <c r="O1079" s="5">
        <v>0</v>
      </c>
    </row>
    <row r="1080" spans="1:15" ht="17" x14ac:dyDescent="0.2">
      <c r="A1080" s="5" t="str">
        <v>Axis Mutual Fund</v>
      </c>
      <c r="B1080" s="5" t="str">
        <v>AAAA9994</v>
      </c>
      <c r="C1080" s="5" t="str">
        <v>AAAAA1111A</v>
      </c>
      <c r="D1080" s="6" t="str">
        <v>Axis ELSS Tax Saver Fund - Direct Growth</v>
      </c>
      <c r="E1080" s="6" t="str">
        <v>DIRECT</v>
      </c>
      <c r="F1080" s="6" t="str">
        <v>CAMS</v>
      </c>
      <c r="G1080" s="6">
        <v>112323</v>
      </c>
      <c r="H1080" s="6">
        <v>42366</v>
      </c>
      <c r="I1080" s="6" t="str">
        <v>Purchase - SIP</v>
      </c>
      <c r="J1080" s="5">
        <v>5000</v>
      </c>
      <c r="K1080" s="5">
        <v>175.41499999999999</v>
      </c>
      <c r="L1080" s="5">
        <v>28.503799999999998</v>
      </c>
      <c r="M1080" s="5">
        <v>11305.115</v>
      </c>
      <c r="N1080" s="5" t="str">
        <v>PURCHASE_SIP</v>
      </c>
      <c r="O1080" s="5">
        <v>0</v>
      </c>
    </row>
    <row r="1081" spans="1:15" ht="17" x14ac:dyDescent="0.2">
      <c r="A1081" s="5" t="str">
        <v>Axis Mutual Fund</v>
      </c>
      <c r="B1081" s="5" t="str">
        <v>AAAA9994</v>
      </c>
      <c r="C1081" s="5" t="str">
        <v>AAAAA1111A</v>
      </c>
      <c r="D1081" s="6" t="str">
        <v>Axis ELSS Tax Saver Fund - Direct Growth</v>
      </c>
      <c r="E1081" s="6" t="str">
        <v>DIRECT</v>
      </c>
      <c r="F1081" s="6" t="str">
        <v>CAMS</v>
      </c>
      <c r="G1081" s="6">
        <v>112323</v>
      </c>
      <c r="H1081" s="6">
        <v>42396</v>
      </c>
      <c r="I1081" s="6" t="str">
        <v>Purchase - SIP</v>
      </c>
      <c r="J1081" s="5">
        <v>5000</v>
      </c>
      <c r="K1081" s="5">
        <v>176.15600000000001</v>
      </c>
      <c r="L1081" s="5">
        <v>28.383900000000001</v>
      </c>
      <c r="M1081" s="5">
        <v>11481.271000000001</v>
      </c>
      <c r="N1081" s="5" t="str">
        <v>PURCHASE_SIP</v>
      </c>
      <c r="O1081" s="5">
        <v>0</v>
      </c>
    </row>
    <row r="1082" spans="1:15" ht="17" x14ac:dyDescent="0.2">
      <c r="A1082" s="5" t="str">
        <v>Axis Mutual Fund</v>
      </c>
      <c r="B1082" s="5" t="str">
        <v>AAAA9994</v>
      </c>
      <c r="C1082" s="5" t="str">
        <v>AAAAA1111A</v>
      </c>
      <c r="D1082" s="6" t="str">
        <v>Axis ELSS Tax Saver Fund - Direct Growth</v>
      </c>
      <c r="E1082" s="6" t="str">
        <v>DIRECT</v>
      </c>
      <c r="F1082" s="6" t="str">
        <v>CAMS</v>
      </c>
      <c r="G1082" s="6">
        <v>112323</v>
      </c>
      <c r="H1082" s="6">
        <v>42426</v>
      </c>
      <c r="I1082" s="6" t="str">
        <v>Purchase - SIP</v>
      </c>
      <c r="J1082" s="5">
        <v>5000</v>
      </c>
      <c r="K1082" s="5">
        <v>175.37299999999999</v>
      </c>
      <c r="L1082" s="5">
        <v>28.5106</v>
      </c>
      <c r="M1082" s="5">
        <v>11656.645</v>
      </c>
      <c r="N1082" s="5" t="str">
        <v>PURCHASE_SIP</v>
      </c>
      <c r="O1082" s="5">
        <v>0</v>
      </c>
    </row>
    <row r="1083" spans="1:15" ht="17" x14ac:dyDescent="0.2">
      <c r="A1083" s="5" t="str">
        <v>Axis Mutual Fund</v>
      </c>
      <c r="B1083" s="5" t="str">
        <v>AAAA9994</v>
      </c>
      <c r="C1083" s="5" t="str">
        <v>AAAAA1111A</v>
      </c>
      <c r="D1083" s="6" t="str">
        <v>Axis ELSS Tax Saver Fund - Direct Growth</v>
      </c>
      <c r="E1083" s="6" t="str">
        <v>DIRECT</v>
      </c>
      <c r="F1083" s="6" t="str">
        <v>CAMS</v>
      </c>
      <c r="G1083" s="6">
        <v>112323</v>
      </c>
      <c r="H1083" s="6">
        <v>42426</v>
      </c>
      <c r="I1083" s="6" t="str">
        <v>STT TAX</v>
      </c>
      <c r="J1083" s="5">
        <v>2.5</v>
      </c>
      <c r="K1083" s="5">
        <v>0</v>
      </c>
      <c r="L1083" s="5">
        <v>0</v>
      </c>
      <c r="M1083" s="5">
        <v>11656.645</v>
      </c>
      <c r="N1083" s="5" t="str">
        <v>STT_TAX</v>
      </c>
      <c r="O1083" s="5">
        <v>0</v>
      </c>
    </row>
    <row r="1084" spans="1:15" ht="17" x14ac:dyDescent="0.2">
      <c r="A1084" s="5" t="str">
        <v>Axis Mutual Fund</v>
      </c>
      <c r="B1084" s="5" t="str">
        <v>AAAA9994</v>
      </c>
      <c r="C1084" s="5" t="str">
        <v>AAAAA1111A</v>
      </c>
      <c r="D1084" s="6" t="str">
        <v>Axis ELSS Tax Saver Fund - Direct Growth</v>
      </c>
      <c r="E1084" s="6" t="str">
        <v>DIRECT</v>
      </c>
      <c r="F1084" s="6" t="str">
        <v>CAMS</v>
      </c>
      <c r="G1084" s="6">
        <v>112323</v>
      </c>
      <c r="H1084" s="6">
        <v>42456</v>
      </c>
      <c r="I1084" s="6" t="str">
        <v>Purchase - SIP</v>
      </c>
      <c r="J1084" s="5">
        <v>5000</v>
      </c>
      <c r="K1084" s="5">
        <v>175.065</v>
      </c>
      <c r="L1084" s="5">
        <v>28.5608</v>
      </c>
      <c r="M1084" s="5">
        <v>11831.71</v>
      </c>
      <c r="N1084" s="5" t="str">
        <v>PURCHASE_SIP</v>
      </c>
      <c r="O1084" s="5">
        <v>0</v>
      </c>
    </row>
    <row r="1085" spans="1:15" ht="17" x14ac:dyDescent="0.2">
      <c r="A1085" s="5" t="str">
        <v>Axis Mutual Fund</v>
      </c>
      <c r="B1085" s="5" t="str">
        <v>AAAA9994</v>
      </c>
      <c r="C1085" s="5" t="str">
        <v>AAAAA1111A</v>
      </c>
      <c r="D1085" s="6" t="str">
        <v>Axis ELSS Tax Saver Fund - Direct Growth</v>
      </c>
      <c r="E1085" s="6" t="str">
        <v>DIRECT</v>
      </c>
      <c r="F1085" s="6" t="str">
        <v>CAMS</v>
      </c>
      <c r="G1085" s="6">
        <v>112323</v>
      </c>
      <c r="H1085" s="6">
        <v>42486</v>
      </c>
      <c r="I1085" s="6" t="str">
        <v>Purchase - SIP</v>
      </c>
      <c r="J1085" s="5">
        <v>5000</v>
      </c>
      <c r="K1085" s="5">
        <v>174.47399999999999</v>
      </c>
      <c r="L1085" s="5">
        <v>28.657499999999999</v>
      </c>
      <c r="M1085" s="5">
        <v>12006.183999999999</v>
      </c>
      <c r="N1085" s="5" t="str">
        <v>PURCHASE_SIP</v>
      </c>
      <c r="O1085" s="5">
        <v>0</v>
      </c>
    </row>
    <row r="1086" spans="1:15" ht="17" x14ac:dyDescent="0.2">
      <c r="A1086" s="5" t="str">
        <v>Axis Mutual Fund</v>
      </c>
      <c r="B1086" s="5" t="str">
        <v>AAAA9994</v>
      </c>
      <c r="C1086" s="5" t="str">
        <v>AAAAA1111A</v>
      </c>
      <c r="D1086" s="6" t="str">
        <v>Axis ELSS Tax Saver Fund - Direct Growth</v>
      </c>
      <c r="E1086" s="6" t="str">
        <v>DIRECT</v>
      </c>
      <c r="F1086" s="6" t="str">
        <v>CAMS</v>
      </c>
      <c r="G1086" s="6">
        <v>112323</v>
      </c>
      <c r="H1086" s="6">
        <v>42486</v>
      </c>
      <c r="I1086" s="6" t="str">
        <v>STT TAX</v>
      </c>
      <c r="J1086" s="5">
        <v>2.5</v>
      </c>
      <c r="K1086" s="5">
        <v>0</v>
      </c>
      <c r="L1086" s="5">
        <v>0</v>
      </c>
      <c r="M1086" s="5">
        <v>12006.183999999999</v>
      </c>
      <c r="N1086" s="5" t="str">
        <v>STT_TAX</v>
      </c>
      <c r="O1086" s="5">
        <v>0</v>
      </c>
    </row>
    <row r="1087" spans="1:15" ht="17" x14ac:dyDescent="0.2">
      <c r="A1087" s="5" t="str">
        <v>Axis Mutual Fund</v>
      </c>
      <c r="B1087" s="5" t="str">
        <v>AAAA9994</v>
      </c>
      <c r="C1087" s="5" t="str">
        <v>AAAAA1111A</v>
      </c>
      <c r="D1087" s="6" t="str">
        <v>Axis ELSS Tax Saver Fund - Direct Growth</v>
      </c>
      <c r="E1087" s="6" t="str">
        <v>DIRECT</v>
      </c>
      <c r="F1087" s="6" t="str">
        <v>CAMS</v>
      </c>
      <c r="G1087" s="6">
        <v>112323</v>
      </c>
      <c r="H1087" s="6">
        <v>42516</v>
      </c>
      <c r="I1087" s="6" t="str">
        <v>Purchase - SIP</v>
      </c>
      <c r="J1087" s="5">
        <v>5000</v>
      </c>
      <c r="K1087" s="5">
        <v>171.57900000000001</v>
      </c>
      <c r="L1087" s="5">
        <v>29.141100000000002</v>
      </c>
      <c r="M1087" s="5">
        <v>12177.763000000001</v>
      </c>
      <c r="N1087" s="5" t="str">
        <v>PURCHASE_SIP</v>
      </c>
      <c r="O1087" s="5">
        <v>0</v>
      </c>
    </row>
    <row r="1088" spans="1:15" ht="17" x14ac:dyDescent="0.2">
      <c r="A1088" s="5" t="str">
        <v>Axis Mutual Fund</v>
      </c>
      <c r="B1088" s="5" t="str">
        <v>AAAA9994</v>
      </c>
      <c r="C1088" s="5" t="str">
        <v>AAAAA1111A</v>
      </c>
      <c r="D1088" s="6" t="str">
        <v>Axis ELSS Tax Saver Fund - Direct Growth</v>
      </c>
      <c r="E1088" s="6" t="str">
        <v>DIRECT</v>
      </c>
      <c r="F1088" s="6" t="str">
        <v>CAMS</v>
      </c>
      <c r="G1088" s="6">
        <v>112323</v>
      </c>
      <c r="H1088" s="6">
        <v>42546</v>
      </c>
      <c r="I1088" s="6" t="str">
        <v>Purchase - SIP</v>
      </c>
      <c r="J1088" s="5">
        <v>5000</v>
      </c>
      <c r="K1088" s="5">
        <v>171.77799999999999</v>
      </c>
      <c r="L1088" s="5">
        <v>29.107299999999999</v>
      </c>
      <c r="M1088" s="5">
        <v>12349.540999999999</v>
      </c>
      <c r="N1088" s="5" t="str">
        <v>PURCHASE_SIP</v>
      </c>
      <c r="O1088" s="5">
        <v>0</v>
      </c>
    </row>
    <row r="1089" spans="1:15" ht="17" x14ac:dyDescent="0.2">
      <c r="A1089" s="5" t="str">
        <v>Axis Mutual Fund</v>
      </c>
      <c r="B1089" s="5" t="str">
        <v>AAAA9994</v>
      </c>
      <c r="C1089" s="5" t="str">
        <v>AAAAA1111A</v>
      </c>
      <c r="D1089" s="6" t="str">
        <v>Axis ELSS Tax Saver Fund - Direct Growth</v>
      </c>
      <c r="E1089" s="6" t="str">
        <v>DIRECT</v>
      </c>
      <c r="F1089" s="6" t="str">
        <v>CAMS</v>
      </c>
      <c r="G1089" s="6">
        <v>112323</v>
      </c>
      <c r="H1089" s="6">
        <v>42576</v>
      </c>
      <c r="I1089" s="6" t="str">
        <v>Purchase - SIP</v>
      </c>
      <c r="J1089" s="5">
        <v>5000</v>
      </c>
      <c r="K1089" s="5">
        <v>170.238</v>
      </c>
      <c r="L1089" s="5">
        <v>29.370699999999999</v>
      </c>
      <c r="M1089" s="5">
        <v>12519.779</v>
      </c>
      <c r="N1089" s="5" t="str">
        <v>PURCHASE_SIP</v>
      </c>
      <c r="O1089" s="5">
        <v>0</v>
      </c>
    </row>
    <row r="1090" spans="1:15" ht="17" x14ac:dyDescent="0.2">
      <c r="A1090" s="5" t="str">
        <v>Axis Mutual Fund</v>
      </c>
      <c r="B1090" s="5" t="str">
        <v>AAAA9994</v>
      </c>
      <c r="C1090" s="5" t="str">
        <v>AAAAA1111A</v>
      </c>
      <c r="D1090" s="6" t="str">
        <v>Axis ELSS Tax Saver Fund - Direct Growth</v>
      </c>
      <c r="E1090" s="6" t="str">
        <v>DIRECT</v>
      </c>
      <c r="F1090" s="6" t="str">
        <v>CAMS</v>
      </c>
      <c r="G1090" s="6">
        <v>112323</v>
      </c>
      <c r="H1090" s="6">
        <v>42606</v>
      </c>
      <c r="I1090" s="6" t="str">
        <v>Purchase - SIP</v>
      </c>
      <c r="J1090" s="5">
        <v>5000</v>
      </c>
      <c r="K1090" s="5">
        <v>169.56200000000001</v>
      </c>
      <c r="L1090" s="5">
        <v>29.4878</v>
      </c>
      <c r="M1090" s="5">
        <v>12689.341</v>
      </c>
      <c r="N1090" s="5" t="str">
        <v>PURCHASE_SIP</v>
      </c>
      <c r="O1090" s="5">
        <v>0</v>
      </c>
    </row>
    <row r="1091" spans="1:15" ht="17" x14ac:dyDescent="0.2">
      <c r="A1091" s="5" t="str">
        <v>Axis Mutual Fund</v>
      </c>
      <c r="B1091" s="5" t="str">
        <v>AAAA9994</v>
      </c>
      <c r="C1091" s="5" t="str">
        <v>AAAAA1111A</v>
      </c>
      <c r="D1091" s="6" t="str">
        <v>Axis ELSS Tax Saver Fund - Direct Growth</v>
      </c>
      <c r="E1091" s="6" t="str">
        <v>DIRECT</v>
      </c>
      <c r="F1091" s="6" t="str">
        <v>CAMS</v>
      </c>
      <c r="G1091" s="6">
        <v>112323</v>
      </c>
      <c r="H1091" s="6">
        <v>42636</v>
      </c>
      <c r="I1091" s="6" t="str">
        <v>Purchase - SIP</v>
      </c>
      <c r="J1091" s="5">
        <v>5000</v>
      </c>
      <c r="K1091" s="5">
        <v>167.23099999999999</v>
      </c>
      <c r="L1091" s="5">
        <v>29.898700000000002</v>
      </c>
      <c r="M1091" s="5">
        <v>12856.572</v>
      </c>
      <c r="N1091" s="5" t="str">
        <v>PURCHASE_SIP</v>
      </c>
      <c r="O1091" s="5">
        <v>0</v>
      </c>
    </row>
    <row r="1092" spans="1:15" ht="17" x14ac:dyDescent="0.2">
      <c r="A1092" s="5" t="str">
        <v>Axis Mutual Fund</v>
      </c>
      <c r="B1092" s="5" t="str">
        <v>AAAA9994</v>
      </c>
      <c r="C1092" s="5" t="str">
        <v>AAAAA1111A</v>
      </c>
      <c r="D1092" s="6" t="str">
        <v>Axis ELSS Tax Saver Fund - Direct Growth</v>
      </c>
      <c r="E1092" s="6" t="str">
        <v>DIRECT</v>
      </c>
      <c r="F1092" s="6" t="str">
        <v>CAMS</v>
      </c>
      <c r="G1092" s="6">
        <v>112323</v>
      </c>
      <c r="H1092" s="6">
        <v>42636</v>
      </c>
      <c r="I1092" s="6" t="str">
        <v>Dividend Paid</v>
      </c>
      <c r="J1092" s="5">
        <v>6428.29</v>
      </c>
      <c r="K1092" s="5">
        <v>0</v>
      </c>
      <c r="L1092" s="5">
        <v>0</v>
      </c>
      <c r="M1092" s="5">
        <v>12856.572</v>
      </c>
      <c r="N1092" s="5" t="str">
        <v>DIVIDEND_PAYOUT</v>
      </c>
      <c r="O1092" s="5">
        <v>6428.29</v>
      </c>
    </row>
    <row r="1093" spans="1:15" ht="17" x14ac:dyDescent="0.2">
      <c r="A1093" s="5" t="str">
        <v>Axis Mutual Fund</v>
      </c>
      <c r="B1093" s="5" t="str">
        <v>AAAA9994</v>
      </c>
      <c r="C1093" s="5" t="str">
        <v>AAAAA1111A</v>
      </c>
      <c r="D1093" s="6" t="str">
        <v>Axis ELSS Tax Saver Fund - Direct Growth</v>
      </c>
      <c r="E1093" s="6" t="str">
        <v>DIRECT</v>
      </c>
      <c r="F1093" s="6" t="str">
        <v>CAMS</v>
      </c>
      <c r="G1093" s="6">
        <v>112323</v>
      </c>
      <c r="H1093" s="6">
        <v>42666</v>
      </c>
      <c r="I1093" s="6" t="str">
        <v>Purchase - SIP</v>
      </c>
      <c r="J1093" s="5">
        <v>5000</v>
      </c>
      <c r="K1093" s="5">
        <v>170.05199999999999</v>
      </c>
      <c r="L1093" s="5">
        <v>29.402699999999999</v>
      </c>
      <c r="M1093" s="5">
        <v>13026.624</v>
      </c>
      <c r="N1093" s="5" t="str">
        <v>PURCHASE_SIP</v>
      </c>
      <c r="O1093" s="5">
        <v>0</v>
      </c>
    </row>
    <row r="1094" spans="1:15" ht="17" x14ac:dyDescent="0.2">
      <c r="A1094" s="5" t="str">
        <v>Axis Mutual Fund</v>
      </c>
      <c r="B1094" s="5" t="str">
        <v>AAAA9994</v>
      </c>
      <c r="C1094" s="5" t="str">
        <v>AAAAA1111A</v>
      </c>
      <c r="D1094" s="6" t="str">
        <v>Axis ELSS Tax Saver Fund - Direct Growth</v>
      </c>
      <c r="E1094" s="6" t="str">
        <v>DIRECT</v>
      </c>
      <c r="F1094" s="6" t="str">
        <v>CAMS</v>
      </c>
      <c r="G1094" s="6">
        <v>112323</v>
      </c>
      <c r="H1094" s="6">
        <v>42696</v>
      </c>
      <c r="I1094" s="6" t="str">
        <v>Purchase - SIP</v>
      </c>
      <c r="J1094" s="5">
        <v>5000</v>
      </c>
      <c r="K1094" s="5">
        <v>166.291</v>
      </c>
      <c r="L1094" s="5">
        <v>30.067699999999999</v>
      </c>
      <c r="M1094" s="5">
        <v>13192.915999999999</v>
      </c>
      <c r="N1094" s="5" t="str">
        <v>PURCHASE_SIP</v>
      </c>
      <c r="O1094" s="5">
        <v>0</v>
      </c>
    </row>
    <row r="1095" spans="1:15" ht="17" x14ac:dyDescent="0.2">
      <c r="A1095" s="5" t="str">
        <v>Axis Mutual Fund</v>
      </c>
      <c r="B1095" s="5" t="str">
        <v>AAAA9994</v>
      </c>
      <c r="C1095" s="5" t="str">
        <v>AAAAA1111A</v>
      </c>
      <c r="D1095" s="6" t="str">
        <v>Axis ELSS Tax Saver Fund - Direct Growth</v>
      </c>
      <c r="E1095" s="6" t="str">
        <v>DIRECT</v>
      </c>
      <c r="F1095" s="6" t="str">
        <v>CAMS</v>
      </c>
      <c r="G1095" s="6">
        <v>112323</v>
      </c>
      <c r="H1095" s="6">
        <v>42726</v>
      </c>
      <c r="I1095" s="6" t="str">
        <v>Purchase - SIP</v>
      </c>
      <c r="J1095" s="5">
        <v>5000</v>
      </c>
      <c r="K1095" s="5">
        <v>163.143</v>
      </c>
      <c r="L1095" s="5">
        <v>30.6479</v>
      </c>
      <c r="M1095" s="5">
        <v>13356.058999999999</v>
      </c>
      <c r="N1095" s="5" t="str">
        <v>PURCHASE_SIP</v>
      </c>
      <c r="O1095" s="5">
        <v>0</v>
      </c>
    </row>
    <row r="1096" spans="1:15" ht="17" x14ac:dyDescent="0.2">
      <c r="A1096" s="5" t="str">
        <v>Axis Mutual Fund</v>
      </c>
      <c r="B1096" s="5" t="str">
        <v>AAAA9994</v>
      </c>
      <c r="C1096" s="5" t="str">
        <v>AAAAA1111A</v>
      </c>
      <c r="D1096" s="6" t="str">
        <v>Axis ELSS Tax Saver Fund - Direct Growth</v>
      </c>
      <c r="E1096" s="6" t="str">
        <v>DIRECT</v>
      </c>
      <c r="F1096" s="6" t="str">
        <v>CAMS</v>
      </c>
      <c r="G1096" s="6">
        <v>112323</v>
      </c>
      <c r="H1096" s="6">
        <v>42756</v>
      </c>
      <c r="I1096" s="6" t="str">
        <v>Purchase - SIP</v>
      </c>
      <c r="J1096" s="5">
        <v>5000</v>
      </c>
      <c r="K1096" s="5">
        <v>159.86699999999999</v>
      </c>
      <c r="L1096" s="5">
        <v>31.2759</v>
      </c>
      <c r="M1096" s="5">
        <v>13515.925999999999</v>
      </c>
      <c r="N1096" s="5" t="str">
        <v>PURCHASE_SIP</v>
      </c>
      <c r="O1096" s="5">
        <v>0</v>
      </c>
    </row>
    <row r="1097" spans="1:15" ht="17" x14ac:dyDescent="0.2">
      <c r="A1097" s="5" t="str">
        <v>Axis Mutual Fund</v>
      </c>
      <c r="B1097" s="5" t="str">
        <v>AAAA9994</v>
      </c>
      <c r="C1097" s="5" t="str">
        <v>AAAAA1111A</v>
      </c>
      <c r="D1097" s="6" t="str">
        <v>Axis ELSS Tax Saver Fund - Direct Growth</v>
      </c>
      <c r="E1097" s="6" t="str">
        <v>DIRECT</v>
      </c>
      <c r="F1097" s="6" t="str">
        <v>CAMS</v>
      </c>
      <c r="G1097" s="6">
        <v>112323</v>
      </c>
      <c r="H1097" s="6">
        <v>42756</v>
      </c>
      <c r="I1097" s="6" t="str">
        <v>STAMP DUTY</v>
      </c>
      <c r="J1097" s="5">
        <v>2.5</v>
      </c>
      <c r="K1097" s="5">
        <v>0</v>
      </c>
      <c r="L1097" s="5">
        <v>0</v>
      </c>
      <c r="M1097" s="5">
        <v>13515.925999999999</v>
      </c>
      <c r="N1097" s="5" t="str">
        <v>STAMP_DUTY</v>
      </c>
      <c r="O1097" s="5">
        <v>0</v>
      </c>
    </row>
    <row r="1098" spans="1:15" ht="17" x14ac:dyDescent="0.2">
      <c r="A1098" s="5" t="str">
        <v>Axis Mutual Fund</v>
      </c>
      <c r="B1098" s="5" t="str">
        <v>AAAA9994</v>
      </c>
      <c r="C1098" s="5" t="str">
        <v>AAAAA1111A</v>
      </c>
      <c r="D1098" s="6" t="str">
        <v>Axis ELSS Tax Saver Fund - Direct Growth</v>
      </c>
      <c r="E1098" s="6" t="str">
        <v>DIRECT</v>
      </c>
      <c r="F1098" s="6" t="str">
        <v>CAMS</v>
      </c>
      <c r="G1098" s="6">
        <v>112323</v>
      </c>
      <c r="H1098" s="6">
        <v>42786</v>
      </c>
      <c r="I1098" s="6" t="str">
        <v>Purchase - SIP</v>
      </c>
      <c r="J1098" s="5">
        <v>5000</v>
      </c>
      <c r="K1098" s="5">
        <v>156.93</v>
      </c>
      <c r="L1098" s="5">
        <v>31.8613</v>
      </c>
      <c r="M1098" s="5">
        <v>13672.856</v>
      </c>
      <c r="N1098" s="5" t="str">
        <v>PURCHASE_SIP</v>
      </c>
      <c r="O1098" s="5">
        <v>0</v>
      </c>
    </row>
    <row r="1099" spans="1:15" ht="17" x14ac:dyDescent="0.2">
      <c r="A1099" s="5" t="str">
        <v>Axis Mutual Fund</v>
      </c>
      <c r="B1099" s="5" t="str">
        <v>AAAA9994</v>
      </c>
      <c r="C1099" s="5" t="str">
        <v>AAAAA1111A</v>
      </c>
      <c r="D1099" s="6" t="str">
        <v>Axis ELSS Tax Saver Fund - Direct Growth</v>
      </c>
      <c r="E1099" s="6" t="str">
        <v>DIRECT</v>
      </c>
      <c r="F1099" s="6" t="str">
        <v>CAMS</v>
      </c>
      <c r="G1099" s="6">
        <v>112323</v>
      </c>
      <c r="H1099" s="6">
        <v>42786</v>
      </c>
      <c r="I1099" s="6" t="str">
        <v>STAMP DUTY</v>
      </c>
      <c r="J1099" s="5">
        <v>2.5</v>
      </c>
      <c r="K1099" s="5">
        <v>0</v>
      </c>
      <c r="L1099" s="5">
        <v>0</v>
      </c>
      <c r="M1099" s="5">
        <v>13672.856</v>
      </c>
      <c r="N1099" s="5" t="str">
        <v>STAMP_DUTY</v>
      </c>
      <c r="O1099" s="5">
        <v>0</v>
      </c>
    </row>
    <row r="1100" spans="1:15" ht="17" x14ac:dyDescent="0.2">
      <c r="A1100" s="5" t="str">
        <v>Axis Mutual Fund</v>
      </c>
      <c r="B1100" s="5" t="str">
        <v>AAAA9994</v>
      </c>
      <c r="C1100" s="5" t="str">
        <v>AAAAA1111A</v>
      </c>
      <c r="D1100" s="6" t="str">
        <v>Axis ELSS Tax Saver Fund - Direct Growth</v>
      </c>
      <c r="E1100" s="6" t="str">
        <v>DIRECT</v>
      </c>
      <c r="F1100" s="6" t="str">
        <v>CAMS</v>
      </c>
      <c r="G1100" s="6">
        <v>112323</v>
      </c>
      <c r="H1100" s="6">
        <v>42816</v>
      </c>
      <c r="I1100" s="6" t="str">
        <v>Purchase - SIP</v>
      </c>
      <c r="J1100" s="5">
        <v>5000</v>
      </c>
      <c r="K1100" s="5">
        <v>159.142</v>
      </c>
      <c r="L1100" s="5">
        <v>31.418399999999998</v>
      </c>
      <c r="M1100" s="5">
        <v>13831.999</v>
      </c>
      <c r="N1100" s="5" t="str">
        <v>PURCHASE_SIP</v>
      </c>
      <c r="O1100" s="5">
        <v>0</v>
      </c>
    </row>
    <row r="1101" spans="1:15" ht="17" x14ac:dyDescent="0.2">
      <c r="A1101" s="5" t="str">
        <v>Axis Mutual Fund</v>
      </c>
      <c r="B1101" s="5" t="str">
        <v>AAAA9994</v>
      </c>
      <c r="C1101" s="5" t="str">
        <v>AAAAA1111A</v>
      </c>
      <c r="D1101" s="6" t="str">
        <v>Axis ELSS Tax Saver Fund - Direct Growth</v>
      </c>
      <c r="E1101" s="6" t="str">
        <v>DIRECT</v>
      </c>
      <c r="F1101" s="6" t="str">
        <v>CAMS</v>
      </c>
      <c r="G1101" s="6">
        <v>112323</v>
      </c>
      <c r="H1101" s="6">
        <v>42846</v>
      </c>
      <c r="I1101" s="6" t="str">
        <v>Purchase - SIP</v>
      </c>
      <c r="J1101" s="5">
        <v>5000</v>
      </c>
      <c r="K1101" s="5">
        <v>161.24299999999999</v>
      </c>
      <c r="L1101" s="5">
        <v>31.009</v>
      </c>
      <c r="M1101" s="5">
        <v>13993.242</v>
      </c>
      <c r="N1101" s="5" t="str">
        <v>PURCHASE_SIP</v>
      </c>
      <c r="O1101" s="5">
        <v>0</v>
      </c>
    </row>
    <row r="1102" spans="1:15" ht="17" x14ac:dyDescent="0.2">
      <c r="A1102" s="5" t="str">
        <v>Axis Mutual Fund</v>
      </c>
      <c r="B1102" s="5" t="str">
        <v>AAAA9994</v>
      </c>
      <c r="C1102" s="5" t="str">
        <v>AAAAA1111A</v>
      </c>
      <c r="D1102" s="6" t="str">
        <v>Axis ELSS Tax Saver Fund - Direct Growth</v>
      </c>
      <c r="E1102" s="6" t="str">
        <v>DIRECT</v>
      </c>
      <c r="F1102" s="6" t="str">
        <v>CAMS</v>
      </c>
      <c r="G1102" s="6">
        <v>112323</v>
      </c>
      <c r="H1102" s="6">
        <v>42876</v>
      </c>
      <c r="I1102" s="6" t="str">
        <v>Purchase - SIP</v>
      </c>
      <c r="J1102" s="5">
        <v>5000</v>
      </c>
      <c r="K1102" s="5">
        <v>162.94300000000001</v>
      </c>
      <c r="L1102" s="5">
        <v>30.685700000000001</v>
      </c>
      <c r="M1102" s="5">
        <v>14156.184999999999</v>
      </c>
      <c r="N1102" s="5" t="str">
        <v>PURCHASE_SIP</v>
      </c>
      <c r="O1102" s="5">
        <v>0</v>
      </c>
    </row>
    <row r="1103" spans="1:15" ht="17" x14ac:dyDescent="0.2">
      <c r="A1103" s="5" t="str">
        <v>Axis Mutual Fund</v>
      </c>
      <c r="B1103" s="5" t="str">
        <v>AAAA9994</v>
      </c>
      <c r="C1103" s="5" t="str">
        <v>AAAAA1111A</v>
      </c>
      <c r="D1103" s="6" t="str">
        <v>Axis ELSS Tax Saver Fund - Direct Growth</v>
      </c>
      <c r="E1103" s="6" t="str">
        <v>DIRECT</v>
      </c>
      <c r="F1103" s="6" t="str">
        <v>CAMS</v>
      </c>
      <c r="G1103" s="6">
        <v>112323</v>
      </c>
      <c r="H1103" s="6">
        <v>42876</v>
      </c>
      <c r="I1103" s="6" t="str">
        <v>STAMP DUTY</v>
      </c>
      <c r="J1103" s="5">
        <v>2.5</v>
      </c>
      <c r="K1103" s="5">
        <v>0</v>
      </c>
      <c r="L1103" s="5">
        <v>0</v>
      </c>
      <c r="M1103" s="5">
        <v>14156.184999999999</v>
      </c>
      <c r="N1103" s="5" t="str">
        <v>STAMP_DUTY</v>
      </c>
      <c r="O1103" s="5">
        <v>0</v>
      </c>
    </row>
    <row r="1104" spans="1:15" ht="17" x14ac:dyDescent="0.2">
      <c r="A1104" s="5" t="str">
        <v>Axis Mutual Fund</v>
      </c>
      <c r="B1104" s="5" t="str">
        <v>AAAA9994</v>
      </c>
      <c r="C1104" s="5" t="str">
        <v>AAAAA1111A</v>
      </c>
      <c r="D1104" s="6" t="str">
        <v>Axis ELSS Tax Saver Fund - Direct Growth</v>
      </c>
      <c r="E1104" s="6" t="str">
        <v>DIRECT</v>
      </c>
      <c r="F1104" s="6" t="str">
        <v>CAMS</v>
      </c>
      <c r="G1104" s="6">
        <v>112323</v>
      </c>
      <c r="H1104" s="6">
        <v>42906</v>
      </c>
      <c r="I1104" s="6" t="str">
        <v>Purchase - SIP</v>
      </c>
      <c r="J1104" s="5">
        <v>5000</v>
      </c>
      <c r="K1104" s="5">
        <v>160.97800000000001</v>
      </c>
      <c r="L1104" s="5">
        <v>31.060199999999998</v>
      </c>
      <c r="M1104" s="5">
        <v>14317.162</v>
      </c>
      <c r="N1104" s="5" t="str">
        <v>PURCHASE_SIP</v>
      </c>
      <c r="O1104" s="5">
        <v>0</v>
      </c>
    </row>
    <row r="1105" spans="1:15" ht="17" x14ac:dyDescent="0.2">
      <c r="A1105" s="5" t="str">
        <v>Axis Mutual Fund</v>
      </c>
      <c r="B1105" s="5" t="str">
        <v>AAAA9994</v>
      </c>
      <c r="C1105" s="5" t="str">
        <v>AAAAA1111A</v>
      </c>
      <c r="D1105" s="6" t="str">
        <v>Axis ELSS Tax Saver Fund - Direct Growth</v>
      </c>
      <c r="E1105" s="6" t="str">
        <v>DIRECT</v>
      </c>
      <c r="F1105" s="6" t="str">
        <v>CAMS</v>
      </c>
      <c r="G1105" s="6">
        <v>112323</v>
      </c>
      <c r="H1105" s="6">
        <v>42936</v>
      </c>
      <c r="I1105" s="6" t="str">
        <v>Purchase - SIP</v>
      </c>
      <c r="J1105" s="5">
        <v>5000</v>
      </c>
      <c r="K1105" s="5">
        <v>162.72200000000001</v>
      </c>
      <c r="L1105" s="5">
        <v>30.7273</v>
      </c>
      <c r="M1105" s="5">
        <v>14479.884</v>
      </c>
      <c r="N1105" s="5" t="str">
        <v>PURCHASE_SIP</v>
      </c>
      <c r="O1105" s="5">
        <v>0</v>
      </c>
    </row>
    <row r="1106" spans="1:15" ht="17" x14ac:dyDescent="0.2">
      <c r="A1106" s="5" t="str">
        <v>Axis Mutual Fund</v>
      </c>
      <c r="B1106" s="5" t="str">
        <v>AAAA9994</v>
      </c>
      <c r="C1106" s="5" t="str">
        <v>AAAAA1111A</v>
      </c>
      <c r="D1106" s="6" t="str">
        <v>Axis ELSS Tax Saver Fund - Direct Growth</v>
      </c>
      <c r="E1106" s="6" t="str">
        <v>DIRECT</v>
      </c>
      <c r="F1106" s="6" t="str">
        <v>CAMS</v>
      </c>
      <c r="G1106" s="6">
        <v>112323</v>
      </c>
      <c r="H1106" s="6">
        <v>42966</v>
      </c>
      <c r="I1106" s="6" t="str">
        <v>Purchase - SIP</v>
      </c>
      <c r="J1106" s="5">
        <v>5000</v>
      </c>
      <c r="K1106" s="5">
        <v>158.97300000000001</v>
      </c>
      <c r="L1106" s="5">
        <v>31.451899999999998</v>
      </c>
      <c r="M1106" s="5">
        <v>14638.857</v>
      </c>
      <c r="N1106" s="5" t="str">
        <v>PURCHASE_SIP</v>
      </c>
      <c r="O1106" s="5">
        <v>0</v>
      </c>
    </row>
    <row r="1107" spans="1:15" ht="17" x14ac:dyDescent="0.2">
      <c r="A1107" s="5" t="str">
        <v>Axis Mutual Fund</v>
      </c>
      <c r="B1107" s="5" t="str">
        <v>AAAA9994</v>
      </c>
      <c r="C1107" s="5" t="str">
        <v>AAAAA1111A</v>
      </c>
      <c r="D1107" s="6" t="str">
        <v>Axis ELSS Tax Saver Fund - Direct Growth</v>
      </c>
      <c r="E1107" s="6" t="str">
        <v>DIRECT</v>
      </c>
      <c r="F1107" s="6" t="str">
        <v>CAMS</v>
      </c>
      <c r="G1107" s="6">
        <v>112323</v>
      </c>
      <c r="H1107" s="6">
        <v>42996</v>
      </c>
      <c r="I1107" s="6" t="str">
        <v>Purchase - SIP</v>
      </c>
      <c r="J1107" s="5">
        <v>5000</v>
      </c>
      <c r="K1107" s="5">
        <v>161.67500000000001</v>
      </c>
      <c r="L1107" s="5">
        <v>30.926200000000001</v>
      </c>
      <c r="M1107" s="5">
        <v>14800.531999999999</v>
      </c>
      <c r="N1107" s="5" t="str">
        <v>PURCHASE_SIP</v>
      </c>
      <c r="O1107" s="5">
        <v>0</v>
      </c>
    </row>
    <row r="1108" spans="1:15" ht="17" x14ac:dyDescent="0.2">
      <c r="A1108" s="5" t="str">
        <v>Axis Mutual Fund</v>
      </c>
      <c r="B1108" s="5" t="str">
        <v>AAAA9994</v>
      </c>
      <c r="C1108" s="5" t="str">
        <v>AAAAA1111A</v>
      </c>
      <c r="D1108" s="6" t="str">
        <v>Axis ELSS Tax Saver Fund - Direct Growth</v>
      </c>
      <c r="E1108" s="6" t="str">
        <v>DIRECT</v>
      </c>
      <c r="F1108" s="6" t="str">
        <v>CAMS</v>
      </c>
      <c r="G1108" s="6">
        <v>112323</v>
      </c>
      <c r="H1108" s="6">
        <v>43026</v>
      </c>
      <c r="I1108" s="6" t="str">
        <v>Purchase - SIP</v>
      </c>
      <c r="J1108" s="5">
        <v>5000</v>
      </c>
      <c r="K1108" s="5">
        <v>162.68100000000001</v>
      </c>
      <c r="L1108" s="5">
        <v>30.7349</v>
      </c>
      <c r="M1108" s="5">
        <v>14963.213</v>
      </c>
      <c r="N1108" s="5" t="str">
        <v>PURCHASE_SIP</v>
      </c>
      <c r="O1108" s="5">
        <v>0</v>
      </c>
    </row>
    <row r="1109" spans="1:15" ht="17" x14ac:dyDescent="0.2">
      <c r="A1109" s="5" t="str">
        <v>Axis Mutual Fund</v>
      </c>
      <c r="B1109" s="5" t="str">
        <v>AAAA9994</v>
      </c>
      <c r="C1109" s="5" t="str">
        <v>AAAAA1111A</v>
      </c>
      <c r="D1109" s="6" t="str">
        <v>Axis ELSS Tax Saver Fund - Direct Growth</v>
      </c>
      <c r="E1109" s="6" t="str">
        <v>DIRECT</v>
      </c>
      <c r="F1109" s="6" t="str">
        <v>CAMS</v>
      </c>
      <c r="G1109" s="6">
        <v>112323</v>
      </c>
      <c r="H1109" s="6">
        <v>43056</v>
      </c>
      <c r="I1109" s="6" t="str">
        <v>Purchase - SIP</v>
      </c>
      <c r="J1109" s="5">
        <v>5000</v>
      </c>
      <c r="K1109" s="5">
        <v>158.18199999999999</v>
      </c>
      <c r="L1109" s="5">
        <v>31.609200000000001</v>
      </c>
      <c r="M1109" s="5">
        <v>15121.395</v>
      </c>
      <c r="N1109" s="5" t="str">
        <v>PURCHASE_SIP</v>
      </c>
      <c r="O1109" s="5">
        <v>0</v>
      </c>
    </row>
    <row r="1110" spans="1:15" ht="17" x14ac:dyDescent="0.2">
      <c r="A1110" s="5" t="str">
        <v>Axis Mutual Fund</v>
      </c>
      <c r="B1110" s="5" t="str">
        <v>AAAA9994</v>
      </c>
      <c r="C1110" s="5" t="str">
        <v>AAAAA1111A</v>
      </c>
      <c r="D1110" s="6" t="str">
        <v>Axis ELSS Tax Saver Fund - Direct Growth</v>
      </c>
      <c r="E1110" s="6" t="str">
        <v>DIRECT</v>
      </c>
      <c r="F1110" s="6" t="str">
        <v>CAMS</v>
      </c>
      <c r="G1110" s="6">
        <v>112323</v>
      </c>
      <c r="H1110" s="6">
        <v>43086</v>
      </c>
      <c r="I1110" s="6" t="str">
        <v>Purchase - SIP</v>
      </c>
      <c r="J1110" s="5">
        <v>5000</v>
      </c>
      <c r="K1110" s="5">
        <v>153.602</v>
      </c>
      <c r="L1110" s="5">
        <v>32.551600000000001</v>
      </c>
      <c r="M1110" s="5">
        <v>15274.998</v>
      </c>
      <c r="N1110" s="5" t="str">
        <v>PURCHASE_SIP</v>
      </c>
      <c r="O1110" s="5">
        <v>0</v>
      </c>
    </row>
    <row r="1111" spans="1:15" ht="17" x14ac:dyDescent="0.2">
      <c r="A1111" s="5" t="str">
        <v>Axis Mutual Fund</v>
      </c>
      <c r="B1111" s="5" t="str">
        <v>AAAA9994</v>
      </c>
      <c r="C1111" s="5" t="str">
        <v>AAAAA1111A</v>
      </c>
      <c r="D1111" s="6" t="str">
        <v>Axis ELSS Tax Saver Fund - Direct Growth</v>
      </c>
      <c r="E1111" s="6" t="str">
        <v>DIRECT</v>
      </c>
      <c r="F1111" s="6" t="str">
        <v>CAMS</v>
      </c>
      <c r="G1111" s="6">
        <v>112323</v>
      </c>
      <c r="H1111" s="6">
        <v>43116</v>
      </c>
      <c r="I1111" s="6" t="str">
        <v>Purchase - SIP</v>
      </c>
      <c r="J1111" s="5">
        <v>5000</v>
      </c>
      <c r="K1111" s="5">
        <v>153.11699999999999</v>
      </c>
      <c r="L1111" s="5">
        <v>32.654699999999998</v>
      </c>
      <c r="M1111" s="5">
        <v>15428.115</v>
      </c>
      <c r="N1111" s="5" t="str">
        <v>PURCHASE_SIP</v>
      </c>
      <c r="O1111" s="5">
        <v>0</v>
      </c>
    </row>
    <row r="1112" spans="1:15" ht="17" x14ac:dyDescent="0.2">
      <c r="A1112" s="5" t="str">
        <v>Axis Mutual Fund</v>
      </c>
      <c r="B1112" s="5" t="str">
        <v>AAAA9994</v>
      </c>
      <c r="C1112" s="5" t="str">
        <v>AAAAA1111A</v>
      </c>
      <c r="D1112" s="6" t="str">
        <v>Axis ELSS Tax Saver Fund - Direct Growth</v>
      </c>
      <c r="E1112" s="6" t="str">
        <v>DIRECT</v>
      </c>
      <c r="F1112" s="6" t="str">
        <v>CAMS</v>
      </c>
      <c r="G1112" s="6">
        <v>112323</v>
      </c>
      <c r="H1112" s="6">
        <v>43116</v>
      </c>
      <c r="I1112" s="6" t="str">
        <v>Dividend Paid</v>
      </c>
      <c r="J1112" s="5">
        <v>7714.06</v>
      </c>
      <c r="K1112" s="5">
        <v>0</v>
      </c>
      <c r="L1112" s="5">
        <v>0</v>
      </c>
      <c r="M1112" s="5">
        <v>15428.115</v>
      </c>
      <c r="N1112" s="5" t="str">
        <v>DIVIDEND_PAYOUT</v>
      </c>
      <c r="O1112" s="5">
        <v>7714.06</v>
      </c>
    </row>
    <row r="1113" spans="1:15" ht="17" x14ac:dyDescent="0.2">
      <c r="A1113" s="5" t="str">
        <v>Axis Mutual Fund</v>
      </c>
      <c r="B1113" s="5" t="str">
        <v>AAAA9994</v>
      </c>
      <c r="C1113" s="5" t="str">
        <v>AAAAA1111A</v>
      </c>
      <c r="D1113" s="6" t="str">
        <v>Axis ELSS Tax Saver Fund - Direct Growth</v>
      </c>
      <c r="E1113" s="6" t="str">
        <v>DIRECT</v>
      </c>
      <c r="F1113" s="6" t="str">
        <v>CAMS</v>
      </c>
      <c r="G1113" s="6">
        <v>112323</v>
      </c>
      <c r="H1113" s="6">
        <v>43146</v>
      </c>
      <c r="I1113" s="6" t="str">
        <v>Purchase - SIP</v>
      </c>
      <c r="J1113" s="5">
        <v>5000</v>
      </c>
      <c r="K1113" s="5">
        <v>148.69999999999999</v>
      </c>
      <c r="L1113" s="5">
        <v>33.6248</v>
      </c>
      <c r="M1113" s="5">
        <v>15576.815000000001</v>
      </c>
      <c r="N1113" s="5" t="str">
        <v>PURCHASE_SIP</v>
      </c>
      <c r="O1113" s="5">
        <v>0</v>
      </c>
    </row>
    <row r="1114" spans="1:15" ht="17" x14ac:dyDescent="0.2">
      <c r="A1114" s="5" t="str">
        <v>Axis Mutual Fund</v>
      </c>
      <c r="B1114" s="5" t="str">
        <v>AAAA9994</v>
      </c>
      <c r="C1114" s="5" t="str">
        <v>AAAAA1111A</v>
      </c>
      <c r="D1114" s="6" t="str">
        <v>Axis ELSS Tax Saver Fund - Direct Growth</v>
      </c>
      <c r="E1114" s="6" t="str">
        <v>DIRECT</v>
      </c>
      <c r="F1114" s="6" t="str">
        <v>CAMS</v>
      </c>
      <c r="G1114" s="6">
        <v>112323</v>
      </c>
      <c r="H1114" s="6">
        <v>43146</v>
      </c>
      <c r="I1114" s="6" t="str">
        <v>STAMP DUTY</v>
      </c>
      <c r="J1114" s="5">
        <v>2.5</v>
      </c>
      <c r="K1114" s="5">
        <v>0</v>
      </c>
      <c r="L1114" s="5">
        <v>0</v>
      </c>
      <c r="M1114" s="5">
        <v>15576.815000000001</v>
      </c>
      <c r="N1114" s="5" t="str">
        <v>STAMP_DUTY</v>
      </c>
      <c r="O1114" s="5">
        <v>0</v>
      </c>
    </row>
    <row r="1115" spans="1:15" ht="17" x14ac:dyDescent="0.2">
      <c r="A1115" s="5" t="str">
        <v>Axis Mutual Fund</v>
      </c>
      <c r="B1115" s="5" t="str">
        <v>AAAA9994</v>
      </c>
      <c r="C1115" s="5" t="str">
        <v>AAAAA1111A</v>
      </c>
      <c r="D1115" s="6" t="str">
        <v>Axis ELSS Tax Saver Fund - Direct Growth</v>
      </c>
      <c r="E1115" s="6" t="str">
        <v>DIRECT</v>
      </c>
      <c r="F1115" s="6" t="str">
        <v>CAMS</v>
      </c>
      <c r="G1115" s="6">
        <v>112323</v>
      </c>
      <c r="H1115" s="6">
        <v>43176</v>
      </c>
      <c r="I1115" s="6" t="str">
        <v>Purchase - SIP</v>
      </c>
      <c r="J1115" s="5">
        <v>5000</v>
      </c>
      <c r="K1115" s="5">
        <v>145.88999999999999</v>
      </c>
      <c r="L1115" s="5">
        <v>34.272399999999998</v>
      </c>
      <c r="M1115" s="5">
        <v>15722.705</v>
      </c>
      <c r="N1115" s="5" t="str">
        <v>PURCHASE_SIP</v>
      </c>
      <c r="O1115" s="5">
        <v>0</v>
      </c>
    </row>
    <row r="1116" spans="1:15" ht="17" x14ac:dyDescent="0.2">
      <c r="A1116" s="5" t="str">
        <v>Axis Mutual Fund</v>
      </c>
      <c r="B1116" s="5" t="str">
        <v>AAAA9994</v>
      </c>
      <c r="C1116" s="5" t="str">
        <v>AAAAA1111A</v>
      </c>
      <c r="D1116" s="6" t="str">
        <v>Axis ELSS Tax Saver Fund - Direct Growth</v>
      </c>
      <c r="E1116" s="6" t="str">
        <v>DIRECT</v>
      </c>
      <c r="F1116" s="6" t="str">
        <v>CAMS</v>
      </c>
      <c r="G1116" s="6">
        <v>112323</v>
      </c>
      <c r="H1116" s="6">
        <v>43206</v>
      </c>
      <c r="I1116" s="6" t="str">
        <v>Purchase - SIP</v>
      </c>
      <c r="J1116" s="5">
        <v>5000</v>
      </c>
      <c r="K1116" s="5">
        <v>144.852</v>
      </c>
      <c r="L1116" s="5">
        <v>34.518000000000001</v>
      </c>
      <c r="M1116" s="5">
        <v>15867.557000000001</v>
      </c>
      <c r="N1116" s="5" t="str">
        <v>PURCHASE_SIP</v>
      </c>
      <c r="O1116" s="5">
        <v>0</v>
      </c>
    </row>
    <row r="1117" spans="1:15" ht="17" x14ac:dyDescent="0.2">
      <c r="A1117" s="5" t="str">
        <v>Axis Mutual Fund</v>
      </c>
      <c r="B1117" s="5" t="str">
        <v>AAAA9994</v>
      </c>
      <c r="C1117" s="5" t="str">
        <v>AAAAA1111A</v>
      </c>
      <c r="D1117" s="6" t="str">
        <v>Axis ELSS Tax Saver Fund - Direct Growth</v>
      </c>
      <c r="E1117" s="6" t="str">
        <v>DIRECT</v>
      </c>
      <c r="F1117" s="6" t="str">
        <v>CAMS</v>
      </c>
      <c r="G1117" s="6">
        <v>112323</v>
      </c>
      <c r="H1117" s="6">
        <v>43236</v>
      </c>
      <c r="I1117" s="6" t="str">
        <v>Purchase - SIP</v>
      </c>
      <c r="J1117" s="5">
        <v>5000</v>
      </c>
      <c r="K1117" s="5">
        <v>147.57900000000001</v>
      </c>
      <c r="L1117" s="5">
        <v>33.880200000000002</v>
      </c>
      <c r="M1117" s="5">
        <v>16015.136</v>
      </c>
      <c r="N1117" s="5" t="str">
        <v>PURCHASE_SIP</v>
      </c>
      <c r="O1117" s="5">
        <v>0</v>
      </c>
    </row>
    <row r="1118" spans="1:15" ht="17" x14ac:dyDescent="0.2">
      <c r="A1118" s="5" t="str">
        <v>Axis Mutual Fund</v>
      </c>
      <c r="B1118" s="5" t="str">
        <v>AAAA9994</v>
      </c>
      <c r="C1118" s="5" t="str">
        <v>AAAAA1111A</v>
      </c>
      <c r="D1118" s="6" t="str">
        <v>Axis ELSS Tax Saver Fund - Direct Growth</v>
      </c>
      <c r="E1118" s="6" t="str">
        <v>DIRECT</v>
      </c>
      <c r="F1118" s="6" t="str">
        <v>CAMS</v>
      </c>
      <c r="G1118" s="6">
        <v>112323</v>
      </c>
      <c r="H1118" s="6">
        <v>43266</v>
      </c>
      <c r="I1118" s="6" t="str">
        <v>Purchase - SIP</v>
      </c>
      <c r="J1118" s="5">
        <v>5000</v>
      </c>
      <c r="K1118" s="5">
        <v>149.45400000000001</v>
      </c>
      <c r="L1118" s="5">
        <v>33.455100000000002</v>
      </c>
      <c r="M1118" s="5">
        <v>16164.59</v>
      </c>
      <c r="N1118" s="5" t="str">
        <v>PURCHASE_SIP</v>
      </c>
      <c r="O1118" s="5">
        <v>0</v>
      </c>
    </row>
    <row r="1119" spans="1:15" ht="17" x14ac:dyDescent="0.2">
      <c r="A1119" s="5" t="str">
        <v>Axis Mutual Fund</v>
      </c>
      <c r="B1119" s="5" t="str">
        <v>AAAA9994</v>
      </c>
      <c r="C1119" s="5" t="str">
        <v>AAAAA1111A</v>
      </c>
      <c r="D1119" s="6" t="str">
        <v>Axis ELSS Tax Saver Fund - Direct Growth</v>
      </c>
      <c r="E1119" s="6" t="str">
        <v>DIRECT</v>
      </c>
      <c r="F1119" s="6" t="str">
        <v>CAMS</v>
      </c>
      <c r="G1119" s="6">
        <v>112323</v>
      </c>
      <c r="H1119" s="6">
        <v>43296</v>
      </c>
      <c r="I1119" s="6" t="str">
        <v>Purchase - SIP</v>
      </c>
      <c r="J1119" s="5">
        <v>5000</v>
      </c>
      <c r="K1119" s="5">
        <v>148.64400000000001</v>
      </c>
      <c r="L1119" s="5">
        <v>33.637500000000003</v>
      </c>
      <c r="M1119" s="5">
        <v>16313.233</v>
      </c>
      <c r="N1119" s="5" t="str">
        <v>PURCHASE_SIP</v>
      </c>
      <c r="O1119" s="5">
        <v>0</v>
      </c>
    </row>
    <row r="1120" spans="1:15" ht="17" x14ac:dyDescent="0.2">
      <c r="A1120" s="5" t="str">
        <v>Axis Mutual Fund</v>
      </c>
      <c r="B1120" s="5" t="str">
        <v>AAAA9994</v>
      </c>
      <c r="C1120" s="5" t="str">
        <v>AAAAA1111A</v>
      </c>
      <c r="D1120" s="6" t="str">
        <v>Axis ELSS Tax Saver Fund - Direct Growth</v>
      </c>
      <c r="E1120" s="6" t="str">
        <v>DIRECT</v>
      </c>
      <c r="F1120" s="6" t="str">
        <v>CAMS</v>
      </c>
      <c r="G1120" s="6">
        <v>112323</v>
      </c>
      <c r="H1120" s="6">
        <v>43326</v>
      </c>
      <c r="I1120" s="6" t="str">
        <v>Purchase - SIP</v>
      </c>
      <c r="J1120" s="5">
        <v>5000</v>
      </c>
      <c r="K1120" s="5">
        <v>149.583</v>
      </c>
      <c r="L1120" s="5">
        <v>33.426200000000001</v>
      </c>
      <c r="M1120" s="5">
        <v>16462.815999999999</v>
      </c>
      <c r="N1120" s="5" t="str">
        <v>PURCHASE_SIP</v>
      </c>
      <c r="O1120" s="5">
        <v>0</v>
      </c>
    </row>
    <row r="1121" spans="1:15" ht="17" x14ac:dyDescent="0.2">
      <c r="A1121" s="5" t="str">
        <v>Axis Mutual Fund</v>
      </c>
      <c r="B1121" s="5" t="str">
        <v>AAAA9994</v>
      </c>
      <c r="C1121" s="5" t="str">
        <v>AAAAA1111A</v>
      </c>
      <c r="D1121" s="6" t="str">
        <v>Axis ELSS Tax Saver Fund - Direct Growth</v>
      </c>
      <c r="E1121" s="6" t="str">
        <v>DIRECT</v>
      </c>
      <c r="F1121" s="6" t="str">
        <v>CAMS</v>
      </c>
      <c r="G1121" s="6">
        <v>112323</v>
      </c>
      <c r="H1121" s="6">
        <v>43356</v>
      </c>
      <c r="I1121" s="6" t="str">
        <v>Purchase - SIP</v>
      </c>
      <c r="J1121" s="5">
        <v>5000</v>
      </c>
      <c r="K1121" s="5">
        <v>147.935</v>
      </c>
      <c r="L1121" s="5">
        <v>33.798699999999997</v>
      </c>
      <c r="M1121" s="5">
        <v>16610.751</v>
      </c>
      <c r="N1121" s="5" t="str">
        <v>PURCHASE_SIP</v>
      </c>
      <c r="O1121" s="5">
        <v>0</v>
      </c>
    </row>
    <row r="1122" spans="1:15" ht="17" x14ac:dyDescent="0.2">
      <c r="A1122" s="5" t="str">
        <v>Axis Mutual Fund</v>
      </c>
      <c r="B1122" s="5" t="str">
        <v>AAAA9994</v>
      </c>
      <c r="C1122" s="5" t="str">
        <v>AAAAA1111A</v>
      </c>
      <c r="D1122" s="6" t="str">
        <v>Axis ELSS Tax Saver Fund - Direct Growth</v>
      </c>
      <c r="E1122" s="6" t="str">
        <v>DIRECT</v>
      </c>
      <c r="F1122" s="6" t="str">
        <v>CAMS</v>
      </c>
      <c r="G1122" s="6">
        <v>112323</v>
      </c>
      <c r="H1122" s="6">
        <v>43386</v>
      </c>
      <c r="I1122" s="6" t="str">
        <v>Purchase - SIP</v>
      </c>
      <c r="J1122" s="5">
        <v>5000</v>
      </c>
      <c r="K1122" s="5">
        <v>145.69399999999999</v>
      </c>
      <c r="L1122" s="5">
        <v>34.318600000000004</v>
      </c>
      <c r="M1122" s="5">
        <v>16756.444</v>
      </c>
      <c r="N1122" s="5" t="str">
        <v>PURCHASE_SIP</v>
      </c>
      <c r="O1122" s="5">
        <v>0</v>
      </c>
    </row>
    <row r="1123" spans="1:15" ht="17" x14ac:dyDescent="0.2">
      <c r="A1123" s="5" t="str">
        <v>Axis Mutual Fund</v>
      </c>
      <c r="B1123" s="5" t="str">
        <v>AAAA9994</v>
      </c>
      <c r="C1123" s="5" t="str">
        <v>AAAAA1111A</v>
      </c>
      <c r="D1123" s="6" t="str">
        <v>Axis ELSS Tax Saver Fund - Direct Growth</v>
      </c>
      <c r="E1123" s="6" t="str">
        <v>DIRECT</v>
      </c>
      <c r="F1123" s="6" t="str">
        <v>CAMS</v>
      </c>
      <c r="G1123" s="6">
        <v>112323</v>
      </c>
      <c r="H1123" s="6">
        <v>43416</v>
      </c>
      <c r="I1123" s="6" t="str">
        <v>Purchase - SIP</v>
      </c>
      <c r="J1123" s="5">
        <v>5000</v>
      </c>
      <c r="K1123" s="5">
        <v>143.47800000000001</v>
      </c>
      <c r="L1123" s="5">
        <v>34.848599999999998</v>
      </c>
      <c r="M1123" s="5">
        <v>16899.921999999999</v>
      </c>
      <c r="N1123" s="5" t="str">
        <v>PURCHASE_SIP</v>
      </c>
      <c r="O1123" s="5">
        <v>0</v>
      </c>
    </row>
    <row r="1124" spans="1:15" ht="17" x14ac:dyDescent="0.2">
      <c r="A1124" s="5" t="str">
        <v>Axis Mutual Fund</v>
      </c>
      <c r="B1124" s="5" t="str">
        <v>AAAA9994</v>
      </c>
      <c r="C1124" s="5" t="str">
        <v>AAAAA1111A</v>
      </c>
      <c r="D1124" s="6" t="str">
        <v>Axis ELSS Tax Saver Fund - Direct Growth</v>
      </c>
      <c r="E1124" s="6" t="str">
        <v>DIRECT</v>
      </c>
      <c r="F1124" s="6" t="str">
        <v>CAMS</v>
      </c>
      <c r="G1124" s="6">
        <v>112323</v>
      </c>
      <c r="H1124" s="6">
        <v>43446</v>
      </c>
      <c r="I1124" s="6" t="str">
        <v>Purchase - SIP</v>
      </c>
      <c r="J1124" s="5">
        <v>5000</v>
      </c>
      <c r="K1124" s="5">
        <v>142.70500000000001</v>
      </c>
      <c r="L1124" s="5">
        <v>35.037399999999998</v>
      </c>
      <c r="M1124" s="5">
        <v>17042.627</v>
      </c>
      <c r="N1124" s="5" t="str">
        <v>PURCHASE_SIP</v>
      </c>
      <c r="O1124" s="5">
        <v>0</v>
      </c>
    </row>
    <row r="1125" spans="1:15" ht="17" x14ac:dyDescent="0.2">
      <c r="A1125" s="5" t="str">
        <v>Axis Mutual Fund</v>
      </c>
      <c r="B1125" s="5" t="str">
        <v>AAAA9994</v>
      </c>
      <c r="C1125" s="5" t="str">
        <v>AAAAA1111A</v>
      </c>
      <c r="D1125" s="6" t="str">
        <v>Axis ELSS Tax Saver Fund - Direct Growth</v>
      </c>
      <c r="E1125" s="6" t="str">
        <v>DIRECT</v>
      </c>
      <c r="F1125" s="6" t="str">
        <v>CAMS</v>
      </c>
      <c r="G1125" s="6">
        <v>112323</v>
      </c>
      <c r="H1125" s="6">
        <v>43476</v>
      </c>
      <c r="I1125" s="6" t="str">
        <v>Purchase - SIP</v>
      </c>
      <c r="J1125" s="5">
        <v>5000</v>
      </c>
      <c r="K1125" s="5">
        <v>139.13399999999999</v>
      </c>
      <c r="L1125" s="5">
        <v>35.936500000000002</v>
      </c>
      <c r="M1125" s="5">
        <v>17181.760999999999</v>
      </c>
      <c r="N1125" s="5" t="str">
        <v>PURCHASE_SIP</v>
      </c>
      <c r="O1125" s="5">
        <v>0</v>
      </c>
    </row>
    <row r="1126" spans="1:15" ht="17" x14ac:dyDescent="0.2">
      <c r="A1126" s="5" t="str">
        <v>Axis Mutual Fund</v>
      </c>
      <c r="B1126" s="5" t="str">
        <v>AAAA9994</v>
      </c>
      <c r="C1126" s="5" t="str">
        <v>AAAAA1111A</v>
      </c>
      <c r="D1126" s="6" t="str">
        <v>Axis ELSS Tax Saver Fund - Direct Growth</v>
      </c>
      <c r="E1126" s="6" t="str">
        <v>DIRECT</v>
      </c>
      <c r="F1126" s="6" t="str">
        <v>CAMS</v>
      </c>
      <c r="G1126" s="6">
        <v>112323</v>
      </c>
      <c r="H1126" s="6">
        <v>43506</v>
      </c>
      <c r="I1126" s="6" t="str">
        <v>Purchase - SIP</v>
      </c>
      <c r="J1126" s="5">
        <v>5000</v>
      </c>
      <c r="K1126" s="5">
        <v>139.80099999999999</v>
      </c>
      <c r="L1126" s="5">
        <v>35.7652</v>
      </c>
      <c r="M1126" s="5">
        <v>17321.562000000002</v>
      </c>
      <c r="N1126" s="5" t="str">
        <v>PURCHASE_SIP</v>
      </c>
      <c r="O1126" s="5">
        <v>0</v>
      </c>
    </row>
    <row r="1127" spans="1:15" ht="17" x14ac:dyDescent="0.2">
      <c r="A1127" s="5" t="str">
        <v>Axis Mutual Fund</v>
      </c>
      <c r="B1127" s="5" t="str">
        <v>AAAA9994</v>
      </c>
      <c r="C1127" s="5" t="str">
        <v>AAAAA1111A</v>
      </c>
      <c r="D1127" s="6" t="str">
        <v>Axis ELSS Tax Saver Fund - Direct Growth</v>
      </c>
      <c r="E1127" s="6" t="str">
        <v>DIRECT</v>
      </c>
      <c r="F1127" s="6" t="str">
        <v>CAMS</v>
      </c>
      <c r="G1127" s="6">
        <v>112323</v>
      </c>
      <c r="H1127" s="6">
        <v>43506</v>
      </c>
      <c r="I1127" s="6" t="str">
        <v>STT TAX</v>
      </c>
      <c r="J1127" s="5">
        <v>2.5</v>
      </c>
      <c r="K1127" s="5">
        <v>0</v>
      </c>
      <c r="L1127" s="5">
        <v>0</v>
      </c>
      <c r="M1127" s="5">
        <v>17321.562000000002</v>
      </c>
      <c r="N1127" s="5" t="str">
        <v>STT_TAX</v>
      </c>
      <c r="O1127" s="5">
        <v>0</v>
      </c>
    </row>
    <row r="1128" spans="1:15" ht="17" x14ac:dyDescent="0.2">
      <c r="A1128" s="5" t="str">
        <v>Axis Mutual Fund</v>
      </c>
      <c r="B1128" s="5" t="str">
        <v>AAAA9994</v>
      </c>
      <c r="C1128" s="5" t="str">
        <v>AAAAA1111A</v>
      </c>
      <c r="D1128" s="6" t="str">
        <v>Axis ELSS Tax Saver Fund - Direct Growth</v>
      </c>
      <c r="E1128" s="6" t="str">
        <v>DIRECT</v>
      </c>
      <c r="F1128" s="6" t="str">
        <v>CAMS</v>
      </c>
      <c r="G1128" s="6">
        <v>112323</v>
      </c>
      <c r="H1128" s="6">
        <v>43536</v>
      </c>
      <c r="I1128" s="6" t="str">
        <v>Purchase - SIP</v>
      </c>
      <c r="J1128" s="5">
        <v>5000</v>
      </c>
      <c r="K1128" s="5">
        <v>142.55600000000001</v>
      </c>
      <c r="L1128" s="5">
        <v>35.073999999999998</v>
      </c>
      <c r="M1128" s="5">
        <v>17464.116999999998</v>
      </c>
      <c r="N1128" s="5" t="str">
        <v>PURCHASE_SIP</v>
      </c>
      <c r="O1128" s="5">
        <v>0</v>
      </c>
    </row>
    <row r="1129" spans="1:15" ht="17" x14ac:dyDescent="0.2">
      <c r="A1129" s="5" t="str">
        <v>Axis Mutual Fund</v>
      </c>
      <c r="B1129" s="5" t="str">
        <v>AAAA9994</v>
      </c>
      <c r="C1129" s="5" t="str">
        <v>AAAAA1111A</v>
      </c>
      <c r="D1129" s="6" t="str">
        <v>Axis ELSS Tax Saver Fund - Direct Growth</v>
      </c>
      <c r="E1129" s="6" t="str">
        <v>DIRECT</v>
      </c>
      <c r="F1129" s="6" t="str">
        <v>CAMS</v>
      </c>
      <c r="G1129" s="6">
        <v>112323</v>
      </c>
      <c r="H1129" s="6">
        <v>43536</v>
      </c>
      <c r="I1129" s="6" t="str">
        <v>STAMP DUTY</v>
      </c>
      <c r="J1129" s="5">
        <v>2.5</v>
      </c>
      <c r="K1129" s="5">
        <v>0</v>
      </c>
      <c r="L1129" s="5">
        <v>0</v>
      </c>
      <c r="M1129" s="5">
        <v>17464.116999999998</v>
      </c>
      <c r="N1129" s="5" t="str">
        <v>STAMP_DUTY</v>
      </c>
      <c r="O1129" s="5">
        <v>0</v>
      </c>
    </row>
    <row r="1130" spans="1:15" ht="17" x14ac:dyDescent="0.2">
      <c r="A1130" s="5" t="str">
        <v>Axis Mutual Fund</v>
      </c>
      <c r="B1130" s="5" t="str">
        <v>AAAA9994</v>
      </c>
      <c r="C1130" s="5" t="str">
        <v>AAAAA1111A</v>
      </c>
      <c r="D1130" s="6" t="str">
        <v>Axis ELSS Tax Saver Fund - Direct Growth</v>
      </c>
      <c r="E1130" s="6" t="str">
        <v>DIRECT</v>
      </c>
      <c r="F1130" s="6" t="str">
        <v>CAMS</v>
      </c>
      <c r="G1130" s="6">
        <v>112323</v>
      </c>
      <c r="H1130" s="6">
        <v>43566</v>
      </c>
      <c r="I1130" s="6" t="str">
        <v>Purchase - SIP</v>
      </c>
      <c r="J1130" s="5">
        <v>5000</v>
      </c>
      <c r="K1130" s="5">
        <v>142.44900000000001</v>
      </c>
      <c r="L1130" s="5">
        <v>35.100299999999997</v>
      </c>
      <c r="M1130" s="5">
        <v>17606.565999999999</v>
      </c>
      <c r="N1130" s="5" t="str">
        <v>PURCHASE_SIP</v>
      </c>
      <c r="O1130" s="5">
        <v>0</v>
      </c>
    </row>
    <row r="1131" spans="1:15" ht="17" x14ac:dyDescent="0.2">
      <c r="A1131" s="5" t="str">
        <v>Axis Mutual Fund</v>
      </c>
      <c r="B1131" s="5" t="str">
        <v>AAAA9994</v>
      </c>
      <c r="C1131" s="5" t="str">
        <v>AAAAA1111A</v>
      </c>
      <c r="D1131" s="6" t="str">
        <v>Axis ELSS Tax Saver Fund - Direct Growth</v>
      </c>
      <c r="E1131" s="6" t="str">
        <v>DIRECT</v>
      </c>
      <c r="F1131" s="6" t="str">
        <v>CAMS</v>
      </c>
      <c r="G1131" s="6">
        <v>112323</v>
      </c>
      <c r="H1131" s="6">
        <v>43596</v>
      </c>
      <c r="I1131" s="6" t="str">
        <v>Purchase - SIP</v>
      </c>
      <c r="J1131" s="5">
        <v>5000</v>
      </c>
      <c r="K1131" s="5">
        <v>140.13499999999999</v>
      </c>
      <c r="L1131" s="5">
        <v>35.6798</v>
      </c>
      <c r="M1131" s="5">
        <v>17746.702000000001</v>
      </c>
      <c r="N1131" s="5" t="str">
        <v>PURCHASE_SIP</v>
      </c>
      <c r="O1131" s="5">
        <v>0</v>
      </c>
    </row>
    <row r="1132" spans="1:15" ht="17" x14ac:dyDescent="0.2">
      <c r="A1132" s="5" t="str">
        <v>Axis Mutual Fund</v>
      </c>
      <c r="B1132" s="5" t="str">
        <v>AAAA9994</v>
      </c>
      <c r="C1132" s="5" t="str">
        <v>AAAAA1111A</v>
      </c>
      <c r="D1132" s="6" t="str">
        <v>Axis ELSS Tax Saver Fund - Direct Growth</v>
      </c>
      <c r="E1132" s="6" t="str">
        <v>DIRECT</v>
      </c>
      <c r="F1132" s="6" t="str">
        <v>CAMS</v>
      </c>
      <c r="G1132" s="6">
        <v>112323</v>
      </c>
      <c r="H1132" s="6">
        <v>43626</v>
      </c>
      <c r="I1132" s="6" t="str">
        <v>Purchase - SIP</v>
      </c>
      <c r="J1132" s="5">
        <v>5000</v>
      </c>
      <c r="K1132" s="5">
        <v>136.44800000000001</v>
      </c>
      <c r="L1132" s="5">
        <v>36.644100000000002</v>
      </c>
      <c r="M1132" s="5">
        <v>17883.150000000001</v>
      </c>
      <c r="N1132" s="5" t="str">
        <v>PURCHASE_SIP</v>
      </c>
      <c r="O1132" s="5">
        <v>0</v>
      </c>
    </row>
    <row r="1133" spans="1:15" ht="17" x14ac:dyDescent="0.2">
      <c r="A1133" s="5" t="str">
        <v>Axis Mutual Fund</v>
      </c>
      <c r="B1133" s="5" t="str">
        <v>AAAA9994</v>
      </c>
      <c r="C1133" s="5" t="str">
        <v>AAAAA1111A</v>
      </c>
      <c r="D1133" s="6" t="str">
        <v>Axis ELSS Tax Saver Fund - Direct Growth</v>
      </c>
      <c r="E1133" s="6" t="str">
        <v>DIRECT</v>
      </c>
      <c r="F1133" s="6" t="str">
        <v>CAMS</v>
      </c>
      <c r="G1133" s="6">
        <v>112323</v>
      </c>
      <c r="H1133" s="6">
        <v>43656</v>
      </c>
      <c r="I1133" s="6" t="str">
        <v>Purchase - SIP</v>
      </c>
      <c r="J1133" s="5">
        <v>5000</v>
      </c>
      <c r="K1133" s="5">
        <v>135.66900000000001</v>
      </c>
      <c r="L1133" s="5">
        <v>36.854300000000002</v>
      </c>
      <c r="M1133" s="5">
        <v>18018.819</v>
      </c>
      <c r="N1133" s="5" t="str">
        <v>PURCHASE_SIP</v>
      </c>
      <c r="O1133" s="5">
        <v>0</v>
      </c>
    </row>
    <row r="1134" spans="1:15" ht="17" x14ac:dyDescent="0.2">
      <c r="A1134" s="5" t="str">
        <v>Axis Mutual Fund</v>
      </c>
      <c r="B1134" s="5" t="str">
        <v>AAAA9994</v>
      </c>
      <c r="C1134" s="5" t="str">
        <v>AAAAA1111A</v>
      </c>
      <c r="D1134" s="6" t="str">
        <v>Axis ELSS Tax Saver Fund - Direct Growth</v>
      </c>
      <c r="E1134" s="6" t="str">
        <v>DIRECT</v>
      </c>
      <c r="F1134" s="6" t="str">
        <v>CAMS</v>
      </c>
      <c r="G1134" s="6">
        <v>112323</v>
      </c>
      <c r="H1134" s="6">
        <v>43656</v>
      </c>
      <c r="I1134" s="6" t="str">
        <v>STT TAX</v>
      </c>
      <c r="J1134" s="5">
        <v>2.5</v>
      </c>
      <c r="K1134" s="5">
        <v>0</v>
      </c>
      <c r="L1134" s="5">
        <v>0</v>
      </c>
      <c r="M1134" s="5">
        <v>18018.819</v>
      </c>
      <c r="N1134" s="5" t="str">
        <v>STT_TAX</v>
      </c>
      <c r="O1134" s="5">
        <v>0</v>
      </c>
    </row>
    <row r="1135" spans="1:15" ht="17" x14ac:dyDescent="0.2">
      <c r="A1135" s="5" t="str">
        <v>Axis Mutual Fund</v>
      </c>
      <c r="B1135" s="5" t="str">
        <v>AAAA9994</v>
      </c>
      <c r="C1135" s="5" t="str">
        <v>AAAAA1111A</v>
      </c>
      <c r="D1135" s="6" t="str">
        <v>Axis ELSS Tax Saver Fund - Direct Growth</v>
      </c>
      <c r="E1135" s="6" t="str">
        <v>DIRECT</v>
      </c>
      <c r="F1135" s="6" t="str">
        <v>CAMS</v>
      </c>
      <c r="G1135" s="6">
        <v>112323</v>
      </c>
      <c r="H1135" s="6">
        <v>43686</v>
      </c>
      <c r="I1135" s="6" t="str">
        <v>Purchase - SIP</v>
      </c>
      <c r="J1135" s="5">
        <v>5000</v>
      </c>
      <c r="K1135" s="5">
        <v>134.28100000000001</v>
      </c>
      <c r="L1135" s="5">
        <v>37.235199999999999</v>
      </c>
      <c r="M1135" s="5">
        <v>18153.100999999999</v>
      </c>
      <c r="N1135" s="5" t="str">
        <v>PURCHASE_SIP</v>
      </c>
      <c r="O1135" s="5">
        <v>0</v>
      </c>
    </row>
    <row r="1136" spans="1:15" ht="17" x14ac:dyDescent="0.2">
      <c r="A1136" s="5" t="str">
        <v>Axis Mutual Fund</v>
      </c>
      <c r="B1136" s="5" t="str">
        <v>AAAA9994</v>
      </c>
      <c r="C1136" s="5" t="str">
        <v>AAAAA1111A</v>
      </c>
      <c r="D1136" s="6" t="str">
        <v>Axis ELSS Tax Saver Fund - Direct Growth</v>
      </c>
      <c r="E1136" s="6" t="str">
        <v>DIRECT</v>
      </c>
      <c r="F1136" s="6" t="str">
        <v>CAMS</v>
      </c>
      <c r="G1136" s="6">
        <v>112323</v>
      </c>
      <c r="H1136" s="6">
        <v>43716</v>
      </c>
      <c r="I1136" s="6" t="str">
        <v>Purchase - SIP</v>
      </c>
      <c r="J1136" s="5">
        <v>5000</v>
      </c>
      <c r="K1136" s="5">
        <v>134.96100000000001</v>
      </c>
      <c r="L1136" s="5">
        <v>37.047699999999999</v>
      </c>
      <c r="M1136" s="5">
        <v>18288.062000000002</v>
      </c>
      <c r="N1136" s="5" t="str">
        <v>PURCHASE_SIP</v>
      </c>
      <c r="O1136" s="5">
        <v>0</v>
      </c>
    </row>
    <row r="1137" spans="1:15" ht="17" x14ac:dyDescent="0.2">
      <c r="A1137" s="5" t="str">
        <v>Axis Mutual Fund</v>
      </c>
      <c r="B1137" s="5" t="str">
        <v>AAAA9994</v>
      </c>
      <c r="C1137" s="5" t="str">
        <v>AAAAA1111A</v>
      </c>
      <c r="D1137" s="6" t="str">
        <v>Axis ELSS Tax Saver Fund - Direct Growth</v>
      </c>
      <c r="E1137" s="6" t="str">
        <v>DIRECT</v>
      </c>
      <c r="F1137" s="6" t="str">
        <v>CAMS</v>
      </c>
      <c r="G1137" s="6">
        <v>112323</v>
      </c>
      <c r="H1137" s="6">
        <v>43716</v>
      </c>
      <c r="I1137" s="6" t="str">
        <v>STAMP DUTY</v>
      </c>
      <c r="J1137" s="5">
        <v>2.5</v>
      </c>
      <c r="K1137" s="5">
        <v>0</v>
      </c>
      <c r="L1137" s="5">
        <v>0</v>
      </c>
      <c r="M1137" s="5">
        <v>18288.062000000002</v>
      </c>
      <c r="N1137" s="5" t="str">
        <v>STAMP_DUTY</v>
      </c>
      <c r="O1137" s="5">
        <v>0</v>
      </c>
    </row>
    <row r="1138" spans="1:15" ht="17" x14ac:dyDescent="0.2">
      <c r="A1138" s="5" t="str">
        <v>Axis Mutual Fund</v>
      </c>
      <c r="B1138" s="5" t="str">
        <v>AAAA9994</v>
      </c>
      <c r="C1138" s="5" t="str">
        <v>AAAAA1111A</v>
      </c>
      <c r="D1138" s="6" t="str">
        <v>Axis ELSS Tax Saver Fund - Direct Growth</v>
      </c>
      <c r="E1138" s="6" t="str">
        <v>DIRECT</v>
      </c>
      <c r="F1138" s="6" t="str">
        <v>CAMS</v>
      </c>
      <c r="G1138" s="6">
        <v>112323</v>
      </c>
      <c r="H1138" s="6">
        <v>43746</v>
      </c>
      <c r="I1138" s="6" t="str">
        <v>Purchase - SIP</v>
      </c>
      <c r="J1138" s="5">
        <v>5000</v>
      </c>
      <c r="K1138" s="5">
        <v>131.684</v>
      </c>
      <c r="L1138" s="5">
        <v>37.9696</v>
      </c>
      <c r="M1138" s="5">
        <v>18419.745999999999</v>
      </c>
      <c r="N1138" s="5" t="str">
        <v>PURCHASE_SIP</v>
      </c>
      <c r="O1138" s="5">
        <v>0</v>
      </c>
    </row>
    <row r="1139" spans="1:15" ht="17" x14ac:dyDescent="0.2">
      <c r="A1139" s="5" t="str">
        <v>Axis Mutual Fund</v>
      </c>
      <c r="B1139" s="5" t="str">
        <v>AAAA9994</v>
      </c>
      <c r="C1139" s="5" t="str">
        <v>AAAAA1111A</v>
      </c>
      <c r="D1139" s="6" t="str">
        <v>Axis ELSS Tax Saver Fund - Direct Growth</v>
      </c>
      <c r="E1139" s="6" t="str">
        <v>DIRECT</v>
      </c>
      <c r="F1139" s="6" t="str">
        <v>CAMS</v>
      </c>
      <c r="G1139" s="6">
        <v>112323</v>
      </c>
      <c r="H1139" s="6">
        <v>43776</v>
      </c>
      <c r="I1139" s="6" t="str">
        <v>Purchase - SIP</v>
      </c>
      <c r="J1139" s="5">
        <v>5000</v>
      </c>
      <c r="K1139" s="5">
        <v>129.428</v>
      </c>
      <c r="L1139" s="5">
        <v>38.631599999999999</v>
      </c>
      <c r="M1139" s="5">
        <v>18549.172999999999</v>
      </c>
      <c r="N1139" s="5" t="str">
        <v>PURCHASE_SIP</v>
      </c>
      <c r="O1139" s="5">
        <v>0</v>
      </c>
    </row>
    <row r="1140" spans="1:15" ht="17" x14ac:dyDescent="0.2">
      <c r="A1140" s="5" t="str">
        <v>Axis Mutual Fund</v>
      </c>
      <c r="B1140" s="5" t="str">
        <v>AAAA9994</v>
      </c>
      <c r="C1140" s="5" t="str">
        <v>AAAAA1111A</v>
      </c>
      <c r="D1140" s="6" t="str">
        <v>Axis ELSS Tax Saver Fund - Direct Growth</v>
      </c>
      <c r="E1140" s="6" t="str">
        <v>DIRECT</v>
      </c>
      <c r="F1140" s="6" t="str">
        <v>CAMS</v>
      </c>
      <c r="G1140" s="6">
        <v>112323</v>
      </c>
      <c r="H1140" s="6">
        <v>43776</v>
      </c>
      <c r="I1140" s="6" t="str">
        <v>STT TAX</v>
      </c>
      <c r="J1140" s="5">
        <v>2.5</v>
      </c>
      <c r="K1140" s="5">
        <v>0</v>
      </c>
      <c r="L1140" s="5">
        <v>0</v>
      </c>
      <c r="M1140" s="5">
        <v>18549.172999999999</v>
      </c>
      <c r="N1140" s="5" t="str">
        <v>STT_TAX</v>
      </c>
      <c r="O1140" s="5">
        <v>0</v>
      </c>
    </row>
    <row r="1141" spans="1:15" ht="17" x14ac:dyDescent="0.2">
      <c r="A1141" s="5" t="str">
        <v>Axis Mutual Fund</v>
      </c>
      <c r="B1141" s="5" t="str">
        <v>AAAA9994</v>
      </c>
      <c r="C1141" s="5" t="str">
        <v>AAAAA1111A</v>
      </c>
      <c r="D1141" s="6" t="str">
        <v>Axis ELSS Tax Saver Fund - Direct Growth</v>
      </c>
      <c r="E1141" s="6" t="str">
        <v>DIRECT</v>
      </c>
      <c r="F1141" s="6" t="str">
        <v>CAMS</v>
      </c>
      <c r="G1141" s="6">
        <v>112323</v>
      </c>
      <c r="H1141" s="6">
        <v>43806</v>
      </c>
      <c r="I1141" s="6" t="str">
        <v>Purchase - SIP</v>
      </c>
      <c r="J1141" s="5">
        <v>5000</v>
      </c>
      <c r="K1141" s="5">
        <v>125.755</v>
      </c>
      <c r="L1141" s="5">
        <v>39.76</v>
      </c>
      <c r="M1141" s="5">
        <v>18674.928</v>
      </c>
      <c r="N1141" s="5" t="str">
        <v>PURCHASE_SIP</v>
      </c>
      <c r="O1141" s="5">
        <v>0</v>
      </c>
    </row>
    <row r="1142" spans="1:15" ht="17" x14ac:dyDescent="0.2">
      <c r="A1142" s="5" t="str">
        <v>Axis Mutual Fund</v>
      </c>
      <c r="B1142" s="5" t="str">
        <v>AAAA9994</v>
      </c>
      <c r="C1142" s="5" t="str">
        <v>AAAAA1111A</v>
      </c>
      <c r="D1142" s="6" t="str">
        <v>Axis ELSS Tax Saver Fund - Direct Growth</v>
      </c>
      <c r="E1142" s="6" t="str">
        <v>DIRECT</v>
      </c>
      <c r="F1142" s="6" t="str">
        <v>CAMS</v>
      </c>
      <c r="G1142" s="6">
        <v>112323</v>
      </c>
      <c r="H1142" s="6">
        <v>43836</v>
      </c>
      <c r="I1142" s="6" t="str">
        <v>Purchase - SIP</v>
      </c>
      <c r="J1142" s="5">
        <v>5000</v>
      </c>
      <c r="K1142" s="5">
        <v>125.276</v>
      </c>
      <c r="L1142" s="5">
        <v>39.911999999999999</v>
      </c>
      <c r="M1142" s="5">
        <v>18800.203000000001</v>
      </c>
      <c r="N1142" s="5" t="str">
        <v>PURCHASE_SIP</v>
      </c>
      <c r="O1142" s="5">
        <v>0</v>
      </c>
    </row>
    <row r="1143" spans="1:15" ht="17" x14ac:dyDescent="0.2">
      <c r="A1143" s="5" t="str">
        <v>Axis Mutual Fund</v>
      </c>
      <c r="B1143" s="5" t="str">
        <v>AAAA9994</v>
      </c>
      <c r="C1143" s="5" t="str">
        <v>AAAAA1111A</v>
      </c>
      <c r="D1143" s="6" t="str">
        <v>Axis ELSS Tax Saver Fund - Direct Growth</v>
      </c>
      <c r="E1143" s="6" t="str">
        <v>DIRECT</v>
      </c>
      <c r="F1143" s="6" t="str">
        <v>CAMS</v>
      </c>
      <c r="G1143" s="6">
        <v>112323</v>
      </c>
      <c r="H1143" s="6">
        <v>43866</v>
      </c>
      <c r="I1143" s="6" t="str">
        <v>Purchase - SIP</v>
      </c>
      <c r="J1143" s="5">
        <v>5000</v>
      </c>
      <c r="K1143" s="5">
        <v>125.003</v>
      </c>
      <c r="L1143" s="5">
        <v>39.999000000000002</v>
      </c>
      <c r="M1143" s="5">
        <v>18925.205999999998</v>
      </c>
      <c r="N1143" s="5" t="str">
        <v>PURCHASE_SIP</v>
      </c>
      <c r="O1143" s="5">
        <v>0</v>
      </c>
    </row>
    <row r="1144" spans="1:15" ht="17" x14ac:dyDescent="0.2">
      <c r="A1144" s="5" t="str">
        <v>Axis Mutual Fund</v>
      </c>
      <c r="B1144" s="5" t="str">
        <v>AAAA9994</v>
      </c>
      <c r="C1144" s="5" t="str">
        <v>AAAAA1111A</v>
      </c>
      <c r="D1144" s="6" t="str">
        <v>Axis ELSS Tax Saver Fund - Direct Growth</v>
      </c>
      <c r="E1144" s="6" t="str">
        <v>DIRECT</v>
      </c>
      <c r="F1144" s="6" t="str">
        <v>CAMS</v>
      </c>
      <c r="G1144" s="6">
        <v>112323</v>
      </c>
      <c r="H1144" s="6">
        <v>43866</v>
      </c>
      <c r="I1144" s="6" t="str">
        <v>Redemption</v>
      </c>
      <c r="J1144" s="5">
        <v>-151398.04999999999</v>
      </c>
      <c r="K1144" s="5">
        <v>-3785.0410000000002</v>
      </c>
      <c r="L1144" s="5">
        <v>39.999000000000002</v>
      </c>
      <c r="M1144" s="5">
        <v>15140.165000000001</v>
      </c>
      <c r="N1144" s="5" t="str">
        <v>REDEMPTION</v>
      </c>
      <c r="O1144" s="5">
        <v>0</v>
      </c>
    </row>
    <row r="1145" spans="1:15" ht="17" x14ac:dyDescent="0.2">
      <c r="A1145" s="5" t="str">
        <v>Axis Mutual Fund</v>
      </c>
      <c r="B1145" s="5" t="str">
        <v>AAAA9994</v>
      </c>
      <c r="C1145" s="5" t="str">
        <v>AAAAA1111A</v>
      </c>
      <c r="D1145" s="6" t="str">
        <v>Axis ELSS Tax Saver Fund - Direct Growth</v>
      </c>
      <c r="E1145" s="6" t="str">
        <v>DIRECT</v>
      </c>
      <c r="F1145" s="6" t="str">
        <v>CAMS</v>
      </c>
      <c r="G1145" s="6">
        <v>112323</v>
      </c>
      <c r="H1145" s="6">
        <v>43896</v>
      </c>
      <c r="I1145" s="6" t="str">
        <v>Purchase - SIP</v>
      </c>
      <c r="J1145" s="5">
        <v>5000</v>
      </c>
      <c r="K1145" s="5">
        <v>125.548</v>
      </c>
      <c r="L1145" s="5">
        <v>39.825400000000002</v>
      </c>
      <c r="M1145" s="5">
        <v>15265.713</v>
      </c>
      <c r="N1145" s="5" t="str">
        <v>PURCHASE_SIP</v>
      </c>
      <c r="O1145" s="5">
        <v>0</v>
      </c>
    </row>
    <row r="1146" spans="1:15" ht="17" x14ac:dyDescent="0.2">
      <c r="A1146" s="5" t="str">
        <v>Axis Mutual Fund</v>
      </c>
      <c r="B1146" s="5" t="str">
        <v>AAAA9994</v>
      </c>
      <c r="C1146" s="5" t="str">
        <v>AAAAA1111A</v>
      </c>
      <c r="D1146" s="6" t="str">
        <v>Axis ELSS Tax Saver Fund - Direct Growth</v>
      </c>
      <c r="E1146" s="6" t="str">
        <v>DIRECT</v>
      </c>
      <c r="F1146" s="6" t="str">
        <v>CAMS</v>
      </c>
      <c r="G1146" s="6">
        <v>112323</v>
      </c>
      <c r="H1146" s="6">
        <v>43926</v>
      </c>
      <c r="I1146" s="6" t="str">
        <v>Purchase - SIP</v>
      </c>
      <c r="J1146" s="5">
        <v>5000</v>
      </c>
      <c r="K1146" s="5">
        <v>126.435</v>
      </c>
      <c r="L1146" s="5">
        <v>39.545900000000003</v>
      </c>
      <c r="M1146" s="5">
        <v>15392.147999999999</v>
      </c>
      <c r="N1146" s="5" t="str">
        <v>PURCHASE_SIP</v>
      </c>
      <c r="O1146" s="5">
        <v>0</v>
      </c>
    </row>
    <row r="1147" spans="1:15" ht="17" x14ac:dyDescent="0.2">
      <c r="A1147" s="5" t="str">
        <v>Axis Mutual Fund</v>
      </c>
      <c r="B1147" s="5" t="str">
        <v>AAAA9994</v>
      </c>
      <c r="C1147" s="5" t="str">
        <v>AAAAA1111A</v>
      </c>
      <c r="D1147" s="6" t="str">
        <v>Axis ELSS Tax Saver Fund - Direct Growth</v>
      </c>
      <c r="E1147" s="6" t="str">
        <v>DIRECT</v>
      </c>
      <c r="F1147" s="6" t="str">
        <v>CAMS</v>
      </c>
      <c r="G1147" s="6">
        <v>112323</v>
      </c>
      <c r="H1147" s="6">
        <v>43956</v>
      </c>
      <c r="I1147" s="6" t="str">
        <v>Purchase - SIP</v>
      </c>
      <c r="J1147" s="5">
        <v>5000</v>
      </c>
      <c r="K1147" s="5">
        <v>125.726</v>
      </c>
      <c r="L1147" s="5">
        <v>39.768900000000002</v>
      </c>
      <c r="M1147" s="5">
        <v>15517.875</v>
      </c>
      <c r="N1147" s="5" t="str">
        <v>PURCHASE_SIP</v>
      </c>
      <c r="O1147" s="5">
        <v>0</v>
      </c>
    </row>
    <row r="1148" spans="1:15" ht="17" x14ac:dyDescent="0.2">
      <c r="A1148" s="5" t="str">
        <v>Axis Mutual Fund</v>
      </c>
      <c r="B1148" s="5" t="str">
        <v>AAAA9994</v>
      </c>
      <c r="C1148" s="5" t="str">
        <v>AAAAA1111A</v>
      </c>
      <c r="D1148" s="6" t="str">
        <v>Axis ELSS Tax Saver Fund - Direct Growth</v>
      </c>
      <c r="E1148" s="6" t="str">
        <v>DIRECT</v>
      </c>
      <c r="F1148" s="6" t="str">
        <v>CAMS</v>
      </c>
      <c r="G1148" s="6">
        <v>112323</v>
      </c>
      <c r="H1148" s="6">
        <v>43956</v>
      </c>
      <c r="I1148" s="6" t="str">
        <v>STT TAX</v>
      </c>
      <c r="J1148" s="5">
        <v>2.5</v>
      </c>
      <c r="K1148" s="5">
        <v>0</v>
      </c>
      <c r="L1148" s="5">
        <v>0</v>
      </c>
      <c r="M1148" s="5">
        <v>15517.875</v>
      </c>
      <c r="N1148" s="5" t="str">
        <v>STT_TAX</v>
      </c>
      <c r="O1148" s="5">
        <v>0</v>
      </c>
    </row>
    <row r="1149" spans="1:15" ht="17" x14ac:dyDescent="0.2">
      <c r="A1149" s="5" t="str">
        <v>Axis Mutual Fund</v>
      </c>
      <c r="B1149" s="5" t="str">
        <v>AAAA9994</v>
      </c>
      <c r="C1149" s="5" t="str">
        <v>AAAAA1111A</v>
      </c>
      <c r="D1149" s="6" t="str">
        <v>Axis ELSS Tax Saver Fund - Direct Growth</v>
      </c>
      <c r="E1149" s="6" t="str">
        <v>DIRECT</v>
      </c>
      <c r="F1149" s="6" t="str">
        <v>CAMS</v>
      </c>
      <c r="G1149" s="6">
        <v>112323</v>
      </c>
      <c r="H1149" s="6">
        <v>43986</v>
      </c>
      <c r="I1149" s="6" t="str">
        <v>Purchase - SIP</v>
      </c>
      <c r="J1149" s="5">
        <v>5000</v>
      </c>
      <c r="K1149" s="5">
        <v>125.682</v>
      </c>
      <c r="L1149" s="5">
        <v>39.782899999999998</v>
      </c>
      <c r="M1149" s="5">
        <v>15643.557000000001</v>
      </c>
      <c r="N1149" s="5" t="str">
        <v>PURCHASE_SIP</v>
      </c>
      <c r="O1149" s="5">
        <v>0</v>
      </c>
    </row>
    <row r="1150" spans="1:15" ht="17" x14ac:dyDescent="0.2">
      <c r="A1150" s="5" t="str">
        <v>Axis Mutual Fund</v>
      </c>
      <c r="B1150" s="5" t="str">
        <v>AAAA9994</v>
      </c>
      <c r="C1150" s="5" t="str">
        <v>AAAAA1111A</v>
      </c>
      <c r="D1150" s="6" t="str">
        <v>Axis ELSS Tax Saver Fund - Direct Growth</v>
      </c>
      <c r="E1150" s="6" t="str">
        <v>DIRECT</v>
      </c>
      <c r="F1150" s="6" t="str">
        <v>CAMS</v>
      </c>
      <c r="G1150" s="6">
        <v>112323</v>
      </c>
      <c r="H1150" s="6">
        <v>44016</v>
      </c>
      <c r="I1150" s="6" t="str">
        <v>Purchase - SIP</v>
      </c>
      <c r="J1150" s="5">
        <v>5000</v>
      </c>
      <c r="K1150" s="5">
        <v>123.69</v>
      </c>
      <c r="L1150" s="5">
        <v>40.4236</v>
      </c>
      <c r="M1150" s="5">
        <v>15767.246999999999</v>
      </c>
      <c r="N1150" s="5" t="str">
        <v>PURCHASE_SIP</v>
      </c>
      <c r="O1150" s="5">
        <v>0</v>
      </c>
    </row>
    <row r="1151" spans="1:15" ht="17" x14ac:dyDescent="0.2">
      <c r="A1151" s="5" t="str">
        <v>Axis Mutual Fund</v>
      </c>
      <c r="B1151" s="5" t="str">
        <v>AAAA9994</v>
      </c>
      <c r="C1151" s="5" t="str">
        <v>AAAAA1111A</v>
      </c>
      <c r="D1151" s="6" t="str">
        <v>Axis ELSS Tax Saver Fund - Direct Growth</v>
      </c>
      <c r="E1151" s="6" t="str">
        <v>DIRECT</v>
      </c>
      <c r="F1151" s="6" t="str">
        <v>CAMS</v>
      </c>
      <c r="G1151" s="6">
        <v>112323</v>
      </c>
      <c r="H1151" s="6">
        <v>44016</v>
      </c>
      <c r="I1151" s="6" t="str">
        <v>Dividend Paid</v>
      </c>
      <c r="J1151" s="5">
        <v>7883.62</v>
      </c>
      <c r="K1151" s="5">
        <v>0</v>
      </c>
      <c r="L1151" s="5">
        <v>0</v>
      </c>
      <c r="M1151" s="5">
        <v>15767.246999999999</v>
      </c>
      <c r="N1151" s="5" t="str">
        <v>DIVIDEND_PAYOUT</v>
      </c>
      <c r="O1151" s="5">
        <v>7883.62</v>
      </c>
    </row>
    <row r="1152" spans="1:15" ht="17" x14ac:dyDescent="0.2">
      <c r="A1152" s="5" t="str">
        <v>Axis Mutual Fund</v>
      </c>
      <c r="B1152" s="5" t="str">
        <v>AAAA9994</v>
      </c>
      <c r="C1152" s="5" t="str">
        <v>AAAAA1111A</v>
      </c>
      <c r="D1152" s="6" t="str">
        <v>Axis ELSS Tax Saver Fund - Direct Growth</v>
      </c>
      <c r="E1152" s="6" t="str">
        <v>DIRECT</v>
      </c>
      <c r="F1152" s="6" t="str">
        <v>CAMS</v>
      </c>
      <c r="G1152" s="6">
        <v>112323</v>
      </c>
      <c r="H1152" s="6">
        <v>44046</v>
      </c>
      <c r="I1152" s="6" t="str">
        <v>Purchase - SIP</v>
      </c>
      <c r="J1152" s="5">
        <v>5000</v>
      </c>
      <c r="K1152" s="5">
        <v>123.33499999999999</v>
      </c>
      <c r="L1152" s="5">
        <v>40.539900000000003</v>
      </c>
      <c r="M1152" s="5">
        <v>15890.582</v>
      </c>
      <c r="N1152" s="5" t="str">
        <v>PURCHASE_SIP</v>
      </c>
      <c r="O1152" s="5">
        <v>0</v>
      </c>
    </row>
    <row r="1153" spans="1:15" ht="17" x14ac:dyDescent="0.2">
      <c r="A1153" s="5" t="str">
        <v>Axis Mutual Fund</v>
      </c>
      <c r="B1153" s="5" t="str">
        <v>AAAA9994</v>
      </c>
      <c r="C1153" s="5" t="str">
        <v>AAAAA1111A</v>
      </c>
      <c r="D1153" s="6" t="str">
        <v>Axis ELSS Tax Saver Fund - Direct Growth</v>
      </c>
      <c r="E1153" s="6" t="str">
        <v>DIRECT</v>
      </c>
      <c r="F1153" s="6" t="str">
        <v>CAMS</v>
      </c>
      <c r="G1153" s="6">
        <v>112323</v>
      </c>
      <c r="H1153" s="6">
        <v>44046</v>
      </c>
      <c r="I1153" s="6" t="str">
        <v>STT TAX</v>
      </c>
      <c r="J1153" s="5">
        <v>2.5</v>
      </c>
      <c r="K1153" s="5">
        <v>0</v>
      </c>
      <c r="L1153" s="5">
        <v>0</v>
      </c>
      <c r="M1153" s="5">
        <v>15890.582</v>
      </c>
      <c r="N1153" s="5" t="str">
        <v>STT_TAX</v>
      </c>
      <c r="O1153" s="5">
        <v>0</v>
      </c>
    </row>
    <row r="1154" spans="1:15" ht="17" x14ac:dyDescent="0.2">
      <c r="A1154" s="5" t="str">
        <v>Axis Mutual Fund</v>
      </c>
      <c r="B1154" s="5" t="str">
        <v>AAAA9994</v>
      </c>
      <c r="C1154" s="5" t="str">
        <v>AAAAA1111A</v>
      </c>
      <c r="D1154" s="6" t="str">
        <v>Axis ELSS Tax Saver Fund - Direct Growth</v>
      </c>
      <c r="E1154" s="6" t="str">
        <v>DIRECT</v>
      </c>
      <c r="F1154" s="6" t="str">
        <v>CAMS</v>
      </c>
      <c r="G1154" s="6">
        <v>112323</v>
      </c>
      <c r="H1154" s="6">
        <v>44076</v>
      </c>
      <c r="I1154" s="6" t="str">
        <v>Purchase - SIP</v>
      </c>
      <c r="J1154" s="5">
        <v>5000</v>
      </c>
      <c r="K1154" s="5">
        <v>120.051</v>
      </c>
      <c r="L1154" s="5">
        <v>41.648800000000001</v>
      </c>
      <c r="M1154" s="5">
        <v>16010.634</v>
      </c>
      <c r="N1154" s="5" t="str">
        <v>PURCHASE_SIP</v>
      </c>
      <c r="O1154" s="5">
        <v>0</v>
      </c>
    </row>
    <row r="1155" spans="1:15" ht="17" x14ac:dyDescent="0.2">
      <c r="A1155" s="5" t="str">
        <v>Axis Mutual Fund</v>
      </c>
      <c r="B1155" s="5" t="str">
        <v>AAAA9994</v>
      </c>
      <c r="C1155" s="5" t="str">
        <v>AAAAA1111A</v>
      </c>
      <c r="D1155" s="6" t="str">
        <v>Axis ELSS Tax Saver Fund - Direct Growth</v>
      </c>
      <c r="E1155" s="6" t="str">
        <v>DIRECT</v>
      </c>
      <c r="F1155" s="6" t="str">
        <v>CAMS</v>
      </c>
      <c r="G1155" s="6">
        <v>112323</v>
      </c>
      <c r="H1155" s="6">
        <v>44106</v>
      </c>
      <c r="I1155" s="6" t="str">
        <v>Purchase - SIP</v>
      </c>
      <c r="J1155" s="5">
        <v>5000</v>
      </c>
      <c r="K1155" s="5">
        <v>117.76600000000001</v>
      </c>
      <c r="L1155" s="5">
        <v>42.457000000000001</v>
      </c>
      <c r="M1155" s="5">
        <v>16128.4</v>
      </c>
      <c r="N1155" s="5" t="str">
        <v>PURCHASE_SIP</v>
      </c>
      <c r="O1155" s="5">
        <v>0</v>
      </c>
    </row>
    <row r="1156" spans="1:15" ht="17" x14ac:dyDescent="0.2">
      <c r="A1156" s="5" t="str">
        <v>Axis Mutual Fund</v>
      </c>
      <c r="B1156" s="5" t="str">
        <v>AAAA9994</v>
      </c>
      <c r="C1156" s="5" t="str">
        <v>AAAAA1111A</v>
      </c>
      <c r="D1156" s="6" t="str">
        <v>Axis ELSS Tax Saver Fund - Direct Growth</v>
      </c>
      <c r="E1156" s="6" t="str">
        <v>DIRECT</v>
      </c>
      <c r="F1156" s="6" t="str">
        <v>CAMS</v>
      </c>
      <c r="G1156" s="6">
        <v>112323</v>
      </c>
      <c r="H1156" s="6">
        <v>44136</v>
      </c>
      <c r="I1156" s="6" t="str">
        <v>Purchase - SIP</v>
      </c>
      <c r="J1156" s="5">
        <v>5000</v>
      </c>
      <c r="K1156" s="5">
        <v>114.36199999999999</v>
      </c>
      <c r="L1156" s="5">
        <v>43.720700000000001</v>
      </c>
      <c r="M1156" s="5">
        <v>16242.762000000001</v>
      </c>
      <c r="N1156" s="5" t="str">
        <v>PURCHASE_SIP</v>
      </c>
      <c r="O1156" s="5">
        <v>0</v>
      </c>
    </row>
    <row r="1157" spans="1:15" ht="17" x14ac:dyDescent="0.2">
      <c r="A1157" s="5" t="str">
        <v>Axis Mutual Fund</v>
      </c>
      <c r="B1157" s="5" t="str">
        <v>AAAA9994</v>
      </c>
      <c r="C1157" s="5" t="str">
        <v>AAAAA1111A</v>
      </c>
      <c r="D1157" s="6" t="str">
        <v>Axis ELSS Tax Saver Fund - Direct Growth</v>
      </c>
      <c r="E1157" s="6" t="str">
        <v>DIRECT</v>
      </c>
      <c r="F1157" s="6" t="str">
        <v>CAMS</v>
      </c>
      <c r="G1157" s="6">
        <v>112323</v>
      </c>
      <c r="H1157" s="6">
        <v>44166</v>
      </c>
      <c r="I1157" s="6" t="str">
        <v>Purchase - SIP</v>
      </c>
      <c r="J1157" s="5">
        <v>5000</v>
      </c>
      <c r="K1157" s="5">
        <v>111.94499999999999</v>
      </c>
      <c r="L1157" s="5">
        <v>44.664900000000003</v>
      </c>
      <c r="M1157" s="5">
        <v>16354.707</v>
      </c>
      <c r="N1157" s="5" t="str">
        <v>PURCHASE_SIP</v>
      </c>
      <c r="O1157" s="5">
        <v>0</v>
      </c>
    </row>
    <row r="1158" spans="1:15" ht="17" x14ac:dyDescent="0.2">
      <c r="A1158" s="5" t="str">
        <v>Axis Mutual Fund</v>
      </c>
      <c r="B1158" s="5" t="str">
        <v>AAAA9994</v>
      </c>
      <c r="C1158" s="5" t="str">
        <v>AAAAA1111A</v>
      </c>
      <c r="D1158" s="6" t="str">
        <v>Axis ELSS Tax Saver Fund - Direct Growth</v>
      </c>
      <c r="E1158" s="6" t="str">
        <v>DIRECT</v>
      </c>
      <c r="F1158" s="6" t="str">
        <v>CAMS</v>
      </c>
      <c r="G1158" s="6">
        <v>112323</v>
      </c>
      <c r="H1158" s="6">
        <v>44196</v>
      </c>
      <c r="I1158" s="6" t="str">
        <v>Purchase - SIP</v>
      </c>
      <c r="J1158" s="5">
        <v>5000</v>
      </c>
      <c r="K1158" s="5">
        <v>110.14100000000001</v>
      </c>
      <c r="L1158" s="5">
        <v>45.396500000000003</v>
      </c>
      <c r="M1158" s="5">
        <v>16464.848000000002</v>
      </c>
      <c r="N1158" s="5" t="str">
        <v>PURCHASE_SIP</v>
      </c>
      <c r="O1158" s="5">
        <v>0</v>
      </c>
    </row>
    <row r="1159" spans="1:15" ht="17" x14ac:dyDescent="0.2">
      <c r="A1159" s="5" t="str">
        <v>Axis Mutual Fund</v>
      </c>
      <c r="B1159" s="5" t="str">
        <v>AAAA9994</v>
      </c>
      <c r="C1159" s="5" t="str">
        <v>AAAAA1111A</v>
      </c>
      <c r="D1159" s="6" t="str">
        <v>Axis ELSS Tax Saver Fund - Direct Growth</v>
      </c>
      <c r="E1159" s="6" t="str">
        <v>DIRECT</v>
      </c>
      <c r="F1159" s="6" t="str">
        <v>CAMS</v>
      </c>
      <c r="G1159" s="6">
        <v>112323</v>
      </c>
      <c r="H1159" s="6">
        <v>44226</v>
      </c>
      <c r="I1159" s="6" t="str">
        <v>Purchase - SIP</v>
      </c>
      <c r="J1159" s="5">
        <v>5000</v>
      </c>
      <c r="K1159" s="5">
        <v>108.30500000000001</v>
      </c>
      <c r="L1159" s="5">
        <v>46.165999999999997</v>
      </c>
      <c r="M1159" s="5">
        <v>16573.151999999998</v>
      </c>
      <c r="N1159" s="5" t="str">
        <v>PURCHASE_SIP</v>
      </c>
      <c r="O1159" s="5">
        <v>0</v>
      </c>
    </row>
    <row r="1160" spans="1:15" ht="17" x14ac:dyDescent="0.2">
      <c r="A1160" s="5" t="str">
        <v>Axis Mutual Fund</v>
      </c>
      <c r="B1160" s="5" t="str">
        <v>AAAA9994</v>
      </c>
      <c r="C1160" s="5" t="str">
        <v>AAAAA1111A</v>
      </c>
      <c r="D1160" s="6" t="str">
        <v>Axis ELSS Tax Saver Fund - Direct Growth</v>
      </c>
      <c r="E1160" s="6" t="str">
        <v>DIRECT</v>
      </c>
      <c r="F1160" s="6" t="str">
        <v>CAMS</v>
      </c>
      <c r="G1160" s="6">
        <v>112323</v>
      </c>
      <c r="H1160" s="6">
        <v>44226</v>
      </c>
      <c r="I1160" s="6" t="str">
        <v>STT TAX</v>
      </c>
      <c r="J1160" s="5">
        <v>2.5</v>
      </c>
      <c r="K1160" s="5">
        <v>0</v>
      </c>
      <c r="L1160" s="5">
        <v>0</v>
      </c>
      <c r="M1160" s="5">
        <v>16573.151999999998</v>
      </c>
      <c r="N1160" s="5" t="str">
        <v>STT_TAX</v>
      </c>
      <c r="O1160" s="5">
        <v>0</v>
      </c>
    </row>
    <row r="1161" spans="1:15" ht="17" x14ac:dyDescent="0.2">
      <c r="A1161" s="5" t="str">
        <v>Axis Mutual Fund</v>
      </c>
      <c r="B1161" s="5" t="str">
        <v>AAAA9994</v>
      </c>
      <c r="C1161" s="5" t="str">
        <v>AAAAA1111A</v>
      </c>
      <c r="D1161" s="6" t="str">
        <v>Axis ELSS Tax Saver Fund - Direct Growth</v>
      </c>
      <c r="E1161" s="6" t="str">
        <v>DIRECT</v>
      </c>
      <c r="F1161" s="6" t="str">
        <v>CAMS</v>
      </c>
      <c r="G1161" s="6">
        <v>112323</v>
      </c>
      <c r="H1161" s="6">
        <v>44256</v>
      </c>
      <c r="I1161" s="6" t="str">
        <v>Purchase - SIP</v>
      </c>
      <c r="J1161" s="5">
        <v>5000</v>
      </c>
      <c r="K1161" s="5">
        <v>108.68</v>
      </c>
      <c r="L1161" s="5">
        <v>46.006599999999999</v>
      </c>
      <c r="M1161" s="5">
        <v>16681.832999999999</v>
      </c>
      <c r="N1161" s="5" t="str">
        <v>PURCHASE_SIP</v>
      </c>
      <c r="O1161" s="5">
        <v>0</v>
      </c>
    </row>
    <row r="1162" spans="1:15" ht="17" x14ac:dyDescent="0.2">
      <c r="A1162" s="5" t="str">
        <v>Axis Mutual Fund</v>
      </c>
      <c r="B1162" s="5" t="str">
        <v>AAAA9994</v>
      </c>
      <c r="C1162" s="5" t="str">
        <v>AAAAA1111A</v>
      </c>
      <c r="D1162" s="6" t="str">
        <v>Axis ELSS Tax Saver Fund - Direct Growth</v>
      </c>
      <c r="E1162" s="6" t="str">
        <v>DIRECT</v>
      </c>
      <c r="F1162" s="6" t="str">
        <v>CAMS</v>
      </c>
      <c r="G1162" s="6">
        <v>112323</v>
      </c>
      <c r="H1162" s="6">
        <v>44286</v>
      </c>
      <c r="I1162" s="6" t="str">
        <v>Purchase - SIP</v>
      </c>
      <c r="J1162" s="5">
        <v>5000</v>
      </c>
      <c r="K1162" s="5">
        <v>105.92100000000001</v>
      </c>
      <c r="L1162" s="5">
        <v>47.205100000000002</v>
      </c>
      <c r="M1162" s="5">
        <v>16787.753000000001</v>
      </c>
      <c r="N1162" s="5" t="str">
        <v>PURCHASE_SIP</v>
      </c>
      <c r="O1162" s="5">
        <v>0</v>
      </c>
    </row>
    <row r="1163" spans="1:15" ht="17" x14ac:dyDescent="0.2">
      <c r="A1163" s="5" t="str">
        <v>Axis Mutual Fund</v>
      </c>
      <c r="B1163" s="5" t="str">
        <v>AAAA9994</v>
      </c>
      <c r="C1163" s="5" t="str">
        <v>AAAAA1111A</v>
      </c>
      <c r="D1163" s="6" t="str">
        <v>Axis ELSS Tax Saver Fund - Direct Growth</v>
      </c>
      <c r="E1163" s="6" t="str">
        <v>DIRECT</v>
      </c>
      <c r="F1163" s="6" t="str">
        <v>CAMS</v>
      </c>
      <c r="G1163" s="6">
        <v>112323</v>
      </c>
      <c r="H1163" s="6">
        <v>44316</v>
      </c>
      <c r="I1163" s="6" t="str">
        <v>Purchase - SIP</v>
      </c>
      <c r="J1163" s="5">
        <v>5000</v>
      </c>
      <c r="K1163" s="5">
        <v>107.504</v>
      </c>
      <c r="L1163" s="5">
        <v>46.51</v>
      </c>
      <c r="M1163" s="5">
        <v>16895.257000000001</v>
      </c>
      <c r="N1163" s="5" t="str">
        <v>PURCHASE_SIP</v>
      </c>
      <c r="O1163" s="5">
        <v>0</v>
      </c>
    </row>
    <row r="1164" spans="1:15" ht="17" x14ac:dyDescent="0.2">
      <c r="A1164" s="5" t="str">
        <v>Axis Mutual Fund</v>
      </c>
      <c r="B1164" s="5" t="str">
        <v>AAAA9994</v>
      </c>
      <c r="C1164" s="5" t="str">
        <v>AAAAA1111A</v>
      </c>
      <c r="D1164" s="6" t="str">
        <v>Axis ELSS Tax Saver Fund - Direct Growth</v>
      </c>
      <c r="E1164" s="6" t="str">
        <v>DIRECT</v>
      </c>
      <c r="F1164" s="6" t="str">
        <v>CAMS</v>
      </c>
      <c r="G1164" s="6">
        <v>112323</v>
      </c>
      <c r="H1164" s="6">
        <v>44346</v>
      </c>
      <c r="I1164" s="6" t="str">
        <v>Purchase - SIP</v>
      </c>
      <c r="J1164" s="5">
        <v>5000</v>
      </c>
      <c r="K1164" s="5">
        <v>105.571</v>
      </c>
      <c r="L1164" s="5">
        <v>47.361499999999999</v>
      </c>
      <c r="M1164" s="5">
        <v>17000.828000000001</v>
      </c>
      <c r="N1164" s="5" t="str">
        <v>PURCHASE_SIP</v>
      </c>
      <c r="O1164" s="5">
        <v>0</v>
      </c>
    </row>
    <row r="1165" spans="1:15" ht="17" x14ac:dyDescent="0.2">
      <c r="A1165" s="5" t="str">
        <v>Axis Mutual Fund</v>
      </c>
      <c r="B1165" s="5" t="str">
        <v>AAAA9994</v>
      </c>
      <c r="C1165" s="5" t="str">
        <v>AAAAA1111A</v>
      </c>
      <c r="D1165" s="6" t="str">
        <v>Axis ELSS Tax Saver Fund - Direct Growth</v>
      </c>
      <c r="E1165" s="6" t="str">
        <v>DIRECT</v>
      </c>
      <c r="F1165" s="6" t="str">
        <v>CAMS</v>
      </c>
      <c r="G1165" s="6">
        <v>112323</v>
      </c>
      <c r="H1165" s="6">
        <v>44376</v>
      </c>
      <c r="I1165" s="6" t="str">
        <v>Purchase - SIP</v>
      </c>
      <c r="J1165" s="5">
        <v>5000</v>
      </c>
      <c r="K1165" s="5">
        <v>105.535</v>
      </c>
      <c r="L1165" s="5">
        <v>47.377800000000001</v>
      </c>
      <c r="M1165" s="5">
        <v>17106.363000000001</v>
      </c>
      <c r="N1165" s="5" t="str">
        <v>PURCHASE_SIP</v>
      </c>
      <c r="O1165" s="5">
        <v>0</v>
      </c>
    </row>
    <row r="1166" spans="1:15" ht="17" x14ac:dyDescent="0.2">
      <c r="A1166" s="5" t="str">
        <v>Axis Mutual Fund</v>
      </c>
      <c r="B1166" s="5" t="str">
        <v>AAAA9994</v>
      </c>
      <c r="C1166" s="5" t="str">
        <v>AAAAA1111A</v>
      </c>
      <c r="D1166" s="6" t="str">
        <v>Axis ELSS Tax Saver Fund - Direct Growth</v>
      </c>
      <c r="E1166" s="6" t="str">
        <v>DIRECT</v>
      </c>
      <c r="F1166" s="6" t="str">
        <v>CAMS</v>
      </c>
      <c r="G1166" s="6">
        <v>112323</v>
      </c>
      <c r="H1166" s="6">
        <v>44406</v>
      </c>
      <c r="I1166" s="6" t="str">
        <v>Purchase - SIP</v>
      </c>
      <c r="J1166" s="5">
        <v>5000</v>
      </c>
      <c r="K1166" s="5">
        <v>107.002</v>
      </c>
      <c r="L1166" s="5">
        <v>46.727899999999998</v>
      </c>
      <c r="M1166" s="5">
        <v>17213.365000000002</v>
      </c>
      <c r="N1166" s="5" t="str">
        <v>PURCHASE_SIP</v>
      </c>
      <c r="O1166" s="5">
        <v>0</v>
      </c>
    </row>
    <row r="1167" spans="1:15" ht="17" x14ac:dyDescent="0.2">
      <c r="A1167" s="5" t="str">
        <v>Axis Mutual Fund</v>
      </c>
      <c r="B1167" s="5" t="str">
        <v>AAAA9994</v>
      </c>
      <c r="C1167" s="5" t="str">
        <v>AAAAA1111A</v>
      </c>
      <c r="D1167" s="6" t="str">
        <v>Axis ELSS Tax Saver Fund - Direct Growth</v>
      </c>
      <c r="E1167" s="6" t="str">
        <v>DIRECT</v>
      </c>
      <c r="F1167" s="6" t="str">
        <v>CAMS</v>
      </c>
      <c r="G1167" s="6">
        <v>112323</v>
      </c>
      <c r="H1167" s="6">
        <v>44436</v>
      </c>
      <c r="I1167" s="6" t="str">
        <v>Purchase - SIP</v>
      </c>
      <c r="J1167" s="5">
        <v>5000</v>
      </c>
      <c r="K1167" s="5">
        <v>107.307</v>
      </c>
      <c r="L1167" s="5">
        <v>46.595399999999998</v>
      </c>
      <c r="M1167" s="5">
        <v>17320.671999999999</v>
      </c>
      <c r="N1167" s="5" t="str">
        <v>PURCHASE_SIP</v>
      </c>
      <c r="O1167" s="5">
        <v>0</v>
      </c>
    </row>
    <row r="1168" spans="1:15" ht="17" x14ac:dyDescent="0.2">
      <c r="A1168" s="5" t="str">
        <v>Axis Mutual Fund</v>
      </c>
      <c r="B1168" s="5" t="str">
        <v>AAAA9994</v>
      </c>
      <c r="C1168" s="5" t="str">
        <v>AAAAA1111A</v>
      </c>
      <c r="D1168" s="6" t="str">
        <v>Axis ELSS Tax Saver Fund - Direct Growth</v>
      </c>
      <c r="E1168" s="6" t="str">
        <v>DIRECT</v>
      </c>
      <c r="F1168" s="6" t="str">
        <v>CAMS</v>
      </c>
      <c r="G1168" s="6">
        <v>112323</v>
      </c>
      <c r="H1168" s="6">
        <v>44466</v>
      </c>
      <c r="I1168" s="6" t="str">
        <v>Purchase - SIP</v>
      </c>
      <c r="J1168" s="5">
        <v>5000</v>
      </c>
      <c r="K1168" s="5">
        <v>108.18300000000001</v>
      </c>
      <c r="L1168" s="5">
        <v>46.217799999999997</v>
      </c>
      <c r="M1168" s="5">
        <v>17428.855</v>
      </c>
      <c r="N1168" s="5" t="str">
        <v>PURCHASE_SIP</v>
      </c>
      <c r="O1168" s="5">
        <v>0</v>
      </c>
    </row>
    <row r="1169" spans="1:15" ht="17" x14ac:dyDescent="0.2">
      <c r="A1169" s="5" t="str">
        <v>Axis Mutual Fund</v>
      </c>
      <c r="B1169" s="5" t="str">
        <v>AAAA9994</v>
      </c>
      <c r="C1169" s="5" t="str">
        <v>AAAAA1111A</v>
      </c>
      <c r="D1169" s="6" t="str">
        <v>Axis ELSS Tax Saver Fund - Direct Growth</v>
      </c>
      <c r="E1169" s="6" t="str">
        <v>DIRECT</v>
      </c>
      <c r="F1169" s="6" t="str">
        <v>CAMS</v>
      </c>
      <c r="G1169" s="6">
        <v>112323</v>
      </c>
      <c r="H1169" s="6">
        <v>44496</v>
      </c>
      <c r="I1169" s="6" t="str">
        <v>Purchase - SIP</v>
      </c>
      <c r="J1169" s="5">
        <v>5000</v>
      </c>
      <c r="K1169" s="5">
        <v>108.96</v>
      </c>
      <c r="L1169" s="5">
        <v>45.888399999999997</v>
      </c>
      <c r="M1169" s="5">
        <v>17537.814999999999</v>
      </c>
      <c r="N1169" s="5" t="str">
        <v>PURCHASE_SIP</v>
      </c>
      <c r="O1169" s="5">
        <v>0</v>
      </c>
    </row>
    <row r="1170" spans="1:15" ht="17" x14ac:dyDescent="0.2">
      <c r="A1170" s="5" t="str">
        <v>Axis Mutual Fund</v>
      </c>
      <c r="B1170" s="5" t="str">
        <v>AAAA9994</v>
      </c>
      <c r="C1170" s="5" t="str">
        <v>AAAAA1111A</v>
      </c>
      <c r="D1170" s="6" t="str">
        <v>Axis ELSS Tax Saver Fund - Direct Growth</v>
      </c>
      <c r="E1170" s="6" t="str">
        <v>DIRECT</v>
      </c>
      <c r="F1170" s="6" t="str">
        <v>CAMS</v>
      </c>
      <c r="G1170" s="6">
        <v>112323</v>
      </c>
      <c r="H1170" s="6">
        <v>44526</v>
      </c>
      <c r="I1170" s="6" t="str">
        <v>Purchase - SIP</v>
      </c>
      <c r="J1170" s="5">
        <v>5000</v>
      </c>
      <c r="K1170" s="5">
        <v>108.98</v>
      </c>
      <c r="L1170" s="5">
        <v>45.879899999999999</v>
      </c>
      <c r="M1170" s="5">
        <v>17646.794999999998</v>
      </c>
      <c r="N1170" s="5" t="str">
        <v>PURCHASE_SIP</v>
      </c>
      <c r="O1170" s="5">
        <v>0</v>
      </c>
    </row>
    <row r="1171" spans="1:15" ht="17" x14ac:dyDescent="0.2">
      <c r="A1171" s="5" t="str">
        <v>Axis Mutual Fund</v>
      </c>
      <c r="B1171" s="5" t="str">
        <v>AAAA9994</v>
      </c>
      <c r="C1171" s="5" t="str">
        <v>AAAAA1111A</v>
      </c>
      <c r="D1171" s="6" t="str">
        <v>Axis ELSS Tax Saver Fund - Direct Growth</v>
      </c>
      <c r="E1171" s="6" t="str">
        <v>DIRECT</v>
      </c>
      <c r="F1171" s="6" t="str">
        <v>CAMS</v>
      </c>
      <c r="G1171" s="6">
        <v>112323</v>
      </c>
      <c r="H1171" s="6">
        <v>44556</v>
      </c>
      <c r="I1171" s="6" t="str">
        <v>Purchase - SIP</v>
      </c>
      <c r="J1171" s="5">
        <v>5000</v>
      </c>
      <c r="K1171" s="5">
        <v>109.202</v>
      </c>
      <c r="L1171" s="5">
        <v>45.786499999999997</v>
      </c>
      <c r="M1171" s="5">
        <v>17755.998</v>
      </c>
      <c r="N1171" s="5" t="str">
        <v>PURCHASE_SIP</v>
      </c>
      <c r="O1171" s="5">
        <v>0</v>
      </c>
    </row>
    <row r="1172" spans="1:15" ht="17" x14ac:dyDescent="0.2">
      <c r="A1172" s="5" t="str">
        <v>Axis Mutual Fund</v>
      </c>
      <c r="B1172" s="5" t="str">
        <v>AAAA9994</v>
      </c>
      <c r="C1172" s="5" t="str">
        <v>AAAAA1111A</v>
      </c>
      <c r="D1172" s="6" t="str">
        <v>Axis ELSS Tax Saver Fund - Direct Growth</v>
      </c>
      <c r="E1172" s="6" t="str">
        <v>DIRECT</v>
      </c>
      <c r="F1172" s="6" t="str">
        <v>CAMS</v>
      </c>
      <c r="G1172" s="6">
        <v>112323</v>
      </c>
      <c r="H1172" s="6">
        <v>44586</v>
      </c>
      <c r="I1172" s="6" t="str">
        <v>Full Redemption</v>
      </c>
      <c r="J1172" s="5">
        <v>-812985.77</v>
      </c>
      <c r="K1172" s="5">
        <v>-17755.998</v>
      </c>
      <c r="L1172" s="5">
        <v>45.786499999999997</v>
      </c>
      <c r="M1172" s="5">
        <v>0</v>
      </c>
      <c r="N1172" s="5" t="str">
        <v>REDEMPTION</v>
      </c>
      <c r="O1172" s="5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46552-512E-064A-AC62-F4E5A0F7B38F}">
  <sheetPr codeName="Sheet9"/>
  <dimension ref="A1:E19"/>
  <sheetViews>
    <sheetView workbookViewId="0">
      <selection activeCell="O11" sqref="O11"/>
    </sheetView>
  </sheetViews>
  <sheetFormatPr baseColWidth="10" defaultRowHeight="16" x14ac:dyDescent="0.2"/>
  <cols>
    <col min="1" max="1" width="16.83203125" bestFit="1" customWidth="1"/>
    <col min="2" max="2" width="12.1640625" bestFit="1" customWidth="1"/>
    <col min="3" max="3" width="11" bestFit="1" customWidth="1"/>
    <col min="4" max="4" width="10.6640625" bestFit="1" customWidth="1"/>
    <col min="5" max="5" width="10.5" bestFit="1" customWidth="1"/>
    <col min="7" max="7" width="12.33203125" customWidth="1"/>
  </cols>
  <sheetData>
    <row r="1" spans="1:5" x14ac:dyDescent="0.2">
      <c r="A1" s="84" t="s">
        <v>44</v>
      </c>
      <c r="B1" s="84"/>
      <c r="C1" s="84"/>
      <c r="D1" s="84"/>
      <c r="E1" s="84"/>
    </row>
    <row r="3" spans="1:5" x14ac:dyDescent="0.2">
      <c r="A3" s="22" t="s">
        <v>33</v>
      </c>
      <c r="B3" s="22" t="s">
        <v>36</v>
      </c>
      <c r="C3" s="22" t="s">
        <v>37</v>
      </c>
      <c r="D3" s="22" t="s">
        <v>38</v>
      </c>
      <c r="E3" s="22" t="s">
        <v>39</v>
      </c>
    </row>
    <row r="5" spans="1:5" x14ac:dyDescent="0.2">
      <c r="A5" t="s">
        <v>14</v>
      </c>
      <c r="B5" t="s">
        <v>40</v>
      </c>
      <c r="C5" t="s">
        <v>41</v>
      </c>
      <c r="D5" t="s">
        <v>42</v>
      </c>
      <c r="E5" t="s">
        <v>43</v>
      </c>
    </row>
    <row r="6" spans="1:5" x14ac:dyDescent="0.2">
      <c r="A6" t="s">
        <v>15</v>
      </c>
      <c r="B6" t="s">
        <v>40</v>
      </c>
      <c r="C6" t="s">
        <v>41</v>
      </c>
      <c r="D6" t="s">
        <v>42</v>
      </c>
      <c r="E6" t="s">
        <v>43</v>
      </c>
    </row>
    <row r="7" spans="1:5" x14ac:dyDescent="0.2">
      <c r="A7" t="s">
        <v>19</v>
      </c>
      <c r="B7" t="s">
        <v>40</v>
      </c>
      <c r="C7" t="s">
        <v>25</v>
      </c>
      <c r="D7" t="s">
        <v>40</v>
      </c>
      <c r="E7" t="s">
        <v>45</v>
      </c>
    </row>
    <row r="8" spans="1:5" x14ac:dyDescent="0.2">
      <c r="A8" t="s">
        <v>16</v>
      </c>
      <c r="B8" t="s">
        <v>42</v>
      </c>
      <c r="C8" t="s">
        <v>25</v>
      </c>
      <c r="D8" t="s">
        <v>40</v>
      </c>
      <c r="E8" t="s">
        <v>43</v>
      </c>
    </row>
    <row r="9" spans="1:5" x14ac:dyDescent="0.2">
      <c r="A9" t="s">
        <v>24</v>
      </c>
      <c r="B9" t="s">
        <v>42</v>
      </c>
      <c r="C9" t="s">
        <v>25</v>
      </c>
      <c r="D9" t="s">
        <v>40</v>
      </c>
      <c r="E9" t="s">
        <v>43</v>
      </c>
    </row>
    <row r="10" spans="1:5" x14ac:dyDescent="0.2">
      <c r="A10" t="s">
        <v>46</v>
      </c>
      <c r="B10" t="s">
        <v>40</v>
      </c>
      <c r="C10" t="s">
        <v>41</v>
      </c>
      <c r="D10" t="s">
        <v>42</v>
      </c>
      <c r="E10" t="s">
        <v>43</v>
      </c>
    </row>
    <row r="11" spans="1:5" x14ac:dyDescent="0.2">
      <c r="A11" t="s">
        <v>17</v>
      </c>
      <c r="B11" t="s">
        <v>40</v>
      </c>
      <c r="C11" t="s">
        <v>41</v>
      </c>
      <c r="D11" t="s">
        <v>42</v>
      </c>
      <c r="E11" t="s">
        <v>43</v>
      </c>
    </row>
    <row r="12" spans="1:5" x14ac:dyDescent="0.2">
      <c r="A12" t="s">
        <v>20</v>
      </c>
      <c r="B12" t="s">
        <v>40</v>
      </c>
      <c r="C12" t="s">
        <v>47</v>
      </c>
      <c r="D12" t="s">
        <v>47</v>
      </c>
      <c r="E12" t="s">
        <v>48</v>
      </c>
    </row>
    <row r="13" spans="1:5" x14ac:dyDescent="0.2">
      <c r="A13" t="s">
        <v>21</v>
      </c>
      <c r="B13" t="s">
        <v>40</v>
      </c>
      <c r="C13" t="s">
        <v>41</v>
      </c>
      <c r="D13" t="s">
        <v>42</v>
      </c>
      <c r="E13" t="s">
        <v>43</v>
      </c>
    </row>
    <row r="14" spans="1:5" x14ac:dyDescent="0.2">
      <c r="A14" t="s">
        <v>22</v>
      </c>
      <c r="B14" t="s">
        <v>42</v>
      </c>
      <c r="C14" t="s">
        <v>25</v>
      </c>
      <c r="D14" t="s">
        <v>40</v>
      </c>
      <c r="E14" t="s">
        <v>43</v>
      </c>
    </row>
    <row r="15" spans="1:5" x14ac:dyDescent="0.2">
      <c r="A15" t="s">
        <v>55</v>
      </c>
      <c r="B15" t="s">
        <v>40</v>
      </c>
      <c r="C15" t="s">
        <v>47</v>
      </c>
      <c r="D15" t="s">
        <v>47</v>
      </c>
      <c r="E15" t="s">
        <v>48</v>
      </c>
    </row>
    <row r="16" spans="1:5" x14ac:dyDescent="0.2">
      <c r="A16" t="s">
        <v>51</v>
      </c>
      <c r="B16" t="s">
        <v>40</v>
      </c>
      <c r="C16" t="s">
        <v>41</v>
      </c>
      <c r="D16" t="s">
        <v>42</v>
      </c>
      <c r="E16" t="s">
        <v>43</v>
      </c>
    </row>
    <row r="17" spans="1:5" x14ac:dyDescent="0.2">
      <c r="A17" t="s">
        <v>52</v>
      </c>
      <c r="B17" t="s">
        <v>42</v>
      </c>
      <c r="C17" t="s">
        <v>25</v>
      </c>
      <c r="D17" t="s">
        <v>40</v>
      </c>
      <c r="E17" t="s">
        <v>43</v>
      </c>
    </row>
    <row r="18" spans="1:5" x14ac:dyDescent="0.2">
      <c r="A18" t="s">
        <v>54</v>
      </c>
      <c r="B18" t="s">
        <v>40</v>
      </c>
      <c r="C18" t="s">
        <v>47</v>
      </c>
      <c r="D18" t="s">
        <v>47</v>
      </c>
      <c r="E18" t="s">
        <v>48</v>
      </c>
    </row>
    <row r="19" spans="1:5" x14ac:dyDescent="0.2">
      <c r="A19" t="s">
        <v>50</v>
      </c>
      <c r="B19" t="s">
        <v>40</v>
      </c>
      <c r="C19" t="s">
        <v>47</v>
      </c>
      <c r="D19" t="s">
        <v>47</v>
      </c>
      <c r="E19" t="s">
        <v>48</v>
      </c>
    </row>
  </sheetData>
  <mergeCells count="1">
    <mergeCell ref="A1:E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EB03C9-709D-EF4F-B574-3E1061B56E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</vt:lpstr>
      <vt:lpstr>Current NAVs</vt:lpstr>
      <vt:lpstr>PAN Mapper</vt:lpstr>
      <vt:lpstr>MF Summary</vt:lpstr>
      <vt:lpstr>Goals</vt:lpstr>
      <vt:lpstr>Goals_Tagger</vt:lpstr>
      <vt:lpstr>Capital Gains</vt:lpstr>
      <vt:lpstr>Sell_Ledger</vt:lpstr>
      <vt:lpstr>Folio List</vt:lpstr>
      <vt:lpstr>CAS_PAN_Filter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Mehul Boricha</dc:creator>
  <cp:lastModifiedBy>Mehul Boricha</cp:lastModifiedBy>
  <dcterms:created xsi:type="dcterms:W3CDTF">2026-07-14T14:13:53Z</dcterms:created>
  <dcterms:modified xsi:type="dcterms:W3CDTF">2026-07-16T16:07:11Z</dcterms:modified>
</cp:coreProperties>
</file>